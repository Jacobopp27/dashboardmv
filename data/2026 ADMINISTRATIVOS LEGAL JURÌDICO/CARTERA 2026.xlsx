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2026 Monteverdi\2026 ADMINISTRATIVOS\"/>
    </mc:Choice>
  </mc:AlternateContent>
  <xr:revisionPtr revIDLastSave="0" documentId="8_{383DBF31-31A1-43ED-BA71-7BC89F41C406}" xr6:coauthVersionLast="47" xr6:coauthVersionMax="47" xr10:uidLastSave="{00000000-0000-0000-0000-000000000000}"/>
  <bookViews>
    <workbookView xWindow="-110" yWindow="-110" windowWidth="19420" windowHeight="10300" activeTab="1" xr2:uid="{4DAA959D-7A6E-4E45-A6EB-540FF9C6E7AA}"/>
  </bookViews>
  <sheets>
    <sheet name="Cartera Cont 2024" sheetId="1" r:id="rId1"/>
    <sheet name="CARTERA 2026" sheetId="4" r:id="rId2"/>
    <sheet name="Cartera Cont 2025" sheetId="3" r:id="rId3"/>
    <sheet name="Graficos 2025" sheetId="2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D33" i="4" l="1"/>
  <c r="BE33" i="4"/>
  <c r="BF33" i="4"/>
  <c r="CD5" i="4"/>
  <c r="CD6" i="4"/>
  <c r="CE6" i="4" s="1"/>
  <c r="CD7" i="4"/>
  <c r="CD8" i="4"/>
  <c r="CE8" i="4" s="1"/>
  <c r="CD9" i="4"/>
  <c r="CE9" i="4" s="1"/>
  <c r="CD10" i="4"/>
  <c r="CD11" i="4"/>
  <c r="CE11" i="4" s="1"/>
  <c r="CD12" i="4"/>
  <c r="CE12" i="4" s="1"/>
  <c r="CD13" i="4"/>
  <c r="CD14" i="4"/>
  <c r="CE14" i="4" s="1"/>
  <c r="CD15" i="4"/>
  <c r="CD16" i="4"/>
  <c r="CE16" i="4" s="1"/>
  <c r="CD17" i="4"/>
  <c r="CD18" i="4"/>
  <c r="CD19" i="4"/>
  <c r="CE19" i="4" s="1"/>
  <c r="CD20" i="4"/>
  <c r="CE20" i="4" s="1"/>
  <c r="CD21" i="4"/>
  <c r="CE21" i="4" s="1"/>
  <c r="CD22" i="4"/>
  <c r="CE22" i="4" s="1"/>
  <c r="CD23" i="4"/>
  <c r="CD24" i="4"/>
  <c r="CE24" i="4" s="1"/>
  <c r="CD25" i="4"/>
  <c r="CE25" i="4" s="1"/>
  <c r="CD26" i="4"/>
  <c r="CD27" i="4"/>
  <c r="CE27" i="4" s="1"/>
  <c r="CD28" i="4"/>
  <c r="CE28" i="4" s="1"/>
  <c r="CD29" i="4"/>
  <c r="CE29" i="4" s="1"/>
  <c r="CD30" i="4"/>
  <c r="CE30" i="4" s="1"/>
  <c r="CD31" i="4"/>
  <c r="CD32" i="4"/>
  <c r="CE32" i="4" s="1"/>
  <c r="CD4" i="4"/>
  <c r="CE31" i="4"/>
  <c r="CE26" i="4"/>
  <c r="CE23" i="4"/>
  <c r="CE18" i="4"/>
  <c r="CE17" i="4"/>
  <c r="CE15" i="4"/>
  <c r="CE13" i="4"/>
  <c r="CE10" i="4"/>
  <c r="CE7" i="4"/>
  <c r="CE5" i="4"/>
  <c r="CE4" i="4"/>
  <c r="BY5" i="4"/>
  <c r="BY6" i="4"/>
  <c r="BY7" i="4"/>
  <c r="BZ7" i="4" s="1"/>
  <c r="BY8" i="4"/>
  <c r="BZ8" i="4" s="1"/>
  <c r="BY9" i="4"/>
  <c r="BZ9" i="4" s="1"/>
  <c r="BY10" i="4"/>
  <c r="BZ10" i="4" s="1"/>
  <c r="BY11" i="4"/>
  <c r="BZ11" i="4" s="1"/>
  <c r="BY12" i="4"/>
  <c r="BZ12" i="4" s="1"/>
  <c r="BY13" i="4"/>
  <c r="BY14" i="4"/>
  <c r="BZ14" i="4" s="1"/>
  <c r="BY15" i="4"/>
  <c r="BZ15" i="4" s="1"/>
  <c r="BY16" i="4"/>
  <c r="BZ16" i="4" s="1"/>
  <c r="BY17" i="4"/>
  <c r="BZ17" i="4" s="1"/>
  <c r="BY18" i="4"/>
  <c r="BZ18" i="4" s="1"/>
  <c r="BY19" i="4"/>
  <c r="BZ19" i="4" s="1"/>
  <c r="BY20" i="4"/>
  <c r="BZ20" i="4" s="1"/>
  <c r="BY21" i="4"/>
  <c r="BY22" i="4"/>
  <c r="BZ22" i="4" s="1"/>
  <c r="BY23" i="4"/>
  <c r="BY24" i="4"/>
  <c r="BZ24" i="4" s="1"/>
  <c r="BY25" i="4"/>
  <c r="BY26" i="4"/>
  <c r="BZ26" i="4" s="1"/>
  <c r="BY27" i="4"/>
  <c r="BZ27" i="4" s="1"/>
  <c r="BY28" i="4"/>
  <c r="BZ28" i="4" s="1"/>
  <c r="BY29" i="4"/>
  <c r="BZ29" i="4" s="1"/>
  <c r="BY30" i="4"/>
  <c r="BZ30" i="4" s="1"/>
  <c r="BY31" i="4"/>
  <c r="BZ31" i="4" s="1"/>
  <c r="BY32" i="4"/>
  <c r="BZ32" i="4" s="1"/>
  <c r="BY4" i="4"/>
  <c r="BZ4" i="4" s="1"/>
  <c r="BZ25" i="4"/>
  <c r="BZ23" i="4"/>
  <c r="BZ21" i="4"/>
  <c r="BZ13" i="4"/>
  <c r="BZ6" i="4"/>
  <c r="BZ5" i="4"/>
  <c r="BT5" i="4"/>
  <c r="BU5" i="4" s="1"/>
  <c r="BT6" i="4"/>
  <c r="BU6" i="4" s="1"/>
  <c r="BT7" i="4"/>
  <c r="BU7" i="4" s="1"/>
  <c r="BT8" i="4"/>
  <c r="BU8" i="4" s="1"/>
  <c r="BT9" i="4"/>
  <c r="BT10" i="4"/>
  <c r="BU10" i="4" s="1"/>
  <c r="BT11" i="4"/>
  <c r="BU11" i="4" s="1"/>
  <c r="BT12" i="4"/>
  <c r="BU12" i="4" s="1"/>
  <c r="BT13" i="4"/>
  <c r="BU13" i="4" s="1"/>
  <c r="BT14" i="4"/>
  <c r="BT15" i="4"/>
  <c r="BU15" i="4" s="1"/>
  <c r="BT16" i="4"/>
  <c r="BT17" i="4"/>
  <c r="BU17" i="4" s="1"/>
  <c r="BT18" i="4"/>
  <c r="BU18" i="4" s="1"/>
  <c r="BT19" i="4"/>
  <c r="BU19" i="4" s="1"/>
  <c r="BT20" i="4"/>
  <c r="BU20" i="4" s="1"/>
  <c r="BT21" i="4"/>
  <c r="BU21" i="4" s="1"/>
  <c r="BT22" i="4"/>
  <c r="BU22" i="4" s="1"/>
  <c r="BT23" i="4"/>
  <c r="BU23" i="4" s="1"/>
  <c r="BT24" i="4"/>
  <c r="BU24" i="4" s="1"/>
  <c r="BT25" i="4"/>
  <c r="BT26" i="4"/>
  <c r="BU26" i="4" s="1"/>
  <c r="BT27" i="4"/>
  <c r="BU27" i="4" s="1"/>
  <c r="BT29" i="4"/>
  <c r="BT30" i="4"/>
  <c r="BU30" i="4" s="1"/>
  <c r="BT31" i="4"/>
  <c r="BU31" i="4" s="1"/>
  <c r="BT32" i="4"/>
  <c r="BT4" i="4"/>
  <c r="BU32" i="4"/>
  <c r="BU29" i="4"/>
  <c r="BU25" i="4"/>
  <c r="BU16" i="4"/>
  <c r="BU14" i="4"/>
  <c r="BU9" i="4"/>
  <c r="BU4" i="4"/>
  <c r="BP5" i="4"/>
  <c r="BP6" i="4"/>
  <c r="BQ6" i="4" s="1"/>
  <c r="BP7" i="4"/>
  <c r="BQ7" i="4" s="1"/>
  <c r="BP8" i="4"/>
  <c r="BP9" i="4"/>
  <c r="BP10" i="4"/>
  <c r="BQ10" i="4" s="1"/>
  <c r="BP11" i="4"/>
  <c r="BQ11" i="4" s="1"/>
  <c r="BP12" i="4"/>
  <c r="BQ12" i="4" s="1"/>
  <c r="BP13" i="4"/>
  <c r="BQ13" i="4" s="1"/>
  <c r="BP14" i="4"/>
  <c r="BQ14" i="4" s="1"/>
  <c r="BP15" i="4"/>
  <c r="BQ15" i="4" s="1"/>
  <c r="BP16" i="4"/>
  <c r="BP17" i="4"/>
  <c r="BP18" i="4"/>
  <c r="BQ18" i="4" s="1"/>
  <c r="BP19" i="4"/>
  <c r="BQ19" i="4" s="1"/>
  <c r="BP20" i="4"/>
  <c r="BQ20" i="4" s="1"/>
  <c r="BP21" i="4"/>
  <c r="BQ21" i="4" s="1"/>
  <c r="BP22" i="4"/>
  <c r="BQ22" i="4" s="1"/>
  <c r="BP23" i="4"/>
  <c r="BQ23" i="4" s="1"/>
  <c r="BP24" i="4"/>
  <c r="BQ24" i="4" s="1"/>
  <c r="BP25" i="4"/>
  <c r="BP26" i="4"/>
  <c r="BQ26" i="4" s="1"/>
  <c r="BP27" i="4"/>
  <c r="BQ27" i="4" s="1"/>
  <c r="BP28" i="4"/>
  <c r="BQ28" i="4" s="1"/>
  <c r="BP29" i="4"/>
  <c r="BQ29" i="4" s="1"/>
  <c r="BP30" i="4"/>
  <c r="BQ30" i="4" s="1"/>
  <c r="BP31" i="4"/>
  <c r="BQ31" i="4" s="1"/>
  <c r="BP32" i="4"/>
  <c r="BQ32" i="4" s="1"/>
  <c r="BP4" i="4"/>
  <c r="BQ25" i="4"/>
  <c r="BQ17" i="4"/>
  <c r="BQ16" i="4"/>
  <c r="BQ9" i="4"/>
  <c r="BQ8" i="4"/>
  <c r="BQ5" i="4"/>
  <c r="BQ4" i="4"/>
  <c r="BM10" i="4"/>
  <c r="BL5" i="4"/>
  <c r="BM5" i="4" s="1"/>
  <c r="BL6" i="4"/>
  <c r="BM6" i="4" s="1"/>
  <c r="BL7" i="4"/>
  <c r="BM7" i="4" s="1"/>
  <c r="BL8" i="4"/>
  <c r="BM8" i="4" s="1"/>
  <c r="BL9" i="4"/>
  <c r="BM9" i="4" s="1"/>
  <c r="BL10" i="4"/>
  <c r="BL11" i="4"/>
  <c r="BM11" i="4" s="1"/>
  <c r="BL12" i="4"/>
  <c r="BM12" i="4" s="1"/>
  <c r="BL13" i="4"/>
  <c r="BM13" i="4" s="1"/>
  <c r="BL14" i="4"/>
  <c r="BM14" i="4" s="1"/>
  <c r="BL15" i="4"/>
  <c r="BM15" i="4" s="1"/>
  <c r="BL16" i="4"/>
  <c r="BM16" i="4" s="1"/>
  <c r="BL17" i="4"/>
  <c r="BM17" i="4" s="1"/>
  <c r="BL18" i="4"/>
  <c r="BM18" i="4" s="1"/>
  <c r="BL19" i="4"/>
  <c r="BM19" i="4" s="1"/>
  <c r="BL20" i="4"/>
  <c r="BM20" i="4" s="1"/>
  <c r="BL21" i="4"/>
  <c r="BM21" i="4" s="1"/>
  <c r="BL22" i="4"/>
  <c r="BM22" i="4" s="1"/>
  <c r="BL23" i="4"/>
  <c r="BM23" i="4" s="1"/>
  <c r="BL24" i="4"/>
  <c r="BM24" i="4" s="1"/>
  <c r="BL25" i="4"/>
  <c r="BM25" i="4" s="1"/>
  <c r="BL26" i="4"/>
  <c r="BM26" i="4" s="1"/>
  <c r="BL27" i="4"/>
  <c r="BM27" i="4" s="1"/>
  <c r="BL28" i="4"/>
  <c r="BM28" i="4" s="1"/>
  <c r="BL29" i="4"/>
  <c r="BM29" i="4" s="1"/>
  <c r="BL30" i="4"/>
  <c r="BM30" i="4" s="1"/>
  <c r="BL31" i="4"/>
  <c r="BM31" i="4" s="1"/>
  <c r="BL32" i="4"/>
  <c r="BM32" i="4" s="1"/>
  <c r="BL4" i="4"/>
  <c r="BM4" i="4" s="1"/>
  <c r="BH32" i="4"/>
  <c r="BH31" i="4"/>
  <c r="BH30" i="4"/>
  <c r="BH29" i="4"/>
  <c r="BH28" i="4"/>
  <c r="BH27" i="4"/>
  <c r="BH26" i="4"/>
  <c r="BH25" i="4"/>
  <c r="BH24" i="4"/>
  <c r="BH23" i="4"/>
  <c r="BH22" i="4"/>
  <c r="BH21" i="4"/>
  <c r="BH20" i="4"/>
  <c r="BH19" i="4"/>
  <c r="BH18" i="4"/>
  <c r="BH17" i="4"/>
  <c r="BH16" i="4"/>
  <c r="BH15" i="4"/>
  <c r="BH14" i="4"/>
  <c r="BH13" i="4"/>
  <c r="BH12" i="4"/>
  <c r="BH11" i="4"/>
  <c r="BH10" i="4"/>
  <c r="BH9" i="4"/>
  <c r="BH8" i="4"/>
  <c r="BH7" i="4"/>
  <c r="BH6" i="4"/>
  <c r="BH5" i="4"/>
  <c r="BH4" i="4"/>
  <c r="BC32" i="4"/>
  <c r="BC31" i="4"/>
  <c r="BC30" i="4"/>
  <c r="BC29" i="4"/>
  <c r="BB28" i="4"/>
  <c r="BC28" i="4" s="1"/>
  <c r="BB27" i="4"/>
  <c r="BC27" i="4" s="1"/>
  <c r="BB26" i="4"/>
  <c r="BC26" i="4" s="1"/>
  <c r="BB25" i="4"/>
  <c r="BC25" i="4" s="1"/>
  <c r="BB24" i="4"/>
  <c r="BC24" i="4" s="1"/>
  <c r="BC23" i="4"/>
  <c r="BB22" i="4"/>
  <c r="BC22" i="4" s="1"/>
  <c r="BB21" i="4"/>
  <c r="BC21" i="4" s="1"/>
  <c r="BB20" i="4"/>
  <c r="BC20" i="4" s="1"/>
  <c r="BB19" i="4"/>
  <c r="BC19" i="4" s="1"/>
  <c r="BB18" i="4"/>
  <c r="BC18" i="4" s="1"/>
  <c r="BB17" i="4"/>
  <c r="BC17" i="4" s="1"/>
  <c r="BB16" i="4"/>
  <c r="BC16" i="4" s="1"/>
  <c r="BB15" i="4"/>
  <c r="BC15" i="4" s="1"/>
  <c r="BB14" i="4"/>
  <c r="BC14" i="4" s="1"/>
  <c r="BB13" i="4"/>
  <c r="BC13" i="4" s="1"/>
  <c r="BB12" i="4"/>
  <c r="BC12" i="4" s="1"/>
  <c r="BC11" i="4"/>
  <c r="BB10" i="4"/>
  <c r="BC10" i="4" s="1"/>
  <c r="BB9" i="4"/>
  <c r="BC9" i="4" s="1"/>
  <c r="BB8" i="4"/>
  <c r="BC8" i="4" s="1"/>
  <c r="BB7" i="4"/>
  <c r="BC7" i="4" s="1"/>
  <c r="BB6" i="4"/>
  <c r="BB5" i="4"/>
  <c r="BC5" i="4" s="1"/>
  <c r="BB4" i="4"/>
  <c r="BC4" i="4" s="1"/>
  <c r="AV28" i="4"/>
  <c r="BT28" i="4" s="1"/>
  <c r="BU28" i="4" s="1"/>
  <c r="AR33" i="4"/>
  <c r="AQ33" i="4"/>
  <c r="AS32" i="4"/>
  <c r="AS31" i="4"/>
  <c r="AS30" i="4"/>
  <c r="AS29" i="4"/>
  <c r="AS28" i="4"/>
  <c r="AS27" i="4"/>
  <c r="AS26" i="4"/>
  <c r="AS25" i="4"/>
  <c r="AS24" i="4"/>
  <c r="AS23" i="4"/>
  <c r="AS22" i="4"/>
  <c r="AS21" i="4"/>
  <c r="AS20" i="4"/>
  <c r="AS19" i="4"/>
  <c r="AS18" i="4"/>
  <c r="AS17" i="4"/>
  <c r="AS16" i="4"/>
  <c r="AS15" i="4"/>
  <c r="AS14" i="4"/>
  <c r="AS13" i="4"/>
  <c r="AS12" i="4"/>
  <c r="AS11" i="4"/>
  <c r="AS10" i="4"/>
  <c r="AS9" i="4"/>
  <c r="AS8" i="4"/>
  <c r="AS7" i="4"/>
  <c r="AS6" i="4"/>
  <c r="AS5" i="4"/>
  <c r="AS4" i="4"/>
  <c r="AL33" i="4"/>
  <c r="AL35" i="4" s="1"/>
  <c r="AL38" i="4" s="1"/>
  <c r="AM32" i="4"/>
  <c r="AN32" i="4" s="1"/>
  <c r="AM31" i="4"/>
  <c r="AN31" i="4" s="1"/>
  <c r="AM30" i="4"/>
  <c r="AN30" i="4" s="1"/>
  <c r="AM29" i="4"/>
  <c r="AN29" i="4" s="1"/>
  <c r="AN28" i="4"/>
  <c r="AM27" i="4"/>
  <c r="AN27" i="4" s="1"/>
  <c r="AM26" i="4"/>
  <c r="AN26" i="4" s="1"/>
  <c r="AM25" i="4"/>
  <c r="AN25" i="4" s="1"/>
  <c r="AM24" i="4"/>
  <c r="AN24" i="4" s="1"/>
  <c r="AN23" i="4"/>
  <c r="AM22" i="4"/>
  <c r="AN22" i="4" s="1"/>
  <c r="AM21" i="4"/>
  <c r="AN21" i="4" s="1"/>
  <c r="AM20" i="4"/>
  <c r="AN20" i="4" s="1"/>
  <c r="AM19" i="4"/>
  <c r="AN19" i="4" s="1"/>
  <c r="AM18" i="4"/>
  <c r="AN18" i="4" s="1"/>
  <c r="AM17" i="4"/>
  <c r="AN17" i="4" s="1"/>
  <c r="AM16" i="4"/>
  <c r="AN16" i="4" s="1"/>
  <c r="AM15" i="4"/>
  <c r="AN15" i="4" s="1"/>
  <c r="AM14" i="4"/>
  <c r="AN14" i="4" s="1"/>
  <c r="AM13" i="4"/>
  <c r="AN13" i="4" s="1"/>
  <c r="AM12" i="4"/>
  <c r="AN12" i="4" s="1"/>
  <c r="AM11" i="4"/>
  <c r="AN11" i="4" s="1"/>
  <c r="AM10" i="4"/>
  <c r="AN10" i="4" s="1"/>
  <c r="AM9" i="4"/>
  <c r="AN9" i="4" s="1"/>
  <c r="AM8" i="4"/>
  <c r="AN8" i="4" s="1"/>
  <c r="AM7" i="4"/>
  <c r="AN7" i="4" s="1"/>
  <c r="AM6" i="4"/>
  <c r="AN6" i="4" s="1"/>
  <c r="AM5" i="4"/>
  <c r="AN5" i="4" s="1"/>
  <c r="AM4" i="4"/>
  <c r="BA37" i="4"/>
  <c r="BC38" i="4"/>
  <c r="BB38" i="4"/>
  <c r="AX38" i="4"/>
  <c r="AW38" i="4"/>
  <c r="AU38" i="4"/>
  <c r="AT38" i="4"/>
  <c r="AN38" i="4"/>
  <c r="AM38" i="4"/>
  <c r="AK38" i="4"/>
  <c r="AJ38" i="4"/>
  <c r="Q38" i="4"/>
  <c r="P38" i="4"/>
  <c r="L38" i="4"/>
  <c r="K38" i="4"/>
  <c r="G38" i="4"/>
  <c r="BE37" i="4"/>
  <c r="BC37" i="4"/>
  <c r="BB37" i="4"/>
  <c r="AX37" i="4"/>
  <c r="AW37" i="4"/>
  <c r="AU37" i="4"/>
  <c r="AT37" i="4"/>
  <c r="AN37" i="4"/>
  <c r="AM37" i="4"/>
  <c r="AK37" i="4"/>
  <c r="AJ37" i="4"/>
  <c r="Q37" i="4"/>
  <c r="P37" i="4"/>
  <c r="L37" i="4"/>
  <c r="K37" i="4"/>
  <c r="BD36" i="4"/>
  <c r="BD38" i="4" s="1"/>
  <c r="AY35" i="4"/>
  <c r="AV38" i="4"/>
  <c r="AR35" i="4"/>
  <c r="AR37" i="4" s="1"/>
  <c r="AP35" i="4"/>
  <c r="AP37" i="4" s="1"/>
  <c r="AO35" i="4"/>
  <c r="AO38" i="4" s="1"/>
  <c r="AH35" i="4"/>
  <c r="AH38" i="4" s="1"/>
  <c r="AF35" i="4"/>
  <c r="AF38" i="4" s="1"/>
  <c r="AE35" i="4"/>
  <c r="AE38" i="4" s="1"/>
  <c r="AC35" i="4"/>
  <c r="AC38" i="4" s="1"/>
  <c r="AB35" i="4"/>
  <c r="AB38" i="4" s="1"/>
  <c r="AA35" i="4"/>
  <c r="AA38" i="4" s="1"/>
  <c r="Z35" i="4"/>
  <c r="Z37" i="4" s="1"/>
  <c r="Y35" i="4"/>
  <c r="Y38" i="4" s="1"/>
  <c r="X35" i="4"/>
  <c r="X38" i="4" s="1"/>
  <c r="W35" i="4"/>
  <c r="W37" i="4" s="1"/>
  <c r="V35" i="4"/>
  <c r="V38" i="4" s="1"/>
  <c r="U35" i="4"/>
  <c r="U38" i="4" s="1"/>
  <c r="S35" i="4"/>
  <c r="S38" i="4" s="1"/>
  <c r="R35" i="4"/>
  <c r="R38" i="4" s="1"/>
  <c r="N35" i="4"/>
  <c r="N38" i="4" s="1"/>
  <c r="M35" i="4"/>
  <c r="I35" i="4"/>
  <c r="H35" i="4"/>
  <c r="H37" i="4" s="1"/>
  <c r="D35" i="4"/>
  <c r="D38" i="4" s="1"/>
  <c r="C35" i="4"/>
  <c r="C38" i="4" s="1"/>
  <c r="BG33" i="4"/>
  <c r="AW33" i="4"/>
  <c r="AH33" i="4"/>
  <c r="AC33" i="4"/>
  <c r="AB33" i="4"/>
  <c r="X33" i="4"/>
  <c r="W33" i="4"/>
  <c r="AX32" i="4"/>
  <c r="O32" i="4"/>
  <c r="J32" i="4"/>
  <c r="BA33" i="4"/>
  <c r="AX31" i="4"/>
  <c r="AI31" i="4"/>
  <c r="AD31" i="4"/>
  <c r="T31" i="4"/>
  <c r="O31" i="4"/>
  <c r="J31" i="4"/>
  <c r="E31" i="4"/>
  <c r="AX30" i="4"/>
  <c r="AI30" i="4"/>
  <c r="AD30" i="4"/>
  <c r="T30" i="4"/>
  <c r="O30" i="4"/>
  <c r="J30" i="4"/>
  <c r="E30" i="4"/>
  <c r="AX29" i="4"/>
  <c r="AI29" i="4"/>
  <c r="AD29" i="4"/>
  <c r="T29" i="4"/>
  <c r="O29" i="4"/>
  <c r="J29" i="4"/>
  <c r="E29" i="4"/>
  <c r="AX28" i="4"/>
  <c r="AI28" i="4"/>
  <c r="AD28" i="4"/>
  <c r="T28" i="4"/>
  <c r="O28" i="4"/>
  <c r="J28" i="4"/>
  <c r="E28" i="4"/>
  <c r="AX27" i="4"/>
  <c r="AI27" i="4"/>
  <c r="AD27" i="4"/>
  <c r="T27" i="4"/>
  <c r="O27" i="4"/>
  <c r="J27" i="4"/>
  <c r="E27" i="4"/>
  <c r="AX26" i="4"/>
  <c r="AI26" i="4"/>
  <c r="AD26" i="4"/>
  <c r="T26" i="4"/>
  <c r="O26" i="4"/>
  <c r="J26" i="4"/>
  <c r="E26" i="4"/>
  <c r="AX25" i="4"/>
  <c r="AI25" i="4"/>
  <c r="AD25" i="4"/>
  <c r="T25" i="4"/>
  <c r="O25" i="4"/>
  <c r="J25" i="4"/>
  <c r="E25" i="4"/>
  <c r="AX24" i="4"/>
  <c r="AI24" i="4"/>
  <c r="AD24" i="4"/>
  <c r="T24" i="4"/>
  <c r="O24" i="4"/>
  <c r="J24" i="4"/>
  <c r="E24" i="4"/>
  <c r="AX23" i="4"/>
  <c r="AI23" i="4"/>
  <c r="AD23" i="4"/>
  <c r="T23" i="4"/>
  <c r="O23" i="4"/>
  <c r="J23" i="4"/>
  <c r="E23" i="4"/>
  <c r="AX22" i="4"/>
  <c r="AI22" i="4"/>
  <c r="AD22" i="4"/>
  <c r="T22" i="4"/>
  <c r="O22" i="4"/>
  <c r="J22" i="4"/>
  <c r="E22" i="4"/>
  <c r="AX21" i="4"/>
  <c r="AI21" i="4"/>
  <c r="AD21" i="4"/>
  <c r="T21" i="4"/>
  <c r="O21" i="4"/>
  <c r="J21" i="4"/>
  <c r="E21" i="4"/>
  <c r="AX20" i="4"/>
  <c r="AI20" i="4"/>
  <c r="AD20" i="4"/>
  <c r="T20" i="4"/>
  <c r="O20" i="4"/>
  <c r="J20" i="4"/>
  <c r="E20" i="4"/>
  <c r="AX19" i="4"/>
  <c r="AI19" i="4"/>
  <c r="AD19" i="4"/>
  <c r="T19" i="4"/>
  <c r="O19" i="4"/>
  <c r="J19" i="4"/>
  <c r="E19" i="4"/>
  <c r="AX18" i="4"/>
  <c r="AI18" i="4"/>
  <c r="AD18" i="4"/>
  <c r="T18" i="4"/>
  <c r="O18" i="4"/>
  <c r="J18" i="4"/>
  <c r="E18" i="4"/>
  <c r="AX17" i="4"/>
  <c r="AI17" i="4"/>
  <c r="AD17" i="4"/>
  <c r="T17" i="4"/>
  <c r="O17" i="4"/>
  <c r="J17" i="4"/>
  <c r="E17" i="4"/>
  <c r="AX16" i="4"/>
  <c r="AI16" i="4"/>
  <c r="AD16" i="4"/>
  <c r="T16" i="4"/>
  <c r="O16" i="4"/>
  <c r="J16" i="4"/>
  <c r="E16" i="4"/>
  <c r="AX15" i="4"/>
  <c r="AI15" i="4"/>
  <c r="AD15" i="4"/>
  <c r="T15" i="4"/>
  <c r="O15" i="4"/>
  <c r="J15" i="4"/>
  <c r="E15" i="4"/>
  <c r="AX14" i="4"/>
  <c r="AI14" i="4"/>
  <c r="AD14" i="4"/>
  <c r="T14" i="4"/>
  <c r="O14" i="4"/>
  <c r="J14" i="4"/>
  <c r="E14" i="4"/>
  <c r="AX13" i="4"/>
  <c r="AI13" i="4"/>
  <c r="AD13" i="4"/>
  <c r="T13" i="4"/>
  <c r="O13" i="4"/>
  <c r="J13" i="4"/>
  <c r="E13" i="4"/>
  <c r="AX12" i="4"/>
  <c r="AI12" i="4"/>
  <c r="AD12" i="4"/>
  <c r="T12" i="4"/>
  <c r="O12" i="4"/>
  <c r="J12" i="4"/>
  <c r="E12" i="4"/>
  <c r="AX11" i="4"/>
  <c r="AI11" i="4"/>
  <c r="AD11" i="4"/>
  <c r="T11" i="4"/>
  <c r="O11" i="4"/>
  <c r="J11" i="4"/>
  <c r="E11" i="4"/>
  <c r="AX10" i="4"/>
  <c r="AI10" i="4"/>
  <c r="AD10" i="4"/>
  <c r="T10" i="4"/>
  <c r="O10" i="4"/>
  <c r="J10" i="4"/>
  <c r="E10" i="4"/>
  <c r="AX9" i="4"/>
  <c r="AI9" i="4"/>
  <c r="AD9" i="4"/>
  <c r="T9" i="4"/>
  <c r="O9" i="4"/>
  <c r="J9" i="4"/>
  <c r="E9" i="4"/>
  <c r="AX8" i="4"/>
  <c r="AG8" i="4"/>
  <c r="AG33" i="4" s="1"/>
  <c r="AG35" i="4" s="1"/>
  <c r="AD8" i="4"/>
  <c r="T8" i="4"/>
  <c r="O8" i="4"/>
  <c r="J8" i="4"/>
  <c r="E8" i="4"/>
  <c r="AX7" i="4"/>
  <c r="AI7" i="4"/>
  <c r="AD7" i="4"/>
  <c r="T7" i="4"/>
  <c r="O7" i="4"/>
  <c r="J7" i="4"/>
  <c r="E7" i="4"/>
  <c r="AX6" i="4"/>
  <c r="AI6" i="4"/>
  <c r="AD6" i="4"/>
  <c r="T6" i="4"/>
  <c r="O6" i="4"/>
  <c r="J6" i="4"/>
  <c r="E6" i="4"/>
  <c r="AX5" i="4"/>
  <c r="AI5" i="4"/>
  <c r="AD5" i="4"/>
  <c r="T5" i="4"/>
  <c r="O5" i="4"/>
  <c r="J5" i="4"/>
  <c r="E5" i="4"/>
  <c r="AX4" i="4"/>
  <c r="AI4" i="4"/>
  <c r="AD4" i="4"/>
  <c r="T4" i="4"/>
  <c r="O4" i="4"/>
  <c r="J4" i="4"/>
  <c r="E4" i="4"/>
  <c r="N35" i="3"/>
  <c r="M35" i="3"/>
  <c r="O35" i="3" s="1"/>
  <c r="O37" i="3" s="1"/>
  <c r="P38" i="3"/>
  <c r="S35" i="3"/>
  <c r="W37" i="3"/>
  <c r="R38" i="3"/>
  <c r="AG37" i="3"/>
  <c r="R35" i="3"/>
  <c r="X33" i="3"/>
  <c r="W33" i="3"/>
  <c r="AC33" i="3"/>
  <c r="AB33" i="3"/>
  <c r="AH33" i="3"/>
  <c r="AG33" i="3"/>
  <c r="AG8" i="3"/>
  <c r="AI4" i="3"/>
  <c r="AI5" i="3"/>
  <c r="AI6" i="3"/>
  <c r="AI7" i="3"/>
  <c r="AI33" i="3" s="1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BH4" i="3"/>
  <c r="BH5" i="3"/>
  <c r="BH6" i="3"/>
  <c r="BH7" i="3"/>
  <c r="BH8" i="3"/>
  <c r="BH9" i="3"/>
  <c r="BH10" i="3"/>
  <c r="BH11" i="3"/>
  <c r="BH12" i="3"/>
  <c r="BH13" i="3"/>
  <c r="BH14" i="3"/>
  <c r="BH15" i="3"/>
  <c r="BH16" i="3"/>
  <c r="BH17" i="3"/>
  <c r="BH18" i="3"/>
  <c r="BH19" i="3"/>
  <c r="BH20" i="3"/>
  <c r="BH21" i="3"/>
  <c r="BH22" i="3"/>
  <c r="BH23" i="3"/>
  <c r="BH24" i="3"/>
  <c r="BH25" i="3"/>
  <c r="BH26" i="3"/>
  <c r="BH27" i="3"/>
  <c r="BH28" i="3"/>
  <c r="BH29" i="3"/>
  <c r="BH30" i="3"/>
  <c r="BH31" i="3"/>
  <c r="BF33" i="3"/>
  <c r="BG33" i="3"/>
  <c r="BF35" i="3"/>
  <c r="BF37" i="3" s="1"/>
  <c r="AQ35" i="3"/>
  <c r="AG35" i="3"/>
  <c r="AL35" i="3"/>
  <c r="AL37" i="3" s="1"/>
  <c r="AL33" i="3"/>
  <c r="AN32" i="3"/>
  <c r="AN31" i="3"/>
  <c r="AN30" i="3"/>
  <c r="AN29" i="3"/>
  <c r="AN28" i="3"/>
  <c r="AN27" i="3"/>
  <c r="AN26" i="3"/>
  <c r="AN25" i="3"/>
  <c r="AN24" i="3"/>
  <c r="AN23" i="3"/>
  <c r="AN22" i="3"/>
  <c r="AN21" i="3"/>
  <c r="AN20" i="3"/>
  <c r="AN19" i="3"/>
  <c r="AN18" i="3"/>
  <c r="AN17" i="3"/>
  <c r="AN16" i="3"/>
  <c r="AN15" i="3"/>
  <c r="AN14" i="3"/>
  <c r="AN13" i="3"/>
  <c r="AN12" i="3"/>
  <c r="AN11" i="3"/>
  <c r="AN10" i="3"/>
  <c r="AN9" i="3"/>
  <c r="AN8" i="3"/>
  <c r="AN7" i="3"/>
  <c r="AN6" i="3"/>
  <c r="AN5" i="3"/>
  <c r="AN4" i="3"/>
  <c r="AR33" i="3"/>
  <c r="AQ33" i="3"/>
  <c r="AS32" i="3"/>
  <c r="AS31" i="3"/>
  <c r="AS30" i="3"/>
  <c r="AS29" i="3"/>
  <c r="AS28" i="3"/>
  <c r="AS27" i="3"/>
  <c r="AS26" i="3"/>
  <c r="AS25" i="3"/>
  <c r="AS24" i="3"/>
  <c r="AS23" i="3"/>
  <c r="AS22" i="3"/>
  <c r="AS21" i="3"/>
  <c r="AS20" i="3"/>
  <c r="AS19" i="3"/>
  <c r="AS18" i="3"/>
  <c r="AS17" i="3"/>
  <c r="AS16" i="3"/>
  <c r="AS15" i="3"/>
  <c r="AS14" i="3"/>
  <c r="AS13" i="3"/>
  <c r="AS12" i="3"/>
  <c r="AS11" i="3"/>
  <c r="AS10" i="3"/>
  <c r="AS9" i="3"/>
  <c r="AS8" i="3"/>
  <c r="AS7" i="3"/>
  <c r="AS6" i="3"/>
  <c r="AS5" i="3"/>
  <c r="AS4" i="3"/>
  <c r="AY35" i="3"/>
  <c r="AW33" i="3"/>
  <c r="AV33" i="3"/>
  <c r="AV35" i="3" s="1"/>
  <c r="AV37" i="3" s="1"/>
  <c r="AX32" i="3"/>
  <c r="AX31" i="3"/>
  <c r="AX30" i="3"/>
  <c r="AX29" i="3"/>
  <c r="AX28" i="3"/>
  <c r="AX27" i="3"/>
  <c r="AX26" i="3"/>
  <c r="AX25" i="3"/>
  <c r="AX24" i="3"/>
  <c r="AX23" i="3"/>
  <c r="AX22" i="3"/>
  <c r="AX21" i="3"/>
  <c r="AX20" i="3"/>
  <c r="AX19" i="3"/>
  <c r="AX18" i="3"/>
  <c r="AX17" i="3"/>
  <c r="AX16" i="3"/>
  <c r="AX15" i="3"/>
  <c r="AX14" i="3"/>
  <c r="AX13" i="3"/>
  <c r="AX12" i="3"/>
  <c r="AX11" i="3"/>
  <c r="AX10" i="3"/>
  <c r="AX9" i="3"/>
  <c r="AX8" i="3"/>
  <c r="AX7" i="3"/>
  <c r="AX6" i="3"/>
  <c r="AX5" i="3"/>
  <c r="AX4" i="3"/>
  <c r="BC32" i="3"/>
  <c r="BB31" i="3"/>
  <c r="BB33" i="3" s="1"/>
  <c r="BA31" i="3"/>
  <c r="BA33" i="3" s="1"/>
  <c r="BA35" i="3" s="1"/>
  <c r="BA37" i="3" s="1"/>
  <c r="BC30" i="3"/>
  <c r="BC29" i="3"/>
  <c r="BC28" i="3"/>
  <c r="BC27" i="3"/>
  <c r="BC26" i="3"/>
  <c r="BC25" i="3"/>
  <c r="BC24" i="3"/>
  <c r="BC23" i="3"/>
  <c r="BC22" i="3"/>
  <c r="BC21" i="3"/>
  <c r="BC20" i="3"/>
  <c r="BC19" i="3"/>
  <c r="BC18" i="3"/>
  <c r="BC17" i="3"/>
  <c r="BC16" i="3"/>
  <c r="BC15" i="3"/>
  <c r="BC14" i="3"/>
  <c r="BC13" i="3"/>
  <c r="BC12" i="3"/>
  <c r="BC11" i="3"/>
  <c r="BC10" i="3"/>
  <c r="BC9" i="3"/>
  <c r="BC8" i="3"/>
  <c r="BC7" i="3"/>
  <c r="BC6" i="3"/>
  <c r="BC5" i="3"/>
  <c r="BC4" i="3"/>
  <c r="Q38" i="3"/>
  <c r="N38" i="3"/>
  <c r="M38" i="3"/>
  <c r="L38" i="3"/>
  <c r="K38" i="3"/>
  <c r="G38" i="3"/>
  <c r="BE37" i="3"/>
  <c r="Q37" i="3"/>
  <c r="P37" i="3"/>
  <c r="N37" i="3"/>
  <c r="M37" i="3"/>
  <c r="L37" i="3"/>
  <c r="K37" i="3"/>
  <c r="BB37" i="3"/>
  <c r="AX37" i="3"/>
  <c r="AU38" i="3"/>
  <c r="AT37" i="3"/>
  <c r="AR35" i="3"/>
  <c r="AR37" i="3" s="1"/>
  <c r="AQ37" i="3"/>
  <c r="AP35" i="3"/>
  <c r="AP37" i="3" s="1"/>
  <c r="AO35" i="3"/>
  <c r="AO37" i="3" s="1"/>
  <c r="AM37" i="3"/>
  <c r="AK37" i="3"/>
  <c r="AJ37" i="3"/>
  <c r="AH35" i="3"/>
  <c r="AF35" i="3"/>
  <c r="AF38" i="3" s="1"/>
  <c r="AE35" i="3"/>
  <c r="AE37" i="3" s="1"/>
  <c r="AC35" i="3"/>
  <c r="AC37" i="3" s="1"/>
  <c r="AB35" i="3"/>
  <c r="AB37" i="3" s="1"/>
  <c r="AA35" i="3"/>
  <c r="AA37" i="3" s="1"/>
  <c r="Z35" i="3"/>
  <c r="Z37" i="3" s="1"/>
  <c r="W35" i="3"/>
  <c r="V35" i="3"/>
  <c r="V37" i="3" s="1"/>
  <c r="U35" i="3"/>
  <c r="U37" i="3" s="1"/>
  <c r="R37" i="3"/>
  <c r="I35" i="3"/>
  <c r="H35" i="3"/>
  <c r="H38" i="3" s="1"/>
  <c r="C35" i="3"/>
  <c r="C37" i="3" s="1"/>
  <c r="O32" i="3"/>
  <c r="J32" i="3"/>
  <c r="AD31" i="3"/>
  <c r="T31" i="3"/>
  <c r="O31" i="3"/>
  <c r="J31" i="3"/>
  <c r="E31" i="3"/>
  <c r="AD30" i="3"/>
  <c r="T30" i="3"/>
  <c r="O30" i="3"/>
  <c r="J30" i="3"/>
  <c r="E30" i="3"/>
  <c r="AD29" i="3"/>
  <c r="T29" i="3"/>
  <c r="O29" i="3"/>
  <c r="J29" i="3"/>
  <c r="E29" i="3"/>
  <c r="AD28" i="3"/>
  <c r="T28" i="3"/>
  <c r="O28" i="3"/>
  <c r="J28" i="3"/>
  <c r="E28" i="3"/>
  <c r="AD27" i="3"/>
  <c r="T27" i="3"/>
  <c r="O27" i="3"/>
  <c r="J27" i="3"/>
  <c r="E27" i="3"/>
  <c r="AD26" i="3"/>
  <c r="T26" i="3"/>
  <c r="O26" i="3"/>
  <c r="J26" i="3"/>
  <c r="E26" i="3"/>
  <c r="AD25" i="3"/>
  <c r="T25" i="3"/>
  <c r="O25" i="3"/>
  <c r="J25" i="3"/>
  <c r="E25" i="3"/>
  <c r="AD24" i="3"/>
  <c r="T24" i="3"/>
  <c r="O24" i="3"/>
  <c r="J24" i="3"/>
  <c r="E24" i="3"/>
  <c r="AD23" i="3"/>
  <c r="T23" i="3"/>
  <c r="O23" i="3"/>
  <c r="J23" i="3"/>
  <c r="E23" i="3"/>
  <c r="AD22" i="3"/>
  <c r="T22" i="3"/>
  <c r="O22" i="3"/>
  <c r="J22" i="3"/>
  <c r="E22" i="3"/>
  <c r="AD21" i="3"/>
  <c r="T21" i="3"/>
  <c r="O21" i="3"/>
  <c r="J21" i="3"/>
  <c r="E21" i="3"/>
  <c r="AD20" i="3"/>
  <c r="T20" i="3"/>
  <c r="O20" i="3"/>
  <c r="J20" i="3"/>
  <c r="E20" i="3"/>
  <c r="BD36" i="3"/>
  <c r="AD19" i="3"/>
  <c r="T19" i="3"/>
  <c r="O19" i="3"/>
  <c r="J19" i="3"/>
  <c r="E19" i="3"/>
  <c r="AD18" i="3"/>
  <c r="T18" i="3"/>
  <c r="O18" i="3"/>
  <c r="J18" i="3"/>
  <c r="E18" i="3"/>
  <c r="AD17" i="3"/>
  <c r="T17" i="3"/>
  <c r="O17" i="3"/>
  <c r="J17" i="3"/>
  <c r="E17" i="3"/>
  <c r="AD16" i="3"/>
  <c r="T16" i="3"/>
  <c r="O16" i="3"/>
  <c r="J16" i="3"/>
  <c r="E16" i="3"/>
  <c r="AD15" i="3"/>
  <c r="T15" i="3"/>
  <c r="O15" i="3"/>
  <c r="J15" i="3"/>
  <c r="E15" i="3"/>
  <c r="AD14" i="3"/>
  <c r="T14" i="3"/>
  <c r="O14" i="3"/>
  <c r="J14" i="3"/>
  <c r="E14" i="3"/>
  <c r="AD13" i="3"/>
  <c r="T13" i="3"/>
  <c r="O13" i="3"/>
  <c r="J13" i="3"/>
  <c r="E13" i="3"/>
  <c r="AD12" i="3"/>
  <c r="T12" i="3"/>
  <c r="O12" i="3"/>
  <c r="J12" i="3"/>
  <c r="E12" i="3"/>
  <c r="AD11" i="3"/>
  <c r="T11" i="3"/>
  <c r="O11" i="3"/>
  <c r="J11" i="3"/>
  <c r="E11" i="3"/>
  <c r="AD10" i="3"/>
  <c r="T10" i="3"/>
  <c r="O10" i="3"/>
  <c r="J10" i="3"/>
  <c r="E10" i="3"/>
  <c r="AD9" i="3"/>
  <c r="T9" i="3"/>
  <c r="O9" i="3"/>
  <c r="J9" i="3"/>
  <c r="E9" i="3"/>
  <c r="AD8" i="3"/>
  <c r="T8" i="3"/>
  <c r="O8" i="3"/>
  <c r="J8" i="3"/>
  <c r="E8" i="3"/>
  <c r="AD7" i="3"/>
  <c r="T7" i="3"/>
  <c r="O7" i="3"/>
  <c r="J7" i="3"/>
  <c r="E7" i="3"/>
  <c r="AD6" i="3"/>
  <c r="T6" i="3"/>
  <c r="O6" i="3"/>
  <c r="J6" i="3"/>
  <c r="E6" i="3"/>
  <c r="AD5" i="3"/>
  <c r="T5" i="3"/>
  <c r="O5" i="3"/>
  <c r="J5" i="3"/>
  <c r="E5" i="3"/>
  <c r="AD4" i="3"/>
  <c r="AD33" i="3" s="1"/>
  <c r="T4" i="3"/>
  <c r="O4" i="3"/>
  <c r="J4" i="3"/>
  <c r="D35" i="3"/>
  <c r="N74" i="2"/>
  <c r="L74" i="2"/>
  <c r="J74" i="2"/>
  <c r="I74" i="2"/>
  <c r="H74" i="2"/>
  <c r="G74" i="2"/>
  <c r="F74" i="2"/>
  <c r="E74" i="2"/>
  <c r="D74" i="2"/>
  <c r="J25" i="2"/>
  <c r="H25" i="2"/>
  <c r="G25" i="2"/>
  <c r="F25" i="2"/>
  <c r="E25" i="2"/>
  <c r="D25" i="2"/>
  <c r="C25" i="2"/>
  <c r="J24" i="2"/>
  <c r="G24" i="2"/>
  <c r="E24" i="2"/>
  <c r="D24" i="2"/>
  <c r="K23" i="2"/>
  <c r="K24" i="2" s="1"/>
  <c r="J23" i="2"/>
  <c r="I23" i="2"/>
  <c r="I24" i="2" s="1"/>
  <c r="H23" i="2"/>
  <c r="H24" i="2" s="1"/>
  <c r="G23" i="2"/>
  <c r="F23" i="2"/>
  <c r="F24" i="2" s="1"/>
  <c r="C23" i="2"/>
  <c r="C24" i="2" s="1"/>
  <c r="K22" i="2"/>
  <c r="H22" i="2"/>
  <c r="E22" i="2"/>
  <c r="D22" i="2"/>
  <c r="K21" i="2"/>
  <c r="J21" i="2"/>
  <c r="J22" i="2" s="1"/>
  <c r="I21" i="2"/>
  <c r="I22" i="2" s="1"/>
  <c r="H21" i="2"/>
  <c r="G21" i="2"/>
  <c r="G22" i="2" s="1"/>
  <c r="F21" i="2"/>
  <c r="F22" i="2" s="1"/>
  <c r="C21" i="2"/>
  <c r="C22" i="2" s="1"/>
  <c r="J20" i="2"/>
  <c r="I20" i="2"/>
  <c r="E20" i="2"/>
  <c r="D20" i="2"/>
  <c r="K19" i="2"/>
  <c r="K20" i="2" s="1"/>
  <c r="J19" i="2"/>
  <c r="I19" i="2"/>
  <c r="H19" i="2"/>
  <c r="H20" i="2" s="1"/>
  <c r="G19" i="2"/>
  <c r="G20" i="2" s="1"/>
  <c r="F19" i="2"/>
  <c r="F20" i="2" s="1"/>
  <c r="C19" i="2"/>
  <c r="C20" i="2" s="1"/>
  <c r="L16" i="2"/>
  <c r="J14" i="2"/>
  <c r="I14" i="2"/>
  <c r="N16" i="2" s="1"/>
  <c r="H14" i="2"/>
  <c r="M16" i="2" s="1"/>
  <c r="G14" i="2"/>
  <c r="F14" i="2"/>
  <c r="K16" i="2" s="1"/>
  <c r="E14" i="2"/>
  <c r="J16" i="2" s="1"/>
  <c r="D14" i="2"/>
  <c r="I16" i="2" s="1"/>
  <c r="C14" i="2"/>
  <c r="K13" i="2"/>
  <c r="O13" i="2" s="1"/>
  <c r="O12" i="2"/>
  <c r="N9" i="2"/>
  <c r="M9" i="2"/>
  <c r="L9" i="2"/>
  <c r="K9" i="2"/>
  <c r="K25" i="2" s="1"/>
  <c r="I9" i="2"/>
  <c r="I25" i="2" s="1"/>
  <c r="H9" i="2"/>
  <c r="G9" i="2"/>
  <c r="F9" i="2"/>
  <c r="E9" i="2"/>
  <c r="D9" i="2"/>
  <c r="C9" i="2"/>
  <c r="I4" i="2"/>
  <c r="G2" i="2"/>
  <c r="BA37" i="1"/>
  <c r="AY37" i="1"/>
  <c r="AQ37" i="1"/>
  <c r="AK37" i="1"/>
  <c r="AC37" i="1"/>
  <c r="AA37" i="1"/>
  <c r="U37" i="1"/>
  <c r="Q37" i="1"/>
  <c r="P37" i="1"/>
  <c r="N37" i="1"/>
  <c r="M37" i="1"/>
  <c r="L37" i="1"/>
  <c r="K37" i="1"/>
  <c r="G37" i="1"/>
  <c r="F37" i="1"/>
  <c r="C37" i="1"/>
  <c r="BE36" i="1"/>
  <c r="BD36" i="1"/>
  <c r="Q36" i="1"/>
  <c r="P36" i="1"/>
  <c r="N36" i="1"/>
  <c r="M36" i="1"/>
  <c r="L36" i="1"/>
  <c r="K36" i="1"/>
  <c r="G36" i="1"/>
  <c r="F36" i="1"/>
  <c r="BG35" i="1"/>
  <c r="BF35" i="1"/>
  <c r="BA34" i="1"/>
  <c r="BA36" i="1" s="1"/>
  <c r="AZ34" i="1"/>
  <c r="AZ36" i="1" s="1"/>
  <c r="AY34" i="1"/>
  <c r="AY36" i="1" s="1"/>
  <c r="AW34" i="1"/>
  <c r="AW36" i="1" s="1"/>
  <c r="AV34" i="1"/>
  <c r="AV37" i="1" s="1"/>
  <c r="AU34" i="1"/>
  <c r="AU36" i="1" s="1"/>
  <c r="AT34" i="1"/>
  <c r="AT36" i="1" s="1"/>
  <c r="AR34" i="1"/>
  <c r="AR36" i="1" s="1"/>
  <c r="AQ34" i="1"/>
  <c r="AQ36" i="1" s="1"/>
  <c r="AP34" i="1"/>
  <c r="AP36" i="1" s="1"/>
  <c r="AO34" i="1"/>
  <c r="AO36" i="1" s="1"/>
  <c r="AM34" i="1"/>
  <c r="AM36" i="1" s="1"/>
  <c r="AL34" i="1"/>
  <c r="AL36" i="1" s="1"/>
  <c r="AK34" i="1"/>
  <c r="AK36" i="1" s="1"/>
  <c r="AJ34" i="1"/>
  <c r="AJ36" i="1" s="1"/>
  <c r="AH34" i="1"/>
  <c r="AH36" i="1" s="1"/>
  <c r="AG34" i="1"/>
  <c r="AG36" i="1" s="1"/>
  <c r="AF34" i="1"/>
  <c r="AF37" i="1" s="1"/>
  <c r="AE34" i="1"/>
  <c r="AE36" i="1" s="1"/>
  <c r="AC34" i="1"/>
  <c r="AC36" i="1" s="1"/>
  <c r="AB34" i="1"/>
  <c r="AB36" i="1" s="1"/>
  <c r="AA34" i="1"/>
  <c r="AA36" i="1" s="1"/>
  <c r="Z34" i="1"/>
  <c r="Z36" i="1" s="1"/>
  <c r="W34" i="1"/>
  <c r="W36" i="1" s="1"/>
  <c r="V34" i="1"/>
  <c r="V36" i="1" s="1"/>
  <c r="U34" i="1"/>
  <c r="U36" i="1" s="1"/>
  <c r="R34" i="1"/>
  <c r="R36" i="1" s="1"/>
  <c r="O34" i="1"/>
  <c r="O36" i="1" s="1"/>
  <c r="I34" i="1"/>
  <c r="I36" i="1" s="1"/>
  <c r="H34" i="1"/>
  <c r="H37" i="1" s="1"/>
  <c r="D34" i="1"/>
  <c r="D36" i="1" s="1"/>
  <c r="C34" i="1"/>
  <c r="C36" i="1" s="1"/>
  <c r="BD33" i="1"/>
  <c r="BE32" i="1"/>
  <c r="BB32" i="1"/>
  <c r="O32" i="1"/>
  <c r="J32" i="1"/>
  <c r="BE31" i="1"/>
  <c r="BB31" i="1"/>
  <c r="AX31" i="1"/>
  <c r="AS31" i="1"/>
  <c r="AN31" i="1"/>
  <c r="AI31" i="1"/>
  <c r="AD31" i="1"/>
  <c r="X31" i="1"/>
  <c r="Y31" i="1" s="1"/>
  <c r="S31" i="1"/>
  <c r="T31" i="1" s="1"/>
  <c r="O31" i="1"/>
  <c r="J31" i="1"/>
  <c r="E31" i="1"/>
  <c r="BE30" i="1"/>
  <c r="BB30" i="1"/>
  <c r="AX30" i="1"/>
  <c r="AS30" i="1"/>
  <c r="AN30" i="1"/>
  <c r="AI30" i="1"/>
  <c r="AD30" i="1"/>
  <c r="X30" i="1"/>
  <c r="Y30" i="1" s="1"/>
  <c r="S30" i="1"/>
  <c r="T30" i="1" s="1"/>
  <c r="O30" i="1"/>
  <c r="J30" i="1"/>
  <c r="E30" i="1"/>
  <c r="BE29" i="1"/>
  <c r="BB29" i="1"/>
  <c r="AX29" i="1"/>
  <c r="AS29" i="1"/>
  <c r="AN29" i="1"/>
  <c r="AI29" i="1"/>
  <c r="AD29" i="1"/>
  <c r="X29" i="1"/>
  <c r="Y29" i="1" s="1"/>
  <c r="S29" i="1"/>
  <c r="T29" i="1" s="1"/>
  <c r="O29" i="1"/>
  <c r="J29" i="1"/>
  <c r="E29" i="1"/>
  <c r="BE28" i="1"/>
  <c r="BB28" i="1"/>
  <c r="AX28" i="1"/>
  <c r="AS28" i="1"/>
  <c r="AN28" i="1"/>
  <c r="AI28" i="1"/>
  <c r="AD28" i="1"/>
  <c r="X28" i="1"/>
  <c r="Y28" i="1" s="1"/>
  <c r="S28" i="1"/>
  <c r="T28" i="1" s="1"/>
  <c r="O28" i="1"/>
  <c r="J28" i="1"/>
  <c r="E28" i="1"/>
  <c r="BE27" i="1"/>
  <c r="BB27" i="1"/>
  <c r="AX27" i="1"/>
  <c r="AS27" i="1"/>
  <c r="AN27" i="1"/>
  <c r="AI27" i="1"/>
  <c r="AD27" i="1"/>
  <c r="X27" i="1"/>
  <c r="Y27" i="1" s="1"/>
  <c r="S27" i="1"/>
  <c r="T27" i="1" s="1"/>
  <c r="O27" i="1"/>
  <c r="J27" i="1"/>
  <c r="E27" i="1"/>
  <c r="BE26" i="1"/>
  <c r="BB26" i="1"/>
  <c r="AX26" i="1"/>
  <c r="AS26" i="1"/>
  <c r="AN26" i="1"/>
  <c r="AI26" i="1"/>
  <c r="AD26" i="1"/>
  <c r="X26" i="1"/>
  <c r="Y26" i="1" s="1"/>
  <c r="S26" i="1"/>
  <c r="T26" i="1" s="1"/>
  <c r="O26" i="1"/>
  <c r="J26" i="1"/>
  <c r="E26" i="1"/>
  <c r="BE25" i="1"/>
  <c r="BB25" i="1"/>
  <c r="AX25" i="1"/>
  <c r="AS25" i="1"/>
  <c r="AN25" i="1"/>
  <c r="AI25" i="1"/>
  <c r="AD25" i="1"/>
  <c r="X25" i="1"/>
  <c r="Y25" i="1" s="1"/>
  <c r="S25" i="1"/>
  <c r="T25" i="1" s="1"/>
  <c r="O25" i="1"/>
  <c r="J25" i="1"/>
  <c r="E25" i="1"/>
  <c r="BE24" i="1"/>
  <c r="BB24" i="1"/>
  <c r="AX24" i="1"/>
  <c r="AS24" i="1"/>
  <c r="AN24" i="1"/>
  <c r="AI24" i="1"/>
  <c r="AD24" i="1"/>
  <c r="X24" i="1"/>
  <c r="Y24" i="1" s="1"/>
  <c r="S24" i="1"/>
  <c r="T24" i="1" s="1"/>
  <c r="O24" i="1"/>
  <c r="J24" i="1"/>
  <c r="E24" i="1"/>
  <c r="BE23" i="1"/>
  <c r="BB23" i="1"/>
  <c r="AX23" i="1"/>
  <c r="AX34" i="1" s="1"/>
  <c r="AS23" i="1"/>
  <c r="AN23" i="1"/>
  <c r="AI23" i="1"/>
  <c r="AD23" i="1"/>
  <c r="X23" i="1"/>
  <c r="Y23" i="1" s="1"/>
  <c r="S23" i="1"/>
  <c r="T23" i="1" s="1"/>
  <c r="O23" i="1"/>
  <c r="J23" i="1"/>
  <c r="E23" i="1"/>
  <c r="BE22" i="1"/>
  <c r="BB22" i="1"/>
  <c r="AX22" i="1"/>
  <c r="AS22" i="1"/>
  <c r="AN22" i="1"/>
  <c r="AI22" i="1"/>
  <c r="AD22" i="1"/>
  <c r="X22" i="1"/>
  <c r="Y22" i="1" s="1"/>
  <c r="S22" i="1"/>
  <c r="T22" i="1" s="1"/>
  <c r="O22" i="1"/>
  <c r="J22" i="1"/>
  <c r="E22" i="1"/>
  <c r="BE21" i="1"/>
  <c r="BB21" i="1"/>
  <c r="AX21" i="1"/>
  <c r="AS21" i="1"/>
  <c r="AN21" i="1"/>
  <c r="AI21" i="1"/>
  <c r="AD21" i="1"/>
  <c r="X21" i="1"/>
  <c r="Y21" i="1" s="1"/>
  <c r="S21" i="1"/>
  <c r="T21" i="1" s="1"/>
  <c r="O21" i="1"/>
  <c r="J21" i="1"/>
  <c r="E21" i="1"/>
  <c r="BE20" i="1"/>
  <c r="BE33" i="1" s="1"/>
  <c r="BB20" i="1"/>
  <c r="AX20" i="1"/>
  <c r="AS20" i="1"/>
  <c r="AN20" i="1"/>
  <c r="AI20" i="1"/>
  <c r="AD20" i="1"/>
  <c r="X20" i="1"/>
  <c r="Y20" i="1" s="1"/>
  <c r="S20" i="1"/>
  <c r="T20" i="1" s="1"/>
  <c r="O20" i="1"/>
  <c r="J20" i="1"/>
  <c r="E20" i="1"/>
  <c r="BE19" i="1"/>
  <c r="BC19" i="1"/>
  <c r="BC34" i="1" s="1"/>
  <c r="BB19" i="1"/>
  <c r="AX19" i="1"/>
  <c r="AS19" i="1"/>
  <c r="AN19" i="1"/>
  <c r="AI19" i="1"/>
  <c r="AD19" i="1"/>
  <c r="Y19" i="1"/>
  <c r="X19" i="1"/>
  <c r="T19" i="1"/>
  <c r="S19" i="1"/>
  <c r="O19" i="1"/>
  <c r="J19" i="1"/>
  <c r="E19" i="1"/>
  <c r="BE18" i="1"/>
  <c r="BB18" i="1"/>
  <c r="AX18" i="1"/>
  <c r="AS18" i="1"/>
  <c r="AN18" i="1"/>
  <c r="AI18" i="1"/>
  <c r="AD18" i="1"/>
  <c r="Y18" i="1"/>
  <c r="X18" i="1"/>
  <c r="T18" i="1"/>
  <c r="S18" i="1"/>
  <c r="O18" i="1"/>
  <c r="J18" i="1"/>
  <c r="E18" i="1"/>
  <c r="BE17" i="1"/>
  <c r="BB17" i="1"/>
  <c r="AX17" i="1"/>
  <c r="AS17" i="1"/>
  <c r="AN17" i="1"/>
  <c r="AI17" i="1"/>
  <c r="AD17" i="1"/>
  <c r="Y17" i="1"/>
  <c r="X17" i="1"/>
  <c r="T17" i="1"/>
  <c r="S17" i="1"/>
  <c r="O17" i="1"/>
  <c r="J17" i="1"/>
  <c r="E17" i="1"/>
  <c r="BE16" i="1"/>
  <c r="BB16" i="1"/>
  <c r="AX16" i="1"/>
  <c r="AS16" i="1"/>
  <c r="AN16" i="1"/>
  <c r="AI16" i="1"/>
  <c r="AD16" i="1"/>
  <c r="Y16" i="1"/>
  <c r="X16" i="1"/>
  <c r="T16" i="1"/>
  <c r="S16" i="1"/>
  <c r="O16" i="1"/>
  <c r="J16" i="1"/>
  <c r="E16" i="1"/>
  <c r="BE15" i="1"/>
  <c r="BB15" i="1"/>
  <c r="AX15" i="1"/>
  <c r="AS15" i="1"/>
  <c r="AN15" i="1"/>
  <c r="AI15" i="1"/>
  <c r="AD15" i="1"/>
  <c r="Y15" i="1"/>
  <c r="X15" i="1"/>
  <c r="T15" i="1"/>
  <c r="S15" i="1"/>
  <c r="O15" i="1"/>
  <c r="J15" i="1"/>
  <c r="E15" i="1"/>
  <c r="BE14" i="1"/>
  <c r="BB14" i="1"/>
  <c r="AX14" i="1"/>
  <c r="AS14" i="1"/>
  <c r="AN14" i="1"/>
  <c r="AI14" i="1"/>
  <c r="AD14" i="1"/>
  <c r="Y14" i="1"/>
  <c r="X14" i="1"/>
  <c r="T14" i="1"/>
  <c r="S14" i="1"/>
  <c r="O14" i="1"/>
  <c r="J14" i="1"/>
  <c r="E14" i="1"/>
  <c r="BE13" i="1"/>
  <c r="BB13" i="1"/>
  <c r="AX13" i="1"/>
  <c r="AS13" i="1"/>
  <c r="AN13" i="1"/>
  <c r="AI13" i="1"/>
  <c r="AD13" i="1"/>
  <c r="Y13" i="1"/>
  <c r="X13" i="1"/>
  <c r="T13" i="1"/>
  <c r="S13" i="1"/>
  <c r="O13" i="1"/>
  <c r="J13" i="1"/>
  <c r="E13" i="1"/>
  <c r="BE12" i="1"/>
  <c r="BB12" i="1"/>
  <c r="AX12" i="1"/>
  <c r="AS12" i="1"/>
  <c r="AN12" i="1"/>
  <c r="AI12" i="1"/>
  <c r="AD12" i="1"/>
  <c r="Y12" i="1"/>
  <c r="X12" i="1"/>
  <c r="T12" i="1"/>
  <c r="S12" i="1"/>
  <c r="O12" i="1"/>
  <c r="J12" i="1"/>
  <c r="E12" i="1"/>
  <c r="BE11" i="1"/>
  <c r="BB11" i="1"/>
  <c r="AX11" i="1"/>
  <c r="AS11" i="1"/>
  <c r="AN11" i="1"/>
  <c r="AI11" i="1"/>
  <c r="AD11" i="1"/>
  <c r="Y11" i="1"/>
  <c r="X11" i="1"/>
  <c r="T11" i="1"/>
  <c r="S11" i="1"/>
  <c r="O11" i="1"/>
  <c r="J11" i="1"/>
  <c r="E11" i="1"/>
  <c r="BE10" i="1"/>
  <c r="BB10" i="1"/>
  <c r="AX10" i="1"/>
  <c r="AS10" i="1"/>
  <c r="AN10" i="1"/>
  <c r="AI10" i="1"/>
  <c r="AD10" i="1"/>
  <c r="Y10" i="1"/>
  <c r="X10" i="1"/>
  <c r="T10" i="1"/>
  <c r="S10" i="1"/>
  <c r="O10" i="1"/>
  <c r="J10" i="1"/>
  <c r="E10" i="1"/>
  <c r="BE9" i="1"/>
  <c r="BB9" i="1"/>
  <c r="AX9" i="1"/>
  <c r="AS9" i="1"/>
  <c r="AN9" i="1"/>
  <c r="AI9" i="1"/>
  <c r="AD9" i="1"/>
  <c r="Y9" i="1"/>
  <c r="X9" i="1"/>
  <c r="T9" i="1"/>
  <c r="S9" i="1"/>
  <c r="O9" i="1"/>
  <c r="J9" i="1"/>
  <c r="E9" i="1"/>
  <c r="BE8" i="1"/>
  <c r="BB8" i="1"/>
  <c r="AX8" i="1"/>
  <c r="AS8" i="1"/>
  <c r="AN8" i="1"/>
  <c r="AI8" i="1"/>
  <c r="AD8" i="1"/>
  <c r="Y8" i="1"/>
  <c r="X8" i="1"/>
  <c r="T8" i="1"/>
  <c r="S8" i="1"/>
  <c r="O8" i="1"/>
  <c r="J8" i="1"/>
  <c r="E8" i="1"/>
  <c r="BE7" i="1"/>
  <c r="BB7" i="1"/>
  <c r="AX7" i="1"/>
  <c r="AS7" i="1"/>
  <c r="AN7" i="1"/>
  <c r="AI7" i="1"/>
  <c r="AD7" i="1"/>
  <c r="Y7" i="1"/>
  <c r="X7" i="1"/>
  <c r="T7" i="1"/>
  <c r="S7" i="1"/>
  <c r="O7" i="1"/>
  <c r="J7" i="1"/>
  <c r="E7" i="1"/>
  <c r="BE6" i="1"/>
  <c r="BB6" i="1"/>
  <c r="AX6" i="1"/>
  <c r="AS6" i="1"/>
  <c r="AN6" i="1"/>
  <c r="AI6" i="1"/>
  <c r="AD6" i="1"/>
  <c r="Y6" i="1"/>
  <c r="X6" i="1"/>
  <c r="T6" i="1"/>
  <c r="T34" i="1" s="1"/>
  <c r="S6" i="1"/>
  <c r="O6" i="1"/>
  <c r="J6" i="1"/>
  <c r="E6" i="1"/>
  <c r="BE5" i="1"/>
  <c r="BB5" i="1"/>
  <c r="AX5" i="1"/>
  <c r="AS5" i="1"/>
  <c r="AN5" i="1"/>
  <c r="AI5" i="1"/>
  <c r="AD5" i="1"/>
  <c r="Y5" i="1"/>
  <c r="X5" i="1"/>
  <c r="T5" i="1"/>
  <c r="S5" i="1"/>
  <c r="O5" i="1"/>
  <c r="J5" i="1"/>
  <c r="E5" i="1"/>
  <c r="BE4" i="1"/>
  <c r="BB4" i="1"/>
  <c r="BB34" i="1" s="1"/>
  <c r="AX4" i="1"/>
  <c r="AS4" i="1"/>
  <c r="AS34" i="1" s="1"/>
  <c r="AN4" i="1"/>
  <c r="AN34" i="1" s="1"/>
  <c r="AI4" i="1"/>
  <c r="AI34" i="1" s="1"/>
  <c r="AD4" i="1"/>
  <c r="AD34" i="1" s="1"/>
  <c r="Y4" i="1"/>
  <c r="Y34" i="1" s="1"/>
  <c r="X4" i="1"/>
  <c r="X34" i="1" s="1"/>
  <c r="T4" i="1"/>
  <c r="S4" i="1"/>
  <c r="S34" i="1" s="1"/>
  <c r="O4" i="1"/>
  <c r="J4" i="1"/>
  <c r="J34" i="1" s="1"/>
  <c r="E4" i="1"/>
  <c r="E34" i="1" s="1"/>
  <c r="D4" i="1"/>
  <c r="AV33" i="4" l="1"/>
  <c r="BB33" i="4"/>
  <c r="O14" i="2"/>
  <c r="G16" i="2"/>
  <c r="BH33" i="4"/>
  <c r="R37" i="4"/>
  <c r="Y37" i="4"/>
  <c r="AE37" i="4"/>
  <c r="AC37" i="4"/>
  <c r="W38" i="4"/>
  <c r="U37" i="4"/>
  <c r="AD35" i="4"/>
  <c r="AD38" i="4" s="1"/>
  <c r="C37" i="4"/>
  <c r="AO37" i="4"/>
  <c r="O35" i="4"/>
  <c r="O38" i="4" s="1"/>
  <c r="AA37" i="4"/>
  <c r="E35" i="4"/>
  <c r="E38" i="4" s="1"/>
  <c r="J35" i="4"/>
  <c r="J38" i="4" s="1"/>
  <c r="M38" i="4"/>
  <c r="T35" i="4"/>
  <c r="T37" i="4" s="1"/>
  <c r="AI8" i="4"/>
  <c r="AI33" i="4" s="1"/>
  <c r="AS33" i="4"/>
  <c r="BC6" i="4"/>
  <c r="BC33" i="4" s="1"/>
  <c r="AX33" i="4"/>
  <c r="AS35" i="4"/>
  <c r="AS37" i="4" s="1"/>
  <c r="AN4" i="4"/>
  <c r="AM33" i="4"/>
  <c r="BA38" i="4"/>
  <c r="BF38" i="4"/>
  <c r="BG36" i="4"/>
  <c r="BG42" i="4" s="1"/>
  <c r="AG37" i="4"/>
  <c r="AG38" i="4"/>
  <c r="AQ38" i="4"/>
  <c r="AB37" i="4"/>
  <c r="BD37" i="4"/>
  <c r="Z38" i="4"/>
  <c r="AP38" i="4"/>
  <c r="AD33" i="4"/>
  <c r="M37" i="4"/>
  <c r="V37" i="4"/>
  <c r="AR38" i="4"/>
  <c r="N37" i="4"/>
  <c r="H38" i="4"/>
  <c r="D37" i="4"/>
  <c r="X37" i="4"/>
  <c r="BF38" i="3"/>
  <c r="BH33" i="3"/>
  <c r="BG36" i="3"/>
  <c r="BG42" i="3" s="1"/>
  <c r="AN33" i="3"/>
  <c r="AS33" i="3"/>
  <c r="AX33" i="3"/>
  <c r="BC31" i="3"/>
  <c r="BC33" i="3" s="1"/>
  <c r="AD35" i="3"/>
  <c r="AD38" i="3" s="1"/>
  <c r="AS35" i="3"/>
  <c r="AS38" i="3" s="1"/>
  <c r="BC37" i="3"/>
  <c r="AI35" i="3"/>
  <c r="AI38" i="3" s="1"/>
  <c r="Y35" i="3"/>
  <c r="Y37" i="3" s="1"/>
  <c r="J35" i="3"/>
  <c r="J37" i="3" s="1"/>
  <c r="T35" i="3"/>
  <c r="AN38" i="3"/>
  <c r="AN37" i="3"/>
  <c r="BD37" i="3"/>
  <c r="BD38" i="3"/>
  <c r="D37" i="3"/>
  <c r="D38" i="3"/>
  <c r="AW37" i="3"/>
  <c r="AW38" i="3"/>
  <c r="X35" i="3"/>
  <c r="H37" i="3"/>
  <c r="AU37" i="3"/>
  <c r="AG38" i="3"/>
  <c r="AO38" i="3"/>
  <c r="AV38" i="3"/>
  <c r="Z38" i="3"/>
  <c r="AH38" i="3"/>
  <c r="AP38" i="3"/>
  <c r="C38" i="3"/>
  <c r="AA38" i="3"/>
  <c r="AQ38" i="3"/>
  <c r="AX38" i="3"/>
  <c r="AB38" i="3"/>
  <c r="AJ38" i="3"/>
  <c r="AR38" i="3"/>
  <c r="BA38" i="3"/>
  <c r="E4" i="3"/>
  <c r="E35" i="3" s="1"/>
  <c r="U38" i="3"/>
  <c r="AC38" i="3"/>
  <c r="AK38" i="3"/>
  <c r="BB38" i="3"/>
  <c r="V38" i="3"/>
  <c r="AL38" i="3"/>
  <c r="O38" i="3"/>
  <c r="W38" i="3"/>
  <c r="AE38" i="3"/>
  <c r="AM38" i="3"/>
  <c r="AT38" i="3"/>
  <c r="O22" i="2"/>
  <c r="O24" i="2"/>
  <c r="O20" i="2"/>
  <c r="E16" i="2"/>
  <c r="D16" i="2"/>
  <c r="F16" i="2"/>
  <c r="O19" i="2"/>
  <c r="H16" i="2"/>
  <c r="AS36" i="1"/>
  <c r="AS37" i="1"/>
  <c r="S36" i="1"/>
  <c r="S37" i="1"/>
  <c r="BB36" i="1"/>
  <c r="BB37" i="1"/>
  <c r="X37" i="1"/>
  <c r="X36" i="1"/>
  <c r="Y36" i="1"/>
  <c r="Y37" i="1"/>
  <c r="AX36" i="1"/>
  <c r="AX37" i="1"/>
  <c r="AD36" i="1"/>
  <c r="AD37" i="1"/>
  <c r="BC36" i="1"/>
  <c r="BC37" i="1"/>
  <c r="E36" i="1"/>
  <c r="E37" i="1"/>
  <c r="AI36" i="1"/>
  <c r="AI37" i="1"/>
  <c r="T36" i="1"/>
  <c r="T37" i="1"/>
  <c r="J36" i="1"/>
  <c r="J37" i="1"/>
  <c r="AN37" i="1"/>
  <c r="AN36" i="1"/>
  <c r="BF34" i="1"/>
  <c r="BF40" i="1" s="1"/>
  <c r="H36" i="1"/>
  <c r="AF36" i="1"/>
  <c r="AV36" i="1"/>
  <c r="I37" i="1"/>
  <c r="AG37" i="1"/>
  <c r="AO37" i="1"/>
  <c r="AW37" i="1"/>
  <c r="R37" i="1"/>
  <c r="Z37" i="1"/>
  <c r="AH37" i="1"/>
  <c r="AP37" i="1"/>
  <c r="D37" i="1"/>
  <c r="AB37" i="1"/>
  <c r="AJ37" i="1"/>
  <c r="AR37" i="1"/>
  <c r="AZ37" i="1"/>
  <c r="V37" i="1"/>
  <c r="AL37" i="1"/>
  <c r="AT37" i="1"/>
  <c r="O37" i="1"/>
  <c r="W37" i="1"/>
  <c r="AE37" i="1"/>
  <c r="AM37" i="1"/>
  <c r="AU37" i="1"/>
  <c r="O37" i="4" l="1"/>
  <c r="AD37" i="4"/>
  <c r="E37" i="4"/>
  <c r="J37" i="4"/>
  <c r="T38" i="4"/>
  <c r="AS38" i="4"/>
  <c r="AI35" i="4"/>
  <c r="AN33" i="4"/>
  <c r="AD37" i="3"/>
  <c r="AS37" i="3"/>
  <c r="Y38" i="3"/>
  <c r="BC38" i="3"/>
  <c r="AI37" i="3"/>
  <c r="J38" i="3"/>
  <c r="X38" i="3"/>
  <c r="X37" i="3"/>
  <c r="E37" i="3"/>
  <c r="E38" i="3"/>
  <c r="S38" i="3"/>
  <c r="T37" i="3"/>
  <c r="T38" i="3"/>
  <c r="AI37" i="4" l="1"/>
  <c r="AI38" i="4"/>
</calcChain>
</file>

<file path=xl/sharedStrings.xml><?xml version="1.0" encoding="utf-8"?>
<sst xmlns="http://schemas.openxmlformats.org/spreadsheetml/2006/main" count="2427" uniqueCount="199">
  <si>
    <t>DETALLE CARTERA CONTABILIDAD VS FACTURACIÓN DIC 2024</t>
  </si>
  <si>
    <t>DETALLE CARTERA CONTABILIDAD VS FACTURACIÓN NOV 2024</t>
  </si>
  <si>
    <t>DETALLE CARTERA CONTABILIDAD VS FACTURACIÓN OCT 2024</t>
  </si>
  <si>
    <t>DETALLE CARTERA CONTABILIDAD VS FACTURACIÓN SEP2024</t>
  </si>
  <si>
    <t>DETALLE CARTERA CONTABILIDAD VS FACTURACIÓN</t>
  </si>
  <si>
    <t>DETALLE CARTERA CONTABILIDAD VS FACTURACIÓN jul 2024</t>
  </si>
  <si>
    <t>DETALLE CARTERA CONTABILIDAD VS FACTURACIÓN jun 2024</t>
  </si>
  <si>
    <t>DETALLE CARTERA CONTABILIDAD VS FACTURACIÓN may 2024</t>
  </si>
  <si>
    <t>DETALLE CARTERA CONTABILIDAD VS FACTURACIÓN abril 2024</t>
  </si>
  <si>
    <t>DETALLE CARTERA CONTABILIDAD VS FACTURACION mar 2024</t>
  </si>
  <si>
    <t>DETALLE CARTERA CONTABILIDAD VS FACTURACIÓN feb 2024</t>
  </si>
  <si>
    <t>INMUEBLE</t>
  </si>
  <si>
    <t>PROPIETARIO</t>
  </si>
  <si>
    <t>SALDO CONTABILIDAD</t>
  </si>
  <si>
    <t>FACTURACIÓN</t>
  </si>
  <si>
    <t>DIFER.</t>
  </si>
  <si>
    <t>FACTURACON</t>
  </si>
  <si>
    <t>CASA</t>
  </si>
  <si>
    <t>CONTABILIDAD</t>
  </si>
  <si>
    <t>FACTURACION</t>
  </si>
  <si>
    <t>DIFERENCIA</t>
  </si>
  <si>
    <t xml:space="preserve">           101-6</t>
  </si>
  <si>
    <t xml:space="preserve">OLGA DEL SOCORRO ALVAREZ      </t>
  </si>
  <si>
    <t>OLGA DEL SOCORRO ARBELAEZ</t>
  </si>
  <si>
    <t xml:space="preserve">Olga Del Socorro Álvarez      </t>
  </si>
  <si>
    <t xml:space="preserve">Olga Del Socorro Alvarez      </t>
  </si>
  <si>
    <t xml:space="preserve">           102-3</t>
  </si>
  <si>
    <t xml:space="preserve">DIEGO GOMEZ                   </t>
  </si>
  <si>
    <t>DIEGO GÓMEZ</t>
  </si>
  <si>
    <t xml:space="preserve">Diego Gómez                   </t>
  </si>
  <si>
    <t xml:space="preserve">Diego Gomez                   </t>
  </si>
  <si>
    <t xml:space="preserve">           103-0</t>
  </si>
  <si>
    <t xml:space="preserve">JUAN CAMILO SOTO              </t>
  </si>
  <si>
    <t>JUAN CAMILO SOTO</t>
  </si>
  <si>
    <t xml:space="preserve">Juan Camilo Soto              </t>
  </si>
  <si>
    <t xml:space="preserve">           104-8</t>
  </si>
  <si>
    <t xml:space="preserve">ALVARO GOMEZ - GLORIA ZULUAGA </t>
  </si>
  <si>
    <t>ALVARO GOMEZ</t>
  </si>
  <si>
    <t xml:space="preserve">Álvaro Gómez - Gloria Zuluaga </t>
  </si>
  <si>
    <t xml:space="preserve">Alvaro Gomez - Gloria Zuluaga </t>
  </si>
  <si>
    <t xml:space="preserve">           105-5</t>
  </si>
  <si>
    <t xml:space="preserve">VICTOR ALFONSO CARDONA        </t>
  </si>
  <si>
    <t>VICTOR ALFONSO CARDONA</t>
  </si>
  <si>
    <t xml:space="preserve">Víctor Alfonso Cardona        </t>
  </si>
  <si>
    <t xml:space="preserve">Victor Alfonso Cardona        </t>
  </si>
  <si>
    <t xml:space="preserve">           106-2</t>
  </si>
  <si>
    <t xml:space="preserve">ZOILA MARGARITA MARTINEZ      </t>
  </si>
  <si>
    <t>ZOILA MARGARITA INSIGNARES</t>
  </si>
  <si>
    <t xml:space="preserve">Zoila Margarita Martínez      </t>
  </si>
  <si>
    <t xml:space="preserve">Zoila Margarita Martinez      </t>
  </si>
  <si>
    <t xml:space="preserve">           107-1</t>
  </si>
  <si>
    <t>WILLIAM CASTELLANOS- LISET GUE</t>
  </si>
  <si>
    <t>WILLIAM CASTELLANOS</t>
  </si>
  <si>
    <t>William Castellanos- Lizet Gue</t>
  </si>
  <si>
    <t>William Castellanos- Liset Gue</t>
  </si>
  <si>
    <t xml:space="preserve">           108-7</t>
  </si>
  <si>
    <t>JUAN JOSE PELAEZ-LILIANA GALLE</t>
  </si>
  <si>
    <t>LILIANA GALLEGO/JUAN P. PELAEZ</t>
  </si>
  <si>
    <t>Juan José Peláez-Liliana Galle</t>
  </si>
  <si>
    <t>Juan Jose Pelaez-Liliana Galle</t>
  </si>
  <si>
    <t xml:space="preserve">           109-4</t>
  </si>
  <si>
    <t xml:space="preserve">HUMBERTO GUEVARA CORRE        </t>
  </si>
  <si>
    <t>HUMBERTO GUEVARA CORREA</t>
  </si>
  <si>
    <t xml:space="preserve">Marlent Giraldo               </t>
  </si>
  <si>
    <t xml:space="preserve">           110-2</t>
  </si>
  <si>
    <t xml:space="preserve">JIM PABEL ROMERO              </t>
  </si>
  <si>
    <t>JIM PABEL ROMERO</t>
  </si>
  <si>
    <t xml:space="preserve">Jim Pabel Romero              </t>
  </si>
  <si>
    <t xml:space="preserve">           111-1</t>
  </si>
  <si>
    <t xml:space="preserve">JUAN FELIPE MAYA              </t>
  </si>
  <si>
    <t>JUAN FELIPE MAYA</t>
  </si>
  <si>
    <t xml:space="preserve">Juan Felipe Maya              </t>
  </si>
  <si>
    <t xml:space="preserve">           112-7</t>
  </si>
  <si>
    <t xml:space="preserve">JUAN CARLOS TAMAYO            </t>
  </si>
  <si>
    <t>Juan Carlos Tamayo</t>
  </si>
  <si>
    <t>Juan carlos Tamayo</t>
  </si>
  <si>
    <t xml:space="preserve">Juan Carlos Tamayo            </t>
  </si>
  <si>
    <t xml:space="preserve">           113-4</t>
  </si>
  <si>
    <t xml:space="preserve">JUAN CAMILO RENDON            </t>
  </si>
  <si>
    <t>JUAN CAMILO RENDON</t>
  </si>
  <si>
    <t xml:space="preserve">Juan Camilo Rendon            </t>
  </si>
  <si>
    <t xml:space="preserve">           114-1</t>
  </si>
  <si>
    <t>MARIANA GOMEZ-MARGARITA GONZAL</t>
  </si>
  <si>
    <t>MARIANA GOMEZ-MARGARITA GONZALEZ</t>
  </si>
  <si>
    <t>Margarita Gonzales</t>
  </si>
  <si>
    <t xml:space="preserve">Andres Mejia                  </t>
  </si>
  <si>
    <t xml:space="preserve">           115-9</t>
  </si>
  <si>
    <t xml:space="preserve">ELENA ALVAREZ                 </t>
  </si>
  <si>
    <t>ELENA ALVAREZ</t>
  </si>
  <si>
    <t xml:space="preserve">Elena Álvarez                 </t>
  </si>
  <si>
    <t xml:space="preserve">Elena Alvarez                 </t>
  </si>
  <si>
    <t xml:space="preserve">           116-6</t>
  </si>
  <si>
    <t xml:space="preserve">JUAN PABLO ARBELAEZ           </t>
  </si>
  <si>
    <t>INVER ARBELAEZ ESCOBAR S.A.S.</t>
  </si>
  <si>
    <t>Inversiones Arbeláez</t>
  </si>
  <si>
    <t xml:space="preserve">Juan Pablo Arbelaez           </t>
  </si>
  <si>
    <t xml:space="preserve">           117-3</t>
  </si>
  <si>
    <t xml:space="preserve">JIOVANI JIMENEZ               </t>
  </si>
  <si>
    <t>JIOVANI JIMENEZ</t>
  </si>
  <si>
    <t>Jovani Jiménez</t>
  </si>
  <si>
    <t xml:space="preserve">Gabriel Tamayo                </t>
  </si>
  <si>
    <t xml:space="preserve">           118-0</t>
  </si>
  <si>
    <t xml:space="preserve">JULIO CESAR DAVID             </t>
  </si>
  <si>
    <t>JULIO CESAR DAVID</t>
  </si>
  <si>
    <t>Julio Cesar David</t>
  </si>
  <si>
    <t xml:space="preserve">Julio Cesar David             </t>
  </si>
  <si>
    <t xml:space="preserve">           119-8</t>
  </si>
  <si>
    <t xml:space="preserve">RUSBEL ESPINOZA               </t>
  </si>
  <si>
    <t>RUSBEL ESPINOZA</t>
  </si>
  <si>
    <t>Rusbel Espinoza</t>
  </si>
  <si>
    <t xml:space="preserve">Ferney Gautan - Rosiris Rueda </t>
  </si>
  <si>
    <t xml:space="preserve">           120-6</t>
  </si>
  <si>
    <t xml:space="preserve">PABLO MARQUEZ-ANGELA AGUIRRE  </t>
  </si>
  <si>
    <t>PABLO MARQUEZ-ANGELA AGUIRRE</t>
  </si>
  <si>
    <t>Pablo Márquez</t>
  </si>
  <si>
    <t xml:space="preserve">Laura Tobon                   </t>
  </si>
  <si>
    <t xml:space="preserve">           121-3</t>
  </si>
  <si>
    <t xml:space="preserve">DARIO POSADA                  </t>
  </si>
  <si>
    <t>DARIO POSADA</t>
  </si>
  <si>
    <t xml:space="preserve">Darío Posada                  </t>
  </si>
  <si>
    <t xml:space="preserve">Dario Posada                  </t>
  </si>
  <si>
    <t xml:space="preserve">           122-0</t>
  </si>
  <si>
    <t xml:space="preserve">Guadalupe R.M                 </t>
  </si>
  <si>
    <t>Guadalupe R.M</t>
  </si>
  <si>
    <t>Guadalupe RM SAS</t>
  </si>
  <si>
    <t xml:space="preserve">Ruben Villa                   </t>
  </si>
  <si>
    <t xml:space="preserve">           123-8</t>
  </si>
  <si>
    <t xml:space="preserve">GLORIA BETANCUR-RAMON HENAO   </t>
  </si>
  <si>
    <t>RAMON HENAO GLORIA BETANCUR</t>
  </si>
  <si>
    <t xml:space="preserve">Gloria Betancur-Ramon Henao   </t>
  </si>
  <si>
    <t xml:space="preserve">           124-5</t>
  </si>
  <si>
    <t xml:space="preserve">OLGA BEATRIZ VILLA            </t>
  </si>
  <si>
    <t>OLGA BEATRIZ VILLA</t>
  </si>
  <si>
    <t>Gustavo Galán</t>
  </si>
  <si>
    <t xml:space="preserve">Olga Beatriz Villa            </t>
  </si>
  <si>
    <t xml:space="preserve">           125-2</t>
  </si>
  <si>
    <t xml:space="preserve">GLORIA IDARRAGA               </t>
  </si>
  <si>
    <t>GLORIA IDARRAGA VALERIA GIRALDO</t>
  </si>
  <si>
    <t xml:space="preserve">Gloria Idárraga               </t>
  </si>
  <si>
    <t xml:space="preserve">Gloria Idarraga               </t>
  </si>
  <si>
    <t xml:space="preserve">           126-1</t>
  </si>
  <si>
    <t xml:space="preserve">GABRIEL GOMEZ                 </t>
  </si>
  <si>
    <t>GABRIEL GOMEZ</t>
  </si>
  <si>
    <t xml:space="preserve">Gabriel Gómez                 </t>
  </si>
  <si>
    <t xml:space="preserve">Gabriel Gomez                 </t>
  </si>
  <si>
    <t xml:space="preserve">           127-7</t>
  </si>
  <si>
    <t xml:space="preserve">EDWIN GONZALEZ                </t>
  </si>
  <si>
    <t>EDWIN GONZALEZ</t>
  </si>
  <si>
    <t xml:space="preserve">Edwin González                </t>
  </si>
  <si>
    <t xml:space="preserve">Edwin Gonzalez                </t>
  </si>
  <si>
    <t xml:space="preserve">           128-4</t>
  </si>
  <si>
    <t xml:space="preserve">ROBINSON VALDERRAMA           </t>
  </si>
  <si>
    <t>ROBINSON VALDERRAMA</t>
  </si>
  <si>
    <t xml:space="preserve">Robinson Valderrama           </t>
  </si>
  <si>
    <t xml:space="preserve">           129-1</t>
  </si>
  <si>
    <t xml:space="preserve">CARLOS RESTREPO               </t>
  </si>
  <si>
    <t>CARLOS ESTEBAN RESTREPO</t>
  </si>
  <si>
    <t xml:space="preserve">Carlos Restrepo              </t>
  </si>
  <si>
    <t>TOTAL CARTERA</t>
  </si>
  <si>
    <t>Prom</t>
  </si>
  <si>
    <t>Cartera</t>
  </si>
  <si>
    <t>Facturación</t>
  </si>
  <si>
    <t>CONSIGNACION POR IDENTIFICAR DESDE 2023</t>
  </si>
  <si>
    <t>Recaudo</t>
  </si>
  <si>
    <t>%cartera</t>
  </si>
  <si>
    <t>Cartera 2025</t>
  </si>
  <si>
    <t>Facturado vs Recaudo mes</t>
  </si>
  <si>
    <t>1 al 10</t>
  </si>
  <si>
    <t>11 al 20</t>
  </si>
  <si>
    <t>21 al 31</t>
  </si>
  <si>
    <t>Total Recaudo</t>
  </si>
  <si>
    <t>Promedio</t>
  </si>
  <si>
    <t>Facturado</t>
  </si>
  <si>
    <t>Cartera Mora</t>
  </si>
  <si>
    <t>Recaudo Mensual año 2025</t>
  </si>
  <si>
    <t>sep</t>
  </si>
  <si>
    <t>oct</t>
  </si>
  <si>
    <t>casas con 1 cuota</t>
  </si>
  <si>
    <t>casas con 2 cuota</t>
  </si>
  <si>
    <t>casas con 3 cuota</t>
  </si>
  <si>
    <t>casas con 4 cuota</t>
  </si>
  <si>
    <t>Total</t>
  </si>
  <si>
    <t>GUSTAVO GALAN</t>
  </si>
  <si>
    <t xml:space="preserve">Marleni Giraldo               </t>
  </si>
  <si>
    <t xml:space="preserve">           102-4</t>
  </si>
  <si>
    <t>Liliana Gòmez</t>
  </si>
  <si>
    <t>Novatext SAS</t>
  </si>
  <si>
    <t>Isabel Cristina Upegui</t>
  </si>
  <si>
    <t xml:space="preserve">LILIANA GOMEZ                   </t>
  </si>
  <si>
    <t>NOVATEXT SAS</t>
  </si>
  <si>
    <t>ISABEL CRISTINA UPEGUI</t>
  </si>
  <si>
    <t>RECIBO 5311  MAL ELABORADO</t>
  </si>
  <si>
    <t>RECIBO5317  MAL ELABORADO</t>
  </si>
  <si>
    <t>Consig sin identificar</t>
  </si>
  <si>
    <t xml:space="preserve">Liliana Gómez                   </t>
  </si>
  <si>
    <t>Edad de la cartera</t>
  </si>
  <si>
    <t>Cuota Administracion</t>
  </si>
  <si>
    <t>Saldo contabilidad</t>
  </si>
  <si>
    <t>''''''''''''''''''''''''''''''''''''''''''''''''''''''''''''''''''''''''''''''''''''''''''''''''''''''''''''''''''''''''''''''''''''''''''''''''''''''''''''''''''''''''''''''''''''0''''''''''''''''''''''''''''''''''''''''''''''''''''''''''''''''''0000i'0i0000i''''''''''''''''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</si>
</sst>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64" formatCode="##,###,###,###,##0.00"/>
    <numFmt numFmtId="165" formatCode="#,##0_ ;[Red]\-#,##0\ "/>
    <numFmt numFmtId="166" formatCode="###,###,###,###,##0.00"/>
    <numFmt numFmtId="167" formatCode="#,##0.00_ ;[Red]\-#,##0.00\ "/>
    <numFmt numFmtId="168" formatCode="[$-C0A]mmm\-yy;@"/>
    <numFmt numFmtId="169" formatCode="0.0%"/>
  </numFmts>
  <fonts count="3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9"/>
      <name val="Tahoma"/>
      <family val="2"/>
    </font>
    <font>
      <b/>
      <sz val="10"/>
      <color theme="1"/>
      <name val="Arial"/>
      <family val="2"/>
    </font>
    <font>
      <b/>
      <i/>
      <sz val="8"/>
      <name val="Arial"/>
      <family val="2"/>
    </font>
    <font>
      <b/>
      <i/>
      <sz val="10"/>
      <name val="Arial"/>
      <family val="2"/>
    </font>
    <font>
      <b/>
      <sz val="8"/>
      <color theme="1"/>
      <name val="Arial"/>
      <family val="2"/>
    </font>
    <font>
      <b/>
      <sz val="8"/>
      <color theme="1"/>
      <name val="Aptos Serif"/>
      <family val="1"/>
    </font>
    <font>
      <sz val="8"/>
      <color rgb="FFFF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6"/>
      <color theme="1"/>
      <name val="Arial"/>
      <family val="2"/>
    </font>
    <font>
      <sz val="10"/>
      <name val="Arial"/>
      <family val="2"/>
    </font>
    <font>
      <sz val="8"/>
      <color theme="1"/>
      <name val="MS Sans Serif"/>
    </font>
    <font>
      <sz val="10"/>
      <color theme="1"/>
      <name val="Aptos Narrow"/>
      <family val="2"/>
      <scheme val="minor"/>
    </font>
    <font>
      <sz val="9"/>
      <color theme="1"/>
      <name val="Arial"/>
      <family val="2"/>
    </font>
    <font>
      <sz val="9"/>
      <name val="Tahoma"/>
      <family val="2"/>
    </font>
    <font>
      <sz val="9"/>
      <name val="Arial"/>
      <family val="2"/>
    </font>
    <font>
      <sz val="9"/>
      <color rgb="FFFF0000"/>
      <name val="Tahoma"/>
      <family val="2"/>
    </font>
    <font>
      <b/>
      <i/>
      <sz val="8"/>
      <color theme="1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b/>
      <sz val="11"/>
      <name val="Tahoma"/>
      <family val="2"/>
    </font>
    <font>
      <b/>
      <sz val="8"/>
      <color theme="0"/>
      <name val="Arial"/>
      <family val="2"/>
    </font>
    <font>
      <b/>
      <sz val="9"/>
      <name val="Arial"/>
      <family val="2"/>
    </font>
    <font>
      <sz val="9"/>
      <color rgb="FFC00000"/>
      <name val="Arial"/>
      <family val="2"/>
    </font>
    <font>
      <sz val="10"/>
      <color theme="0"/>
      <name val="Arial"/>
      <family val="2"/>
    </font>
    <font>
      <sz val="9"/>
      <color theme="1"/>
      <name val="Aptos SemiBold"/>
      <family val="2"/>
    </font>
    <font>
      <b/>
      <i/>
      <sz val="9"/>
      <name val="Aptos SemiBold"/>
      <family val="2"/>
    </font>
    <font>
      <sz val="9"/>
      <color rgb="FFFF0000"/>
      <name val="Aptos SemiBold"/>
      <family val="2"/>
    </font>
    <font>
      <sz val="9"/>
      <name val="Aptos SemiBold"/>
      <family val="2"/>
    </font>
    <font>
      <b/>
      <sz val="9"/>
      <name val="Aptos SemiBold"/>
      <family val="2"/>
    </font>
    <font>
      <b/>
      <u/>
      <sz val="8"/>
      <name val="Aptos SemiBold"/>
      <family val="2"/>
    </font>
    <font>
      <sz val="8"/>
      <color theme="1"/>
      <name val="Aptos SemiBold"/>
      <family val="2"/>
    </font>
    <font>
      <b/>
      <i/>
      <sz val="8"/>
      <name val="Aptos SemiBold"/>
      <family val="2"/>
    </font>
    <font>
      <sz val="10"/>
      <name val="Century Gothic"/>
      <family val="2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C0C0C0"/>
      </bottom>
      <diagonal/>
    </border>
    <border>
      <left/>
      <right style="thin">
        <color indexed="64"/>
      </right>
      <top style="thin">
        <color indexed="64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indexed="64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C0C0C0"/>
      </right>
      <top style="thin">
        <color rgb="FFC0C0C0"/>
      </top>
      <bottom style="thin">
        <color indexed="64"/>
      </bottom>
      <diagonal/>
    </border>
    <border>
      <left style="thin">
        <color indexed="64"/>
      </left>
      <right style="thin">
        <color rgb="FFC0C0C0"/>
      </right>
      <top/>
      <bottom/>
      <diagonal/>
    </border>
    <border>
      <left style="thin">
        <color rgb="FFC0C0C0"/>
      </left>
      <right style="thin">
        <color indexed="64"/>
      </right>
      <top style="thin">
        <color rgb="FFC0C0C0"/>
      </top>
      <bottom/>
      <diagonal/>
    </border>
    <border>
      <left style="thin">
        <color rgb="FFC0C0C0"/>
      </left>
      <right style="thin">
        <color indexed="64"/>
      </right>
      <top style="thin">
        <color rgb="FFC0C0C0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/>
      <top style="double">
        <color auto="1"/>
      </top>
      <bottom style="thin">
        <color indexed="64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9">
    <xf numFmtId="0" fontId="0" fillId="0" borderId="0" xfId="0"/>
    <xf numFmtId="0" fontId="0" fillId="2" borderId="0" xfId="0" applyFill="1"/>
    <xf numFmtId="17" fontId="0" fillId="2" borderId="0" xfId="0" applyNumberFormat="1" applyFill="1"/>
    <xf numFmtId="17" fontId="0" fillId="0" borderId="0" xfId="0" applyNumberFormat="1"/>
    <xf numFmtId="0" fontId="0" fillId="0" borderId="4" xfId="0" applyBorder="1"/>
    <xf numFmtId="0" fontId="0" fillId="0" borderId="6" xfId="0" applyBorder="1"/>
    <xf numFmtId="0" fontId="0" fillId="2" borderId="4" xfId="0" applyFill="1" applyBorder="1"/>
    <xf numFmtId="0" fontId="0" fillId="2" borderId="6" xfId="0" applyFill="1" applyBorder="1"/>
    <xf numFmtId="0" fontId="4" fillId="2" borderId="8" xfId="0" applyFont="1" applyFill="1" applyBorder="1" applyAlignment="1">
      <alignment horizontal="center"/>
    </xf>
    <xf numFmtId="41" fontId="4" fillId="2" borderId="8" xfId="0" applyNumberFormat="1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41" fontId="4" fillId="0" borderId="8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41" fontId="4" fillId="0" borderId="2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41" fontId="4" fillId="2" borderId="2" xfId="0" applyNumberFormat="1" applyFont="1" applyFill="1" applyBorder="1" applyAlignment="1">
      <alignment horizontal="center"/>
    </xf>
    <xf numFmtId="49" fontId="6" fillId="0" borderId="9" xfId="0" applyNumberFormat="1" applyFont="1" applyBorder="1" applyAlignment="1">
      <alignment horizontal="center" vertical="center" shrinkToFit="1"/>
    </xf>
    <xf numFmtId="3" fontId="7" fillId="0" borderId="10" xfId="0" applyNumberFormat="1" applyFont="1" applyBorder="1" applyAlignment="1">
      <alignment horizontal="right" vertical="center" shrinkToFit="1"/>
    </xf>
    <xf numFmtId="3" fontId="7" fillId="0" borderId="11" xfId="0" applyNumberFormat="1" applyFont="1" applyBorder="1" applyAlignment="1">
      <alignment horizontal="right" vertical="center" shrinkToFit="1"/>
    </xf>
    <xf numFmtId="49" fontId="6" fillId="0" borderId="12" xfId="0" applyNumberFormat="1" applyFont="1" applyBorder="1" applyAlignment="1">
      <alignment horizontal="center" vertical="center" shrinkToFit="1"/>
    </xf>
    <xf numFmtId="3" fontId="7" fillId="0" borderId="8" xfId="0" applyNumberFormat="1" applyFont="1" applyBorder="1" applyAlignment="1">
      <alignment horizontal="right" vertical="center" shrinkToFit="1"/>
    </xf>
    <xf numFmtId="49" fontId="6" fillId="0" borderId="8" xfId="0" applyNumberFormat="1" applyFont="1" applyBorder="1" applyAlignment="1">
      <alignment horizontal="center" vertical="center" shrinkToFit="1"/>
    </xf>
    <xf numFmtId="49" fontId="8" fillId="2" borderId="8" xfId="0" applyNumberFormat="1" applyFont="1" applyFill="1" applyBorder="1" applyAlignment="1">
      <alignment horizontal="right"/>
    </xf>
    <xf numFmtId="49" fontId="9" fillId="2" borderId="13" xfId="0" applyNumberFormat="1" applyFont="1" applyFill="1" applyBorder="1" applyAlignment="1">
      <alignment horizontal="left"/>
    </xf>
    <xf numFmtId="164" fontId="9" fillId="2" borderId="8" xfId="0" applyNumberFormat="1" applyFont="1" applyFill="1" applyBorder="1" applyAlignment="1">
      <alignment horizontal="right"/>
    </xf>
    <xf numFmtId="3" fontId="9" fillId="2" borderId="8" xfId="0" applyNumberFormat="1" applyFont="1" applyFill="1" applyBorder="1" applyAlignment="1">
      <alignment horizontal="right" wrapText="1"/>
    </xf>
    <xf numFmtId="3" fontId="10" fillId="2" borderId="8" xfId="0" applyNumberFormat="1" applyFont="1" applyFill="1" applyBorder="1"/>
    <xf numFmtId="49" fontId="8" fillId="0" borderId="8" xfId="0" applyNumberFormat="1" applyFont="1" applyBorder="1" applyAlignment="1">
      <alignment horizontal="right"/>
    </xf>
    <xf numFmtId="49" fontId="9" fillId="0" borderId="13" xfId="0" applyNumberFormat="1" applyFont="1" applyBorder="1" applyAlignment="1">
      <alignment horizontal="left"/>
    </xf>
    <xf numFmtId="164" fontId="9" fillId="0" borderId="8" xfId="0" applyNumberFormat="1" applyFont="1" applyBorder="1" applyAlignment="1">
      <alignment horizontal="right"/>
    </xf>
    <xf numFmtId="3" fontId="9" fillId="0" borderId="8" xfId="0" applyNumberFormat="1" applyFont="1" applyBorder="1" applyAlignment="1">
      <alignment horizontal="right" wrapText="1"/>
    </xf>
    <xf numFmtId="3" fontId="10" fillId="0" borderId="8" xfId="0" applyNumberFormat="1" applyFont="1" applyBorder="1"/>
    <xf numFmtId="0" fontId="11" fillId="2" borderId="8" xfId="0" applyFont="1" applyFill="1" applyBorder="1" applyAlignment="1">
      <alignment horizontal="left" wrapText="1"/>
    </xf>
    <xf numFmtId="49" fontId="9" fillId="0" borderId="8" xfId="0" applyNumberFormat="1" applyFont="1" applyBorder="1" applyAlignment="1">
      <alignment horizontal="right"/>
    </xf>
    <xf numFmtId="0" fontId="12" fillId="0" borderId="8" xfId="0" applyFont="1" applyBorder="1" applyAlignment="1">
      <alignment vertical="center"/>
    </xf>
    <xf numFmtId="164" fontId="13" fillId="3" borderId="8" xfId="0" applyNumberFormat="1" applyFont="1" applyFill="1" applyBorder="1" applyAlignment="1">
      <alignment horizontal="right"/>
    </xf>
    <xf numFmtId="3" fontId="14" fillId="0" borderId="8" xfId="0" applyNumberFormat="1" applyFont="1" applyBorder="1" applyAlignment="1">
      <alignment horizontal="right" wrapText="1"/>
    </xf>
    <xf numFmtId="3" fontId="0" fillId="0" borderId="8" xfId="0" applyNumberFormat="1" applyBorder="1"/>
    <xf numFmtId="49" fontId="9" fillId="2" borderId="8" xfId="0" applyNumberFormat="1" applyFont="1" applyFill="1" applyBorder="1" applyAlignment="1">
      <alignment horizontal="right"/>
    </xf>
    <xf numFmtId="0" fontId="12" fillId="2" borderId="8" xfId="0" applyFont="1" applyFill="1" applyBorder="1" applyAlignment="1">
      <alignment vertical="center"/>
    </xf>
    <xf numFmtId="3" fontId="14" fillId="2" borderId="0" xfId="0" applyNumberFormat="1" applyFont="1" applyFill="1" applyAlignment="1">
      <alignment horizontal="right" wrapText="1"/>
    </xf>
    <xf numFmtId="3" fontId="0" fillId="2" borderId="8" xfId="0" applyNumberFormat="1" applyFill="1" applyBorder="1"/>
    <xf numFmtId="3" fontId="14" fillId="0" borderId="14" xfId="0" applyNumberFormat="1" applyFont="1" applyBorder="1" applyAlignment="1">
      <alignment horizontal="right" wrapText="1"/>
    </xf>
    <xf numFmtId="3" fontId="14" fillId="0" borderId="0" xfId="0" applyNumberFormat="1" applyFont="1" applyAlignment="1">
      <alignment horizontal="right" wrapText="1"/>
    </xf>
    <xf numFmtId="164" fontId="15" fillId="2" borderId="8" xfId="0" applyNumberFormat="1" applyFont="1" applyFill="1" applyBorder="1" applyAlignment="1">
      <alignment horizontal="right"/>
    </xf>
    <xf numFmtId="165" fontId="16" fillId="0" borderId="8" xfId="0" applyNumberFormat="1" applyFont="1" applyBorder="1"/>
    <xf numFmtId="165" fontId="16" fillId="2" borderId="8" xfId="0" applyNumberFormat="1" applyFont="1" applyFill="1" applyBorder="1"/>
    <xf numFmtId="41" fontId="16" fillId="0" borderId="8" xfId="0" applyNumberFormat="1" applyFont="1" applyBorder="1"/>
    <xf numFmtId="49" fontId="15" fillId="0" borderId="15" xfId="0" applyNumberFormat="1" applyFont="1" applyBorder="1" applyAlignment="1">
      <alignment horizontal="right"/>
    </xf>
    <xf numFmtId="3" fontId="9" fillId="0" borderId="16" xfId="0" applyNumberFormat="1" applyFont="1" applyBorder="1" applyAlignment="1">
      <alignment horizontal="right" vertical="center" shrinkToFit="1"/>
    </xf>
    <xf numFmtId="0" fontId="14" fillId="0" borderId="0" xfId="0" applyFont="1" applyAlignment="1">
      <alignment horizontal="right" wrapText="1"/>
    </xf>
    <xf numFmtId="3" fontId="10" fillId="0" borderId="14" xfId="0" applyNumberFormat="1" applyFont="1" applyBorder="1"/>
    <xf numFmtId="166" fontId="13" fillId="0" borderId="17" xfId="0" applyNumberFormat="1" applyFont="1" applyBorder="1" applyAlignment="1">
      <alignment horizontal="right"/>
    </xf>
    <xf numFmtId="3" fontId="0" fillId="0" borderId="18" xfId="0" applyNumberFormat="1" applyBorder="1"/>
    <xf numFmtId="0" fontId="9" fillId="0" borderId="8" xfId="0" applyFont="1" applyBorder="1" applyAlignment="1">
      <alignment horizontal="right" wrapText="1"/>
    </xf>
    <xf numFmtId="0" fontId="9" fillId="2" borderId="8" xfId="0" applyFont="1" applyFill="1" applyBorder="1" applyAlignment="1">
      <alignment horizontal="right" wrapText="1"/>
    </xf>
    <xf numFmtId="164" fontId="17" fillId="2" borderId="8" xfId="0" applyNumberFormat="1" applyFont="1" applyFill="1" applyBorder="1" applyAlignment="1">
      <alignment horizontal="right"/>
    </xf>
    <xf numFmtId="166" fontId="13" fillId="0" borderId="13" xfId="0" applyNumberFormat="1" applyFont="1" applyBorder="1" applyAlignment="1">
      <alignment horizontal="right"/>
    </xf>
    <xf numFmtId="49" fontId="10" fillId="2" borderId="8" xfId="0" applyNumberFormat="1" applyFont="1" applyFill="1" applyBorder="1" applyAlignment="1">
      <alignment horizontal="right"/>
    </xf>
    <xf numFmtId="49" fontId="10" fillId="0" borderId="8" xfId="0" applyNumberFormat="1" applyFont="1" applyBorder="1" applyAlignment="1">
      <alignment horizontal="right"/>
    </xf>
    <xf numFmtId="41" fontId="18" fillId="0" borderId="8" xfId="0" applyNumberFormat="1" applyFont="1" applyBorder="1"/>
    <xf numFmtId="3" fontId="0" fillId="4" borderId="8" xfId="0" applyNumberFormat="1" applyFill="1" applyBorder="1"/>
    <xf numFmtId="0" fontId="14" fillId="0" borderId="8" xfId="0" applyFont="1" applyBorder="1" applyAlignment="1">
      <alignment horizontal="right" wrapText="1"/>
    </xf>
    <xf numFmtId="0" fontId="12" fillId="2" borderId="6" xfId="0" applyFont="1" applyFill="1" applyBorder="1" applyAlignment="1">
      <alignment vertical="center"/>
    </xf>
    <xf numFmtId="0" fontId="14" fillId="2" borderId="0" xfId="0" applyFont="1" applyFill="1" applyAlignment="1">
      <alignment horizontal="right" wrapText="1"/>
    </xf>
    <xf numFmtId="0" fontId="12" fillId="0" borderId="6" xfId="0" applyFont="1" applyBorder="1" applyAlignment="1">
      <alignment vertical="center"/>
    </xf>
    <xf numFmtId="164" fontId="15" fillId="2" borderId="17" xfId="0" applyNumberFormat="1" applyFont="1" applyFill="1" applyBorder="1" applyAlignment="1">
      <alignment horizontal="right"/>
    </xf>
    <xf numFmtId="0" fontId="0" fillId="2" borderId="8" xfId="0" applyFill="1" applyBorder="1"/>
    <xf numFmtId="0" fontId="0" fillId="0" borderId="8" xfId="0" applyBorder="1"/>
    <xf numFmtId="41" fontId="0" fillId="0" borderId="8" xfId="0" applyNumberFormat="1" applyBorder="1"/>
    <xf numFmtId="49" fontId="15" fillId="0" borderId="19" xfId="0" applyNumberFormat="1" applyFont="1" applyBorder="1" applyAlignment="1">
      <alignment horizontal="right"/>
    </xf>
    <xf numFmtId="49" fontId="9" fillId="2" borderId="6" xfId="0" applyNumberFormat="1" applyFont="1" applyFill="1" applyBorder="1" applyAlignment="1">
      <alignment horizontal="right"/>
    </xf>
    <xf numFmtId="49" fontId="9" fillId="2" borderId="0" xfId="0" applyNumberFormat="1" applyFont="1" applyFill="1" applyAlignment="1">
      <alignment horizontal="left"/>
    </xf>
    <xf numFmtId="164" fontId="9" fillId="2" borderId="6" xfId="0" applyNumberFormat="1" applyFont="1" applyFill="1" applyBorder="1" applyAlignment="1">
      <alignment horizontal="right"/>
    </xf>
    <xf numFmtId="3" fontId="9" fillId="2" borderId="6" xfId="0" applyNumberFormat="1" applyFont="1" applyFill="1" applyBorder="1" applyAlignment="1">
      <alignment horizontal="right" wrapText="1"/>
    </xf>
    <xf numFmtId="3" fontId="10" fillId="2" borderId="6" xfId="0" applyNumberFormat="1" applyFont="1" applyFill="1" applyBorder="1"/>
    <xf numFmtId="49" fontId="9" fillId="0" borderId="6" xfId="0" applyNumberFormat="1" applyFont="1" applyBorder="1" applyAlignment="1">
      <alignment horizontal="right"/>
    </xf>
    <xf numFmtId="49" fontId="9" fillId="0" borderId="0" xfId="0" applyNumberFormat="1" applyFont="1" applyAlignment="1">
      <alignment horizontal="left"/>
    </xf>
    <xf numFmtId="164" fontId="9" fillId="0" borderId="6" xfId="0" applyNumberFormat="1" applyFont="1" applyBorder="1" applyAlignment="1">
      <alignment horizontal="right"/>
    </xf>
    <xf numFmtId="0" fontId="9" fillId="0" borderId="6" xfId="0" applyFont="1" applyBorder="1" applyAlignment="1">
      <alignment horizontal="right" wrapText="1"/>
    </xf>
    <xf numFmtId="3" fontId="10" fillId="0" borderId="6" xfId="0" applyNumberFormat="1" applyFont="1" applyBorder="1"/>
    <xf numFmtId="0" fontId="11" fillId="2" borderId="6" xfId="0" applyFont="1" applyFill="1" applyBorder="1" applyAlignment="1">
      <alignment horizontal="left" wrapText="1"/>
    </xf>
    <xf numFmtId="0" fontId="9" fillId="2" borderId="6" xfId="0" applyFont="1" applyFill="1" applyBorder="1" applyAlignment="1">
      <alignment horizontal="right" wrapText="1"/>
    </xf>
    <xf numFmtId="3" fontId="14" fillId="0" borderId="6" xfId="0" applyNumberFormat="1" applyFont="1" applyBorder="1" applyAlignment="1">
      <alignment horizontal="right" wrapText="1"/>
    </xf>
    <xf numFmtId="0" fontId="14" fillId="0" borderId="6" xfId="0" applyFont="1" applyBorder="1" applyAlignment="1">
      <alignment horizontal="right" wrapText="1"/>
    </xf>
    <xf numFmtId="0" fontId="4" fillId="2" borderId="6" xfId="0" applyFont="1" applyFill="1" applyBorder="1" applyAlignment="1">
      <alignment vertical="center"/>
    </xf>
    <xf numFmtId="165" fontId="16" fillId="2" borderId="6" xfId="0" applyNumberFormat="1" applyFont="1" applyFill="1" applyBorder="1"/>
    <xf numFmtId="3" fontId="0" fillId="2" borderId="6" xfId="0" applyNumberFormat="1" applyFill="1" applyBorder="1"/>
    <xf numFmtId="0" fontId="4" fillId="0" borderId="6" xfId="0" applyFont="1" applyBorder="1" applyAlignment="1">
      <alignment vertical="center"/>
    </xf>
    <xf numFmtId="165" fontId="16" fillId="0" borderId="6" xfId="0" applyNumberFormat="1" applyFont="1" applyBorder="1"/>
    <xf numFmtId="3" fontId="0" fillId="0" borderId="6" xfId="0" applyNumberFormat="1" applyBorder="1"/>
    <xf numFmtId="41" fontId="18" fillId="0" borderId="6" xfId="0" applyNumberFormat="1" applyFont="1" applyBorder="1"/>
    <xf numFmtId="49" fontId="19" fillId="0" borderId="20" xfId="0" applyNumberFormat="1" applyFont="1" applyBorder="1" applyAlignment="1">
      <alignment horizontal="right"/>
    </xf>
    <xf numFmtId="3" fontId="9" fillId="0" borderId="21" xfId="0" applyNumberFormat="1" applyFont="1" applyBorder="1" applyAlignment="1">
      <alignment horizontal="right"/>
    </xf>
    <xf numFmtId="166" fontId="4" fillId="0" borderId="14" xfId="0" applyNumberFormat="1" applyFont="1" applyBorder="1"/>
    <xf numFmtId="3" fontId="9" fillId="0" borderId="22" xfId="0" applyNumberFormat="1" applyFont="1" applyBorder="1" applyAlignment="1">
      <alignment horizontal="right"/>
    </xf>
    <xf numFmtId="0" fontId="12" fillId="0" borderId="0" xfId="0" applyFont="1"/>
    <xf numFmtId="0" fontId="12" fillId="5" borderId="8" xfId="0" applyFont="1" applyFill="1" applyBorder="1"/>
    <xf numFmtId="0" fontId="4" fillId="5" borderId="8" xfId="0" applyFont="1" applyFill="1" applyBorder="1" applyAlignment="1">
      <alignment vertical="center"/>
    </xf>
    <xf numFmtId="164" fontId="9" fillId="5" borderId="8" xfId="0" applyNumberFormat="1" applyFont="1" applyFill="1" applyBorder="1" applyAlignment="1">
      <alignment horizontal="right"/>
    </xf>
    <xf numFmtId="0" fontId="0" fillId="5" borderId="8" xfId="0" applyFill="1" applyBorder="1"/>
    <xf numFmtId="164" fontId="13" fillId="5" borderId="8" xfId="0" applyNumberFormat="1" applyFont="1" applyFill="1" applyBorder="1" applyAlignment="1">
      <alignment horizontal="right"/>
    </xf>
    <xf numFmtId="3" fontId="14" fillId="5" borderId="8" xfId="0" applyNumberFormat="1" applyFont="1" applyFill="1" applyBorder="1" applyAlignment="1">
      <alignment horizontal="right" wrapText="1"/>
    </xf>
    <xf numFmtId="3" fontId="0" fillId="5" borderId="8" xfId="0" applyNumberFormat="1" applyFill="1" applyBorder="1"/>
    <xf numFmtId="165" fontId="16" fillId="5" borderId="8" xfId="0" applyNumberFormat="1" applyFont="1" applyFill="1" applyBorder="1"/>
    <xf numFmtId="0" fontId="0" fillId="5" borderId="0" xfId="0" applyFill="1"/>
    <xf numFmtId="164" fontId="0" fillId="5" borderId="0" xfId="0" applyNumberFormat="1" applyFill="1"/>
    <xf numFmtId="0" fontId="20" fillId="0" borderId="8" xfId="0" applyFont="1" applyBorder="1"/>
    <xf numFmtId="0" fontId="21" fillId="0" borderId="8" xfId="0" applyFont="1" applyBorder="1" applyAlignment="1">
      <alignment vertical="center"/>
    </xf>
    <xf numFmtId="165" fontId="22" fillId="0" borderId="8" xfId="0" applyNumberFormat="1" applyFont="1" applyBorder="1"/>
    <xf numFmtId="3" fontId="20" fillId="0" borderId="8" xfId="0" applyNumberFormat="1" applyFont="1" applyBorder="1"/>
    <xf numFmtId="0" fontId="4" fillId="0" borderId="8" xfId="0" applyFont="1" applyBorder="1" applyAlignment="1">
      <alignment vertical="center"/>
    </xf>
    <xf numFmtId="165" fontId="0" fillId="0" borderId="0" xfId="0" applyNumberFormat="1"/>
    <xf numFmtId="167" fontId="10" fillId="5" borderId="8" xfId="0" applyNumberFormat="1" applyFont="1" applyFill="1" applyBorder="1"/>
    <xf numFmtId="0" fontId="12" fillId="2" borderId="0" xfId="0" applyFont="1" applyFill="1"/>
    <xf numFmtId="10" fontId="12" fillId="2" borderId="0" xfId="1" applyNumberFormat="1" applyFont="1" applyFill="1"/>
    <xf numFmtId="10" fontId="0" fillId="0" borderId="0" xfId="0" applyNumberFormat="1"/>
    <xf numFmtId="10" fontId="0" fillId="0" borderId="0" xfId="1" applyNumberFormat="1" applyFont="1"/>
    <xf numFmtId="3" fontId="0" fillId="0" borderId="0" xfId="0" applyNumberFormat="1"/>
    <xf numFmtId="0" fontId="17" fillId="3" borderId="0" xfId="0" applyFont="1" applyFill="1"/>
    <xf numFmtId="0" fontId="17" fillId="3" borderId="8" xfId="0" applyFont="1" applyFill="1" applyBorder="1"/>
    <xf numFmtId="168" fontId="23" fillId="6" borderId="8" xfId="0" applyNumberFormat="1" applyFont="1" applyFill="1" applyBorder="1" applyAlignment="1">
      <alignment horizontal="center"/>
    </xf>
    <xf numFmtId="3" fontId="17" fillId="3" borderId="8" xfId="0" applyNumberFormat="1" applyFont="1" applyFill="1" applyBorder="1"/>
    <xf numFmtId="0" fontId="24" fillId="3" borderId="0" xfId="0" applyFont="1" applyFill="1"/>
    <xf numFmtId="3" fontId="17" fillId="3" borderId="0" xfId="0" applyNumberFormat="1" applyFont="1" applyFill="1"/>
    <xf numFmtId="3" fontId="24" fillId="3" borderId="0" xfId="0" applyNumberFormat="1" applyFont="1" applyFill="1"/>
    <xf numFmtId="0" fontId="25" fillId="3" borderId="0" xfId="0" applyFont="1" applyFill="1"/>
    <xf numFmtId="3" fontId="25" fillId="3" borderId="0" xfId="0" applyNumberFormat="1" applyFont="1" applyFill="1"/>
    <xf numFmtId="169" fontId="17" fillId="3" borderId="0" xfId="1" applyNumberFormat="1" applyFont="1" applyFill="1"/>
    <xf numFmtId="9" fontId="17" fillId="3" borderId="0" xfId="1" applyFont="1" applyFill="1"/>
    <xf numFmtId="9" fontId="17" fillId="3" borderId="0" xfId="0" applyNumberFormat="1" applyFont="1" applyFill="1"/>
    <xf numFmtId="168" fontId="23" fillId="6" borderId="8" xfId="0" applyNumberFormat="1" applyFont="1" applyFill="1" applyBorder="1"/>
    <xf numFmtId="0" fontId="0" fillId="6" borderId="0" xfId="0" applyFill="1"/>
    <xf numFmtId="0" fontId="26" fillId="6" borderId="0" xfId="0" applyFont="1" applyFill="1"/>
    <xf numFmtId="0" fontId="27" fillId="2" borderId="0" xfId="0" applyFont="1" applyFill="1"/>
    <xf numFmtId="17" fontId="27" fillId="2" borderId="0" xfId="0" applyNumberFormat="1" applyFont="1" applyFill="1"/>
    <xf numFmtId="0" fontId="27" fillId="0" borderId="0" xfId="0" applyFont="1"/>
    <xf numFmtId="17" fontId="27" fillId="0" borderId="0" xfId="0" applyNumberFormat="1" applyFont="1"/>
    <xf numFmtId="0" fontId="27" fillId="8" borderId="0" xfId="0" applyFont="1" applyFill="1"/>
    <xf numFmtId="17" fontId="27" fillId="8" borderId="0" xfId="0" applyNumberFormat="1" applyFont="1" applyFill="1"/>
    <xf numFmtId="0" fontId="27" fillId="0" borderId="6" xfId="0" applyFont="1" applyBorder="1"/>
    <xf numFmtId="0" fontId="27" fillId="2" borderId="6" xfId="0" applyFont="1" applyFill="1" applyBorder="1"/>
    <xf numFmtId="0" fontId="27" fillId="8" borderId="6" xfId="0" applyFont="1" applyFill="1" applyBorder="1"/>
    <xf numFmtId="49" fontId="29" fillId="2" borderId="8" xfId="0" applyNumberFormat="1" applyFont="1" applyFill="1" applyBorder="1" applyAlignment="1">
      <alignment horizontal="right"/>
    </xf>
    <xf numFmtId="49" fontId="27" fillId="2" borderId="13" xfId="0" applyNumberFormat="1" applyFont="1" applyFill="1" applyBorder="1" applyAlignment="1">
      <alignment horizontal="left"/>
    </xf>
    <xf numFmtId="164" fontId="27" fillId="2" borderId="8" xfId="0" applyNumberFormat="1" applyFont="1" applyFill="1" applyBorder="1" applyAlignment="1">
      <alignment horizontal="right"/>
    </xf>
    <xf numFmtId="3" fontId="27" fillId="2" borderId="8" xfId="0" applyNumberFormat="1" applyFont="1" applyFill="1" applyBorder="1" applyAlignment="1">
      <alignment horizontal="right" wrapText="1"/>
    </xf>
    <xf numFmtId="3" fontId="30" fillId="2" borderId="8" xfId="0" applyNumberFormat="1" applyFont="1" applyFill="1" applyBorder="1"/>
    <xf numFmtId="49" fontId="29" fillId="0" borderId="8" xfId="0" applyNumberFormat="1" applyFont="1" applyBorder="1" applyAlignment="1">
      <alignment horizontal="right"/>
    </xf>
    <xf numFmtId="49" fontId="27" fillId="0" borderId="13" xfId="0" applyNumberFormat="1" applyFont="1" applyBorder="1" applyAlignment="1">
      <alignment horizontal="left"/>
    </xf>
    <xf numFmtId="164" fontId="27" fillId="0" borderId="8" xfId="0" applyNumberFormat="1" applyFont="1" applyBorder="1" applyAlignment="1">
      <alignment horizontal="right"/>
    </xf>
    <xf numFmtId="3" fontId="27" fillId="0" borderId="8" xfId="0" applyNumberFormat="1" applyFont="1" applyBorder="1" applyAlignment="1">
      <alignment horizontal="right" wrapText="1"/>
    </xf>
    <xf numFmtId="3" fontId="30" fillId="0" borderId="8" xfId="0" applyNumberFormat="1" applyFont="1" applyBorder="1"/>
    <xf numFmtId="0" fontId="27" fillId="2" borderId="8" xfId="0" applyFont="1" applyFill="1" applyBorder="1" applyAlignment="1">
      <alignment horizontal="left" wrapText="1"/>
    </xf>
    <xf numFmtId="49" fontId="27" fillId="0" borderId="8" xfId="0" applyNumberFormat="1" applyFont="1" applyBorder="1" applyAlignment="1">
      <alignment horizontal="right"/>
    </xf>
    <xf numFmtId="0" fontId="30" fillId="0" borderId="8" xfId="0" applyFont="1" applyBorder="1" applyAlignment="1">
      <alignment vertical="center"/>
    </xf>
    <xf numFmtId="164" fontId="27" fillId="3" borderId="8" xfId="0" applyNumberFormat="1" applyFont="1" applyFill="1" applyBorder="1" applyAlignment="1">
      <alignment horizontal="right"/>
    </xf>
    <xf numFmtId="3" fontId="27" fillId="0" borderId="8" xfId="0" applyNumberFormat="1" applyFont="1" applyBorder="1"/>
    <xf numFmtId="49" fontId="27" fillId="2" borderId="8" xfId="0" applyNumberFormat="1" applyFont="1" applyFill="1" applyBorder="1" applyAlignment="1">
      <alignment horizontal="right"/>
    </xf>
    <xf numFmtId="0" fontId="30" fillId="2" borderId="8" xfId="0" applyFont="1" applyFill="1" applyBorder="1" applyAlignment="1">
      <alignment vertical="center"/>
    </xf>
    <xf numFmtId="3" fontId="27" fillId="2" borderId="0" xfId="0" applyNumberFormat="1" applyFont="1" applyFill="1" applyAlignment="1">
      <alignment horizontal="right" wrapText="1"/>
    </xf>
    <xf numFmtId="3" fontId="27" fillId="2" borderId="8" xfId="0" applyNumberFormat="1" applyFont="1" applyFill="1" applyBorder="1"/>
    <xf numFmtId="3" fontId="27" fillId="0" borderId="14" xfId="0" applyNumberFormat="1" applyFont="1" applyBorder="1" applyAlignment="1">
      <alignment horizontal="right" wrapText="1"/>
    </xf>
    <xf numFmtId="3" fontId="27" fillId="0" borderId="0" xfId="0" applyNumberFormat="1" applyFont="1" applyAlignment="1">
      <alignment horizontal="right" wrapText="1"/>
    </xf>
    <xf numFmtId="49" fontId="30" fillId="8" borderId="8" xfId="0" applyNumberFormat="1" applyFont="1" applyFill="1" applyBorder="1" applyAlignment="1">
      <alignment horizontal="right"/>
    </xf>
    <xf numFmtId="0" fontId="30" fillId="8" borderId="8" xfId="0" applyFont="1" applyFill="1" applyBorder="1"/>
    <xf numFmtId="164" fontId="27" fillId="8" borderId="13" xfId="0" applyNumberFormat="1" applyFont="1" applyFill="1" applyBorder="1" applyAlignment="1">
      <alignment horizontal="right"/>
    </xf>
    <xf numFmtId="3" fontId="27" fillId="8" borderId="0" xfId="0" applyNumberFormat="1" applyFont="1" applyFill="1" applyAlignment="1">
      <alignment horizontal="right" wrapText="1"/>
    </xf>
    <xf numFmtId="164" fontId="27" fillId="8" borderId="8" xfId="0" applyNumberFormat="1" applyFont="1" applyFill="1" applyBorder="1" applyAlignment="1">
      <alignment horizontal="right"/>
    </xf>
    <xf numFmtId="165" fontId="30" fillId="2" borderId="8" xfId="0" applyNumberFormat="1" applyFont="1" applyFill="1" applyBorder="1"/>
    <xf numFmtId="0" fontId="30" fillId="0" borderId="8" xfId="0" applyFont="1" applyBorder="1"/>
    <xf numFmtId="49" fontId="29" fillId="8" borderId="8" xfId="0" applyNumberFormat="1" applyFont="1" applyFill="1" applyBorder="1" applyAlignment="1">
      <alignment horizontal="right"/>
    </xf>
    <xf numFmtId="49" fontId="27" fillId="8" borderId="13" xfId="0" applyNumberFormat="1" applyFont="1" applyFill="1" applyBorder="1" applyAlignment="1">
      <alignment horizontal="left"/>
    </xf>
    <xf numFmtId="3" fontId="27" fillId="8" borderId="8" xfId="0" applyNumberFormat="1" applyFont="1" applyFill="1" applyBorder="1" applyAlignment="1">
      <alignment horizontal="right" wrapText="1"/>
    </xf>
    <xf numFmtId="3" fontId="30" fillId="8" borderId="8" xfId="0" applyNumberFormat="1" applyFont="1" applyFill="1" applyBorder="1"/>
    <xf numFmtId="0" fontId="27" fillId="0" borderId="8" xfId="0" applyFont="1" applyBorder="1" applyAlignment="1">
      <alignment horizontal="right" wrapText="1"/>
    </xf>
    <xf numFmtId="0" fontId="27" fillId="2" borderId="8" xfId="0" applyFont="1" applyFill="1" applyBorder="1" applyAlignment="1">
      <alignment horizontal="right" wrapText="1"/>
    </xf>
    <xf numFmtId="0" fontId="27" fillId="0" borderId="0" xfId="0" applyFont="1" applyAlignment="1">
      <alignment horizontal="right" wrapText="1"/>
    </xf>
    <xf numFmtId="164" fontId="30" fillId="2" borderId="8" xfId="0" applyNumberFormat="1" applyFont="1" applyFill="1" applyBorder="1" applyAlignment="1">
      <alignment horizontal="right"/>
    </xf>
    <xf numFmtId="0" fontId="27" fillId="8" borderId="0" xfId="0" applyFont="1" applyFill="1" applyAlignment="1">
      <alignment horizontal="right" wrapText="1"/>
    </xf>
    <xf numFmtId="49" fontId="27" fillId="8" borderId="8" xfId="0" applyNumberFormat="1" applyFont="1" applyFill="1" applyBorder="1" applyAlignment="1">
      <alignment horizontal="right"/>
    </xf>
    <xf numFmtId="49" fontId="30" fillId="2" borderId="8" xfId="0" applyNumberFormat="1" applyFont="1" applyFill="1" applyBorder="1" applyAlignment="1">
      <alignment horizontal="right"/>
    </xf>
    <xf numFmtId="49" fontId="30" fillId="0" borderId="8" xfId="0" applyNumberFormat="1" applyFont="1" applyBorder="1" applyAlignment="1">
      <alignment horizontal="right"/>
    </xf>
    <xf numFmtId="3" fontId="27" fillId="4" borderId="8" xfId="0" applyNumberFormat="1" applyFont="1" applyFill="1" applyBorder="1"/>
    <xf numFmtId="0" fontId="30" fillId="2" borderId="6" xfId="0" applyFont="1" applyFill="1" applyBorder="1" applyAlignment="1">
      <alignment vertical="center"/>
    </xf>
    <xf numFmtId="0" fontId="27" fillId="2" borderId="0" xfId="0" applyFont="1" applyFill="1" applyAlignment="1">
      <alignment horizontal="right" wrapText="1"/>
    </xf>
    <xf numFmtId="0" fontId="30" fillId="0" borderId="6" xfId="0" applyFont="1" applyBorder="1" applyAlignment="1">
      <alignment vertical="center"/>
    </xf>
    <xf numFmtId="164" fontId="27" fillId="2" borderId="17" xfId="0" applyNumberFormat="1" applyFont="1" applyFill="1" applyBorder="1" applyAlignment="1">
      <alignment horizontal="right"/>
    </xf>
    <xf numFmtId="0" fontId="27" fillId="2" borderId="8" xfId="0" applyFont="1" applyFill="1" applyBorder="1"/>
    <xf numFmtId="49" fontId="27" fillId="2" borderId="6" xfId="0" applyNumberFormat="1" applyFont="1" applyFill="1" applyBorder="1" applyAlignment="1">
      <alignment horizontal="right"/>
    </xf>
    <xf numFmtId="49" fontId="27" fillId="2" borderId="0" xfId="0" applyNumberFormat="1" applyFont="1" applyFill="1" applyAlignment="1">
      <alignment horizontal="left"/>
    </xf>
    <xf numFmtId="164" fontId="27" fillId="2" borderId="6" xfId="0" applyNumberFormat="1" applyFont="1" applyFill="1" applyBorder="1" applyAlignment="1">
      <alignment horizontal="right"/>
    </xf>
    <xf numFmtId="3" fontId="27" fillId="2" borderId="6" xfId="0" applyNumberFormat="1" applyFont="1" applyFill="1" applyBorder="1" applyAlignment="1">
      <alignment horizontal="right" wrapText="1"/>
    </xf>
    <xf numFmtId="3" fontId="30" fillId="2" borderId="6" xfId="0" applyNumberFormat="1" applyFont="1" applyFill="1" applyBorder="1"/>
    <xf numFmtId="49" fontId="27" fillId="0" borderId="6" xfId="0" applyNumberFormat="1" applyFont="1" applyBorder="1" applyAlignment="1">
      <alignment horizontal="right"/>
    </xf>
    <xf numFmtId="49" fontId="27" fillId="0" borderId="0" xfId="0" applyNumberFormat="1" applyFont="1" applyAlignment="1">
      <alignment horizontal="left"/>
    </xf>
    <xf numFmtId="164" fontId="27" fillId="0" borderId="6" xfId="0" applyNumberFormat="1" applyFont="1" applyBorder="1" applyAlignment="1">
      <alignment horizontal="right"/>
    </xf>
    <xf numFmtId="0" fontId="27" fillId="0" borderId="6" xfId="0" applyFont="1" applyBorder="1" applyAlignment="1">
      <alignment horizontal="right" wrapText="1"/>
    </xf>
    <xf numFmtId="3" fontId="30" fillId="0" borderId="6" xfId="0" applyNumberFormat="1" applyFont="1" applyBorder="1"/>
    <xf numFmtId="0" fontId="27" fillId="2" borderId="6" xfId="0" applyFont="1" applyFill="1" applyBorder="1" applyAlignment="1">
      <alignment horizontal="left" wrapText="1"/>
    </xf>
    <xf numFmtId="0" fontId="27" fillId="2" borderId="6" xfId="0" applyFont="1" applyFill="1" applyBorder="1" applyAlignment="1">
      <alignment horizontal="right" wrapText="1"/>
    </xf>
    <xf numFmtId="3" fontId="27" fillId="0" borderId="6" xfId="0" applyNumberFormat="1" applyFont="1" applyBorder="1" applyAlignment="1">
      <alignment horizontal="right" wrapText="1"/>
    </xf>
    <xf numFmtId="0" fontId="28" fillId="2" borderId="6" xfId="0" applyFont="1" applyFill="1" applyBorder="1" applyAlignment="1">
      <alignment vertical="center"/>
    </xf>
    <xf numFmtId="165" fontId="30" fillId="2" borderId="6" xfId="0" applyNumberFormat="1" applyFont="1" applyFill="1" applyBorder="1"/>
    <xf numFmtId="3" fontId="27" fillId="2" borderId="6" xfId="0" applyNumberFormat="1" applyFont="1" applyFill="1" applyBorder="1"/>
    <xf numFmtId="3" fontId="31" fillId="7" borderId="3" xfId="0" applyNumberFormat="1" applyFont="1" applyFill="1" applyBorder="1"/>
    <xf numFmtId="3" fontId="31" fillId="8" borderId="3" xfId="0" applyNumberFormat="1" applyFont="1" applyFill="1" applyBorder="1"/>
    <xf numFmtId="0" fontId="31" fillId="0" borderId="8" xfId="0" applyFont="1" applyBorder="1"/>
    <xf numFmtId="0" fontId="28" fillId="0" borderId="8" xfId="0" applyFont="1" applyBorder="1" applyAlignment="1">
      <alignment vertical="center"/>
    </xf>
    <xf numFmtId="165" fontId="31" fillId="0" borderId="8" xfId="0" applyNumberFormat="1" applyFont="1" applyBorder="1"/>
    <xf numFmtId="3" fontId="31" fillId="0" borderId="8" xfId="0" applyNumberFormat="1" applyFont="1" applyBorder="1"/>
    <xf numFmtId="0" fontId="27" fillId="0" borderId="8" xfId="0" applyFont="1" applyBorder="1"/>
    <xf numFmtId="165" fontId="30" fillId="0" borderId="8" xfId="0" applyNumberFormat="1" applyFont="1" applyBorder="1"/>
    <xf numFmtId="3" fontId="27" fillId="0" borderId="18" xfId="0" applyNumberFormat="1" applyFont="1" applyBorder="1"/>
    <xf numFmtId="3" fontId="31" fillId="0" borderId="2" xfId="0" applyNumberFormat="1" applyFont="1" applyBorder="1"/>
    <xf numFmtId="164" fontId="27" fillId="8" borderId="0" xfId="0" applyNumberFormat="1" applyFont="1" applyFill="1"/>
    <xf numFmtId="10" fontId="27" fillId="8" borderId="0" xfId="0" applyNumberFormat="1" applyFont="1" applyFill="1"/>
    <xf numFmtId="10" fontId="27" fillId="8" borderId="0" xfId="1" applyNumberFormat="1" applyFont="1" applyFill="1"/>
    <xf numFmtId="0" fontId="33" fillId="0" borderId="4" xfId="0" applyFont="1" applyBorder="1"/>
    <xf numFmtId="0" fontId="33" fillId="0" borderId="6" xfId="0" applyFont="1" applyBorder="1"/>
    <xf numFmtId="0" fontId="33" fillId="2" borderId="4" xfId="0" applyFont="1" applyFill="1" applyBorder="1"/>
    <xf numFmtId="0" fontId="33" fillId="2" borderId="6" xfId="0" applyFont="1" applyFill="1" applyBorder="1"/>
    <xf numFmtId="0" fontId="33" fillId="8" borderId="4" xfId="0" applyFont="1" applyFill="1" applyBorder="1"/>
    <xf numFmtId="0" fontId="33" fillId="8" borderId="6" xfId="0" applyFont="1" applyFill="1" applyBorder="1"/>
    <xf numFmtId="0" fontId="33" fillId="0" borderId="5" xfId="0" applyFont="1" applyBorder="1"/>
    <xf numFmtId="0" fontId="33" fillId="0" borderId="0" xfId="0" applyFont="1"/>
    <xf numFmtId="0" fontId="34" fillId="2" borderId="8" xfId="0" applyFont="1" applyFill="1" applyBorder="1" applyAlignment="1">
      <alignment horizontal="center"/>
    </xf>
    <xf numFmtId="41" fontId="34" fillId="2" borderId="8" xfId="0" applyNumberFormat="1" applyFont="1" applyFill="1" applyBorder="1" applyAlignment="1">
      <alignment horizontal="center"/>
    </xf>
    <xf numFmtId="0" fontId="34" fillId="0" borderId="8" xfId="0" applyFont="1" applyBorder="1" applyAlignment="1">
      <alignment horizontal="center"/>
    </xf>
    <xf numFmtId="41" fontId="34" fillId="0" borderId="8" xfId="0" applyNumberFormat="1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4" fillId="0" borderId="2" xfId="0" applyFont="1" applyBorder="1" applyAlignment="1">
      <alignment horizontal="center"/>
    </xf>
    <xf numFmtId="41" fontId="34" fillId="0" borderId="2" xfId="0" applyNumberFormat="1" applyFont="1" applyBorder="1" applyAlignment="1">
      <alignment horizontal="center"/>
    </xf>
    <xf numFmtId="0" fontId="34" fillId="2" borderId="1" xfId="0" applyFont="1" applyFill="1" applyBorder="1" applyAlignment="1">
      <alignment horizontal="center"/>
    </xf>
    <xf numFmtId="0" fontId="34" fillId="2" borderId="2" xfId="0" applyFont="1" applyFill="1" applyBorder="1" applyAlignment="1">
      <alignment horizontal="center"/>
    </xf>
    <xf numFmtId="41" fontId="34" fillId="2" borderId="2" xfId="0" applyNumberFormat="1" applyFont="1" applyFill="1" applyBorder="1" applyAlignment="1">
      <alignment horizontal="center"/>
    </xf>
    <xf numFmtId="0" fontId="34" fillId="8" borderId="8" xfId="0" applyFont="1" applyFill="1" applyBorder="1" applyAlignment="1">
      <alignment horizontal="center"/>
    </xf>
    <xf numFmtId="41" fontId="34" fillId="8" borderId="8" xfId="0" applyNumberFormat="1" applyFont="1" applyFill="1" applyBorder="1" applyAlignment="1">
      <alignment horizontal="center"/>
    </xf>
    <xf numFmtId="3" fontId="27" fillId="9" borderId="8" xfId="0" applyNumberFormat="1" applyFont="1" applyFill="1" applyBorder="1"/>
    <xf numFmtId="3" fontId="31" fillId="9" borderId="3" xfId="0" applyNumberFormat="1" applyFont="1" applyFill="1" applyBorder="1"/>
    <xf numFmtId="164" fontId="27" fillId="0" borderId="2" xfId="0" applyNumberFormat="1" applyFont="1" applyBorder="1" applyAlignment="1">
      <alignment horizontal="right"/>
    </xf>
    <xf numFmtId="164" fontId="27" fillId="0" borderId="3" xfId="0" applyNumberFormat="1" applyFont="1" applyBorder="1" applyAlignment="1">
      <alignment horizontal="right"/>
    </xf>
    <xf numFmtId="0" fontId="28" fillId="8" borderId="6" xfId="0" applyFont="1" applyFill="1" applyBorder="1" applyAlignment="1">
      <alignment vertical="center"/>
    </xf>
    <xf numFmtId="164" fontId="27" fillId="8" borderId="6" xfId="0" applyNumberFormat="1" applyFont="1" applyFill="1" applyBorder="1" applyAlignment="1">
      <alignment horizontal="right"/>
    </xf>
    <xf numFmtId="0" fontId="28" fillId="7" borderId="6" xfId="0" applyFont="1" applyFill="1" applyBorder="1" applyAlignment="1">
      <alignment vertical="center"/>
    </xf>
    <xf numFmtId="164" fontId="27" fillId="4" borderId="6" xfId="0" applyNumberFormat="1" applyFont="1" applyFill="1" applyBorder="1" applyAlignment="1">
      <alignment horizontal="right"/>
    </xf>
    <xf numFmtId="164" fontId="27" fillId="7" borderId="6" xfId="0" applyNumberFormat="1" applyFont="1" applyFill="1" applyBorder="1" applyAlignment="1">
      <alignment horizontal="right"/>
    </xf>
    <xf numFmtId="0" fontId="30" fillId="0" borderId="28" xfId="0" applyFont="1" applyBorder="1"/>
    <xf numFmtId="0" fontId="27" fillId="0" borderId="28" xfId="0" applyFont="1" applyBorder="1"/>
    <xf numFmtId="10" fontId="30" fillId="0" borderId="28" xfId="1" applyNumberFormat="1" applyFont="1" applyFill="1" applyBorder="1"/>
    <xf numFmtId="3" fontId="30" fillId="9" borderId="8" xfId="0" applyNumberFormat="1" applyFont="1" applyFill="1" applyBorder="1"/>
    <xf numFmtId="3" fontId="31" fillId="9" borderId="1" xfId="0" applyNumberFormat="1" applyFont="1" applyFill="1" applyBorder="1"/>
    <xf numFmtId="3" fontId="28" fillId="9" borderId="2" xfId="0" applyNumberFormat="1" applyFont="1" applyFill="1" applyBorder="1" applyAlignment="1">
      <alignment vertical="center"/>
    </xf>
    <xf numFmtId="3" fontId="31" fillId="9" borderId="2" xfId="0" applyNumberFormat="1" applyFont="1" applyFill="1" applyBorder="1"/>
    <xf numFmtId="3" fontId="27" fillId="9" borderId="1" xfId="0" applyNumberFormat="1" applyFont="1" applyFill="1" applyBorder="1"/>
    <xf numFmtId="3" fontId="27" fillId="9" borderId="2" xfId="0" applyNumberFormat="1" applyFont="1" applyFill="1" applyBorder="1" applyAlignment="1">
      <alignment horizontal="right"/>
    </xf>
    <xf numFmtId="3" fontId="27" fillId="9" borderId="3" xfId="0" applyNumberFormat="1" applyFont="1" applyFill="1" applyBorder="1" applyAlignment="1">
      <alignment horizontal="right"/>
    </xf>
    <xf numFmtId="3" fontId="28" fillId="0" borderId="8" xfId="0" applyNumberFormat="1" applyFont="1" applyBorder="1" applyAlignment="1">
      <alignment vertical="center"/>
    </xf>
    <xf numFmtId="3" fontId="27" fillId="0" borderId="23" xfId="0" applyNumberFormat="1" applyFont="1" applyBorder="1"/>
    <xf numFmtId="3" fontId="28" fillId="0" borderId="0" xfId="0" applyNumberFormat="1" applyFont="1" applyAlignment="1">
      <alignment vertical="center"/>
    </xf>
    <xf numFmtId="3" fontId="30" fillId="0" borderId="0" xfId="0" applyNumberFormat="1" applyFont="1"/>
    <xf numFmtId="3" fontId="31" fillId="7" borderId="1" xfId="0" applyNumberFormat="1" applyFont="1" applyFill="1" applyBorder="1"/>
    <xf numFmtId="3" fontId="28" fillId="7" borderId="2" xfId="0" applyNumberFormat="1" applyFont="1" applyFill="1" applyBorder="1" applyAlignment="1">
      <alignment vertical="center"/>
    </xf>
    <xf numFmtId="3" fontId="31" fillId="7" borderId="2" xfId="0" applyNumberFormat="1" applyFont="1" applyFill="1" applyBorder="1"/>
    <xf numFmtId="3" fontId="27" fillId="8" borderId="0" xfId="0" applyNumberFormat="1" applyFont="1" applyFill="1"/>
    <xf numFmtId="10" fontId="27" fillId="0" borderId="28" xfId="0" applyNumberFormat="1" applyFont="1" applyBorder="1"/>
    <xf numFmtId="0" fontId="27" fillId="10" borderId="0" xfId="0" applyFont="1" applyFill="1"/>
    <xf numFmtId="17" fontId="27" fillId="10" borderId="0" xfId="0" applyNumberFormat="1" applyFont="1" applyFill="1"/>
    <xf numFmtId="0" fontId="27" fillId="10" borderId="25" xfId="0" applyFont="1" applyFill="1" applyBorder="1" applyAlignment="1">
      <alignment horizontal="right" wrapText="1"/>
    </xf>
    <xf numFmtId="0" fontId="27" fillId="10" borderId="24" xfId="0" applyFont="1" applyFill="1" applyBorder="1"/>
    <xf numFmtId="17" fontId="27" fillId="10" borderId="26" xfId="0" applyNumberFormat="1" applyFont="1" applyFill="1" applyBorder="1"/>
    <xf numFmtId="0" fontId="27" fillId="10" borderId="27" xfId="0" applyFont="1" applyFill="1" applyBorder="1"/>
    <xf numFmtId="17" fontId="27" fillId="10" borderId="27" xfId="0" applyNumberFormat="1" applyFont="1" applyFill="1" applyBorder="1"/>
    <xf numFmtId="0" fontId="27" fillId="10" borderId="29" xfId="0" applyFont="1" applyFill="1" applyBorder="1"/>
    <xf numFmtId="0" fontId="27" fillId="10" borderId="26" xfId="0" applyFont="1" applyFill="1" applyBorder="1"/>
    <xf numFmtId="0" fontId="28" fillId="10" borderId="27" xfId="0" applyFont="1" applyFill="1" applyBorder="1" applyAlignment="1">
      <alignment vertical="center"/>
    </xf>
    <xf numFmtId="17" fontId="27" fillId="10" borderId="25" xfId="0" applyNumberFormat="1" applyFont="1" applyFill="1" applyBorder="1"/>
    <xf numFmtId="0" fontId="27" fillId="10" borderId="25" xfId="0" applyFont="1" applyFill="1" applyBorder="1"/>
    <xf numFmtId="3" fontId="27" fillId="0" borderId="0" xfId="0" applyNumberFormat="1" applyFont="1"/>
    <xf numFmtId="3" fontId="34" fillId="0" borderId="8" xfId="0" applyNumberFormat="1" applyFont="1" applyBorder="1" applyAlignment="1">
      <alignment horizontal="center"/>
    </xf>
    <xf numFmtId="3" fontId="27" fillId="3" borderId="8" xfId="0" applyNumberFormat="1" applyFont="1" applyFill="1" applyBorder="1" applyAlignment="1">
      <alignment horizontal="right"/>
    </xf>
    <xf numFmtId="3" fontId="30" fillId="11" borderId="0" xfId="1" applyNumberFormat="1" applyFont="1" applyFill="1" applyBorder="1"/>
    <xf numFmtId="3" fontId="30" fillId="11" borderId="0" xfId="0" applyNumberFormat="1" applyFont="1" applyFill="1"/>
    <xf numFmtId="3" fontId="27" fillId="11" borderId="0" xfId="0" applyNumberFormat="1" applyFont="1" applyFill="1"/>
    <xf numFmtId="3" fontId="28" fillId="9" borderId="8" xfId="0" applyNumberFormat="1" applyFont="1" applyFill="1" applyBorder="1" applyAlignment="1">
      <alignment vertical="center"/>
    </xf>
    <xf numFmtId="3" fontId="27" fillId="9" borderId="8" xfId="0" applyNumberFormat="1" applyFont="1" applyFill="1" applyBorder="1" applyAlignment="1">
      <alignment horizontal="right"/>
    </xf>
    <xf numFmtId="3" fontId="31" fillId="8" borderId="2" xfId="0" applyNumberFormat="1" applyFont="1" applyFill="1" applyBorder="1"/>
    <xf numFmtId="3" fontId="27" fillId="5" borderId="0" xfId="0" applyNumberFormat="1" applyFont="1" applyFill="1"/>
    <xf numFmtId="0" fontId="32" fillId="8" borderId="5" xfId="0" applyFont="1" applyFill="1" applyBorder="1" applyAlignment="1">
      <alignment horizontal="center"/>
    </xf>
    <xf numFmtId="0" fontId="32" fillId="0" borderId="5" xfId="0" applyFont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2" fillId="2" borderId="1" xfId="0" applyFont="1" applyFill="1" applyBorder="1" applyAlignment="1">
      <alignment horizontal="center"/>
    </xf>
    <xf numFmtId="0" fontId="32" fillId="2" borderId="2" xfId="0" applyFont="1" applyFill="1" applyBorder="1" applyAlignment="1">
      <alignment horizontal="center"/>
    </xf>
    <xf numFmtId="0" fontId="32" fillId="2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32" fillId="0" borderId="2" xfId="0" applyFont="1" applyBorder="1" applyAlignment="1">
      <alignment horizontal="center"/>
    </xf>
    <xf numFmtId="0" fontId="3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 shrinkToFit="1"/>
    </xf>
    <xf numFmtId="49" fontId="3" fillId="0" borderId="5" xfId="0" applyNumberFormat="1" applyFont="1" applyBorder="1" applyAlignment="1">
      <alignment horizontal="center" vertical="center" shrinkToFit="1"/>
    </xf>
    <xf numFmtId="49" fontId="3" fillId="0" borderId="7" xfId="0" applyNumberFormat="1" applyFont="1" applyBorder="1" applyAlignment="1">
      <alignment horizontal="center" vertical="center" shrinkToFit="1"/>
    </xf>
    <xf numFmtId="164" fontId="27" fillId="0" borderId="0" xfId="0" applyNumberFormat="1" applyFont="1"/>
    <xf numFmtId="3" fontId="35" fillId="0" borderId="0" xfId="0" applyNumberFormat="1" applyFont="1"/>
    <xf numFmtId="4" fontId="27" fillId="0" borderId="0" xfId="0" applyNumberFormat="1" applyFont="1"/>
    <xf numFmtId="4" fontId="33" fillId="0" borderId="0" xfId="0" applyNumberFormat="1" applyFont="1"/>
    <xf numFmtId="4" fontId="27" fillId="5" borderId="0" xfId="0" applyNumberFormat="1" applyFont="1" applyFill="1"/>
    <xf numFmtId="4" fontId="27" fillId="11" borderId="0" xfId="0" applyNumberFormat="1" applyFont="1" applyFill="1"/>
    <xf numFmtId="17" fontId="27" fillId="12" borderId="0" xfId="0" applyNumberFormat="1" applyFont="1" applyFill="1"/>
    <xf numFmtId="0" fontId="27" fillId="12" borderId="0" xfId="0" applyFont="1" applyFill="1"/>
    <xf numFmtId="0" fontId="33" fillId="12" borderId="0" xfId="0" applyFont="1" applyFill="1"/>
    <xf numFmtId="3" fontId="35" fillId="12" borderId="0" xfId="0" applyNumberFormat="1" applyFont="1" applyFill="1"/>
    <xf numFmtId="164" fontId="27" fillId="12" borderId="0" xfId="0" applyNumberFormat="1" applyFont="1" applyFill="1"/>
    <xf numFmtId="4" fontId="27" fillId="12" borderId="0" xfId="0" applyNumberFormat="1" applyFont="1" applyFill="1"/>
    <xf numFmtId="17" fontId="27" fillId="12" borderId="0" xfId="0" applyNumberFormat="1" applyFont="1" applyFill="1" applyAlignment="1">
      <alignment horizontal="center"/>
    </xf>
    <xf numFmtId="17" fontId="27" fillId="0" borderId="0" xfId="0" applyNumberFormat="1" applyFont="1" applyAlignment="1">
      <alignment horizontal="center"/>
    </xf>
    <xf numFmtId="17" fontId="27" fillId="0" borderId="0" xfId="0" applyNumberFormat="1" applyFont="1" applyAlignment="1"/>
    <xf numFmtId="17" fontId="27" fillId="12" borderId="0" xfId="0" applyNumberFormat="1" applyFont="1" applyFill="1" applyAlignment="1"/>
    <xf numFmtId="3" fontId="17" fillId="3" borderId="0" xfId="0" quotePrefix="1" applyNumberFormat="1" applyFont="1" applyFill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cartera</a:t>
            </a:r>
            <a:r>
              <a:rPr lang="es-CO" baseline="0"/>
              <a:t> 2024</a:t>
            </a:r>
            <a:endParaRPr lang="es-CO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'[1]Cartera 2024 CONT '!$A$34:$B$34</c:f>
              <c:strCache>
                <c:ptCount val="1"/>
                <c:pt idx="0">
                  <c:v>Cartera TOTAL CARTERA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val>
            <c:numRef>
              <c:f>'[1]Cartera 2024 CONT '!$C$34:$BC$34</c:f>
              <c:numCache>
                <c:formatCode>General</c:formatCode>
                <c:ptCount val="53"/>
                <c:pt idx="0">
                  <c:v>3339078</c:v>
                </c:pt>
                <c:pt idx="1">
                  <c:v>3339078</c:v>
                </c:pt>
                <c:pt idx="2">
                  <c:v>0</c:v>
                </c:pt>
                <c:pt idx="4">
                  <c:v>0</c:v>
                </c:pt>
                <c:pt idx="5">
                  <c:v>10014493</c:v>
                </c:pt>
                <c:pt idx="6">
                  <c:v>9998199</c:v>
                </c:pt>
                <c:pt idx="7">
                  <c:v>16294</c:v>
                </c:pt>
                <c:pt idx="9">
                  <c:v>0</c:v>
                </c:pt>
                <c:pt idx="10">
                  <c:v>-503652</c:v>
                </c:pt>
                <c:pt idx="11">
                  <c:v>7611797</c:v>
                </c:pt>
                <c:pt idx="12">
                  <c:v>-8115449</c:v>
                </c:pt>
                <c:pt idx="14">
                  <c:v>0</c:v>
                </c:pt>
                <c:pt idx="15">
                  <c:v>7521880</c:v>
                </c:pt>
                <c:pt idx="16">
                  <c:v>7521880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4113100</c:v>
                </c:pt>
                <c:pt idx="21">
                  <c:v>4113100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7121012</c:v>
                </c:pt>
                <c:pt idx="26">
                  <c:v>7098960</c:v>
                </c:pt>
                <c:pt idx="27">
                  <c:v>22052</c:v>
                </c:pt>
                <c:pt idx="28">
                  <c:v>0</c:v>
                </c:pt>
                <c:pt idx="29">
                  <c:v>0</c:v>
                </c:pt>
                <c:pt idx="30">
                  <c:v>5706030</c:v>
                </c:pt>
                <c:pt idx="31">
                  <c:v>5706030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5729801</c:v>
                </c:pt>
                <c:pt idx="36">
                  <c:v>5729801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5729801</c:v>
                </c:pt>
                <c:pt idx="41">
                  <c:v>5729801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-838203</c:v>
                </c:pt>
                <c:pt idx="46">
                  <c:v>-838203</c:v>
                </c:pt>
                <c:pt idx="47">
                  <c:v>0</c:v>
                </c:pt>
                <c:pt idx="48">
                  <c:v>0</c:v>
                </c:pt>
                <c:pt idx="49">
                  <c:v>3676439</c:v>
                </c:pt>
                <c:pt idx="50">
                  <c:v>3673963</c:v>
                </c:pt>
                <c:pt idx="51">
                  <c:v>2476</c:v>
                </c:pt>
                <c:pt idx="52">
                  <c:v>2203523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16-49D0-902D-871AED7E0086}"/>
            </c:ext>
          </c:extLst>
        </c:ser>
        <c:ser>
          <c:idx val="1"/>
          <c:order val="1"/>
          <c:tx>
            <c:strRef>
              <c:f>'[1]Cartera 2024 CONT '!$A$35:$B$35</c:f>
              <c:strCache>
                <c:ptCount val="1"/>
                <c:pt idx="0">
                  <c:v>Facturación CONSIGNACION POR IDENTIFICAR DESDE 2023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val>
            <c:numRef>
              <c:f>'[1]Cartera 2024 CONT '!$C$35:$BC$35</c:f>
              <c:numCache>
                <c:formatCode>General</c:formatCode>
                <c:ptCount val="53"/>
                <c:pt idx="0">
                  <c:v>37511649</c:v>
                </c:pt>
                <c:pt idx="1">
                  <c:v>0</c:v>
                </c:pt>
                <c:pt idx="4">
                  <c:v>0</c:v>
                </c:pt>
                <c:pt idx="5">
                  <c:v>34276752</c:v>
                </c:pt>
                <c:pt idx="6">
                  <c:v>503652</c:v>
                </c:pt>
                <c:pt idx="10">
                  <c:v>34934183</c:v>
                </c:pt>
                <c:pt idx="15">
                  <c:v>50363418</c:v>
                </c:pt>
                <c:pt idx="20">
                  <c:v>34498288</c:v>
                </c:pt>
                <c:pt idx="25">
                  <c:v>51976752</c:v>
                </c:pt>
                <c:pt idx="29">
                  <c:v>0</c:v>
                </c:pt>
                <c:pt idx="30">
                  <c:v>35807963</c:v>
                </c:pt>
                <c:pt idx="31">
                  <c:v>503652</c:v>
                </c:pt>
                <c:pt idx="34">
                  <c:v>0</c:v>
                </c:pt>
                <c:pt idx="35">
                  <c:v>52010804</c:v>
                </c:pt>
                <c:pt idx="36">
                  <c:v>503652</c:v>
                </c:pt>
                <c:pt idx="40">
                  <c:v>38837397</c:v>
                </c:pt>
                <c:pt idx="45">
                  <c:v>28773246</c:v>
                </c:pt>
                <c:pt idx="49">
                  <c:v>27272657</c:v>
                </c:pt>
                <c:pt idx="52">
                  <c:v>25907273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16-49D0-902D-871AED7E0086}"/>
            </c:ext>
          </c:extLst>
        </c:ser>
        <c:ser>
          <c:idx val="2"/>
          <c:order val="2"/>
          <c:tx>
            <c:strRef>
              <c:f>'[1]Cartera 2024 CONT '!$A$36:$B$36</c:f>
              <c:strCache>
                <c:ptCount val="1"/>
                <c:pt idx="0">
                  <c:v>Recaudo</c:v>
                </c:pt>
              </c:strCache>
            </c:strRef>
          </c:tx>
          <c:spPr>
            <a:solidFill>
              <a:srgbClr val="9BBB59"/>
            </a:solidFill>
            <a:ln w="25400">
              <a:noFill/>
            </a:ln>
          </c:spPr>
          <c:invertIfNegative val="0"/>
          <c:val>
            <c:numRef>
              <c:f>'[1]Cartera 2024 CONT '!$C$36:$BC$36</c:f>
              <c:numCache>
                <c:formatCode>General</c:formatCode>
                <c:ptCount val="53"/>
                <c:pt idx="0">
                  <c:v>34172571</c:v>
                </c:pt>
                <c:pt idx="1">
                  <c:v>-3339078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24262259</c:v>
                </c:pt>
                <c:pt idx="6">
                  <c:v>-9494547</c:v>
                </c:pt>
                <c:pt idx="7">
                  <c:v>-16294</c:v>
                </c:pt>
                <c:pt idx="8">
                  <c:v>0</c:v>
                </c:pt>
                <c:pt idx="9">
                  <c:v>0</c:v>
                </c:pt>
                <c:pt idx="10">
                  <c:v>35437835</c:v>
                </c:pt>
                <c:pt idx="11">
                  <c:v>-7611797</c:v>
                </c:pt>
                <c:pt idx="12">
                  <c:v>8115449</c:v>
                </c:pt>
                <c:pt idx="13">
                  <c:v>0</c:v>
                </c:pt>
                <c:pt idx="14">
                  <c:v>0</c:v>
                </c:pt>
                <c:pt idx="15">
                  <c:v>42841538</c:v>
                </c:pt>
                <c:pt idx="16">
                  <c:v>-7521880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30385188</c:v>
                </c:pt>
                <c:pt idx="21">
                  <c:v>-4113100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44855740</c:v>
                </c:pt>
                <c:pt idx="26">
                  <c:v>-7098960</c:v>
                </c:pt>
                <c:pt idx="27">
                  <c:v>-22052</c:v>
                </c:pt>
                <c:pt idx="28">
                  <c:v>0</c:v>
                </c:pt>
                <c:pt idx="29">
                  <c:v>0</c:v>
                </c:pt>
                <c:pt idx="30">
                  <c:v>30101933</c:v>
                </c:pt>
                <c:pt idx="31">
                  <c:v>-5202378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46281003</c:v>
                </c:pt>
                <c:pt idx="36">
                  <c:v>-5226149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33107596</c:v>
                </c:pt>
                <c:pt idx="41">
                  <c:v>-5729801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29611449</c:v>
                </c:pt>
                <c:pt idx="46">
                  <c:v>838203</c:v>
                </c:pt>
                <c:pt idx="47">
                  <c:v>0</c:v>
                </c:pt>
                <c:pt idx="48">
                  <c:v>0</c:v>
                </c:pt>
                <c:pt idx="49">
                  <c:v>23596218</c:v>
                </c:pt>
                <c:pt idx="50">
                  <c:v>-3673963</c:v>
                </c:pt>
                <c:pt idx="51">
                  <c:v>-2476</c:v>
                </c:pt>
                <c:pt idx="52">
                  <c:v>23703750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16-49D0-902D-871AED7E0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712448"/>
        <c:axId val="1"/>
      </c:barChart>
      <c:lineChart>
        <c:grouping val="standard"/>
        <c:varyColors val="0"/>
        <c:ser>
          <c:idx val="3"/>
          <c:order val="3"/>
          <c:tx>
            <c:strRef>
              <c:f>'[1]Cartera 2024 CONT '!$A$37:$B$37</c:f>
              <c:strCache>
                <c:ptCount val="1"/>
                <c:pt idx="0">
                  <c:v>%cartera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'[1]Cartera 2024 CONT '!$C$37:$BC$37</c:f>
              <c:numCache>
                <c:formatCode>General</c:formatCode>
                <c:ptCount val="53"/>
                <c:pt idx="0">
                  <c:v>8.9014428557912764E-2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0.29216575129405492</c:v>
                </c:pt>
                <c:pt idx="6">
                  <c:v>19.851403349932095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-1.4417168422115382E-2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0.14935205549393013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0.1192262062395676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0.13700378969428487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0.159350868408795</c:v>
                </c:pt>
                <c:pt idx="31">
                  <c:v>11.329310714540993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0.11016559174897585</c:v>
                </c:pt>
                <c:pt idx="36">
                  <c:v>11.376507985672648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0.14753308518590985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-2.9131332627538791E-2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0.13480311067601516</c:v>
                </c:pt>
                <c:pt idx="50">
                  <c:v>0</c:v>
                </c:pt>
                <c:pt idx="51">
                  <c:v>0</c:v>
                </c:pt>
                <c:pt idx="52">
                  <c:v>8.5054223962514316E-2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16-49D0-902D-871AED7E0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7771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712448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"/>
        <c:crosses val="max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Cartera</a:t>
            </a:r>
            <a:r>
              <a:rPr lang="es-CO" baseline="0"/>
              <a:t> 2026</a:t>
            </a:r>
            <a:endParaRPr lang="es-CO"/>
          </a:p>
        </c:rich>
      </c:tx>
      <c:layout>
        <c:manualLayout>
          <c:xMode val="edge"/>
          <c:yMode val="edge"/>
          <c:x val="0.5229882044560944"/>
          <c:y val="2.531645569620253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'CARTERA 2026'!$A$35:$B$35</c:f>
              <c:strCache>
                <c:ptCount val="2"/>
                <c:pt idx="0">
                  <c:v>Cartera</c:v>
                </c:pt>
                <c:pt idx="1">
                  <c:v>TOTAL CARTERA</c:v>
                </c:pt>
              </c:strCache>
            </c:strRef>
          </c:tx>
          <c:invertIfNegative val="0"/>
          <c:cat>
            <c:numRef>
              <c:f>'CARTERA 2026'!$C$34:$BF$34</c:f>
              <c:numCache>
                <c:formatCode>mmm\-yy</c:formatCode>
                <c:ptCount val="5"/>
                <c:pt idx="0">
                  <c:v>46143</c:v>
                </c:pt>
                <c:pt idx="1">
                  <c:v>46113</c:v>
                </c:pt>
                <c:pt idx="2">
                  <c:v>46082</c:v>
                </c:pt>
                <c:pt idx="3">
                  <c:v>46054</c:v>
                </c:pt>
                <c:pt idx="4">
                  <c:v>46023</c:v>
                </c:pt>
              </c:numCache>
            </c:numRef>
          </c:cat>
          <c:val>
            <c:numRef>
              <c:f>'CARTERA 2026'!$C$35:$BF$35</c:f>
              <c:numCache>
                <c:formatCode>#,##0</c:formatCode>
                <c:ptCount val="5"/>
                <c:pt idx="0">
                  <c:v>16430508</c:v>
                </c:pt>
                <c:pt idx="1">
                  <c:v>9722834</c:v>
                </c:pt>
                <c:pt idx="2">
                  <c:v>7472643</c:v>
                </c:pt>
                <c:pt idx="3">
                  <c:v>12688003</c:v>
                </c:pt>
                <c:pt idx="4">
                  <c:v>10621622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B1-4AB2-9ACF-910D5A32060A}"/>
            </c:ext>
          </c:extLst>
        </c:ser>
        <c:ser>
          <c:idx val="2"/>
          <c:order val="1"/>
          <c:tx>
            <c:strRef>
              <c:f>'CARTERA 2026'!$A$36:$B$36</c:f>
              <c:strCache>
                <c:ptCount val="2"/>
                <c:pt idx="0">
                  <c:v>Facturación</c:v>
                </c:pt>
              </c:strCache>
            </c:strRef>
          </c:tx>
          <c:invertIfNegative val="0"/>
          <c:cat>
            <c:numRef>
              <c:f>'CARTERA 2026'!$C$34:$BF$34</c:f>
              <c:numCache>
                <c:formatCode>mmm\-yy</c:formatCode>
                <c:ptCount val="5"/>
                <c:pt idx="0">
                  <c:v>46143</c:v>
                </c:pt>
                <c:pt idx="1">
                  <c:v>46113</c:v>
                </c:pt>
                <c:pt idx="2">
                  <c:v>46082</c:v>
                </c:pt>
                <c:pt idx="3">
                  <c:v>46054</c:v>
                </c:pt>
                <c:pt idx="4">
                  <c:v>46023</c:v>
                </c:pt>
              </c:numCache>
            </c:numRef>
          </c:cat>
          <c:val>
            <c:numRef>
              <c:f>'CARTERA 2026'!$C$36:$BF$36</c:f>
              <c:numCache>
                <c:formatCode>#,##0</c:formatCode>
                <c:ptCount val="5"/>
                <c:pt idx="0">
                  <c:v>42175564</c:v>
                </c:pt>
                <c:pt idx="1">
                  <c:v>41856469</c:v>
                </c:pt>
                <c:pt idx="2">
                  <c:v>44146815</c:v>
                </c:pt>
                <c:pt idx="3">
                  <c:v>42045301</c:v>
                </c:pt>
                <c:pt idx="4">
                  <c:v>37965345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B1-4AB2-9ACF-910D5A32060A}"/>
            </c:ext>
          </c:extLst>
        </c:ser>
        <c:ser>
          <c:idx val="3"/>
          <c:order val="2"/>
          <c:tx>
            <c:strRef>
              <c:f>'CARTERA 2026'!$A$37:$B$37</c:f>
              <c:strCache>
                <c:ptCount val="2"/>
                <c:pt idx="0">
                  <c:v>Recaudo</c:v>
                </c:pt>
              </c:strCache>
            </c:strRef>
          </c:tx>
          <c:invertIfNegative val="0"/>
          <c:cat>
            <c:numRef>
              <c:f>'CARTERA 2026'!$C$34:$BF$34</c:f>
              <c:numCache>
                <c:formatCode>mmm\-yy</c:formatCode>
                <c:ptCount val="5"/>
                <c:pt idx="0">
                  <c:v>46143</c:v>
                </c:pt>
                <c:pt idx="1">
                  <c:v>46113</c:v>
                </c:pt>
                <c:pt idx="2">
                  <c:v>46082</c:v>
                </c:pt>
                <c:pt idx="3">
                  <c:v>46054</c:v>
                </c:pt>
                <c:pt idx="4">
                  <c:v>46023</c:v>
                </c:pt>
              </c:numCache>
            </c:numRef>
          </c:cat>
          <c:val>
            <c:numRef>
              <c:f>'CARTERA 2026'!$C$37:$BF$37</c:f>
              <c:numCache>
                <c:formatCode>#,##0</c:formatCode>
                <c:ptCount val="5"/>
                <c:pt idx="0">
                  <c:v>35817687</c:v>
                </c:pt>
                <c:pt idx="1">
                  <c:v>40282126</c:v>
                </c:pt>
                <c:pt idx="2">
                  <c:v>35095501</c:v>
                </c:pt>
                <c:pt idx="3">
                  <c:v>29357298</c:v>
                </c:pt>
                <c:pt idx="4">
                  <c:v>27365040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B1-4AB2-9ACF-910D5A320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8"/>
        <c:axId val="77712448"/>
        <c:axId val="1"/>
      </c:barChart>
      <c:lineChart>
        <c:grouping val="standard"/>
        <c:varyColors val="0"/>
        <c:ser>
          <c:idx val="0"/>
          <c:order val="3"/>
          <c:tx>
            <c:strRef>
              <c:f>'CARTERA 2026'!$A$38:$B$38</c:f>
              <c:strCache>
                <c:ptCount val="2"/>
                <c:pt idx="0">
                  <c:v>%cartera</c:v>
                </c:pt>
              </c:strCache>
            </c:strRef>
          </c:tx>
          <c:dLbls>
            <c:dLbl>
              <c:idx val="0"/>
              <c:layout>
                <c:manualLayout>
                  <c:x val="-1.2028430836522689E-2"/>
                  <c:y val="-0.156118143459915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FB1-4AB2-9ACF-910D5A32060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FB1-4AB2-9ACF-910D5A32060A}"/>
                </c:ext>
              </c:extLst>
            </c:dLbl>
            <c:dLbl>
              <c:idx val="4"/>
              <c:layout>
                <c:manualLayout>
                  <c:x val="-4.853128991060035E-2"/>
                  <c:y val="-8.0160320641282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FB1-4AB2-9ACF-910D5A32060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'CARTERA 2026'!$C$34:$BF$34</c:f>
              <c:numCache>
                <c:formatCode>mmm\-yy</c:formatCode>
                <c:ptCount val="5"/>
                <c:pt idx="0">
                  <c:v>46143</c:v>
                </c:pt>
                <c:pt idx="1">
                  <c:v>46113</c:v>
                </c:pt>
                <c:pt idx="2">
                  <c:v>46082</c:v>
                </c:pt>
                <c:pt idx="3">
                  <c:v>46054</c:v>
                </c:pt>
                <c:pt idx="4">
                  <c:v>46023</c:v>
                </c:pt>
              </c:numCache>
            </c:numRef>
          </c:cat>
          <c:val>
            <c:numRef>
              <c:f>'CARTERA 2026'!$C$38:$BF$38</c:f>
              <c:numCache>
                <c:formatCode>0.00%</c:formatCode>
                <c:ptCount val="5"/>
                <c:pt idx="0">
                  <c:v>0.38957411452754964</c:v>
                </c:pt>
                <c:pt idx="1">
                  <c:v>0.23228987614793786</c:v>
                </c:pt>
                <c:pt idx="2">
                  <c:v>0.16926799815569935</c:v>
                </c:pt>
                <c:pt idx="3">
                  <c:v>0.3017698220307663</c:v>
                </c:pt>
                <c:pt idx="4">
                  <c:v>0.27977151267820694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FB1-4AB2-9ACF-910D5A320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dateAx>
        <c:axId val="777124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"/>
        <c:crosses val="autoZero"/>
        <c:auto val="1"/>
        <c:lblOffset val="100"/>
        <c:baseTimeUnit val="months"/>
      </c:date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$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712448"/>
        <c:crosses val="autoZero"/>
        <c:crossBetween val="between"/>
      </c:valAx>
      <c:dateAx>
        <c:axId val="3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4"/>
        <c:crosses val="autoZero"/>
        <c:auto val="1"/>
        <c:lblOffset val="100"/>
        <c:baseTimeUnit val="months"/>
      </c:dateAx>
      <c:valAx>
        <c:axId val="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s-CO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'CARTERA 2026'!$BK$3</c:f>
              <c:strCache>
                <c:ptCount val="1"/>
                <c:pt idx="0">
                  <c:v>Cuota Administracion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'CARTERA 2026'!$BJ$4:$BJ$32</c:f>
              <c:numCache>
                <c:formatCode>General</c:formatCode>
                <c:ptCount val="29"/>
                <c:pt idx="0">
                  <c:v>101</c:v>
                </c:pt>
                <c:pt idx="1">
                  <c:v>102</c:v>
                </c:pt>
                <c:pt idx="2">
                  <c:v>103</c:v>
                </c:pt>
                <c:pt idx="3">
                  <c:v>104</c:v>
                </c:pt>
                <c:pt idx="4">
                  <c:v>105</c:v>
                </c:pt>
                <c:pt idx="5">
                  <c:v>106</c:v>
                </c:pt>
                <c:pt idx="6">
                  <c:v>107</c:v>
                </c:pt>
                <c:pt idx="7">
                  <c:v>108</c:v>
                </c:pt>
                <c:pt idx="8">
                  <c:v>109</c:v>
                </c:pt>
                <c:pt idx="9">
                  <c:v>110</c:v>
                </c:pt>
                <c:pt idx="10">
                  <c:v>111</c:v>
                </c:pt>
                <c:pt idx="11">
                  <c:v>112</c:v>
                </c:pt>
                <c:pt idx="12">
                  <c:v>113</c:v>
                </c:pt>
                <c:pt idx="13">
                  <c:v>114</c:v>
                </c:pt>
                <c:pt idx="14">
                  <c:v>115</c:v>
                </c:pt>
                <c:pt idx="15">
                  <c:v>116</c:v>
                </c:pt>
                <c:pt idx="16">
                  <c:v>117</c:v>
                </c:pt>
                <c:pt idx="17">
                  <c:v>118</c:v>
                </c:pt>
                <c:pt idx="18">
                  <c:v>119</c:v>
                </c:pt>
                <c:pt idx="19">
                  <c:v>120</c:v>
                </c:pt>
                <c:pt idx="20">
                  <c:v>121</c:v>
                </c:pt>
                <c:pt idx="21">
                  <c:v>122</c:v>
                </c:pt>
                <c:pt idx="22">
                  <c:v>123</c:v>
                </c:pt>
                <c:pt idx="23">
                  <c:v>124</c:v>
                </c:pt>
                <c:pt idx="24">
                  <c:v>125</c:v>
                </c:pt>
                <c:pt idx="25">
                  <c:v>126</c:v>
                </c:pt>
                <c:pt idx="26">
                  <c:v>127</c:v>
                </c:pt>
                <c:pt idx="27">
                  <c:v>128</c:v>
                </c:pt>
                <c:pt idx="28">
                  <c:v>129</c:v>
                </c:pt>
              </c:numCache>
            </c:numRef>
          </c:cat>
          <c:val>
            <c:numRef>
              <c:f>'CARTERA 2026'!$BK$4:$BK$32</c:f>
            </c:numRef>
          </c:val>
          <c:extLst>
            <c:ext xmlns:c16="http://schemas.microsoft.com/office/drawing/2014/chart" uri="{C3380CC4-5D6E-409C-BE32-E72D297353CC}">
              <c16:uniqueId val="{00000000-2EFF-4E1C-B766-1C3BF46D79D1}"/>
            </c:ext>
          </c:extLst>
        </c:ser>
        <c:ser>
          <c:idx val="4"/>
          <c:order val="4"/>
          <c:tx>
            <c:strRef>
              <c:f>'CARTERA 2026'!$BO$3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'CARTERA 2026'!$BJ$4:$BJ$32</c:f>
              <c:numCache>
                <c:formatCode>General</c:formatCode>
                <c:ptCount val="29"/>
                <c:pt idx="0">
                  <c:v>101</c:v>
                </c:pt>
                <c:pt idx="1">
                  <c:v>102</c:v>
                </c:pt>
                <c:pt idx="2">
                  <c:v>103</c:v>
                </c:pt>
                <c:pt idx="3">
                  <c:v>104</c:v>
                </c:pt>
                <c:pt idx="4">
                  <c:v>105</c:v>
                </c:pt>
                <c:pt idx="5">
                  <c:v>106</c:v>
                </c:pt>
                <c:pt idx="6">
                  <c:v>107</c:v>
                </c:pt>
                <c:pt idx="7">
                  <c:v>108</c:v>
                </c:pt>
                <c:pt idx="8">
                  <c:v>109</c:v>
                </c:pt>
                <c:pt idx="9">
                  <c:v>110</c:v>
                </c:pt>
                <c:pt idx="10">
                  <c:v>111</c:v>
                </c:pt>
                <c:pt idx="11">
                  <c:v>112</c:v>
                </c:pt>
                <c:pt idx="12">
                  <c:v>113</c:v>
                </c:pt>
                <c:pt idx="13">
                  <c:v>114</c:v>
                </c:pt>
                <c:pt idx="14">
                  <c:v>115</c:v>
                </c:pt>
                <c:pt idx="15">
                  <c:v>116</c:v>
                </c:pt>
                <c:pt idx="16">
                  <c:v>117</c:v>
                </c:pt>
                <c:pt idx="17">
                  <c:v>118</c:v>
                </c:pt>
                <c:pt idx="18">
                  <c:v>119</c:v>
                </c:pt>
                <c:pt idx="19">
                  <c:v>120</c:v>
                </c:pt>
                <c:pt idx="20">
                  <c:v>121</c:v>
                </c:pt>
                <c:pt idx="21">
                  <c:v>122</c:v>
                </c:pt>
                <c:pt idx="22">
                  <c:v>123</c:v>
                </c:pt>
                <c:pt idx="23">
                  <c:v>124</c:v>
                </c:pt>
                <c:pt idx="24">
                  <c:v>125</c:v>
                </c:pt>
                <c:pt idx="25">
                  <c:v>126</c:v>
                </c:pt>
                <c:pt idx="26">
                  <c:v>127</c:v>
                </c:pt>
                <c:pt idx="27">
                  <c:v>128</c:v>
                </c:pt>
                <c:pt idx="28">
                  <c:v>129</c:v>
                </c:pt>
              </c:numCache>
            </c:numRef>
          </c:cat>
          <c:val>
            <c:numRef>
              <c:f>'CARTERA 2026'!$BO$4:$BO$32</c:f>
            </c:numRef>
          </c:val>
          <c:extLst>
            <c:ext xmlns:c16="http://schemas.microsoft.com/office/drawing/2014/chart" uri="{C3380CC4-5D6E-409C-BE32-E72D297353CC}">
              <c16:uniqueId val="{00000004-2EFF-4E1C-B766-1C3BF46D79D1}"/>
            </c:ext>
          </c:extLst>
        </c:ser>
        <c:ser>
          <c:idx val="5"/>
          <c:order val="5"/>
          <c:tx>
            <c:strRef>
              <c:f>'CARTERA 2026'!$BP$3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'CARTERA 2026'!$BJ$4:$BJ$32</c:f>
              <c:numCache>
                <c:formatCode>General</c:formatCode>
                <c:ptCount val="29"/>
                <c:pt idx="0">
                  <c:v>101</c:v>
                </c:pt>
                <c:pt idx="1">
                  <c:v>102</c:v>
                </c:pt>
                <c:pt idx="2">
                  <c:v>103</c:v>
                </c:pt>
                <c:pt idx="3">
                  <c:v>104</c:v>
                </c:pt>
                <c:pt idx="4">
                  <c:v>105</c:v>
                </c:pt>
                <c:pt idx="5">
                  <c:v>106</c:v>
                </c:pt>
                <c:pt idx="6">
                  <c:v>107</c:v>
                </c:pt>
                <c:pt idx="7">
                  <c:v>108</c:v>
                </c:pt>
                <c:pt idx="8">
                  <c:v>109</c:v>
                </c:pt>
                <c:pt idx="9">
                  <c:v>110</c:v>
                </c:pt>
                <c:pt idx="10">
                  <c:v>111</c:v>
                </c:pt>
                <c:pt idx="11">
                  <c:v>112</c:v>
                </c:pt>
                <c:pt idx="12">
                  <c:v>113</c:v>
                </c:pt>
                <c:pt idx="13">
                  <c:v>114</c:v>
                </c:pt>
                <c:pt idx="14">
                  <c:v>115</c:v>
                </c:pt>
                <c:pt idx="15">
                  <c:v>116</c:v>
                </c:pt>
                <c:pt idx="16">
                  <c:v>117</c:v>
                </c:pt>
                <c:pt idx="17">
                  <c:v>118</c:v>
                </c:pt>
                <c:pt idx="18">
                  <c:v>119</c:v>
                </c:pt>
                <c:pt idx="19">
                  <c:v>120</c:v>
                </c:pt>
                <c:pt idx="20">
                  <c:v>121</c:v>
                </c:pt>
                <c:pt idx="21">
                  <c:v>122</c:v>
                </c:pt>
                <c:pt idx="22">
                  <c:v>123</c:v>
                </c:pt>
                <c:pt idx="23">
                  <c:v>124</c:v>
                </c:pt>
                <c:pt idx="24">
                  <c:v>125</c:v>
                </c:pt>
                <c:pt idx="25">
                  <c:v>126</c:v>
                </c:pt>
                <c:pt idx="26">
                  <c:v>127</c:v>
                </c:pt>
                <c:pt idx="27">
                  <c:v>128</c:v>
                </c:pt>
                <c:pt idx="28">
                  <c:v>129</c:v>
                </c:pt>
              </c:numCache>
            </c:numRef>
          </c:cat>
          <c:val>
            <c:numRef>
              <c:f>'CARTERA 2026'!$BP$4:$BP$32</c:f>
            </c:numRef>
          </c:val>
          <c:extLst>
            <c:ext xmlns:c16="http://schemas.microsoft.com/office/drawing/2014/chart" uri="{C3380CC4-5D6E-409C-BE32-E72D297353CC}">
              <c16:uniqueId val="{00000005-2EFF-4E1C-B766-1C3BF46D79D1}"/>
            </c:ext>
          </c:extLst>
        </c:ser>
        <c:ser>
          <c:idx val="6"/>
          <c:order val="6"/>
          <c:tx>
            <c:strRef>
              <c:f>'CARTERA 2026'!$BQ$3</c:f>
              <c:strCache>
                <c:ptCount val="1"/>
                <c:pt idx="0">
                  <c:v>feb-26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'CARTERA 2026'!$BJ$4:$BJ$32</c:f>
              <c:numCache>
                <c:formatCode>General</c:formatCode>
                <c:ptCount val="29"/>
                <c:pt idx="0">
                  <c:v>101</c:v>
                </c:pt>
                <c:pt idx="1">
                  <c:v>102</c:v>
                </c:pt>
                <c:pt idx="2">
                  <c:v>103</c:v>
                </c:pt>
                <c:pt idx="3">
                  <c:v>104</c:v>
                </c:pt>
                <c:pt idx="4">
                  <c:v>105</c:v>
                </c:pt>
                <c:pt idx="5">
                  <c:v>106</c:v>
                </c:pt>
                <c:pt idx="6">
                  <c:v>107</c:v>
                </c:pt>
                <c:pt idx="7">
                  <c:v>108</c:v>
                </c:pt>
                <c:pt idx="8">
                  <c:v>109</c:v>
                </c:pt>
                <c:pt idx="9">
                  <c:v>110</c:v>
                </c:pt>
                <c:pt idx="10">
                  <c:v>111</c:v>
                </c:pt>
                <c:pt idx="11">
                  <c:v>112</c:v>
                </c:pt>
                <c:pt idx="12">
                  <c:v>113</c:v>
                </c:pt>
                <c:pt idx="13">
                  <c:v>114</c:v>
                </c:pt>
                <c:pt idx="14">
                  <c:v>115</c:v>
                </c:pt>
                <c:pt idx="15">
                  <c:v>116</c:v>
                </c:pt>
                <c:pt idx="16">
                  <c:v>117</c:v>
                </c:pt>
                <c:pt idx="17">
                  <c:v>118</c:v>
                </c:pt>
                <c:pt idx="18">
                  <c:v>119</c:v>
                </c:pt>
                <c:pt idx="19">
                  <c:v>120</c:v>
                </c:pt>
                <c:pt idx="20">
                  <c:v>121</c:v>
                </c:pt>
                <c:pt idx="21">
                  <c:v>122</c:v>
                </c:pt>
                <c:pt idx="22">
                  <c:v>123</c:v>
                </c:pt>
                <c:pt idx="23">
                  <c:v>124</c:v>
                </c:pt>
                <c:pt idx="24">
                  <c:v>125</c:v>
                </c:pt>
                <c:pt idx="25">
                  <c:v>126</c:v>
                </c:pt>
                <c:pt idx="26">
                  <c:v>127</c:v>
                </c:pt>
                <c:pt idx="27">
                  <c:v>128</c:v>
                </c:pt>
                <c:pt idx="28">
                  <c:v>129</c:v>
                </c:pt>
              </c:numCache>
            </c:numRef>
          </c:cat>
          <c:val>
            <c:numRef>
              <c:f>'CARTERA 2026'!$BQ$4:$BQ$32</c:f>
              <c:numCache>
                <c:formatCode>#,##0.00</c:formatCode>
                <c:ptCount val="29"/>
                <c:pt idx="0">
                  <c:v>3.0154535395044051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0.21105037970748075</c:v>
                </c:pt>
                <c:pt idx="5">
                  <c:v>0</c:v>
                </c:pt>
                <c:pt idx="6">
                  <c:v>0</c:v>
                </c:pt>
                <c:pt idx="7">
                  <c:v>-2.8051927493333304E-3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-2.7648546408343262E-2</c:v>
                </c:pt>
                <c:pt idx="12">
                  <c:v>0</c:v>
                </c:pt>
                <c:pt idx="13">
                  <c:v>0</c:v>
                </c:pt>
                <c:pt idx="14">
                  <c:v>-1.7296244923415166E-2</c:v>
                </c:pt>
                <c:pt idx="15">
                  <c:v>6.4495413608069607E-4</c:v>
                </c:pt>
                <c:pt idx="16">
                  <c:v>-1.8983830130368765E-2</c:v>
                </c:pt>
                <c:pt idx="17">
                  <c:v>1.0926474178826073</c:v>
                </c:pt>
                <c:pt idx="18">
                  <c:v>1.353481354189783</c:v>
                </c:pt>
                <c:pt idx="19">
                  <c:v>1.8078145807788903</c:v>
                </c:pt>
                <c:pt idx="20">
                  <c:v>0.94908848269947876</c:v>
                </c:pt>
                <c:pt idx="21">
                  <c:v>1.0849610134575769</c:v>
                </c:pt>
                <c:pt idx="22">
                  <c:v>0</c:v>
                </c:pt>
                <c:pt idx="23">
                  <c:v>0</c:v>
                </c:pt>
                <c:pt idx="24">
                  <c:v>1.367124023324195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FF-4E1C-B766-1C3BF46D79D1}"/>
            </c:ext>
          </c:extLst>
        </c:ser>
        <c:ser>
          <c:idx val="7"/>
          <c:order val="7"/>
          <c:tx>
            <c:strRef>
              <c:f>'CARTERA 2026'!$BR$3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'CARTERA 2026'!$BJ$4:$BJ$32</c:f>
              <c:numCache>
                <c:formatCode>General</c:formatCode>
                <c:ptCount val="29"/>
                <c:pt idx="0">
                  <c:v>101</c:v>
                </c:pt>
                <c:pt idx="1">
                  <c:v>102</c:v>
                </c:pt>
                <c:pt idx="2">
                  <c:v>103</c:v>
                </c:pt>
                <c:pt idx="3">
                  <c:v>104</c:v>
                </c:pt>
                <c:pt idx="4">
                  <c:v>105</c:v>
                </c:pt>
                <c:pt idx="5">
                  <c:v>106</c:v>
                </c:pt>
                <c:pt idx="6">
                  <c:v>107</c:v>
                </c:pt>
                <c:pt idx="7">
                  <c:v>108</c:v>
                </c:pt>
                <c:pt idx="8">
                  <c:v>109</c:v>
                </c:pt>
                <c:pt idx="9">
                  <c:v>110</c:v>
                </c:pt>
                <c:pt idx="10">
                  <c:v>111</c:v>
                </c:pt>
                <c:pt idx="11">
                  <c:v>112</c:v>
                </c:pt>
                <c:pt idx="12">
                  <c:v>113</c:v>
                </c:pt>
                <c:pt idx="13">
                  <c:v>114</c:v>
                </c:pt>
                <c:pt idx="14">
                  <c:v>115</c:v>
                </c:pt>
                <c:pt idx="15">
                  <c:v>116</c:v>
                </c:pt>
                <c:pt idx="16">
                  <c:v>117</c:v>
                </c:pt>
                <c:pt idx="17">
                  <c:v>118</c:v>
                </c:pt>
                <c:pt idx="18">
                  <c:v>119</c:v>
                </c:pt>
                <c:pt idx="19">
                  <c:v>120</c:v>
                </c:pt>
                <c:pt idx="20">
                  <c:v>121</c:v>
                </c:pt>
                <c:pt idx="21">
                  <c:v>122</c:v>
                </c:pt>
                <c:pt idx="22">
                  <c:v>123</c:v>
                </c:pt>
                <c:pt idx="23">
                  <c:v>124</c:v>
                </c:pt>
                <c:pt idx="24">
                  <c:v>125</c:v>
                </c:pt>
                <c:pt idx="25">
                  <c:v>126</c:v>
                </c:pt>
                <c:pt idx="26">
                  <c:v>127</c:v>
                </c:pt>
                <c:pt idx="27">
                  <c:v>128</c:v>
                </c:pt>
                <c:pt idx="28">
                  <c:v>129</c:v>
                </c:pt>
              </c:numCache>
            </c:numRef>
          </c:cat>
          <c:val>
            <c:numRef>
              <c:f>'CARTERA 2026'!$BR$4:$BR$32</c:f>
            </c:numRef>
          </c:val>
          <c:extLst>
            <c:ext xmlns:c16="http://schemas.microsoft.com/office/drawing/2014/chart" uri="{C3380CC4-5D6E-409C-BE32-E72D297353CC}">
              <c16:uniqueId val="{00000007-2EFF-4E1C-B766-1C3BF46D79D1}"/>
            </c:ext>
          </c:extLst>
        </c:ser>
        <c:ser>
          <c:idx val="8"/>
          <c:order val="8"/>
          <c:tx>
            <c:strRef>
              <c:f>'CARTERA 2026'!$BS$3</c:f>
              <c:strCache>
                <c:ptCount val="1"/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'CARTERA 2026'!$BJ$4:$BJ$32</c:f>
              <c:numCache>
                <c:formatCode>General</c:formatCode>
                <c:ptCount val="29"/>
                <c:pt idx="0">
                  <c:v>101</c:v>
                </c:pt>
                <c:pt idx="1">
                  <c:v>102</c:v>
                </c:pt>
                <c:pt idx="2">
                  <c:v>103</c:v>
                </c:pt>
                <c:pt idx="3">
                  <c:v>104</c:v>
                </c:pt>
                <c:pt idx="4">
                  <c:v>105</c:v>
                </c:pt>
                <c:pt idx="5">
                  <c:v>106</c:v>
                </c:pt>
                <c:pt idx="6">
                  <c:v>107</c:v>
                </c:pt>
                <c:pt idx="7">
                  <c:v>108</c:v>
                </c:pt>
                <c:pt idx="8">
                  <c:v>109</c:v>
                </c:pt>
                <c:pt idx="9">
                  <c:v>110</c:v>
                </c:pt>
                <c:pt idx="10">
                  <c:v>111</c:v>
                </c:pt>
                <c:pt idx="11">
                  <c:v>112</c:v>
                </c:pt>
                <c:pt idx="12">
                  <c:v>113</c:v>
                </c:pt>
                <c:pt idx="13">
                  <c:v>114</c:v>
                </c:pt>
                <c:pt idx="14">
                  <c:v>115</c:v>
                </c:pt>
                <c:pt idx="15">
                  <c:v>116</c:v>
                </c:pt>
                <c:pt idx="16">
                  <c:v>117</c:v>
                </c:pt>
                <c:pt idx="17">
                  <c:v>118</c:v>
                </c:pt>
                <c:pt idx="18">
                  <c:v>119</c:v>
                </c:pt>
                <c:pt idx="19">
                  <c:v>120</c:v>
                </c:pt>
                <c:pt idx="20">
                  <c:v>121</c:v>
                </c:pt>
                <c:pt idx="21">
                  <c:v>122</c:v>
                </c:pt>
                <c:pt idx="22">
                  <c:v>123</c:v>
                </c:pt>
                <c:pt idx="23">
                  <c:v>124</c:v>
                </c:pt>
                <c:pt idx="24">
                  <c:v>125</c:v>
                </c:pt>
                <c:pt idx="25">
                  <c:v>126</c:v>
                </c:pt>
                <c:pt idx="26">
                  <c:v>127</c:v>
                </c:pt>
                <c:pt idx="27">
                  <c:v>128</c:v>
                </c:pt>
                <c:pt idx="28">
                  <c:v>129</c:v>
                </c:pt>
              </c:numCache>
            </c:numRef>
          </c:cat>
          <c:val>
            <c:numRef>
              <c:f>'CARTERA 2026'!$BS$4:$BS$32</c:f>
            </c:numRef>
          </c:val>
          <c:extLst>
            <c:ext xmlns:c16="http://schemas.microsoft.com/office/drawing/2014/chart" uri="{C3380CC4-5D6E-409C-BE32-E72D297353CC}">
              <c16:uniqueId val="{00000008-2EFF-4E1C-B766-1C3BF46D79D1}"/>
            </c:ext>
          </c:extLst>
        </c:ser>
        <c:ser>
          <c:idx val="9"/>
          <c:order val="9"/>
          <c:tx>
            <c:strRef>
              <c:f>'CARTERA 2026'!$BT$3</c:f>
              <c:strCache>
                <c:ptCount val="1"/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'CARTERA 2026'!$BJ$4:$BJ$32</c:f>
              <c:numCache>
                <c:formatCode>General</c:formatCode>
                <c:ptCount val="29"/>
                <c:pt idx="0">
                  <c:v>101</c:v>
                </c:pt>
                <c:pt idx="1">
                  <c:v>102</c:v>
                </c:pt>
                <c:pt idx="2">
                  <c:v>103</c:v>
                </c:pt>
                <c:pt idx="3">
                  <c:v>104</c:v>
                </c:pt>
                <c:pt idx="4">
                  <c:v>105</c:v>
                </c:pt>
                <c:pt idx="5">
                  <c:v>106</c:v>
                </c:pt>
                <c:pt idx="6">
                  <c:v>107</c:v>
                </c:pt>
                <c:pt idx="7">
                  <c:v>108</c:v>
                </c:pt>
                <c:pt idx="8">
                  <c:v>109</c:v>
                </c:pt>
                <c:pt idx="9">
                  <c:v>110</c:v>
                </c:pt>
                <c:pt idx="10">
                  <c:v>111</c:v>
                </c:pt>
                <c:pt idx="11">
                  <c:v>112</c:v>
                </c:pt>
                <c:pt idx="12">
                  <c:v>113</c:v>
                </c:pt>
                <c:pt idx="13">
                  <c:v>114</c:v>
                </c:pt>
                <c:pt idx="14">
                  <c:v>115</c:v>
                </c:pt>
                <c:pt idx="15">
                  <c:v>116</c:v>
                </c:pt>
                <c:pt idx="16">
                  <c:v>117</c:v>
                </c:pt>
                <c:pt idx="17">
                  <c:v>118</c:v>
                </c:pt>
                <c:pt idx="18">
                  <c:v>119</c:v>
                </c:pt>
                <c:pt idx="19">
                  <c:v>120</c:v>
                </c:pt>
                <c:pt idx="20">
                  <c:v>121</c:v>
                </c:pt>
                <c:pt idx="21">
                  <c:v>122</c:v>
                </c:pt>
                <c:pt idx="22">
                  <c:v>123</c:v>
                </c:pt>
                <c:pt idx="23">
                  <c:v>124</c:v>
                </c:pt>
                <c:pt idx="24">
                  <c:v>125</c:v>
                </c:pt>
                <c:pt idx="25">
                  <c:v>126</c:v>
                </c:pt>
                <c:pt idx="26">
                  <c:v>127</c:v>
                </c:pt>
                <c:pt idx="27">
                  <c:v>128</c:v>
                </c:pt>
                <c:pt idx="28">
                  <c:v>129</c:v>
                </c:pt>
              </c:numCache>
            </c:numRef>
          </c:cat>
          <c:val>
            <c:numRef>
              <c:f>'CARTERA 2026'!$BT$4:$BT$32</c:f>
            </c:numRef>
          </c:val>
          <c:extLst>
            <c:ext xmlns:c16="http://schemas.microsoft.com/office/drawing/2014/chart" uri="{C3380CC4-5D6E-409C-BE32-E72D297353CC}">
              <c16:uniqueId val="{00000009-2EFF-4E1C-B766-1C3BF46D79D1}"/>
            </c:ext>
          </c:extLst>
        </c:ser>
        <c:ser>
          <c:idx val="10"/>
          <c:order val="10"/>
          <c:tx>
            <c:strRef>
              <c:f>'CARTERA 2026'!$BU$3</c:f>
              <c:strCache>
                <c:ptCount val="1"/>
                <c:pt idx="0">
                  <c:v>mar-26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'CARTERA 2026'!$BJ$4:$BJ$32</c:f>
              <c:numCache>
                <c:formatCode>General</c:formatCode>
                <c:ptCount val="29"/>
                <c:pt idx="0">
                  <c:v>101</c:v>
                </c:pt>
                <c:pt idx="1">
                  <c:v>102</c:v>
                </c:pt>
                <c:pt idx="2">
                  <c:v>103</c:v>
                </c:pt>
                <c:pt idx="3">
                  <c:v>104</c:v>
                </c:pt>
                <c:pt idx="4">
                  <c:v>105</c:v>
                </c:pt>
                <c:pt idx="5">
                  <c:v>106</c:v>
                </c:pt>
                <c:pt idx="6">
                  <c:v>107</c:v>
                </c:pt>
                <c:pt idx="7">
                  <c:v>108</c:v>
                </c:pt>
                <c:pt idx="8">
                  <c:v>109</c:v>
                </c:pt>
                <c:pt idx="9">
                  <c:v>110</c:v>
                </c:pt>
                <c:pt idx="10">
                  <c:v>111</c:v>
                </c:pt>
                <c:pt idx="11">
                  <c:v>112</c:v>
                </c:pt>
                <c:pt idx="12">
                  <c:v>113</c:v>
                </c:pt>
                <c:pt idx="13">
                  <c:v>114</c:v>
                </c:pt>
                <c:pt idx="14">
                  <c:v>115</c:v>
                </c:pt>
                <c:pt idx="15">
                  <c:v>116</c:v>
                </c:pt>
                <c:pt idx="16">
                  <c:v>117</c:v>
                </c:pt>
                <c:pt idx="17">
                  <c:v>118</c:v>
                </c:pt>
                <c:pt idx="18">
                  <c:v>119</c:v>
                </c:pt>
                <c:pt idx="19">
                  <c:v>120</c:v>
                </c:pt>
                <c:pt idx="20">
                  <c:v>121</c:v>
                </c:pt>
                <c:pt idx="21">
                  <c:v>122</c:v>
                </c:pt>
                <c:pt idx="22">
                  <c:v>123</c:v>
                </c:pt>
                <c:pt idx="23">
                  <c:v>124</c:v>
                </c:pt>
                <c:pt idx="24">
                  <c:v>125</c:v>
                </c:pt>
                <c:pt idx="25">
                  <c:v>126</c:v>
                </c:pt>
                <c:pt idx="26">
                  <c:v>127</c:v>
                </c:pt>
                <c:pt idx="27">
                  <c:v>128</c:v>
                </c:pt>
                <c:pt idx="28">
                  <c:v>129</c:v>
                </c:pt>
              </c:numCache>
            </c:numRef>
          </c:cat>
          <c:val>
            <c:numRef>
              <c:f>'CARTERA 2026'!$BU$4:$BU$32</c:f>
              <c:numCache>
                <c:formatCode>#,##0.00</c:formatCode>
                <c:ptCount val="29"/>
                <c:pt idx="0">
                  <c:v>2.1644571378666071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1.2148490194585086</c:v>
                </c:pt>
                <c:pt idx="5">
                  <c:v>0</c:v>
                </c:pt>
                <c:pt idx="6">
                  <c:v>0</c:v>
                </c:pt>
                <c:pt idx="7">
                  <c:v>-5.6057295770910037E-3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-4.7820135013689466E-2</c:v>
                </c:pt>
                <c:pt idx="12">
                  <c:v>0</c:v>
                </c:pt>
                <c:pt idx="13">
                  <c:v>1</c:v>
                </c:pt>
                <c:pt idx="14">
                  <c:v>-8.142430301925517E-2</c:v>
                </c:pt>
                <c:pt idx="15">
                  <c:v>0</c:v>
                </c:pt>
                <c:pt idx="16">
                  <c:v>-0.10070150195026049</c:v>
                </c:pt>
                <c:pt idx="17">
                  <c:v>-3.1434386648886798E-4</c:v>
                </c:pt>
                <c:pt idx="18">
                  <c:v>2.7074226655513889</c:v>
                </c:pt>
                <c:pt idx="19">
                  <c:v>0.91637546907242595</c:v>
                </c:pt>
                <c:pt idx="20">
                  <c:v>-4.8466511856469748E-3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-1.0597989133497535E-2</c:v>
                </c:pt>
                <c:pt idx="25">
                  <c:v>-6.5215326115143565E-3</c:v>
                </c:pt>
                <c:pt idx="26">
                  <c:v>0</c:v>
                </c:pt>
                <c:pt idx="27">
                  <c:v>-2.0292324803015984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EFF-4E1C-B766-1C3BF46D79D1}"/>
            </c:ext>
          </c:extLst>
        </c:ser>
        <c:ser>
          <c:idx val="11"/>
          <c:order val="11"/>
          <c:tx>
            <c:strRef>
              <c:f>'CARTERA 2026'!$BV$3</c:f>
              <c:strCache>
                <c:ptCount val="1"/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'CARTERA 2026'!$BJ$4:$BJ$32</c:f>
              <c:numCache>
                <c:formatCode>General</c:formatCode>
                <c:ptCount val="29"/>
                <c:pt idx="0">
                  <c:v>101</c:v>
                </c:pt>
                <c:pt idx="1">
                  <c:v>102</c:v>
                </c:pt>
                <c:pt idx="2">
                  <c:v>103</c:v>
                </c:pt>
                <c:pt idx="3">
                  <c:v>104</c:v>
                </c:pt>
                <c:pt idx="4">
                  <c:v>105</c:v>
                </c:pt>
                <c:pt idx="5">
                  <c:v>106</c:v>
                </c:pt>
                <c:pt idx="6">
                  <c:v>107</c:v>
                </c:pt>
                <c:pt idx="7">
                  <c:v>108</c:v>
                </c:pt>
                <c:pt idx="8">
                  <c:v>109</c:v>
                </c:pt>
                <c:pt idx="9">
                  <c:v>110</c:v>
                </c:pt>
                <c:pt idx="10">
                  <c:v>111</c:v>
                </c:pt>
                <c:pt idx="11">
                  <c:v>112</c:v>
                </c:pt>
                <c:pt idx="12">
                  <c:v>113</c:v>
                </c:pt>
                <c:pt idx="13">
                  <c:v>114</c:v>
                </c:pt>
                <c:pt idx="14">
                  <c:v>115</c:v>
                </c:pt>
                <c:pt idx="15">
                  <c:v>116</c:v>
                </c:pt>
                <c:pt idx="16">
                  <c:v>117</c:v>
                </c:pt>
                <c:pt idx="17">
                  <c:v>118</c:v>
                </c:pt>
                <c:pt idx="18">
                  <c:v>119</c:v>
                </c:pt>
                <c:pt idx="19">
                  <c:v>120</c:v>
                </c:pt>
                <c:pt idx="20">
                  <c:v>121</c:v>
                </c:pt>
                <c:pt idx="21">
                  <c:v>122</c:v>
                </c:pt>
                <c:pt idx="22">
                  <c:v>123</c:v>
                </c:pt>
                <c:pt idx="23">
                  <c:v>124</c:v>
                </c:pt>
                <c:pt idx="24">
                  <c:v>125</c:v>
                </c:pt>
                <c:pt idx="25">
                  <c:v>126</c:v>
                </c:pt>
                <c:pt idx="26">
                  <c:v>127</c:v>
                </c:pt>
                <c:pt idx="27">
                  <c:v>128</c:v>
                </c:pt>
                <c:pt idx="28">
                  <c:v>129</c:v>
                </c:pt>
              </c:numCache>
            </c:numRef>
          </c:cat>
          <c:val>
            <c:numRef>
              <c:f>'CARTERA 2026'!$BV$4:$BV$32</c:f>
            </c:numRef>
          </c:val>
          <c:extLst>
            <c:ext xmlns:c16="http://schemas.microsoft.com/office/drawing/2014/chart" uri="{C3380CC4-5D6E-409C-BE32-E72D297353CC}">
              <c16:uniqueId val="{0000000B-2EFF-4E1C-B766-1C3BF46D79D1}"/>
            </c:ext>
          </c:extLst>
        </c:ser>
        <c:ser>
          <c:idx val="12"/>
          <c:order val="12"/>
          <c:tx>
            <c:strRef>
              <c:f>'CARTERA 2026'!$BW$3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'CARTERA 2026'!$BJ$4:$BJ$32</c:f>
              <c:numCache>
                <c:formatCode>General</c:formatCode>
                <c:ptCount val="29"/>
                <c:pt idx="0">
                  <c:v>101</c:v>
                </c:pt>
                <c:pt idx="1">
                  <c:v>102</c:v>
                </c:pt>
                <c:pt idx="2">
                  <c:v>103</c:v>
                </c:pt>
                <c:pt idx="3">
                  <c:v>104</c:v>
                </c:pt>
                <c:pt idx="4">
                  <c:v>105</c:v>
                </c:pt>
                <c:pt idx="5">
                  <c:v>106</c:v>
                </c:pt>
                <c:pt idx="6">
                  <c:v>107</c:v>
                </c:pt>
                <c:pt idx="7">
                  <c:v>108</c:v>
                </c:pt>
                <c:pt idx="8">
                  <c:v>109</c:v>
                </c:pt>
                <c:pt idx="9">
                  <c:v>110</c:v>
                </c:pt>
                <c:pt idx="10">
                  <c:v>111</c:v>
                </c:pt>
                <c:pt idx="11">
                  <c:v>112</c:v>
                </c:pt>
                <c:pt idx="12">
                  <c:v>113</c:v>
                </c:pt>
                <c:pt idx="13">
                  <c:v>114</c:v>
                </c:pt>
                <c:pt idx="14">
                  <c:v>115</c:v>
                </c:pt>
                <c:pt idx="15">
                  <c:v>116</c:v>
                </c:pt>
                <c:pt idx="16">
                  <c:v>117</c:v>
                </c:pt>
                <c:pt idx="17">
                  <c:v>118</c:v>
                </c:pt>
                <c:pt idx="18">
                  <c:v>119</c:v>
                </c:pt>
                <c:pt idx="19">
                  <c:v>120</c:v>
                </c:pt>
                <c:pt idx="20">
                  <c:v>121</c:v>
                </c:pt>
                <c:pt idx="21">
                  <c:v>122</c:v>
                </c:pt>
                <c:pt idx="22">
                  <c:v>123</c:v>
                </c:pt>
                <c:pt idx="23">
                  <c:v>124</c:v>
                </c:pt>
                <c:pt idx="24">
                  <c:v>125</c:v>
                </c:pt>
                <c:pt idx="25">
                  <c:v>126</c:v>
                </c:pt>
                <c:pt idx="26">
                  <c:v>127</c:v>
                </c:pt>
                <c:pt idx="27">
                  <c:v>128</c:v>
                </c:pt>
                <c:pt idx="28">
                  <c:v>129</c:v>
                </c:pt>
              </c:numCache>
            </c:numRef>
          </c:cat>
          <c:val>
            <c:numRef>
              <c:f>'CARTERA 2026'!$BW$4:$BW$32</c:f>
            </c:numRef>
          </c:val>
          <c:extLst>
            <c:ext xmlns:c16="http://schemas.microsoft.com/office/drawing/2014/chart" uri="{C3380CC4-5D6E-409C-BE32-E72D297353CC}">
              <c16:uniqueId val="{0000000C-2EFF-4E1C-B766-1C3BF46D79D1}"/>
            </c:ext>
          </c:extLst>
        </c:ser>
        <c:ser>
          <c:idx val="13"/>
          <c:order val="13"/>
          <c:tx>
            <c:strRef>
              <c:f>'CARTERA 2026'!$BX$3</c:f>
              <c:strCache>
                <c:ptCount val="1"/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'CARTERA 2026'!$BJ$4:$BJ$32</c:f>
              <c:numCache>
                <c:formatCode>General</c:formatCode>
                <c:ptCount val="29"/>
                <c:pt idx="0">
                  <c:v>101</c:v>
                </c:pt>
                <c:pt idx="1">
                  <c:v>102</c:v>
                </c:pt>
                <c:pt idx="2">
                  <c:v>103</c:v>
                </c:pt>
                <c:pt idx="3">
                  <c:v>104</c:v>
                </c:pt>
                <c:pt idx="4">
                  <c:v>105</c:v>
                </c:pt>
                <c:pt idx="5">
                  <c:v>106</c:v>
                </c:pt>
                <c:pt idx="6">
                  <c:v>107</c:v>
                </c:pt>
                <c:pt idx="7">
                  <c:v>108</c:v>
                </c:pt>
                <c:pt idx="8">
                  <c:v>109</c:v>
                </c:pt>
                <c:pt idx="9">
                  <c:v>110</c:v>
                </c:pt>
                <c:pt idx="10">
                  <c:v>111</c:v>
                </c:pt>
                <c:pt idx="11">
                  <c:v>112</c:v>
                </c:pt>
                <c:pt idx="12">
                  <c:v>113</c:v>
                </c:pt>
                <c:pt idx="13">
                  <c:v>114</c:v>
                </c:pt>
                <c:pt idx="14">
                  <c:v>115</c:v>
                </c:pt>
                <c:pt idx="15">
                  <c:v>116</c:v>
                </c:pt>
                <c:pt idx="16">
                  <c:v>117</c:v>
                </c:pt>
                <c:pt idx="17">
                  <c:v>118</c:v>
                </c:pt>
                <c:pt idx="18">
                  <c:v>119</c:v>
                </c:pt>
                <c:pt idx="19">
                  <c:v>120</c:v>
                </c:pt>
                <c:pt idx="20">
                  <c:v>121</c:v>
                </c:pt>
                <c:pt idx="21">
                  <c:v>122</c:v>
                </c:pt>
                <c:pt idx="22">
                  <c:v>123</c:v>
                </c:pt>
                <c:pt idx="23">
                  <c:v>124</c:v>
                </c:pt>
                <c:pt idx="24">
                  <c:v>125</c:v>
                </c:pt>
                <c:pt idx="25">
                  <c:v>126</c:v>
                </c:pt>
                <c:pt idx="26">
                  <c:v>127</c:v>
                </c:pt>
                <c:pt idx="27">
                  <c:v>128</c:v>
                </c:pt>
                <c:pt idx="28">
                  <c:v>129</c:v>
                </c:pt>
              </c:numCache>
            </c:numRef>
          </c:cat>
          <c:val>
            <c:numRef>
              <c:f>'CARTERA 2026'!$BX$4:$BX$32</c:f>
            </c:numRef>
          </c:val>
          <c:extLst>
            <c:ext xmlns:c16="http://schemas.microsoft.com/office/drawing/2014/chart" uri="{C3380CC4-5D6E-409C-BE32-E72D297353CC}">
              <c16:uniqueId val="{0000000D-2EFF-4E1C-B766-1C3BF46D79D1}"/>
            </c:ext>
          </c:extLst>
        </c:ser>
        <c:ser>
          <c:idx val="14"/>
          <c:order val="14"/>
          <c:tx>
            <c:strRef>
              <c:f>'CARTERA 2026'!$BY$3</c:f>
              <c:strCache>
                <c:ptCount val="1"/>
                <c:pt idx="0">
                  <c:v>Saldo contabilidad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'CARTERA 2026'!$BJ$4:$BJ$32</c:f>
              <c:numCache>
                <c:formatCode>General</c:formatCode>
                <c:ptCount val="29"/>
                <c:pt idx="0">
                  <c:v>101</c:v>
                </c:pt>
                <c:pt idx="1">
                  <c:v>102</c:v>
                </c:pt>
                <c:pt idx="2">
                  <c:v>103</c:v>
                </c:pt>
                <c:pt idx="3">
                  <c:v>104</c:v>
                </c:pt>
                <c:pt idx="4">
                  <c:v>105</c:v>
                </c:pt>
                <c:pt idx="5">
                  <c:v>106</c:v>
                </c:pt>
                <c:pt idx="6">
                  <c:v>107</c:v>
                </c:pt>
                <c:pt idx="7">
                  <c:v>108</c:v>
                </c:pt>
                <c:pt idx="8">
                  <c:v>109</c:v>
                </c:pt>
                <c:pt idx="9">
                  <c:v>110</c:v>
                </c:pt>
                <c:pt idx="10">
                  <c:v>111</c:v>
                </c:pt>
                <c:pt idx="11">
                  <c:v>112</c:v>
                </c:pt>
                <c:pt idx="12">
                  <c:v>113</c:v>
                </c:pt>
                <c:pt idx="13">
                  <c:v>114</c:v>
                </c:pt>
                <c:pt idx="14">
                  <c:v>115</c:v>
                </c:pt>
                <c:pt idx="15">
                  <c:v>116</c:v>
                </c:pt>
                <c:pt idx="16">
                  <c:v>117</c:v>
                </c:pt>
                <c:pt idx="17">
                  <c:v>118</c:v>
                </c:pt>
                <c:pt idx="18">
                  <c:v>119</c:v>
                </c:pt>
                <c:pt idx="19">
                  <c:v>120</c:v>
                </c:pt>
                <c:pt idx="20">
                  <c:v>121</c:v>
                </c:pt>
                <c:pt idx="21">
                  <c:v>122</c:v>
                </c:pt>
                <c:pt idx="22">
                  <c:v>123</c:v>
                </c:pt>
                <c:pt idx="23">
                  <c:v>124</c:v>
                </c:pt>
                <c:pt idx="24">
                  <c:v>125</c:v>
                </c:pt>
                <c:pt idx="25">
                  <c:v>126</c:v>
                </c:pt>
                <c:pt idx="26">
                  <c:v>127</c:v>
                </c:pt>
                <c:pt idx="27">
                  <c:v>128</c:v>
                </c:pt>
                <c:pt idx="28">
                  <c:v>129</c:v>
                </c:pt>
              </c:numCache>
            </c:numRef>
          </c:cat>
          <c:val>
            <c:numRef>
              <c:f>'CARTERA 2026'!$BY$4:$BY$32</c:f>
            </c:numRef>
          </c:val>
          <c:extLst>
            <c:ext xmlns:c16="http://schemas.microsoft.com/office/drawing/2014/chart" uri="{C3380CC4-5D6E-409C-BE32-E72D297353CC}">
              <c16:uniqueId val="{0000000E-2EFF-4E1C-B766-1C3BF46D79D1}"/>
            </c:ext>
          </c:extLst>
        </c:ser>
        <c:ser>
          <c:idx val="15"/>
          <c:order val="15"/>
          <c:tx>
            <c:strRef>
              <c:f>'CARTERA 2026'!$BZ$3</c:f>
              <c:strCache>
                <c:ptCount val="1"/>
                <c:pt idx="0">
                  <c:v>abr-26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'CARTERA 2026'!$BJ$4:$BJ$32</c:f>
              <c:numCache>
                <c:formatCode>General</c:formatCode>
                <c:ptCount val="29"/>
                <c:pt idx="0">
                  <c:v>101</c:v>
                </c:pt>
                <c:pt idx="1">
                  <c:v>102</c:v>
                </c:pt>
                <c:pt idx="2">
                  <c:v>103</c:v>
                </c:pt>
                <c:pt idx="3">
                  <c:v>104</c:v>
                </c:pt>
                <c:pt idx="4">
                  <c:v>105</c:v>
                </c:pt>
                <c:pt idx="5">
                  <c:v>106</c:v>
                </c:pt>
                <c:pt idx="6">
                  <c:v>107</c:v>
                </c:pt>
                <c:pt idx="7">
                  <c:v>108</c:v>
                </c:pt>
                <c:pt idx="8">
                  <c:v>109</c:v>
                </c:pt>
                <c:pt idx="9">
                  <c:v>110</c:v>
                </c:pt>
                <c:pt idx="10">
                  <c:v>111</c:v>
                </c:pt>
                <c:pt idx="11">
                  <c:v>112</c:v>
                </c:pt>
                <c:pt idx="12">
                  <c:v>113</c:v>
                </c:pt>
                <c:pt idx="13">
                  <c:v>114</c:v>
                </c:pt>
                <c:pt idx="14">
                  <c:v>115</c:v>
                </c:pt>
                <c:pt idx="15">
                  <c:v>116</c:v>
                </c:pt>
                <c:pt idx="16">
                  <c:v>117</c:v>
                </c:pt>
                <c:pt idx="17">
                  <c:v>118</c:v>
                </c:pt>
                <c:pt idx="18">
                  <c:v>119</c:v>
                </c:pt>
                <c:pt idx="19">
                  <c:v>120</c:v>
                </c:pt>
                <c:pt idx="20">
                  <c:v>121</c:v>
                </c:pt>
                <c:pt idx="21">
                  <c:v>122</c:v>
                </c:pt>
                <c:pt idx="22">
                  <c:v>123</c:v>
                </c:pt>
                <c:pt idx="23">
                  <c:v>124</c:v>
                </c:pt>
                <c:pt idx="24">
                  <c:v>125</c:v>
                </c:pt>
                <c:pt idx="25">
                  <c:v>126</c:v>
                </c:pt>
                <c:pt idx="26">
                  <c:v>127</c:v>
                </c:pt>
                <c:pt idx="27">
                  <c:v>128</c:v>
                </c:pt>
                <c:pt idx="28">
                  <c:v>129</c:v>
                </c:pt>
              </c:numCache>
            </c:numRef>
          </c:cat>
          <c:val>
            <c:numRef>
              <c:f>'CARTERA 2026'!$BZ$4:$BZ$32</c:f>
              <c:numCache>
                <c:formatCode>#,##0.00</c:formatCode>
                <c:ptCount val="29"/>
                <c:pt idx="0">
                  <c:v>3.1160672582905184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1.5383613789372885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0.31045528696425922</c:v>
                </c:pt>
                <c:pt idx="9">
                  <c:v>0</c:v>
                </c:pt>
                <c:pt idx="10">
                  <c:v>1.1862735945759932</c:v>
                </c:pt>
                <c:pt idx="11">
                  <c:v>-0.14748243417373758</c:v>
                </c:pt>
                <c:pt idx="12">
                  <c:v>0</c:v>
                </c:pt>
                <c:pt idx="13">
                  <c:v>0</c:v>
                </c:pt>
                <c:pt idx="14">
                  <c:v>5.817428865494801E-2</c:v>
                </c:pt>
                <c:pt idx="15">
                  <c:v>0</c:v>
                </c:pt>
                <c:pt idx="16">
                  <c:v>-3.3477624732700183E-2</c:v>
                </c:pt>
                <c:pt idx="17">
                  <c:v>-0.30906195907491635</c:v>
                </c:pt>
                <c:pt idx="18">
                  <c:v>0</c:v>
                </c:pt>
                <c:pt idx="19">
                  <c:v>2.1057447321729335</c:v>
                </c:pt>
                <c:pt idx="20">
                  <c:v>0.33647344640618138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1.4583874424194997E-2</c:v>
                </c:pt>
                <c:pt idx="25">
                  <c:v>0.1783902638100307</c:v>
                </c:pt>
                <c:pt idx="26">
                  <c:v>0</c:v>
                </c:pt>
                <c:pt idx="27">
                  <c:v>-0.5811594281992789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EFF-4E1C-B766-1C3BF46D79D1}"/>
            </c:ext>
          </c:extLst>
        </c:ser>
        <c:ser>
          <c:idx val="16"/>
          <c:order val="16"/>
          <c:tx>
            <c:strRef>
              <c:f>'CARTERA 2026'!$CA$3</c:f>
              <c:strCache>
                <c:ptCount val="1"/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'CARTERA 2026'!$BJ$4:$BJ$32</c:f>
              <c:numCache>
                <c:formatCode>General</c:formatCode>
                <c:ptCount val="29"/>
                <c:pt idx="0">
                  <c:v>101</c:v>
                </c:pt>
                <c:pt idx="1">
                  <c:v>102</c:v>
                </c:pt>
                <c:pt idx="2">
                  <c:v>103</c:v>
                </c:pt>
                <c:pt idx="3">
                  <c:v>104</c:v>
                </c:pt>
                <c:pt idx="4">
                  <c:v>105</c:v>
                </c:pt>
                <c:pt idx="5">
                  <c:v>106</c:v>
                </c:pt>
                <c:pt idx="6">
                  <c:v>107</c:v>
                </c:pt>
                <c:pt idx="7">
                  <c:v>108</c:v>
                </c:pt>
                <c:pt idx="8">
                  <c:v>109</c:v>
                </c:pt>
                <c:pt idx="9">
                  <c:v>110</c:v>
                </c:pt>
                <c:pt idx="10">
                  <c:v>111</c:v>
                </c:pt>
                <c:pt idx="11">
                  <c:v>112</c:v>
                </c:pt>
                <c:pt idx="12">
                  <c:v>113</c:v>
                </c:pt>
                <c:pt idx="13">
                  <c:v>114</c:v>
                </c:pt>
                <c:pt idx="14">
                  <c:v>115</c:v>
                </c:pt>
                <c:pt idx="15">
                  <c:v>116</c:v>
                </c:pt>
                <c:pt idx="16">
                  <c:v>117</c:v>
                </c:pt>
                <c:pt idx="17">
                  <c:v>118</c:v>
                </c:pt>
                <c:pt idx="18">
                  <c:v>119</c:v>
                </c:pt>
                <c:pt idx="19">
                  <c:v>120</c:v>
                </c:pt>
                <c:pt idx="20">
                  <c:v>121</c:v>
                </c:pt>
                <c:pt idx="21">
                  <c:v>122</c:v>
                </c:pt>
                <c:pt idx="22">
                  <c:v>123</c:v>
                </c:pt>
                <c:pt idx="23">
                  <c:v>124</c:v>
                </c:pt>
                <c:pt idx="24">
                  <c:v>125</c:v>
                </c:pt>
                <c:pt idx="25">
                  <c:v>126</c:v>
                </c:pt>
                <c:pt idx="26">
                  <c:v>127</c:v>
                </c:pt>
                <c:pt idx="27">
                  <c:v>128</c:v>
                </c:pt>
                <c:pt idx="28">
                  <c:v>129</c:v>
                </c:pt>
              </c:numCache>
            </c:numRef>
          </c:cat>
          <c:val>
            <c:numRef>
              <c:f>'CARTERA 2026'!$CA$4:$CA$32</c:f>
            </c:numRef>
          </c:val>
          <c:extLst>
            <c:ext xmlns:c16="http://schemas.microsoft.com/office/drawing/2014/chart" uri="{C3380CC4-5D6E-409C-BE32-E72D297353CC}">
              <c16:uniqueId val="{00000010-2EFF-4E1C-B766-1C3BF46D79D1}"/>
            </c:ext>
          </c:extLst>
        </c:ser>
        <c:ser>
          <c:idx val="17"/>
          <c:order val="17"/>
          <c:tx>
            <c:strRef>
              <c:f>'CARTERA 2026'!$CB$3</c:f>
              <c:strCache>
                <c:ptCount val="1"/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'CARTERA 2026'!$BJ$4:$BJ$32</c:f>
              <c:numCache>
                <c:formatCode>General</c:formatCode>
                <c:ptCount val="29"/>
                <c:pt idx="0">
                  <c:v>101</c:v>
                </c:pt>
                <c:pt idx="1">
                  <c:v>102</c:v>
                </c:pt>
                <c:pt idx="2">
                  <c:v>103</c:v>
                </c:pt>
                <c:pt idx="3">
                  <c:v>104</c:v>
                </c:pt>
                <c:pt idx="4">
                  <c:v>105</c:v>
                </c:pt>
                <c:pt idx="5">
                  <c:v>106</c:v>
                </c:pt>
                <c:pt idx="6">
                  <c:v>107</c:v>
                </c:pt>
                <c:pt idx="7">
                  <c:v>108</c:v>
                </c:pt>
                <c:pt idx="8">
                  <c:v>109</c:v>
                </c:pt>
                <c:pt idx="9">
                  <c:v>110</c:v>
                </c:pt>
                <c:pt idx="10">
                  <c:v>111</c:v>
                </c:pt>
                <c:pt idx="11">
                  <c:v>112</c:v>
                </c:pt>
                <c:pt idx="12">
                  <c:v>113</c:v>
                </c:pt>
                <c:pt idx="13">
                  <c:v>114</c:v>
                </c:pt>
                <c:pt idx="14">
                  <c:v>115</c:v>
                </c:pt>
                <c:pt idx="15">
                  <c:v>116</c:v>
                </c:pt>
                <c:pt idx="16">
                  <c:v>117</c:v>
                </c:pt>
                <c:pt idx="17">
                  <c:v>118</c:v>
                </c:pt>
                <c:pt idx="18">
                  <c:v>119</c:v>
                </c:pt>
                <c:pt idx="19">
                  <c:v>120</c:v>
                </c:pt>
                <c:pt idx="20">
                  <c:v>121</c:v>
                </c:pt>
                <c:pt idx="21">
                  <c:v>122</c:v>
                </c:pt>
                <c:pt idx="22">
                  <c:v>123</c:v>
                </c:pt>
                <c:pt idx="23">
                  <c:v>124</c:v>
                </c:pt>
                <c:pt idx="24">
                  <c:v>125</c:v>
                </c:pt>
                <c:pt idx="25">
                  <c:v>126</c:v>
                </c:pt>
                <c:pt idx="26">
                  <c:v>127</c:v>
                </c:pt>
                <c:pt idx="27">
                  <c:v>128</c:v>
                </c:pt>
                <c:pt idx="28">
                  <c:v>129</c:v>
                </c:pt>
              </c:numCache>
            </c:numRef>
          </c:cat>
          <c:val>
            <c:numRef>
              <c:f>'CARTERA 2026'!$CB$4:$CB$32</c:f>
            </c:numRef>
          </c:val>
          <c:extLst>
            <c:ext xmlns:c16="http://schemas.microsoft.com/office/drawing/2014/chart" uri="{C3380CC4-5D6E-409C-BE32-E72D297353CC}">
              <c16:uniqueId val="{00000011-2EFF-4E1C-B766-1C3BF46D79D1}"/>
            </c:ext>
          </c:extLst>
        </c:ser>
        <c:ser>
          <c:idx val="18"/>
          <c:order val="18"/>
          <c:tx>
            <c:strRef>
              <c:f>'CARTERA 2026'!$CC$3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'CARTERA 2026'!$BJ$4:$BJ$32</c:f>
              <c:numCache>
                <c:formatCode>General</c:formatCode>
                <c:ptCount val="29"/>
                <c:pt idx="0">
                  <c:v>101</c:v>
                </c:pt>
                <c:pt idx="1">
                  <c:v>102</c:v>
                </c:pt>
                <c:pt idx="2">
                  <c:v>103</c:v>
                </c:pt>
                <c:pt idx="3">
                  <c:v>104</c:v>
                </c:pt>
                <c:pt idx="4">
                  <c:v>105</c:v>
                </c:pt>
                <c:pt idx="5">
                  <c:v>106</c:v>
                </c:pt>
                <c:pt idx="6">
                  <c:v>107</c:v>
                </c:pt>
                <c:pt idx="7">
                  <c:v>108</c:v>
                </c:pt>
                <c:pt idx="8">
                  <c:v>109</c:v>
                </c:pt>
                <c:pt idx="9">
                  <c:v>110</c:v>
                </c:pt>
                <c:pt idx="10">
                  <c:v>111</c:v>
                </c:pt>
                <c:pt idx="11">
                  <c:v>112</c:v>
                </c:pt>
                <c:pt idx="12">
                  <c:v>113</c:v>
                </c:pt>
                <c:pt idx="13">
                  <c:v>114</c:v>
                </c:pt>
                <c:pt idx="14">
                  <c:v>115</c:v>
                </c:pt>
                <c:pt idx="15">
                  <c:v>116</c:v>
                </c:pt>
                <c:pt idx="16">
                  <c:v>117</c:v>
                </c:pt>
                <c:pt idx="17">
                  <c:v>118</c:v>
                </c:pt>
                <c:pt idx="18">
                  <c:v>119</c:v>
                </c:pt>
                <c:pt idx="19">
                  <c:v>120</c:v>
                </c:pt>
                <c:pt idx="20">
                  <c:v>121</c:v>
                </c:pt>
                <c:pt idx="21">
                  <c:v>122</c:v>
                </c:pt>
                <c:pt idx="22">
                  <c:v>123</c:v>
                </c:pt>
                <c:pt idx="23">
                  <c:v>124</c:v>
                </c:pt>
                <c:pt idx="24">
                  <c:v>125</c:v>
                </c:pt>
                <c:pt idx="25">
                  <c:v>126</c:v>
                </c:pt>
                <c:pt idx="26">
                  <c:v>127</c:v>
                </c:pt>
                <c:pt idx="27">
                  <c:v>128</c:v>
                </c:pt>
                <c:pt idx="28">
                  <c:v>129</c:v>
                </c:pt>
              </c:numCache>
            </c:numRef>
          </c:cat>
          <c:val>
            <c:numRef>
              <c:f>'CARTERA 2026'!$CC$4:$CC$32</c:f>
            </c:numRef>
          </c:val>
          <c:extLst>
            <c:ext xmlns:c16="http://schemas.microsoft.com/office/drawing/2014/chart" uri="{C3380CC4-5D6E-409C-BE32-E72D297353CC}">
              <c16:uniqueId val="{00000012-2EFF-4E1C-B766-1C3BF46D79D1}"/>
            </c:ext>
          </c:extLst>
        </c:ser>
        <c:ser>
          <c:idx val="19"/>
          <c:order val="19"/>
          <c:tx>
            <c:strRef>
              <c:f>'CARTERA 2026'!$CD$3</c:f>
              <c:strCache>
                <c:ptCount val="1"/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'CARTERA 2026'!$BJ$4:$BJ$32</c:f>
              <c:numCache>
                <c:formatCode>General</c:formatCode>
                <c:ptCount val="29"/>
                <c:pt idx="0">
                  <c:v>101</c:v>
                </c:pt>
                <c:pt idx="1">
                  <c:v>102</c:v>
                </c:pt>
                <c:pt idx="2">
                  <c:v>103</c:v>
                </c:pt>
                <c:pt idx="3">
                  <c:v>104</c:v>
                </c:pt>
                <c:pt idx="4">
                  <c:v>105</c:v>
                </c:pt>
                <c:pt idx="5">
                  <c:v>106</c:v>
                </c:pt>
                <c:pt idx="6">
                  <c:v>107</c:v>
                </c:pt>
                <c:pt idx="7">
                  <c:v>108</c:v>
                </c:pt>
                <c:pt idx="8">
                  <c:v>109</c:v>
                </c:pt>
                <c:pt idx="9">
                  <c:v>110</c:v>
                </c:pt>
                <c:pt idx="10">
                  <c:v>111</c:v>
                </c:pt>
                <c:pt idx="11">
                  <c:v>112</c:v>
                </c:pt>
                <c:pt idx="12">
                  <c:v>113</c:v>
                </c:pt>
                <c:pt idx="13">
                  <c:v>114</c:v>
                </c:pt>
                <c:pt idx="14">
                  <c:v>115</c:v>
                </c:pt>
                <c:pt idx="15">
                  <c:v>116</c:v>
                </c:pt>
                <c:pt idx="16">
                  <c:v>117</c:v>
                </c:pt>
                <c:pt idx="17">
                  <c:v>118</c:v>
                </c:pt>
                <c:pt idx="18">
                  <c:v>119</c:v>
                </c:pt>
                <c:pt idx="19">
                  <c:v>120</c:v>
                </c:pt>
                <c:pt idx="20">
                  <c:v>121</c:v>
                </c:pt>
                <c:pt idx="21">
                  <c:v>122</c:v>
                </c:pt>
                <c:pt idx="22">
                  <c:v>123</c:v>
                </c:pt>
                <c:pt idx="23">
                  <c:v>124</c:v>
                </c:pt>
                <c:pt idx="24">
                  <c:v>125</c:v>
                </c:pt>
                <c:pt idx="25">
                  <c:v>126</c:v>
                </c:pt>
                <c:pt idx="26">
                  <c:v>127</c:v>
                </c:pt>
                <c:pt idx="27">
                  <c:v>128</c:v>
                </c:pt>
                <c:pt idx="28">
                  <c:v>129</c:v>
                </c:pt>
              </c:numCache>
            </c:numRef>
          </c:cat>
          <c:val>
            <c:numRef>
              <c:f>'CARTERA 2026'!$CD$4:$CD$32</c:f>
            </c:numRef>
          </c:val>
          <c:extLst>
            <c:ext xmlns:c16="http://schemas.microsoft.com/office/drawing/2014/chart" uri="{C3380CC4-5D6E-409C-BE32-E72D297353CC}">
              <c16:uniqueId val="{00000013-2EFF-4E1C-B766-1C3BF46D79D1}"/>
            </c:ext>
          </c:extLst>
        </c:ser>
        <c:ser>
          <c:idx val="20"/>
          <c:order val="20"/>
          <c:tx>
            <c:strRef>
              <c:f>'CARTERA 2026'!$CE$3</c:f>
              <c:strCache>
                <c:ptCount val="1"/>
                <c:pt idx="0">
                  <c:v>may-26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'CARTERA 2026'!$BJ$4:$BJ$32</c:f>
              <c:numCache>
                <c:formatCode>General</c:formatCode>
                <c:ptCount val="29"/>
                <c:pt idx="0">
                  <c:v>101</c:v>
                </c:pt>
                <c:pt idx="1">
                  <c:v>102</c:v>
                </c:pt>
                <c:pt idx="2">
                  <c:v>103</c:v>
                </c:pt>
                <c:pt idx="3">
                  <c:v>104</c:v>
                </c:pt>
                <c:pt idx="4">
                  <c:v>105</c:v>
                </c:pt>
                <c:pt idx="5">
                  <c:v>106</c:v>
                </c:pt>
                <c:pt idx="6">
                  <c:v>107</c:v>
                </c:pt>
                <c:pt idx="7">
                  <c:v>108</c:v>
                </c:pt>
                <c:pt idx="8">
                  <c:v>109</c:v>
                </c:pt>
                <c:pt idx="9">
                  <c:v>110</c:v>
                </c:pt>
                <c:pt idx="10">
                  <c:v>111</c:v>
                </c:pt>
                <c:pt idx="11">
                  <c:v>112</c:v>
                </c:pt>
                <c:pt idx="12">
                  <c:v>113</c:v>
                </c:pt>
                <c:pt idx="13">
                  <c:v>114</c:v>
                </c:pt>
                <c:pt idx="14">
                  <c:v>115</c:v>
                </c:pt>
                <c:pt idx="15">
                  <c:v>116</c:v>
                </c:pt>
                <c:pt idx="16">
                  <c:v>117</c:v>
                </c:pt>
                <c:pt idx="17">
                  <c:v>118</c:v>
                </c:pt>
                <c:pt idx="18">
                  <c:v>119</c:v>
                </c:pt>
                <c:pt idx="19">
                  <c:v>120</c:v>
                </c:pt>
                <c:pt idx="20">
                  <c:v>121</c:v>
                </c:pt>
                <c:pt idx="21">
                  <c:v>122</c:v>
                </c:pt>
                <c:pt idx="22">
                  <c:v>123</c:v>
                </c:pt>
                <c:pt idx="23">
                  <c:v>124</c:v>
                </c:pt>
                <c:pt idx="24">
                  <c:v>125</c:v>
                </c:pt>
                <c:pt idx="25">
                  <c:v>126</c:v>
                </c:pt>
                <c:pt idx="26">
                  <c:v>127</c:v>
                </c:pt>
                <c:pt idx="27">
                  <c:v>128</c:v>
                </c:pt>
                <c:pt idx="28">
                  <c:v>129</c:v>
                </c:pt>
              </c:numCache>
            </c:numRef>
          </c:cat>
          <c:val>
            <c:numRef>
              <c:f>'CARTERA 2026'!$CE$4:$CE$32</c:f>
              <c:numCache>
                <c:formatCode>#,##0.00</c:formatCode>
                <c:ptCount val="29"/>
                <c:pt idx="0">
                  <c:v>3.3577620930009262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0.92485343674388343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-0.87581865064367825</c:v>
                </c:pt>
                <c:pt idx="9">
                  <c:v>0</c:v>
                </c:pt>
                <c:pt idx="10">
                  <c:v>1.1583426686582026</c:v>
                </c:pt>
                <c:pt idx="11">
                  <c:v>1.0387906931511512</c:v>
                </c:pt>
                <c:pt idx="12">
                  <c:v>0</c:v>
                </c:pt>
                <c:pt idx="13">
                  <c:v>0</c:v>
                </c:pt>
                <c:pt idx="14">
                  <c:v>0.15953336088757061</c:v>
                </c:pt>
                <c:pt idx="15">
                  <c:v>1.1862731273248888</c:v>
                </c:pt>
                <c:pt idx="16">
                  <c:v>-5.9251820236003012E-2</c:v>
                </c:pt>
                <c:pt idx="17">
                  <c:v>-0.1195027060789597</c:v>
                </c:pt>
                <c:pt idx="18">
                  <c:v>1.1862734686279091</c:v>
                </c:pt>
                <c:pt idx="19">
                  <c:v>3.3293637538054308</c:v>
                </c:pt>
                <c:pt idx="20">
                  <c:v>0.34660130591113303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7.6512777614747798E-2</c:v>
                </c:pt>
                <c:pt idx="25">
                  <c:v>0.2040753148853037</c:v>
                </c:pt>
                <c:pt idx="26">
                  <c:v>0</c:v>
                </c:pt>
                <c:pt idx="27">
                  <c:v>0.60511331594209228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EFF-4E1C-B766-1C3BF46D79D1}"/>
            </c:ext>
          </c:extLst>
        </c:ser>
        <c:ser>
          <c:idx val="1"/>
          <c:order val="1"/>
          <c:tx>
            <c:strRef>
              <c:f>'CARTERA 2026'!$BL$3</c:f>
              <c:strCache>
                <c:ptCount val="1"/>
                <c:pt idx="0">
                  <c:v>Saldo contabilidad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'CARTERA 2026'!$BJ$4:$BJ$32</c:f>
              <c:numCache>
                <c:formatCode>General</c:formatCode>
                <c:ptCount val="29"/>
                <c:pt idx="0">
                  <c:v>101</c:v>
                </c:pt>
                <c:pt idx="1">
                  <c:v>102</c:v>
                </c:pt>
                <c:pt idx="2">
                  <c:v>103</c:v>
                </c:pt>
                <c:pt idx="3">
                  <c:v>104</c:v>
                </c:pt>
                <c:pt idx="4">
                  <c:v>105</c:v>
                </c:pt>
                <c:pt idx="5">
                  <c:v>106</c:v>
                </c:pt>
                <c:pt idx="6">
                  <c:v>107</c:v>
                </c:pt>
                <c:pt idx="7">
                  <c:v>108</c:v>
                </c:pt>
                <c:pt idx="8">
                  <c:v>109</c:v>
                </c:pt>
                <c:pt idx="9">
                  <c:v>110</c:v>
                </c:pt>
                <c:pt idx="10">
                  <c:v>111</c:v>
                </c:pt>
                <c:pt idx="11">
                  <c:v>112</c:v>
                </c:pt>
                <c:pt idx="12">
                  <c:v>113</c:v>
                </c:pt>
                <c:pt idx="13">
                  <c:v>114</c:v>
                </c:pt>
                <c:pt idx="14">
                  <c:v>115</c:v>
                </c:pt>
                <c:pt idx="15">
                  <c:v>116</c:v>
                </c:pt>
                <c:pt idx="16">
                  <c:v>117</c:v>
                </c:pt>
                <c:pt idx="17">
                  <c:v>118</c:v>
                </c:pt>
                <c:pt idx="18">
                  <c:v>119</c:v>
                </c:pt>
                <c:pt idx="19">
                  <c:v>120</c:v>
                </c:pt>
                <c:pt idx="20">
                  <c:v>121</c:v>
                </c:pt>
                <c:pt idx="21">
                  <c:v>122</c:v>
                </c:pt>
                <c:pt idx="22">
                  <c:v>123</c:v>
                </c:pt>
                <c:pt idx="23">
                  <c:v>124</c:v>
                </c:pt>
                <c:pt idx="24">
                  <c:v>125</c:v>
                </c:pt>
                <c:pt idx="25">
                  <c:v>126</c:v>
                </c:pt>
                <c:pt idx="26">
                  <c:v>127</c:v>
                </c:pt>
                <c:pt idx="27">
                  <c:v>128</c:v>
                </c:pt>
                <c:pt idx="28">
                  <c:v>129</c:v>
                </c:pt>
              </c:numCache>
            </c:numRef>
          </c:cat>
          <c:val>
            <c:numRef>
              <c:f>'CARTERA 2026'!$BL$4:$BL$32</c:f>
            </c:numRef>
          </c:val>
          <c:extLst>
            <c:ext xmlns:c16="http://schemas.microsoft.com/office/drawing/2014/chart" uri="{C3380CC4-5D6E-409C-BE32-E72D297353CC}">
              <c16:uniqueId val="{00000001-2EFF-4E1C-B766-1C3BF46D79D1}"/>
            </c:ext>
          </c:extLst>
        </c:ser>
        <c:ser>
          <c:idx val="2"/>
          <c:order val="2"/>
          <c:tx>
            <c:strRef>
              <c:f>'CARTERA 2026'!$BM$3</c:f>
              <c:strCache>
                <c:ptCount val="1"/>
                <c:pt idx="0">
                  <c:v>ene-26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'CARTERA 2026'!$BJ$4:$BJ$32</c:f>
              <c:numCache>
                <c:formatCode>General</c:formatCode>
                <c:ptCount val="29"/>
                <c:pt idx="0">
                  <c:v>101</c:v>
                </c:pt>
                <c:pt idx="1">
                  <c:v>102</c:v>
                </c:pt>
                <c:pt idx="2">
                  <c:v>103</c:v>
                </c:pt>
                <c:pt idx="3">
                  <c:v>104</c:v>
                </c:pt>
                <c:pt idx="4">
                  <c:v>105</c:v>
                </c:pt>
                <c:pt idx="5">
                  <c:v>106</c:v>
                </c:pt>
                <c:pt idx="6">
                  <c:v>107</c:v>
                </c:pt>
                <c:pt idx="7">
                  <c:v>108</c:v>
                </c:pt>
                <c:pt idx="8">
                  <c:v>109</c:v>
                </c:pt>
                <c:pt idx="9">
                  <c:v>110</c:v>
                </c:pt>
                <c:pt idx="10">
                  <c:v>111</c:v>
                </c:pt>
                <c:pt idx="11">
                  <c:v>112</c:v>
                </c:pt>
                <c:pt idx="12">
                  <c:v>113</c:v>
                </c:pt>
                <c:pt idx="13">
                  <c:v>114</c:v>
                </c:pt>
                <c:pt idx="14">
                  <c:v>115</c:v>
                </c:pt>
                <c:pt idx="15">
                  <c:v>116</c:v>
                </c:pt>
                <c:pt idx="16">
                  <c:v>117</c:v>
                </c:pt>
                <c:pt idx="17">
                  <c:v>118</c:v>
                </c:pt>
                <c:pt idx="18">
                  <c:v>119</c:v>
                </c:pt>
                <c:pt idx="19">
                  <c:v>120</c:v>
                </c:pt>
                <c:pt idx="20">
                  <c:v>121</c:v>
                </c:pt>
                <c:pt idx="21">
                  <c:v>122</c:v>
                </c:pt>
                <c:pt idx="22">
                  <c:v>123</c:v>
                </c:pt>
                <c:pt idx="23">
                  <c:v>124</c:v>
                </c:pt>
                <c:pt idx="24">
                  <c:v>125</c:v>
                </c:pt>
                <c:pt idx="25">
                  <c:v>126</c:v>
                </c:pt>
                <c:pt idx="26">
                  <c:v>127</c:v>
                </c:pt>
                <c:pt idx="27">
                  <c:v>128</c:v>
                </c:pt>
                <c:pt idx="28">
                  <c:v>129</c:v>
                </c:pt>
              </c:numCache>
            </c:numRef>
          </c:cat>
          <c:val>
            <c:numRef>
              <c:f>'CARTERA 2026'!$BM$4:$BM$32</c:f>
              <c:numCache>
                <c:formatCode>#,##0.00</c:formatCode>
                <c:ptCount val="29"/>
                <c:pt idx="0">
                  <c:v>1.9798164677331991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1.2746976789799906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0.12284183485213375</c:v>
                </c:pt>
                <c:pt idx="9">
                  <c:v>0</c:v>
                </c:pt>
                <c:pt idx="10">
                  <c:v>0</c:v>
                </c:pt>
                <c:pt idx="11">
                  <c:v>1.1218279097958075</c:v>
                </c:pt>
                <c:pt idx="12">
                  <c:v>0</c:v>
                </c:pt>
                <c:pt idx="13">
                  <c:v>8.1611219425981568E-2</c:v>
                </c:pt>
                <c:pt idx="14">
                  <c:v>5.5519724770217735E-4</c:v>
                </c:pt>
                <c:pt idx="15">
                  <c:v>0</c:v>
                </c:pt>
                <c:pt idx="16">
                  <c:v>0.93548789802791577</c:v>
                </c:pt>
                <c:pt idx="17">
                  <c:v>4.9435021267636124E-2</c:v>
                </c:pt>
                <c:pt idx="18">
                  <c:v>1.3295787550998344</c:v>
                </c:pt>
                <c:pt idx="19">
                  <c:v>0.90350642560570171</c:v>
                </c:pt>
                <c:pt idx="20">
                  <c:v>-9.357184381513993E-2</c:v>
                </c:pt>
                <c:pt idx="21">
                  <c:v>0.11986677191428736</c:v>
                </c:pt>
                <c:pt idx="22">
                  <c:v>0</c:v>
                </c:pt>
                <c:pt idx="23">
                  <c:v>0</c:v>
                </c:pt>
                <c:pt idx="24">
                  <c:v>7.4664938457407487E-2</c:v>
                </c:pt>
                <c:pt idx="25">
                  <c:v>0.72457500917892881</c:v>
                </c:pt>
                <c:pt idx="26">
                  <c:v>0</c:v>
                </c:pt>
                <c:pt idx="27">
                  <c:v>1.005548448408202</c:v>
                </c:pt>
                <c:pt idx="28">
                  <c:v>4.8525480916699532E-2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FF-4E1C-B766-1C3BF46D79D1}"/>
            </c:ext>
          </c:extLst>
        </c:ser>
        <c:ser>
          <c:idx val="3"/>
          <c:order val="3"/>
          <c:tx>
            <c:strRef>
              <c:f>'CARTERA 2026'!$BN$3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'CARTERA 2026'!$BJ$4:$BJ$32</c:f>
              <c:numCache>
                <c:formatCode>General</c:formatCode>
                <c:ptCount val="29"/>
                <c:pt idx="0">
                  <c:v>101</c:v>
                </c:pt>
                <c:pt idx="1">
                  <c:v>102</c:v>
                </c:pt>
                <c:pt idx="2">
                  <c:v>103</c:v>
                </c:pt>
                <c:pt idx="3">
                  <c:v>104</c:v>
                </c:pt>
                <c:pt idx="4">
                  <c:v>105</c:v>
                </c:pt>
                <c:pt idx="5">
                  <c:v>106</c:v>
                </c:pt>
                <c:pt idx="6">
                  <c:v>107</c:v>
                </c:pt>
                <c:pt idx="7">
                  <c:v>108</c:v>
                </c:pt>
                <c:pt idx="8">
                  <c:v>109</c:v>
                </c:pt>
                <c:pt idx="9">
                  <c:v>110</c:v>
                </c:pt>
                <c:pt idx="10">
                  <c:v>111</c:v>
                </c:pt>
                <c:pt idx="11">
                  <c:v>112</c:v>
                </c:pt>
                <c:pt idx="12">
                  <c:v>113</c:v>
                </c:pt>
                <c:pt idx="13">
                  <c:v>114</c:v>
                </c:pt>
                <c:pt idx="14">
                  <c:v>115</c:v>
                </c:pt>
                <c:pt idx="15">
                  <c:v>116</c:v>
                </c:pt>
                <c:pt idx="16">
                  <c:v>117</c:v>
                </c:pt>
                <c:pt idx="17">
                  <c:v>118</c:v>
                </c:pt>
                <c:pt idx="18">
                  <c:v>119</c:v>
                </c:pt>
                <c:pt idx="19">
                  <c:v>120</c:v>
                </c:pt>
                <c:pt idx="20">
                  <c:v>121</c:v>
                </c:pt>
                <c:pt idx="21">
                  <c:v>122</c:v>
                </c:pt>
                <c:pt idx="22">
                  <c:v>123</c:v>
                </c:pt>
                <c:pt idx="23">
                  <c:v>124</c:v>
                </c:pt>
                <c:pt idx="24">
                  <c:v>125</c:v>
                </c:pt>
                <c:pt idx="25">
                  <c:v>126</c:v>
                </c:pt>
                <c:pt idx="26">
                  <c:v>127</c:v>
                </c:pt>
                <c:pt idx="27">
                  <c:v>128</c:v>
                </c:pt>
                <c:pt idx="28">
                  <c:v>129</c:v>
                </c:pt>
              </c:numCache>
            </c:numRef>
          </c:cat>
          <c:val>
            <c:numRef>
              <c:f>'CARTERA 2026'!$BN$4:$BN$32</c:f>
            </c:numRef>
          </c:val>
          <c:extLst>
            <c:ext xmlns:c16="http://schemas.microsoft.com/office/drawing/2014/chart" uri="{C3380CC4-5D6E-409C-BE32-E72D297353CC}">
              <c16:uniqueId val="{00000003-2EFF-4E1C-B766-1C3BF46D7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5888047"/>
        <c:axId val="1295897647"/>
      </c:barChart>
      <c:catAx>
        <c:axId val="1295888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95897647"/>
        <c:crosses val="autoZero"/>
        <c:auto val="1"/>
        <c:lblAlgn val="ctr"/>
        <c:lblOffset val="100"/>
        <c:noMultiLvlLbl val="0"/>
      </c:catAx>
      <c:valAx>
        <c:axId val="129589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95888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cartera</a:t>
            </a:r>
            <a:r>
              <a:rPr lang="es-CO" baseline="0"/>
              <a:t> 2025</a:t>
            </a:r>
            <a:endParaRPr lang="es-CO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'Cartera Cont 2025'!$A$35:$B$35</c:f>
              <c:strCache>
                <c:ptCount val="2"/>
                <c:pt idx="0">
                  <c:v>Cartera</c:v>
                </c:pt>
                <c:pt idx="1">
                  <c:v>TOTAL CARTERA</c:v>
                </c:pt>
              </c:strCache>
            </c:strRef>
          </c:tx>
          <c:invertIfNegative val="0"/>
          <c:cat>
            <c:numRef>
              <c:f>'Cartera Cont 2025'!$C$34:$BF$34</c:f>
              <c:numCache>
                <c:formatCode>General</c:formatCode>
                <c:ptCount val="32"/>
                <c:pt idx="0" formatCode="mmm\-yy">
                  <c:v>45992</c:v>
                </c:pt>
                <c:pt idx="5" formatCode="mmm\-yy">
                  <c:v>45962</c:v>
                </c:pt>
                <c:pt idx="10" formatCode="mmm\-yy">
                  <c:v>45931</c:v>
                </c:pt>
                <c:pt idx="15" formatCode="mmm\-yy">
                  <c:v>45901</c:v>
                </c:pt>
                <c:pt idx="20" formatCode="mmm\-yy">
                  <c:v>45870</c:v>
                </c:pt>
                <c:pt idx="25" formatCode="mmm\-yy">
                  <c:v>45839</c:v>
                </c:pt>
                <c:pt idx="26" formatCode="mmm\-yy">
                  <c:v>45809</c:v>
                </c:pt>
                <c:pt idx="27" formatCode="mmm\-yy">
                  <c:v>45778</c:v>
                </c:pt>
                <c:pt idx="28" formatCode="mmm\-yy">
                  <c:v>45748</c:v>
                </c:pt>
                <c:pt idx="29" formatCode="mmm\-yy">
                  <c:v>45717</c:v>
                </c:pt>
                <c:pt idx="30" formatCode="mmm\-yy">
                  <c:v>45689</c:v>
                </c:pt>
                <c:pt idx="31" formatCode="mmm\-yy">
                  <c:v>45658</c:v>
                </c:pt>
              </c:numCache>
            </c:numRef>
          </c:cat>
          <c:val>
            <c:numRef>
              <c:f>'Cartera Cont 2025'!$C$35:$BF$35</c:f>
              <c:numCache>
                <c:formatCode>#,##0</c:formatCode>
                <c:ptCount val="32"/>
                <c:pt idx="0">
                  <c:v>6612494</c:v>
                </c:pt>
                <c:pt idx="1">
                  <c:v>6612494</c:v>
                </c:pt>
                <c:pt idx="2">
                  <c:v>0</c:v>
                </c:pt>
                <c:pt idx="3">
                  <c:v>0</c:v>
                </c:pt>
                <c:pt idx="5">
                  <c:v>11820360</c:v>
                </c:pt>
                <c:pt idx="6">
                  <c:v>11820720</c:v>
                </c:pt>
                <c:pt idx="7">
                  <c:v>-360</c:v>
                </c:pt>
                <c:pt idx="9">
                  <c:v>0</c:v>
                </c:pt>
                <c:pt idx="10">
                  <c:v>13390458</c:v>
                </c:pt>
                <c:pt idx="11">
                  <c:v>13390458</c:v>
                </c:pt>
                <c:pt idx="12">
                  <c:v>0</c:v>
                </c:pt>
                <c:pt idx="14">
                  <c:v>0</c:v>
                </c:pt>
                <c:pt idx="15">
                  <c:v>13953951</c:v>
                </c:pt>
                <c:pt idx="16">
                  <c:v>13963951</c:v>
                </c:pt>
                <c:pt idx="17">
                  <c:v>-10000</c:v>
                </c:pt>
                <c:pt idx="18">
                  <c:v>0</c:v>
                </c:pt>
                <c:pt idx="19">
                  <c:v>0</c:v>
                </c:pt>
                <c:pt idx="20">
                  <c:v>14423568</c:v>
                </c:pt>
                <c:pt idx="21">
                  <c:v>4740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8689091</c:v>
                </c:pt>
                <c:pt idx="26">
                  <c:v>12541985</c:v>
                </c:pt>
                <c:pt idx="27">
                  <c:v>3942142</c:v>
                </c:pt>
                <c:pt idx="28">
                  <c:v>4269712</c:v>
                </c:pt>
                <c:pt idx="29">
                  <c:v>4129452</c:v>
                </c:pt>
                <c:pt idx="30">
                  <c:v>5984340</c:v>
                </c:pt>
                <c:pt idx="31">
                  <c:v>4630022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40-41F8-B6EF-6623E787CA36}"/>
            </c:ext>
          </c:extLst>
        </c:ser>
        <c:ser>
          <c:idx val="2"/>
          <c:order val="1"/>
          <c:tx>
            <c:strRef>
              <c:f>'Cartera Cont 2025'!$A$36:$B$36</c:f>
              <c:strCache>
                <c:ptCount val="2"/>
                <c:pt idx="0">
                  <c:v>Facturación</c:v>
                </c:pt>
              </c:strCache>
            </c:strRef>
          </c:tx>
          <c:invertIfNegative val="0"/>
          <c:cat>
            <c:numRef>
              <c:f>'Cartera Cont 2025'!$C$34:$BF$34</c:f>
              <c:numCache>
                <c:formatCode>General</c:formatCode>
                <c:ptCount val="32"/>
                <c:pt idx="0" formatCode="mmm\-yy">
                  <c:v>45992</c:v>
                </c:pt>
                <c:pt idx="5" formatCode="mmm\-yy">
                  <c:v>45962</c:v>
                </c:pt>
                <c:pt idx="10" formatCode="mmm\-yy">
                  <c:v>45931</c:v>
                </c:pt>
                <c:pt idx="15" formatCode="mmm\-yy">
                  <c:v>45901</c:v>
                </c:pt>
                <c:pt idx="20" formatCode="mmm\-yy">
                  <c:v>45870</c:v>
                </c:pt>
                <c:pt idx="25" formatCode="mmm\-yy">
                  <c:v>45839</c:v>
                </c:pt>
                <c:pt idx="26" formatCode="mmm\-yy">
                  <c:v>45809</c:v>
                </c:pt>
                <c:pt idx="27" formatCode="mmm\-yy">
                  <c:v>45778</c:v>
                </c:pt>
                <c:pt idx="28" formatCode="mmm\-yy">
                  <c:v>45748</c:v>
                </c:pt>
                <c:pt idx="29" formatCode="mmm\-yy">
                  <c:v>45717</c:v>
                </c:pt>
                <c:pt idx="30" formatCode="mmm\-yy">
                  <c:v>45689</c:v>
                </c:pt>
                <c:pt idx="31" formatCode="mmm\-yy">
                  <c:v>45658</c:v>
                </c:pt>
              </c:numCache>
            </c:numRef>
          </c:cat>
          <c:val>
            <c:numRef>
              <c:f>'Cartera Cont 2025'!$C$36:$BF$36</c:f>
              <c:numCache>
                <c:formatCode>#,##0_ ;[Red]\-#,##0\ </c:formatCode>
                <c:ptCount val="32"/>
                <c:pt idx="0">
                  <c:v>37511649</c:v>
                </c:pt>
                <c:pt idx="1">
                  <c:v>0</c:v>
                </c:pt>
                <c:pt idx="3" formatCode="General">
                  <c:v>0</c:v>
                </c:pt>
                <c:pt idx="5">
                  <c:v>43399112</c:v>
                </c:pt>
                <c:pt idx="10">
                  <c:v>43158407</c:v>
                </c:pt>
                <c:pt idx="15" formatCode="#,##0">
                  <c:v>44426148</c:v>
                </c:pt>
                <c:pt idx="20">
                  <c:v>46112831</c:v>
                </c:pt>
                <c:pt idx="25">
                  <c:v>33838463</c:v>
                </c:pt>
                <c:pt idx="26" formatCode="#,##0">
                  <c:v>33785820</c:v>
                </c:pt>
                <c:pt idx="27" formatCode="#,##0">
                  <c:v>42169112</c:v>
                </c:pt>
                <c:pt idx="28" formatCode="#,##0">
                  <c:v>36919858</c:v>
                </c:pt>
                <c:pt idx="29" formatCode="#,##0">
                  <c:v>30695973</c:v>
                </c:pt>
                <c:pt idx="30" formatCode="#,##0">
                  <c:v>33481694</c:v>
                </c:pt>
                <c:pt idx="31" formatCode="#,##0">
                  <c:v>32149530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40-41F8-B6EF-6623E787CA36}"/>
            </c:ext>
          </c:extLst>
        </c:ser>
        <c:ser>
          <c:idx val="3"/>
          <c:order val="2"/>
          <c:tx>
            <c:strRef>
              <c:f>'Cartera Cont 2025'!$A$37:$B$37</c:f>
              <c:strCache>
                <c:ptCount val="2"/>
                <c:pt idx="0">
                  <c:v>Recaudo</c:v>
                </c:pt>
              </c:strCache>
            </c:strRef>
          </c:tx>
          <c:invertIfNegative val="0"/>
          <c:cat>
            <c:numRef>
              <c:f>'Cartera Cont 2025'!$C$34:$BF$34</c:f>
              <c:numCache>
                <c:formatCode>General</c:formatCode>
                <c:ptCount val="32"/>
                <c:pt idx="0" formatCode="mmm\-yy">
                  <c:v>45992</c:v>
                </c:pt>
                <c:pt idx="5" formatCode="mmm\-yy">
                  <c:v>45962</c:v>
                </c:pt>
                <c:pt idx="10" formatCode="mmm\-yy">
                  <c:v>45931</c:v>
                </c:pt>
                <c:pt idx="15" formatCode="mmm\-yy">
                  <c:v>45901</c:v>
                </c:pt>
                <c:pt idx="20" formatCode="mmm\-yy">
                  <c:v>45870</c:v>
                </c:pt>
                <c:pt idx="25" formatCode="mmm\-yy">
                  <c:v>45839</c:v>
                </c:pt>
                <c:pt idx="26" formatCode="mmm\-yy">
                  <c:v>45809</c:v>
                </c:pt>
                <c:pt idx="27" formatCode="mmm\-yy">
                  <c:v>45778</c:v>
                </c:pt>
                <c:pt idx="28" formatCode="mmm\-yy">
                  <c:v>45748</c:v>
                </c:pt>
                <c:pt idx="29" formatCode="mmm\-yy">
                  <c:v>45717</c:v>
                </c:pt>
                <c:pt idx="30" formatCode="mmm\-yy">
                  <c:v>45689</c:v>
                </c:pt>
                <c:pt idx="31" formatCode="mmm\-yy">
                  <c:v>45658</c:v>
                </c:pt>
              </c:numCache>
            </c:numRef>
          </c:cat>
          <c:val>
            <c:numRef>
              <c:f>'Cartera Cont 2025'!$C$37:$BF$37</c:f>
              <c:numCache>
                <c:formatCode>#,##0</c:formatCode>
                <c:ptCount val="32"/>
                <c:pt idx="0">
                  <c:v>30899155</c:v>
                </c:pt>
                <c:pt idx="1">
                  <c:v>-6612494</c:v>
                </c:pt>
                <c:pt idx="2">
                  <c:v>0</c:v>
                </c:pt>
                <c:pt idx="3">
                  <c:v>0</c:v>
                </c:pt>
                <c:pt idx="5">
                  <c:v>31578752</c:v>
                </c:pt>
                <c:pt idx="7">
                  <c:v>360</c:v>
                </c:pt>
                <c:pt idx="8">
                  <c:v>0</c:v>
                </c:pt>
                <c:pt idx="9">
                  <c:v>0</c:v>
                </c:pt>
                <c:pt idx="10">
                  <c:v>29767949</c:v>
                </c:pt>
                <c:pt idx="11">
                  <c:v>-13390458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30472197</c:v>
                </c:pt>
                <c:pt idx="17">
                  <c:v>10000</c:v>
                </c:pt>
                <c:pt idx="18">
                  <c:v>0</c:v>
                </c:pt>
                <c:pt idx="19">
                  <c:v>0</c:v>
                </c:pt>
                <c:pt idx="20">
                  <c:v>31689263</c:v>
                </c:pt>
                <c:pt idx="21">
                  <c:v>-4740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25149372</c:v>
                </c:pt>
                <c:pt idx="26">
                  <c:v>21243835</c:v>
                </c:pt>
                <c:pt idx="27">
                  <c:v>38226970</c:v>
                </c:pt>
                <c:pt idx="28">
                  <c:v>32650146</c:v>
                </c:pt>
                <c:pt idx="29">
                  <c:v>26566521</c:v>
                </c:pt>
                <c:pt idx="30">
                  <c:v>27497354</c:v>
                </c:pt>
                <c:pt idx="31">
                  <c:v>27519508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40-41F8-B6EF-6623E787CA36}"/>
            </c:ext>
          </c:extLst>
        </c:ser>
        <c:ser>
          <c:idx val="4"/>
          <c:order val="4"/>
          <c:tx>
            <c:strRef>
              <c:f>'Cartera Cont 2025'!$A$39:$B$39</c:f>
              <c:strCache>
                <c:ptCount val="2"/>
                <c:pt idx="0">
                  <c:v>Consig sin identificar</c:v>
                </c:pt>
              </c:strCache>
            </c:strRef>
          </c:tx>
          <c:invertIfNegative val="0"/>
          <c:cat>
            <c:numRef>
              <c:f>'Cartera Cont 2025'!$C$34:$BF$34</c:f>
              <c:numCache>
                <c:formatCode>General</c:formatCode>
                <c:ptCount val="32"/>
                <c:pt idx="0" formatCode="mmm\-yy">
                  <c:v>45992</c:v>
                </c:pt>
                <c:pt idx="5" formatCode="mmm\-yy">
                  <c:v>45962</c:v>
                </c:pt>
                <c:pt idx="10" formatCode="mmm\-yy">
                  <c:v>45931</c:v>
                </c:pt>
                <c:pt idx="15" formatCode="mmm\-yy">
                  <c:v>45901</c:v>
                </c:pt>
                <c:pt idx="20" formatCode="mmm\-yy">
                  <c:v>45870</c:v>
                </c:pt>
                <c:pt idx="25" formatCode="mmm\-yy">
                  <c:v>45839</c:v>
                </c:pt>
                <c:pt idx="26" formatCode="mmm\-yy">
                  <c:v>45809</c:v>
                </c:pt>
                <c:pt idx="27" formatCode="mmm\-yy">
                  <c:v>45778</c:v>
                </c:pt>
                <c:pt idx="28" formatCode="mmm\-yy">
                  <c:v>45748</c:v>
                </c:pt>
                <c:pt idx="29" formatCode="mmm\-yy">
                  <c:v>45717</c:v>
                </c:pt>
                <c:pt idx="30" formatCode="mmm\-yy">
                  <c:v>45689</c:v>
                </c:pt>
                <c:pt idx="31" formatCode="mmm\-yy">
                  <c:v>45658</c:v>
                </c:pt>
              </c:numCache>
            </c:numRef>
          </c:cat>
          <c:val>
            <c:numRef>
              <c:f>'Cartera Cont 2025'!$C$39:$BF$39</c:f>
              <c:numCache>
                <c:formatCode>#,##0</c:formatCode>
                <c:ptCount val="32"/>
                <c:pt idx="0">
                  <c:v>408000</c:v>
                </c:pt>
                <c:pt idx="3">
                  <c:v>0</c:v>
                </c:pt>
                <c:pt idx="5">
                  <c:v>408000</c:v>
                </c:pt>
                <c:pt idx="10">
                  <c:v>408000</c:v>
                </c:pt>
                <c:pt idx="15">
                  <c:v>408000</c:v>
                </c:pt>
                <c:pt idx="20">
                  <c:v>408000</c:v>
                </c:pt>
                <c:pt idx="25">
                  <c:v>408000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04-4D71-961C-50CABAA80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8"/>
        <c:axId val="77712448"/>
        <c:axId val="1"/>
      </c:barChart>
      <c:lineChart>
        <c:grouping val="standard"/>
        <c:varyColors val="0"/>
        <c:ser>
          <c:idx val="0"/>
          <c:order val="3"/>
          <c:tx>
            <c:strRef>
              <c:f>'Cartera Cont 2025'!$A$38:$B$38</c:f>
              <c:strCache>
                <c:ptCount val="2"/>
                <c:pt idx="0">
                  <c:v>%cartera</c:v>
                </c:pt>
              </c:strCache>
            </c:strRef>
          </c:tx>
          <c:dLbls>
            <c:dLbl>
              <c:idx val="0"/>
              <c:layout>
                <c:manualLayout>
                  <c:x val="-1.2028430836522689E-2"/>
                  <c:y val="-0.156118143459915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A04-4D71-961C-50CABAA8073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A04-4D71-961C-50CABAA8073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A04-4D71-961C-50CABAA80732}"/>
                </c:ext>
              </c:extLst>
            </c:dLbl>
            <c:dLbl>
              <c:idx val="8"/>
              <c:layout>
                <c:manualLayout>
                  <c:x val="2.1869874248223072E-3"/>
                  <c:y val="-9.28270042194093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A04-4D71-961C-50CABAA8073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'Cartera Cont 2025'!$C$34:$BF$34</c:f>
              <c:numCache>
                <c:formatCode>General</c:formatCode>
                <c:ptCount val="32"/>
                <c:pt idx="0" formatCode="mmm\-yy">
                  <c:v>45992</c:v>
                </c:pt>
                <c:pt idx="5" formatCode="mmm\-yy">
                  <c:v>45962</c:v>
                </c:pt>
                <c:pt idx="10" formatCode="mmm\-yy">
                  <c:v>45931</c:v>
                </c:pt>
                <c:pt idx="15" formatCode="mmm\-yy">
                  <c:v>45901</c:v>
                </c:pt>
                <c:pt idx="20" formatCode="mmm\-yy">
                  <c:v>45870</c:v>
                </c:pt>
                <c:pt idx="25" formatCode="mmm\-yy">
                  <c:v>45839</c:v>
                </c:pt>
                <c:pt idx="26" formatCode="mmm\-yy">
                  <c:v>45809</c:v>
                </c:pt>
                <c:pt idx="27" formatCode="mmm\-yy">
                  <c:v>45778</c:v>
                </c:pt>
                <c:pt idx="28" formatCode="mmm\-yy">
                  <c:v>45748</c:v>
                </c:pt>
                <c:pt idx="29" formatCode="mmm\-yy">
                  <c:v>45717</c:v>
                </c:pt>
                <c:pt idx="30" formatCode="mmm\-yy">
                  <c:v>45689</c:v>
                </c:pt>
                <c:pt idx="31" formatCode="mmm\-yy">
                  <c:v>45658</c:v>
                </c:pt>
              </c:numCache>
            </c:numRef>
          </c:cat>
          <c:val>
            <c:numRef>
              <c:f>'Cartera Cont 2025'!$C$38:$BF$38</c:f>
              <c:numCache>
                <c:formatCode>0.00%</c:formatCode>
                <c:ptCount val="32"/>
                <c:pt idx="0">
                  <c:v>0.17627841420674414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>
                  <c:v>0.27236409814099422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0.31026302708531389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0.31409320024774601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0.3127886032414709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0.25678149152341817</c:v>
                </c:pt>
                <c:pt idx="26">
                  <c:v>0.37122038180514783</c:v>
                </c:pt>
                <c:pt idx="27">
                  <c:v>9.3484112257331858E-2</c:v>
                </c:pt>
                <c:pt idx="28">
                  <c:v>0.11564811543966394</c:v>
                </c:pt>
                <c:pt idx="29">
                  <c:v>0.13452748345849797</c:v>
                </c:pt>
                <c:pt idx="30">
                  <c:v>0.17873468409334367</c:v>
                </c:pt>
                <c:pt idx="31">
                  <c:v>0.14401523132686544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A04-4D71-961C-50CABAA80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dateAx>
        <c:axId val="777124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"/>
        <c:crosses val="autoZero"/>
        <c:auto val="1"/>
        <c:lblOffset val="100"/>
        <c:baseTimeUnit val="months"/>
      </c:date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$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712448"/>
        <c:crosses val="autoZero"/>
        <c:crossBetween val="between"/>
      </c:valAx>
      <c:dateAx>
        <c:axId val="3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4"/>
        <c:crosses val="autoZero"/>
        <c:auto val="1"/>
        <c:lblOffset val="100"/>
        <c:baseTimeUnit val="months"/>
      </c:dateAx>
      <c:valAx>
        <c:axId val="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s-CO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cartera</a:t>
            </a:r>
            <a:r>
              <a:rPr lang="es-CO" baseline="0"/>
              <a:t> 2025</a:t>
            </a:r>
            <a:endParaRPr lang="es-CO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'Cartera Cont 2025'!$A$35:$B$35</c:f>
              <c:strCache>
                <c:ptCount val="2"/>
                <c:pt idx="0">
                  <c:v>Cartera</c:v>
                </c:pt>
                <c:pt idx="1">
                  <c:v>TOTAL CARTERA</c:v>
                </c:pt>
              </c:strCache>
            </c:strRef>
          </c:tx>
          <c:invertIfNegative val="0"/>
          <c:cat>
            <c:numRef>
              <c:f>'Cartera Cont 2025'!$C$34:$AB$34</c:f>
              <c:numCache>
                <c:formatCode>General</c:formatCode>
                <c:ptCount val="26"/>
                <c:pt idx="0" formatCode="mmm\-yy">
                  <c:v>45992</c:v>
                </c:pt>
                <c:pt idx="5" formatCode="mmm\-yy">
                  <c:v>45962</c:v>
                </c:pt>
                <c:pt idx="10" formatCode="mmm\-yy">
                  <c:v>45931</c:v>
                </c:pt>
                <c:pt idx="15" formatCode="mmm\-yy">
                  <c:v>45901</c:v>
                </c:pt>
                <c:pt idx="20" formatCode="mmm\-yy">
                  <c:v>45870</c:v>
                </c:pt>
                <c:pt idx="25" formatCode="mmm\-yy">
                  <c:v>45839</c:v>
                </c:pt>
              </c:numCache>
            </c:numRef>
          </c:cat>
          <c:val>
            <c:numRef>
              <c:f>'Cartera Cont 2025'!$C$35:$AB$35</c:f>
              <c:numCache>
                <c:formatCode>#,##0</c:formatCode>
                <c:ptCount val="26"/>
                <c:pt idx="0">
                  <c:v>6612494</c:v>
                </c:pt>
                <c:pt idx="1">
                  <c:v>6612494</c:v>
                </c:pt>
                <c:pt idx="2">
                  <c:v>0</c:v>
                </c:pt>
                <c:pt idx="3">
                  <c:v>0</c:v>
                </c:pt>
                <c:pt idx="5">
                  <c:v>11820360</c:v>
                </c:pt>
                <c:pt idx="6">
                  <c:v>11820720</c:v>
                </c:pt>
                <c:pt idx="7">
                  <c:v>-360</c:v>
                </c:pt>
                <c:pt idx="9">
                  <c:v>0</c:v>
                </c:pt>
                <c:pt idx="10">
                  <c:v>13390458</c:v>
                </c:pt>
                <c:pt idx="11">
                  <c:v>13390458</c:v>
                </c:pt>
                <c:pt idx="12">
                  <c:v>0</c:v>
                </c:pt>
                <c:pt idx="14">
                  <c:v>0</c:v>
                </c:pt>
                <c:pt idx="15">
                  <c:v>13953951</c:v>
                </c:pt>
                <c:pt idx="16">
                  <c:v>13963951</c:v>
                </c:pt>
                <c:pt idx="17">
                  <c:v>-10000</c:v>
                </c:pt>
                <c:pt idx="18">
                  <c:v>0</c:v>
                </c:pt>
                <c:pt idx="19">
                  <c:v>0</c:v>
                </c:pt>
                <c:pt idx="20">
                  <c:v>14423568</c:v>
                </c:pt>
                <c:pt idx="21">
                  <c:v>4740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8689091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E3-4AD6-81A7-BAA4C63CCED8}"/>
            </c:ext>
          </c:extLst>
        </c:ser>
        <c:ser>
          <c:idx val="2"/>
          <c:order val="1"/>
          <c:tx>
            <c:strRef>
              <c:f>'Cartera Cont 2025'!$A$36:$B$36</c:f>
              <c:strCache>
                <c:ptCount val="2"/>
                <c:pt idx="0">
                  <c:v>Facturación</c:v>
                </c:pt>
              </c:strCache>
            </c:strRef>
          </c:tx>
          <c:invertIfNegative val="0"/>
          <c:cat>
            <c:numRef>
              <c:f>'Cartera Cont 2025'!$C$34:$AB$34</c:f>
              <c:numCache>
                <c:formatCode>General</c:formatCode>
                <c:ptCount val="26"/>
                <c:pt idx="0" formatCode="mmm\-yy">
                  <c:v>45992</c:v>
                </c:pt>
                <c:pt idx="5" formatCode="mmm\-yy">
                  <c:v>45962</c:v>
                </c:pt>
                <c:pt idx="10" formatCode="mmm\-yy">
                  <c:v>45931</c:v>
                </c:pt>
                <c:pt idx="15" formatCode="mmm\-yy">
                  <c:v>45901</c:v>
                </c:pt>
                <c:pt idx="20" formatCode="mmm\-yy">
                  <c:v>45870</c:v>
                </c:pt>
                <c:pt idx="25" formatCode="mmm\-yy">
                  <c:v>45839</c:v>
                </c:pt>
              </c:numCache>
            </c:numRef>
          </c:cat>
          <c:val>
            <c:numRef>
              <c:f>'Cartera Cont 2025'!$C$36:$AB$36</c:f>
              <c:numCache>
                <c:formatCode>#,##0_ ;[Red]\-#,##0\ </c:formatCode>
                <c:ptCount val="26"/>
                <c:pt idx="0">
                  <c:v>37511649</c:v>
                </c:pt>
                <c:pt idx="1">
                  <c:v>0</c:v>
                </c:pt>
                <c:pt idx="3" formatCode="General">
                  <c:v>0</c:v>
                </c:pt>
                <c:pt idx="5">
                  <c:v>43399112</c:v>
                </c:pt>
                <c:pt idx="10">
                  <c:v>43158407</c:v>
                </c:pt>
                <c:pt idx="15" formatCode="#,##0">
                  <c:v>44426148</c:v>
                </c:pt>
                <c:pt idx="20">
                  <c:v>46112831</c:v>
                </c:pt>
                <c:pt idx="25">
                  <c:v>33838463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E3-4AD6-81A7-BAA4C63CCED8}"/>
            </c:ext>
          </c:extLst>
        </c:ser>
        <c:ser>
          <c:idx val="3"/>
          <c:order val="2"/>
          <c:tx>
            <c:strRef>
              <c:f>'Cartera Cont 2025'!$A$37:$B$37</c:f>
              <c:strCache>
                <c:ptCount val="2"/>
                <c:pt idx="0">
                  <c:v>Recaudo</c:v>
                </c:pt>
              </c:strCache>
            </c:strRef>
          </c:tx>
          <c:invertIfNegative val="0"/>
          <c:cat>
            <c:numRef>
              <c:f>'Cartera Cont 2025'!$C$34:$AB$34</c:f>
              <c:numCache>
                <c:formatCode>General</c:formatCode>
                <c:ptCount val="26"/>
                <c:pt idx="0" formatCode="mmm\-yy">
                  <c:v>45992</c:v>
                </c:pt>
                <c:pt idx="5" formatCode="mmm\-yy">
                  <c:v>45962</c:v>
                </c:pt>
                <c:pt idx="10" formatCode="mmm\-yy">
                  <c:v>45931</c:v>
                </c:pt>
                <c:pt idx="15" formatCode="mmm\-yy">
                  <c:v>45901</c:v>
                </c:pt>
                <c:pt idx="20" formatCode="mmm\-yy">
                  <c:v>45870</c:v>
                </c:pt>
                <c:pt idx="25" formatCode="mmm\-yy">
                  <c:v>45839</c:v>
                </c:pt>
              </c:numCache>
            </c:numRef>
          </c:cat>
          <c:val>
            <c:numRef>
              <c:f>'Cartera Cont 2025'!$C$37:$AB$37</c:f>
              <c:numCache>
                <c:formatCode>#,##0</c:formatCode>
                <c:ptCount val="26"/>
                <c:pt idx="0">
                  <c:v>30899155</c:v>
                </c:pt>
                <c:pt idx="1">
                  <c:v>-6612494</c:v>
                </c:pt>
                <c:pt idx="2">
                  <c:v>0</c:v>
                </c:pt>
                <c:pt idx="3">
                  <c:v>0</c:v>
                </c:pt>
                <c:pt idx="5">
                  <c:v>31578752</c:v>
                </c:pt>
                <c:pt idx="7">
                  <c:v>360</c:v>
                </c:pt>
                <c:pt idx="8">
                  <c:v>0</c:v>
                </c:pt>
                <c:pt idx="9">
                  <c:v>0</c:v>
                </c:pt>
                <c:pt idx="10">
                  <c:v>29767949</c:v>
                </c:pt>
                <c:pt idx="11">
                  <c:v>-13390458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30472197</c:v>
                </c:pt>
                <c:pt idx="17">
                  <c:v>10000</c:v>
                </c:pt>
                <c:pt idx="18">
                  <c:v>0</c:v>
                </c:pt>
                <c:pt idx="19">
                  <c:v>0</c:v>
                </c:pt>
                <c:pt idx="20">
                  <c:v>31689263</c:v>
                </c:pt>
                <c:pt idx="21">
                  <c:v>-4740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25149372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E3-4AD6-81A7-BAA4C63CCED8}"/>
            </c:ext>
          </c:extLst>
        </c:ser>
        <c:ser>
          <c:idx val="4"/>
          <c:order val="4"/>
          <c:tx>
            <c:strRef>
              <c:f>'Cartera Cont 2025'!$A$39:$B$39</c:f>
              <c:strCache>
                <c:ptCount val="2"/>
                <c:pt idx="0">
                  <c:v>Consig sin identificar</c:v>
                </c:pt>
              </c:strCache>
            </c:strRef>
          </c:tx>
          <c:invertIfNegative val="0"/>
          <c:cat>
            <c:numRef>
              <c:f>'Cartera Cont 2025'!$C$34:$AB$34</c:f>
              <c:numCache>
                <c:formatCode>General</c:formatCode>
                <c:ptCount val="26"/>
                <c:pt idx="0" formatCode="mmm\-yy">
                  <c:v>45992</c:v>
                </c:pt>
                <c:pt idx="5" formatCode="mmm\-yy">
                  <c:v>45962</c:v>
                </c:pt>
                <c:pt idx="10" formatCode="mmm\-yy">
                  <c:v>45931</c:v>
                </c:pt>
                <c:pt idx="15" formatCode="mmm\-yy">
                  <c:v>45901</c:v>
                </c:pt>
                <c:pt idx="20" formatCode="mmm\-yy">
                  <c:v>45870</c:v>
                </c:pt>
                <c:pt idx="25" formatCode="mmm\-yy">
                  <c:v>45839</c:v>
                </c:pt>
              </c:numCache>
            </c:numRef>
          </c:cat>
          <c:val>
            <c:numRef>
              <c:f>'Cartera Cont 2025'!$C$39:$AB$39</c:f>
              <c:numCache>
                <c:formatCode>#,##0</c:formatCode>
                <c:ptCount val="26"/>
                <c:pt idx="0">
                  <c:v>408000</c:v>
                </c:pt>
                <c:pt idx="3">
                  <c:v>0</c:v>
                </c:pt>
                <c:pt idx="5">
                  <c:v>408000</c:v>
                </c:pt>
                <c:pt idx="10">
                  <c:v>408000</c:v>
                </c:pt>
                <c:pt idx="15">
                  <c:v>408000</c:v>
                </c:pt>
                <c:pt idx="20">
                  <c:v>408000</c:v>
                </c:pt>
                <c:pt idx="25">
                  <c:v>408000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E3-4AD6-81A7-BAA4C63CC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8"/>
        <c:axId val="77712448"/>
        <c:axId val="1"/>
      </c:barChart>
      <c:lineChart>
        <c:grouping val="standard"/>
        <c:varyColors val="0"/>
        <c:ser>
          <c:idx val="0"/>
          <c:order val="3"/>
          <c:tx>
            <c:strRef>
              <c:f>'Cartera Cont 2025'!$A$38:$B$38</c:f>
              <c:strCache>
                <c:ptCount val="2"/>
                <c:pt idx="0">
                  <c:v>%cartera</c:v>
                </c:pt>
              </c:strCache>
            </c:strRef>
          </c:tx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D20-43DA-B101-7C7E06A34ABE}"/>
                </c:ext>
              </c:extLst>
            </c:dLbl>
            <c:dLbl>
              <c:idx val="2"/>
              <c:layout>
                <c:manualLayout>
                  <c:x val="2.1869874248223072E-3"/>
                  <c:y val="-9.28270042194093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E3-4AD6-81A7-BAA4C63CCED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'Cartera Cont 2025'!$C$34:$AB$34</c:f>
              <c:numCache>
                <c:formatCode>General</c:formatCode>
                <c:ptCount val="26"/>
                <c:pt idx="0" formatCode="mmm\-yy">
                  <c:v>45992</c:v>
                </c:pt>
                <c:pt idx="5" formatCode="mmm\-yy">
                  <c:v>45962</c:v>
                </c:pt>
                <c:pt idx="10" formatCode="mmm\-yy">
                  <c:v>45931</c:v>
                </c:pt>
                <c:pt idx="15" formatCode="mmm\-yy">
                  <c:v>45901</c:v>
                </c:pt>
                <c:pt idx="20" formatCode="mmm\-yy">
                  <c:v>45870</c:v>
                </c:pt>
                <c:pt idx="25" formatCode="mmm\-yy">
                  <c:v>45839</c:v>
                </c:pt>
              </c:numCache>
            </c:numRef>
          </c:cat>
          <c:val>
            <c:numRef>
              <c:f>'Cartera Cont 2025'!$C$38:$AB$38</c:f>
              <c:numCache>
                <c:formatCode>0.00%</c:formatCode>
                <c:ptCount val="26"/>
                <c:pt idx="0">
                  <c:v>0.17627841420674414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>
                  <c:v>0.27236409814099422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0.31026302708531389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0.31409320024774601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0.3127886032414709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0.25678149152341817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0E3-4AD6-81A7-BAA4C63CC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dateAx>
        <c:axId val="777124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"/>
        <c:crosses val="autoZero"/>
        <c:auto val="1"/>
        <c:lblOffset val="100"/>
        <c:baseTimeUnit val="months"/>
      </c:date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$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712448"/>
        <c:crosses val="autoZero"/>
        <c:crossBetween val="between"/>
      </c:valAx>
      <c:dateAx>
        <c:axId val="3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4"/>
        <c:crosses val="autoZero"/>
        <c:auto val="1"/>
        <c:lblOffset val="100"/>
        <c:baseTimeUnit val="months"/>
      </c:dateAx>
      <c:valAx>
        <c:axId val="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s-CO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s-CO"/>
              <a:t>Comportamiento de pagos 2025</a:t>
            </a:r>
          </a:p>
        </c:rich>
      </c:tx>
      <c:layout>
        <c:manualLayout>
          <c:xMode val="edge"/>
          <c:yMode val="edge"/>
          <c:x val="0.36156920799407849"/>
          <c:y val="7.9575596816976124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val>
            <c:numRef>
              <c:f>'[2]GRAF CARTERA 2021'!$C$5:$N$5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'[2]GRAF CARTERA 2021'!$B$5</c15:sqref>
                        </c15:formulaRef>
                      </c:ext>
                    </c:extLst>
                    <c:strCache>
                      <c:ptCount val="1"/>
                      <c:pt idx="0">
                        <c:v>1 al 10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'[2]GRAF CARTERA 2021'!$C$4:$N$4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901B-4B60-832C-5348EA46AB64}"/>
            </c:ext>
          </c:extLst>
        </c:ser>
        <c:ser>
          <c:idx val="1"/>
          <c:order val="1"/>
          <c:spPr>
            <a:solidFill>
              <a:srgbClr val="C0504D"/>
            </a:solidFill>
            <a:ln w="25400">
              <a:noFill/>
            </a:ln>
          </c:spPr>
          <c:invertIfNegative val="0"/>
          <c:val>
            <c:numRef>
              <c:f>'[2]GRAF CARTERA 2021'!$C$6:$N$6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'[2]GRAF CARTERA 2021'!$B$6</c15:sqref>
                        </c15:formulaRef>
                      </c:ext>
                    </c:extLst>
                    <c:strCache>
                      <c:ptCount val="1"/>
                      <c:pt idx="0">
                        <c:v>11 al 20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'[2]GRAF CARTERA 2021'!$C$4:$N$4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901B-4B60-832C-5348EA46AB64}"/>
            </c:ext>
          </c:extLst>
        </c:ser>
        <c:ser>
          <c:idx val="2"/>
          <c:order val="2"/>
          <c:spPr>
            <a:solidFill>
              <a:srgbClr val="9BBB59"/>
            </a:solidFill>
            <a:ln w="25400">
              <a:noFill/>
            </a:ln>
          </c:spPr>
          <c:invertIfNegative val="0"/>
          <c:val>
            <c:numRef>
              <c:f>'[2]GRAF CARTERA 2021'!$C$7:$N$7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'[2]GRAF CARTERA 2021'!$B$7</c15:sqref>
                        </c15:formulaRef>
                      </c:ext>
                    </c:extLst>
                    <c:strCache>
                      <c:ptCount val="1"/>
                      <c:pt idx="0">
                        <c:v>21 al 31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'[2]GRAF CARTERA 2021'!$C$4:$N$4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901B-4B60-832C-5348EA46A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867008"/>
        <c:axId val="1"/>
      </c:barChart>
      <c:lineChart>
        <c:grouping val="standard"/>
        <c:varyColors val="0"/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'[2]GRAF CARTERA 2021'!$C$8:$N$8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'[2]GRAF CARTERA 2021'!$B$8</c15:sqref>
                        </c15:formulaRef>
                      </c:ext>
                    </c:extLst>
                    <c:strCache>
                      <c:ptCount val="1"/>
                      <c:pt idx="0">
                        <c:v>Total Recaudo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'[2]GRAF CARTERA 2021'!$C$4:$N$4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901B-4B60-832C-5348EA46A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867008"/>
        <c:axId val="1"/>
      </c:lineChart>
      <c:catAx>
        <c:axId val="142867008"/>
        <c:scaling>
          <c:orientation val="minMax"/>
        </c:scaling>
        <c:delete val="0"/>
        <c:axPos val="b"/>
        <c:numFmt formatCode="[$-C0A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142867008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406400</xdr:colOff>
      <xdr:row>37</xdr:row>
      <xdr:rowOff>19050</xdr:rowOff>
    </xdr:from>
    <xdr:to>
      <xdr:col>37</xdr:col>
      <xdr:colOff>260350</xdr:colOff>
      <xdr:row>54</xdr:row>
      <xdr:rowOff>63500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1473375-DB1A-40E1-AEC0-A44BA08511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39</xdr:row>
      <xdr:rowOff>19050</xdr:rowOff>
    </xdr:from>
    <xdr:to>
      <xdr:col>61</xdr:col>
      <xdr:colOff>25400</xdr:colOff>
      <xdr:row>59</xdr:row>
      <xdr:rowOff>139700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01CA82A-3388-4572-9FEE-517B94590A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64</xdr:col>
      <xdr:colOff>746124</xdr:colOff>
      <xdr:row>39</xdr:row>
      <xdr:rowOff>15875</xdr:rowOff>
    </xdr:from>
    <xdr:to>
      <xdr:col>93</xdr:col>
      <xdr:colOff>736600</xdr:colOff>
      <xdr:row>57</xdr:row>
      <xdr:rowOff>15875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5A56887-E5ED-1B47-876B-8F9575BF05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39</xdr:row>
      <xdr:rowOff>19050</xdr:rowOff>
    </xdr:from>
    <xdr:to>
      <xdr:col>61</xdr:col>
      <xdr:colOff>50800</xdr:colOff>
      <xdr:row>58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575A18-A72F-4755-B7E6-61293DC9C1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63</xdr:col>
      <xdr:colOff>0</xdr:colOff>
      <xdr:row>39</xdr:row>
      <xdr:rowOff>0</xdr:rowOff>
    </xdr:from>
    <xdr:to>
      <xdr:col>71</xdr:col>
      <xdr:colOff>0</xdr:colOff>
      <xdr:row>58</xdr:row>
      <xdr:rowOff>133350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A369B97-060A-4710-AC54-C57F933A57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27</xdr:row>
      <xdr:rowOff>12700</xdr:rowOff>
    </xdr:from>
    <xdr:to>
      <xdr:col>12</xdr:col>
      <xdr:colOff>57150</xdr:colOff>
      <xdr:row>42</xdr:row>
      <xdr:rowOff>25400</xdr:rowOff>
    </xdr:to>
    <xdr:graphicFrame macro="">
      <xdr:nvGraphicFramePr>
        <xdr:cNvPr id="2" name="Gráfico 5">
          <a:extLst>
            <a:ext uri="{FF2B5EF4-FFF2-40B4-BE49-F238E27FC236}">
              <a16:creationId xmlns:a16="http://schemas.microsoft.com/office/drawing/2014/main" id="{ED8B0E89-0455-4802-9CF6-C9F37774C5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2025\aa%20preparacion%20asamblea%202025\modelo%20de%20graficos%20estados%20financiero-%202025.xls" TargetMode="External"/><Relationship Id="rId1" Type="http://schemas.openxmlformats.org/officeDocument/2006/relationships/externalLinkPath" Target="file:///E:\2025\aa%20preparacion%20asamblea%202025\modelo%20de%20graficos%20estados%20financiero-%20202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io\Documents\Desktop\2022%20MONTEVERDI\ASAMBLEA%202022\8.%20%2012-2021-INFORMES%20MES%20DIC2021-%20MONTEVERDI-verificados%20mes%20a%20mes%20contabildiad%20CUARTA%20REVISI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FA"/>
      <sheetName val="ESFA gra"/>
      <sheetName val="ESTADO RESULTADOS graf"/>
      <sheetName val="EJECUCION PRESUPUESTAL"/>
      <sheetName val="SERVICIOS PUB."/>
      <sheetName val="NOTAS BALANCE"/>
      <sheetName val="FLUJO DE CAJA MES"/>
      <sheetName val="Cartera 2024 CONT "/>
      <sheetName val="Cartera Contab 2025"/>
      <sheetName val="Cartera M2025"/>
      <sheetName val="INFORME ESPECIAL MENSUAL"/>
      <sheetName val="CONCILIACION BAN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4">
          <cell r="A34" t="str">
            <v>Cartera</v>
          </cell>
          <cell r="B34" t="str">
            <v>TOTAL CARTERA</v>
          </cell>
          <cell r="C34">
            <v>3339078</v>
          </cell>
          <cell r="D34">
            <v>3339078</v>
          </cell>
          <cell r="E34">
            <v>0</v>
          </cell>
          <cell r="G34" t="str">
            <v>TOTAL CARTERA</v>
          </cell>
          <cell r="H34">
            <v>10014493</v>
          </cell>
          <cell r="I34">
            <v>9998199</v>
          </cell>
          <cell r="J34">
            <v>16294</v>
          </cell>
          <cell r="L34" t="str">
            <v>TOTAL CARTERA</v>
          </cell>
          <cell r="M34">
            <v>-503652</v>
          </cell>
          <cell r="N34">
            <v>7611797</v>
          </cell>
          <cell r="O34">
            <v>-8115449</v>
          </cell>
          <cell r="Q34" t="str">
            <v>TOTAL CARTERA</v>
          </cell>
          <cell r="R34">
            <v>7521880</v>
          </cell>
          <cell r="S34">
            <v>7521880</v>
          </cell>
          <cell r="T34">
            <v>0</v>
          </cell>
          <cell r="U34">
            <v>0</v>
          </cell>
          <cell r="V34">
            <v>0</v>
          </cell>
          <cell r="W34">
            <v>4113100</v>
          </cell>
          <cell r="X34">
            <v>4113100</v>
          </cell>
          <cell r="Y34">
            <v>0</v>
          </cell>
          <cell r="Z34">
            <v>0</v>
          </cell>
          <cell r="AA34">
            <v>0</v>
          </cell>
          <cell r="AB34">
            <v>7121012</v>
          </cell>
          <cell r="AC34">
            <v>7098960</v>
          </cell>
          <cell r="AD34">
            <v>22052</v>
          </cell>
          <cell r="AE34">
            <v>0</v>
          </cell>
          <cell r="AF34">
            <v>0</v>
          </cell>
          <cell r="AG34">
            <v>5706030</v>
          </cell>
          <cell r="AH34">
            <v>5706030</v>
          </cell>
          <cell r="AI34">
            <v>0</v>
          </cell>
          <cell r="AJ34">
            <v>0</v>
          </cell>
          <cell r="AK34">
            <v>0</v>
          </cell>
          <cell r="AL34">
            <v>5729801</v>
          </cell>
          <cell r="AM34">
            <v>5729801</v>
          </cell>
          <cell r="AN34">
            <v>0</v>
          </cell>
          <cell r="AO34">
            <v>0</v>
          </cell>
          <cell r="AP34">
            <v>0</v>
          </cell>
          <cell r="AQ34">
            <v>5729801</v>
          </cell>
          <cell r="AR34">
            <v>5729801</v>
          </cell>
          <cell r="AS34">
            <v>0</v>
          </cell>
          <cell r="AT34">
            <v>0</v>
          </cell>
          <cell r="AU34">
            <v>0</v>
          </cell>
          <cell r="AV34">
            <v>-838203</v>
          </cell>
          <cell r="AW34">
            <v>-838203</v>
          </cell>
          <cell r="AX34">
            <v>0</v>
          </cell>
          <cell r="AY34">
            <v>0</v>
          </cell>
          <cell r="AZ34">
            <v>3676439</v>
          </cell>
          <cell r="BA34">
            <v>3673963</v>
          </cell>
          <cell r="BB34">
            <v>2476</v>
          </cell>
          <cell r="BC34">
            <v>2203523</v>
          </cell>
        </row>
        <row r="35">
          <cell r="A35" t="str">
            <v>Facturación</v>
          </cell>
          <cell r="B35" t="str">
            <v>CONSIGNACION POR IDENTIFICAR DESDE 2023</v>
          </cell>
          <cell r="C35">
            <v>37511649</v>
          </cell>
          <cell r="D35">
            <v>0</v>
          </cell>
          <cell r="G35" t="str">
            <v>CONSIGNACION POR IDENTIFICAR DESDE 2023</v>
          </cell>
          <cell r="H35">
            <v>34276752</v>
          </cell>
          <cell r="I35">
            <v>503652</v>
          </cell>
          <cell r="M35">
            <v>34934183</v>
          </cell>
          <cell r="R35">
            <v>50363418</v>
          </cell>
          <cell r="W35">
            <v>34498288</v>
          </cell>
          <cell r="AB35">
            <v>51976752</v>
          </cell>
          <cell r="AF35" t="str">
            <v>CONSIGNACION POR IDENTIFICAR DESDE 2023</v>
          </cell>
          <cell r="AG35">
            <v>35807963</v>
          </cell>
          <cell r="AH35">
            <v>503652</v>
          </cell>
          <cell r="AK35" t="str">
            <v>CONSIGNACION POR IDENTIFICAR DESDE 2023</v>
          </cell>
          <cell r="AL35">
            <v>52010804</v>
          </cell>
          <cell r="AM35">
            <v>503652</v>
          </cell>
          <cell r="AQ35">
            <v>38837397</v>
          </cell>
          <cell r="AV35">
            <v>28773246</v>
          </cell>
          <cell r="AZ35">
            <v>27272657</v>
          </cell>
          <cell r="BC35">
            <v>25907273</v>
          </cell>
        </row>
        <row r="36">
          <cell r="A36" t="str">
            <v>Recaudo</v>
          </cell>
          <cell r="C36">
            <v>34172571</v>
          </cell>
          <cell r="D36">
            <v>-3339078</v>
          </cell>
          <cell r="E36">
            <v>0</v>
          </cell>
          <cell r="F36">
            <v>0</v>
          </cell>
          <cell r="G36" t="e">
            <v>#VALUE!</v>
          </cell>
          <cell r="H36">
            <v>24262259</v>
          </cell>
          <cell r="I36">
            <v>-9494547</v>
          </cell>
          <cell r="J36">
            <v>-16294</v>
          </cell>
          <cell r="K36">
            <v>0</v>
          </cell>
          <cell r="L36" t="e">
            <v>#VALUE!</v>
          </cell>
          <cell r="M36">
            <v>35437835</v>
          </cell>
          <cell r="N36">
            <v>-7611797</v>
          </cell>
          <cell r="O36">
            <v>8115449</v>
          </cell>
          <cell r="P36">
            <v>0</v>
          </cell>
          <cell r="Q36" t="e">
            <v>#VALUE!</v>
          </cell>
          <cell r="R36">
            <v>42841538</v>
          </cell>
          <cell r="S36">
            <v>-7521880</v>
          </cell>
          <cell r="T36">
            <v>0</v>
          </cell>
          <cell r="U36">
            <v>0</v>
          </cell>
          <cell r="V36">
            <v>0</v>
          </cell>
          <cell r="W36">
            <v>30385188</v>
          </cell>
          <cell r="X36">
            <v>-4113100</v>
          </cell>
          <cell r="Y36">
            <v>0</v>
          </cell>
          <cell r="Z36">
            <v>0</v>
          </cell>
          <cell r="AA36">
            <v>0</v>
          </cell>
          <cell r="AB36">
            <v>44855740</v>
          </cell>
          <cell r="AC36">
            <v>-7098960</v>
          </cell>
          <cell r="AD36">
            <v>-22052</v>
          </cell>
          <cell r="AE36">
            <v>0</v>
          </cell>
          <cell r="AF36" t="e">
            <v>#VALUE!</v>
          </cell>
          <cell r="AG36">
            <v>30101933</v>
          </cell>
          <cell r="AH36">
            <v>-5202378</v>
          </cell>
          <cell r="AI36">
            <v>0</v>
          </cell>
          <cell r="AJ36">
            <v>0</v>
          </cell>
          <cell r="AK36" t="e">
            <v>#VALUE!</v>
          </cell>
          <cell r="AL36">
            <v>46281003</v>
          </cell>
          <cell r="AM36">
            <v>-5226149</v>
          </cell>
          <cell r="AN36">
            <v>0</v>
          </cell>
          <cell r="AO36">
            <v>0</v>
          </cell>
          <cell r="AP36">
            <v>0</v>
          </cell>
          <cell r="AQ36">
            <v>33107596</v>
          </cell>
          <cell r="AR36">
            <v>-5729801</v>
          </cell>
          <cell r="AS36">
            <v>0</v>
          </cell>
          <cell r="AT36">
            <v>0</v>
          </cell>
          <cell r="AU36">
            <v>0</v>
          </cell>
          <cell r="AV36">
            <v>29611449</v>
          </cell>
          <cell r="AW36">
            <v>838203</v>
          </cell>
          <cell r="AX36">
            <v>0</v>
          </cell>
          <cell r="AY36">
            <v>0</v>
          </cell>
          <cell r="AZ36">
            <v>23596218</v>
          </cell>
          <cell r="BA36">
            <v>-3673963</v>
          </cell>
          <cell r="BB36">
            <v>-2476</v>
          </cell>
          <cell r="BC36">
            <v>23703750</v>
          </cell>
        </row>
        <row r="37">
          <cell r="A37" t="str">
            <v>%cartera</v>
          </cell>
          <cell r="C37">
            <v>8.9014428557912764E-2</v>
          </cell>
          <cell r="D37" t="e">
            <v>#DIV/0!</v>
          </cell>
          <cell r="E37" t="e">
            <v>#DIV/0!</v>
          </cell>
          <cell r="F37" t="e">
            <v>#DIV/0!</v>
          </cell>
          <cell r="G37" t="e">
            <v>#VALUE!</v>
          </cell>
          <cell r="H37">
            <v>0.29216575129405492</v>
          </cell>
          <cell r="I37">
            <v>19.851403349932095</v>
          </cell>
          <cell r="J37" t="e">
            <v>#DIV/0!</v>
          </cell>
          <cell r="K37" t="e">
            <v>#DIV/0!</v>
          </cell>
          <cell r="L37" t="e">
            <v>#VALUE!</v>
          </cell>
          <cell r="M37">
            <v>-1.4417168422115382E-2</v>
          </cell>
          <cell r="N37" t="e">
            <v>#DIV/0!</v>
          </cell>
          <cell r="O37" t="e">
            <v>#DIV/0!</v>
          </cell>
          <cell r="P37" t="e">
            <v>#DIV/0!</v>
          </cell>
          <cell r="Q37" t="e">
            <v>#VALUE!</v>
          </cell>
          <cell r="R37">
            <v>0.14935205549393013</v>
          </cell>
          <cell r="S37" t="e">
            <v>#DIV/0!</v>
          </cell>
          <cell r="T37" t="e">
            <v>#DIV/0!</v>
          </cell>
          <cell r="U37" t="e">
            <v>#DIV/0!</v>
          </cell>
          <cell r="V37" t="e">
            <v>#DIV/0!</v>
          </cell>
          <cell r="W37">
            <v>0.1192262062395676</v>
          </cell>
          <cell r="X37" t="e">
            <v>#DIV/0!</v>
          </cell>
          <cell r="Y37" t="e">
            <v>#DIV/0!</v>
          </cell>
          <cell r="Z37" t="e">
            <v>#DIV/0!</v>
          </cell>
          <cell r="AA37" t="e">
            <v>#DIV/0!</v>
          </cell>
          <cell r="AB37">
            <v>0.13700378969428487</v>
          </cell>
          <cell r="AC37" t="e">
            <v>#DIV/0!</v>
          </cell>
          <cell r="AD37" t="e">
            <v>#DIV/0!</v>
          </cell>
          <cell r="AE37" t="e">
            <v>#DIV/0!</v>
          </cell>
          <cell r="AF37" t="e">
            <v>#VALUE!</v>
          </cell>
          <cell r="AG37">
            <v>0.159350868408795</v>
          </cell>
          <cell r="AH37">
            <v>11.329310714540993</v>
          </cell>
          <cell r="AI37" t="e">
            <v>#DIV/0!</v>
          </cell>
          <cell r="AJ37" t="e">
            <v>#DIV/0!</v>
          </cell>
          <cell r="AK37" t="e">
            <v>#VALUE!</v>
          </cell>
          <cell r="AL37">
            <v>0.11016559174897585</v>
          </cell>
          <cell r="AM37">
            <v>11.376507985672648</v>
          </cell>
          <cell r="AN37" t="e">
            <v>#DIV/0!</v>
          </cell>
          <cell r="AO37" t="e">
            <v>#DIV/0!</v>
          </cell>
          <cell r="AP37" t="e">
            <v>#DIV/0!</v>
          </cell>
          <cell r="AQ37">
            <v>0.14753308518590985</v>
          </cell>
          <cell r="AR37" t="e">
            <v>#DIV/0!</v>
          </cell>
          <cell r="AS37" t="e">
            <v>#DIV/0!</v>
          </cell>
          <cell r="AT37" t="e">
            <v>#DIV/0!</v>
          </cell>
          <cell r="AU37" t="e">
            <v>#DIV/0!</v>
          </cell>
          <cell r="AV37">
            <v>-2.9131332627538791E-2</v>
          </cell>
          <cell r="AW37" t="e">
            <v>#DIV/0!</v>
          </cell>
          <cell r="AX37" t="e">
            <v>#DIV/0!</v>
          </cell>
          <cell r="AY37" t="e">
            <v>#DIV/0!</v>
          </cell>
          <cell r="AZ37">
            <v>0.13480311067601516</v>
          </cell>
          <cell r="BA37" t="e">
            <v>#DIV/0!</v>
          </cell>
          <cell r="BB37" t="e">
            <v>#DIV/0!</v>
          </cell>
          <cell r="BC37">
            <v>8.5054223962514316E-2</v>
          </cell>
        </row>
      </sheetData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,CORTAS"/>
      <sheetName val="BALANCE"/>
      <sheetName val="GRAFICO CARTERA 2020"/>
      <sheetName val="GRAF CARTERA 2021"/>
      <sheetName val="BPRUEBA"/>
      <sheetName val="RESULT.MES"/>
      <sheetName val="EJECUC.ACUM."/>
      <sheetName val="Hoja1"/>
      <sheetName val="Hoja2"/>
      <sheetName val="ESTADI DE RESEULTADO MES DETALL"/>
      <sheetName val="EST.RESUL.RESUM."/>
      <sheetName val="FLUJO EEFCT."/>
      <sheetName val="CARTERA"/>
      <sheetName val="CONC.BANC."/>
      <sheetName val="SERVIC PUBL."/>
    </sheetNames>
    <sheetDataSet>
      <sheetData sheetId="0" refreshError="1"/>
      <sheetData sheetId="1" refreshError="1"/>
      <sheetData sheetId="2" refreshError="1"/>
      <sheetData sheetId="3" refreshError="1">
        <row r="4">
          <cell r="C4">
            <v>44201</v>
          </cell>
          <cell r="D4">
            <v>44232</v>
          </cell>
          <cell r="E4">
            <v>44260</v>
          </cell>
          <cell r="F4">
            <v>44292</v>
          </cell>
          <cell r="G4">
            <v>44324</v>
          </cell>
          <cell r="H4">
            <v>44356</v>
          </cell>
          <cell r="I4">
            <v>44388</v>
          </cell>
          <cell r="J4">
            <v>44420</v>
          </cell>
          <cell r="K4">
            <v>44452</v>
          </cell>
          <cell r="L4">
            <v>44484</v>
          </cell>
          <cell r="M4">
            <v>44516</v>
          </cell>
          <cell r="N4">
            <v>44548</v>
          </cell>
        </row>
        <row r="5">
          <cell r="B5" t="str">
            <v>1 al 10</v>
          </cell>
          <cell r="C5">
            <v>2020222</v>
          </cell>
          <cell r="D5">
            <v>6395058</v>
          </cell>
          <cell r="E5">
            <v>6097002</v>
          </cell>
          <cell r="F5">
            <v>3392070</v>
          </cell>
          <cell r="G5">
            <v>3984500</v>
          </cell>
          <cell r="H5">
            <v>4981003</v>
          </cell>
          <cell r="I5">
            <v>2756498</v>
          </cell>
          <cell r="J5">
            <v>5627728</v>
          </cell>
          <cell r="K5">
            <v>4893021</v>
          </cell>
          <cell r="L5">
            <v>5108527</v>
          </cell>
          <cell r="M5">
            <v>4482284</v>
          </cell>
          <cell r="N5">
            <v>3403947</v>
          </cell>
        </row>
        <row r="6">
          <cell r="B6" t="str">
            <v>11 al 20</v>
          </cell>
          <cell r="C6">
            <v>5462497</v>
          </cell>
          <cell r="D6">
            <v>8218620</v>
          </cell>
          <cell r="E6">
            <v>8004884</v>
          </cell>
          <cell r="F6">
            <v>6898263</v>
          </cell>
          <cell r="G6">
            <v>3713840</v>
          </cell>
          <cell r="H6">
            <v>7632604</v>
          </cell>
          <cell r="I6">
            <v>4521534</v>
          </cell>
          <cell r="J6">
            <v>4489593</v>
          </cell>
          <cell r="K6">
            <v>6048548</v>
          </cell>
          <cell r="L6">
            <v>3256338</v>
          </cell>
          <cell r="M6">
            <v>5737509</v>
          </cell>
          <cell r="N6">
            <v>4985110</v>
          </cell>
        </row>
        <row r="7">
          <cell r="B7" t="str">
            <v>21 al 31</v>
          </cell>
          <cell r="C7">
            <v>8970649</v>
          </cell>
          <cell r="D7">
            <v>5555969</v>
          </cell>
          <cell r="E7">
            <v>2803196</v>
          </cell>
          <cell r="F7">
            <v>6075043</v>
          </cell>
          <cell r="G7">
            <v>12308552</v>
          </cell>
          <cell r="H7">
            <v>5069436</v>
          </cell>
          <cell r="I7">
            <v>8810305</v>
          </cell>
          <cell r="J7">
            <v>5456450</v>
          </cell>
          <cell r="K7">
            <v>6513955</v>
          </cell>
          <cell r="L7">
            <v>8308649</v>
          </cell>
          <cell r="N7">
            <v>11097696</v>
          </cell>
        </row>
        <row r="8">
          <cell r="B8" t="str">
            <v>Total Recaudo</v>
          </cell>
          <cell r="C8">
            <v>16453368</v>
          </cell>
          <cell r="D8">
            <v>20169647</v>
          </cell>
          <cell r="E8">
            <v>16905082</v>
          </cell>
          <cell r="F8">
            <v>16365376</v>
          </cell>
          <cell r="G8">
            <v>20006892</v>
          </cell>
          <cell r="H8">
            <v>17683043</v>
          </cell>
          <cell r="I8">
            <v>16088337</v>
          </cell>
          <cell r="J8">
            <v>15573771</v>
          </cell>
          <cell r="K8">
            <v>17455524</v>
          </cell>
          <cell r="L8">
            <v>16673514</v>
          </cell>
          <cell r="M8">
            <v>10219793</v>
          </cell>
          <cell r="N8">
            <v>19486753</v>
          </cell>
        </row>
      </sheetData>
      <sheetData sheetId="4" refreshError="1"/>
      <sheetData sheetId="5" refreshError="1"/>
      <sheetData sheetId="6">
        <row r="5">
          <cell r="AA5" t="str">
            <v>INGRESOS PRESUPUESTADO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2F6E0-2C9E-4A66-B9C5-F958FF6B30AC}">
  <dimension ref="A1:BG40"/>
  <sheetViews>
    <sheetView topLeftCell="A29" workbookViewId="0">
      <selection sqref="A1:XFD1048576"/>
    </sheetView>
  </sheetViews>
  <sheetFormatPr baseColWidth="10" defaultRowHeight="14.5" x14ac:dyDescent="0.35"/>
  <cols>
    <col min="1" max="1" width="10.90625" style="1"/>
    <col min="2" max="2" width="0" style="1" hidden="1" customWidth="1"/>
    <col min="3" max="3" width="13" style="1" bestFit="1" customWidth="1"/>
    <col min="4" max="5" width="0" style="1" hidden="1" customWidth="1"/>
    <col min="6" max="7" width="0" hidden="1" customWidth="1"/>
    <col min="8" max="8" width="13" bestFit="1" customWidth="1"/>
    <col min="9" max="10" width="0" hidden="1" customWidth="1"/>
    <col min="11" max="11" width="0" style="1" hidden="1" customWidth="1"/>
    <col min="12" max="12" width="36.1796875" style="1" hidden="1" customWidth="1"/>
    <col min="13" max="13" width="10.90625" style="1"/>
    <col min="14" max="15" width="0" style="1" hidden="1" customWidth="1"/>
    <col min="16" max="17" width="0" hidden="1" customWidth="1"/>
    <col min="19" max="20" width="0" hidden="1" customWidth="1"/>
    <col min="21" max="22" width="0" style="1" hidden="1" customWidth="1"/>
    <col min="23" max="23" width="10.90625" style="1"/>
    <col min="24" max="25" width="0" style="1" hidden="1" customWidth="1"/>
    <col min="26" max="27" width="0" hidden="1" customWidth="1"/>
    <col min="29" max="30" width="0" hidden="1" customWidth="1"/>
    <col min="31" max="32" width="0" style="1" hidden="1" customWidth="1"/>
    <col min="33" max="33" width="10.90625" style="1"/>
    <col min="34" max="35" width="0" style="1" hidden="1" customWidth="1"/>
    <col min="36" max="37" width="0" hidden="1" customWidth="1"/>
    <col min="39" max="40" width="0" hidden="1" customWidth="1"/>
    <col min="41" max="42" width="0" style="1" hidden="1" customWidth="1"/>
    <col min="43" max="43" width="10.90625" style="1"/>
    <col min="44" max="45" width="0" style="1" hidden="1" customWidth="1"/>
    <col min="46" max="47" width="0" hidden="1" customWidth="1"/>
    <col min="49" max="51" width="10.90625" hidden="1" customWidth="1"/>
    <col min="53" max="54" width="10.90625" hidden="1" customWidth="1"/>
    <col min="56" max="57" width="0" hidden="1" customWidth="1"/>
    <col min="58" max="58" width="16.54296875" customWidth="1"/>
    <col min="59" max="59" width="11.453125" bestFit="1" customWidth="1"/>
    <col min="258" max="258" width="0" hidden="1" customWidth="1"/>
    <col min="259" max="259" width="13" bestFit="1" customWidth="1"/>
    <col min="260" max="263" width="0" hidden="1" customWidth="1"/>
    <col min="264" max="264" width="13" bestFit="1" customWidth="1"/>
    <col min="265" max="268" width="0" hidden="1" customWidth="1"/>
    <col min="270" max="273" width="0" hidden="1" customWidth="1"/>
    <col min="275" max="278" width="0" hidden="1" customWidth="1"/>
    <col min="280" max="283" width="0" hidden="1" customWidth="1"/>
    <col min="285" max="288" width="0" hidden="1" customWidth="1"/>
    <col min="290" max="293" width="0" hidden="1" customWidth="1"/>
    <col min="295" max="298" width="0" hidden="1" customWidth="1"/>
    <col min="300" max="303" width="0" hidden="1" customWidth="1"/>
    <col min="305" max="307" width="0" hidden="1" customWidth="1"/>
    <col min="309" max="310" width="0" hidden="1" customWidth="1"/>
    <col min="312" max="313" width="0" hidden="1" customWidth="1"/>
    <col min="314" max="314" width="16.54296875" customWidth="1"/>
    <col min="315" max="315" width="11.453125" bestFit="1" customWidth="1"/>
    <col min="514" max="514" width="0" hidden="1" customWidth="1"/>
    <col min="515" max="515" width="13" bestFit="1" customWidth="1"/>
    <col min="516" max="519" width="0" hidden="1" customWidth="1"/>
    <col min="520" max="520" width="13" bestFit="1" customWidth="1"/>
    <col min="521" max="524" width="0" hidden="1" customWidth="1"/>
    <col min="526" max="529" width="0" hidden="1" customWidth="1"/>
    <col min="531" max="534" width="0" hidden="1" customWidth="1"/>
    <col min="536" max="539" width="0" hidden="1" customWidth="1"/>
    <col min="541" max="544" width="0" hidden="1" customWidth="1"/>
    <col min="546" max="549" width="0" hidden="1" customWidth="1"/>
    <col min="551" max="554" width="0" hidden="1" customWidth="1"/>
    <col min="556" max="559" width="0" hidden="1" customWidth="1"/>
    <col min="561" max="563" width="0" hidden="1" customWidth="1"/>
    <col min="565" max="566" width="0" hidden="1" customWidth="1"/>
    <col min="568" max="569" width="0" hidden="1" customWidth="1"/>
    <col min="570" max="570" width="16.54296875" customWidth="1"/>
    <col min="571" max="571" width="11.453125" bestFit="1" customWidth="1"/>
    <col min="770" max="770" width="0" hidden="1" customWidth="1"/>
    <col min="771" max="771" width="13" bestFit="1" customWidth="1"/>
    <col min="772" max="775" width="0" hidden="1" customWidth="1"/>
    <col min="776" max="776" width="13" bestFit="1" customWidth="1"/>
    <col min="777" max="780" width="0" hidden="1" customWidth="1"/>
    <col min="782" max="785" width="0" hidden="1" customWidth="1"/>
    <col min="787" max="790" width="0" hidden="1" customWidth="1"/>
    <col min="792" max="795" width="0" hidden="1" customWidth="1"/>
    <col min="797" max="800" width="0" hidden="1" customWidth="1"/>
    <col min="802" max="805" width="0" hidden="1" customWidth="1"/>
    <col min="807" max="810" width="0" hidden="1" customWidth="1"/>
    <col min="812" max="815" width="0" hidden="1" customWidth="1"/>
    <col min="817" max="819" width="0" hidden="1" customWidth="1"/>
    <col min="821" max="822" width="0" hidden="1" customWidth="1"/>
    <col min="824" max="825" width="0" hidden="1" customWidth="1"/>
    <col min="826" max="826" width="16.54296875" customWidth="1"/>
    <col min="827" max="827" width="11.453125" bestFit="1" customWidth="1"/>
    <col min="1026" max="1026" width="0" hidden="1" customWidth="1"/>
    <col min="1027" max="1027" width="13" bestFit="1" customWidth="1"/>
    <col min="1028" max="1031" width="0" hidden="1" customWidth="1"/>
    <col min="1032" max="1032" width="13" bestFit="1" customWidth="1"/>
    <col min="1033" max="1036" width="0" hidden="1" customWidth="1"/>
    <col min="1038" max="1041" width="0" hidden="1" customWidth="1"/>
    <col min="1043" max="1046" width="0" hidden="1" customWidth="1"/>
    <col min="1048" max="1051" width="0" hidden="1" customWidth="1"/>
    <col min="1053" max="1056" width="0" hidden="1" customWidth="1"/>
    <col min="1058" max="1061" width="0" hidden="1" customWidth="1"/>
    <col min="1063" max="1066" width="0" hidden="1" customWidth="1"/>
    <col min="1068" max="1071" width="0" hidden="1" customWidth="1"/>
    <col min="1073" max="1075" width="0" hidden="1" customWidth="1"/>
    <col min="1077" max="1078" width="0" hidden="1" customWidth="1"/>
    <col min="1080" max="1081" width="0" hidden="1" customWidth="1"/>
    <col min="1082" max="1082" width="16.54296875" customWidth="1"/>
    <col min="1083" max="1083" width="11.453125" bestFit="1" customWidth="1"/>
    <col min="1282" max="1282" width="0" hidden="1" customWidth="1"/>
    <col min="1283" max="1283" width="13" bestFit="1" customWidth="1"/>
    <col min="1284" max="1287" width="0" hidden="1" customWidth="1"/>
    <col min="1288" max="1288" width="13" bestFit="1" customWidth="1"/>
    <col min="1289" max="1292" width="0" hidden="1" customWidth="1"/>
    <col min="1294" max="1297" width="0" hidden="1" customWidth="1"/>
    <col min="1299" max="1302" width="0" hidden="1" customWidth="1"/>
    <col min="1304" max="1307" width="0" hidden="1" customWidth="1"/>
    <col min="1309" max="1312" width="0" hidden="1" customWidth="1"/>
    <col min="1314" max="1317" width="0" hidden="1" customWidth="1"/>
    <col min="1319" max="1322" width="0" hidden="1" customWidth="1"/>
    <col min="1324" max="1327" width="0" hidden="1" customWidth="1"/>
    <col min="1329" max="1331" width="0" hidden="1" customWidth="1"/>
    <col min="1333" max="1334" width="0" hidden="1" customWidth="1"/>
    <col min="1336" max="1337" width="0" hidden="1" customWidth="1"/>
    <col min="1338" max="1338" width="16.54296875" customWidth="1"/>
    <col min="1339" max="1339" width="11.453125" bestFit="1" customWidth="1"/>
    <col min="1538" max="1538" width="0" hidden="1" customWidth="1"/>
    <col min="1539" max="1539" width="13" bestFit="1" customWidth="1"/>
    <col min="1540" max="1543" width="0" hidden="1" customWidth="1"/>
    <col min="1544" max="1544" width="13" bestFit="1" customWidth="1"/>
    <col min="1545" max="1548" width="0" hidden="1" customWidth="1"/>
    <col min="1550" max="1553" width="0" hidden="1" customWidth="1"/>
    <col min="1555" max="1558" width="0" hidden="1" customWidth="1"/>
    <col min="1560" max="1563" width="0" hidden="1" customWidth="1"/>
    <col min="1565" max="1568" width="0" hidden="1" customWidth="1"/>
    <col min="1570" max="1573" width="0" hidden="1" customWidth="1"/>
    <col min="1575" max="1578" width="0" hidden="1" customWidth="1"/>
    <col min="1580" max="1583" width="0" hidden="1" customWidth="1"/>
    <col min="1585" max="1587" width="0" hidden="1" customWidth="1"/>
    <col min="1589" max="1590" width="0" hidden="1" customWidth="1"/>
    <col min="1592" max="1593" width="0" hidden="1" customWidth="1"/>
    <col min="1594" max="1594" width="16.54296875" customWidth="1"/>
    <col min="1595" max="1595" width="11.453125" bestFit="1" customWidth="1"/>
    <col min="1794" max="1794" width="0" hidden="1" customWidth="1"/>
    <col min="1795" max="1795" width="13" bestFit="1" customWidth="1"/>
    <col min="1796" max="1799" width="0" hidden="1" customWidth="1"/>
    <col min="1800" max="1800" width="13" bestFit="1" customWidth="1"/>
    <col min="1801" max="1804" width="0" hidden="1" customWidth="1"/>
    <col min="1806" max="1809" width="0" hidden="1" customWidth="1"/>
    <col min="1811" max="1814" width="0" hidden="1" customWidth="1"/>
    <col min="1816" max="1819" width="0" hidden="1" customWidth="1"/>
    <col min="1821" max="1824" width="0" hidden="1" customWidth="1"/>
    <col min="1826" max="1829" width="0" hidden="1" customWidth="1"/>
    <col min="1831" max="1834" width="0" hidden="1" customWidth="1"/>
    <col min="1836" max="1839" width="0" hidden="1" customWidth="1"/>
    <col min="1841" max="1843" width="0" hidden="1" customWidth="1"/>
    <col min="1845" max="1846" width="0" hidden="1" customWidth="1"/>
    <col min="1848" max="1849" width="0" hidden="1" customWidth="1"/>
    <col min="1850" max="1850" width="16.54296875" customWidth="1"/>
    <col min="1851" max="1851" width="11.453125" bestFit="1" customWidth="1"/>
    <col min="2050" max="2050" width="0" hidden="1" customWidth="1"/>
    <col min="2051" max="2051" width="13" bestFit="1" customWidth="1"/>
    <col min="2052" max="2055" width="0" hidden="1" customWidth="1"/>
    <col min="2056" max="2056" width="13" bestFit="1" customWidth="1"/>
    <col min="2057" max="2060" width="0" hidden="1" customWidth="1"/>
    <col min="2062" max="2065" width="0" hidden="1" customWidth="1"/>
    <col min="2067" max="2070" width="0" hidden="1" customWidth="1"/>
    <col min="2072" max="2075" width="0" hidden="1" customWidth="1"/>
    <col min="2077" max="2080" width="0" hidden="1" customWidth="1"/>
    <col min="2082" max="2085" width="0" hidden="1" customWidth="1"/>
    <col min="2087" max="2090" width="0" hidden="1" customWidth="1"/>
    <col min="2092" max="2095" width="0" hidden="1" customWidth="1"/>
    <col min="2097" max="2099" width="0" hidden="1" customWidth="1"/>
    <col min="2101" max="2102" width="0" hidden="1" customWidth="1"/>
    <col min="2104" max="2105" width="0" hidden="1" customWidth="1"/>
    <col min="2106" max="2106" width="16.54296875" customWidth="1"/>
    <col min="2107" max="2107" width="11.453125" bestFit="1" customWidth="1"/>
    <col min="2306" max="2306" width="0" hidden="1" customWidth="1"/>
    <col min="2307" max="2307" width="13" bestFit="1" customWidth="1"/>
    <col min="2308" max="2311" width="0" hidden="1" customWidth="1"/>
    <col min="2312" max="2312" width="13" bestFit="1" customWidth="1"/>
    <col min="2313" max="2316" width="0" hidden="1" customWidth="1"/>
    <col min="2318" max="2321" width="0" hidden="1" customWidth="1"/>
    <col min="2323" max="2326" width="0" hidden="1" customWidth="1"/>
    <col min="2328" max="2331" width="0" hidden="1" customWidth="1"/>
    <col min="2333" max="2336" width="0" hidden="1" customWidth="1"/>
    <col min="2338" max="2341" width="0" hidden="1" customWidth="1"/>
    <col min="2343" max="2346" width="0" hidden="1" customWidth="1"/>
    <col min="2348" max="2351" width="0" hidden="1" customWidth="1"/>
    <col min="2353" max="2355" width="0" hidden="1" customWidth="1"/>
    <col min="2357" max="2358" width="0" hidden="1" customWidth="1"/>
    <col min="2360" max="2361" width="0" hidden="1" customWidth="1"/>
    <col min="2362" max="2362" width="16.54296875" customWidth="1"/>
    <col min="2363" max="2363" width="11.453125" bestFit="1" customWidth="1"/>
    <col min="2562" max="2562" width="0" hidden="1" customWidth="1"/>
    <col min="2563" max="2563" width="13" bestFit="1" customWidth="1"/>
    <col min="2564" max="2567" width="0" hidden="1" customWidth="1"/>
    <col min="2568" max="2568" width="13" bestFit="1" customWidth="1"/>
    <col min="2569" max="2572" width="0" hidden="1" customWidth="1"/>
    <col min="2574" max="2577" width="0" hidden="1" customWidth="1"/>
    <col min="2579" max="2582" width="0" hidden="1" customWidth="1"/>
    <col min="2584" max="2587" width="0" hidden="1" customWidth="1"/>
    <col min="2589" max="2592" width="0" hidden="1" customWidth="1"/>
    <col min="2594" max="2597" width="0" hidden="1" customWidth="1"/>
    <col min="2599" max="2602" width="0" hidden="1" customWidth="1"/>
    <col min="2604" max="2607" width="0" hidden="1" customWidth="1"/>
    <col min="2609" max="2611" width="0" hidden="1" customWidth="1"/>
    <col min="2613" max="2614" width="0" hidden="1" customWidth="1"/>
    <col min="2616" max="2617" width="0" hidden="1" customWidth="1"/>
    <col min="2618" max="2618" width="16.54296875" customWidth="1"/>
    <col min="2619" max="2619" width="11.453125" bestFit="1" customWidth="1"/>
    <col min="2818" max="2818" width="0" hidden="1" customWidth="1"/>
    <col min="2819" max="2819" width="13" bestFit="1" customWidth="1"/>
    <col min="2820" max="2823" width="0" hidden="1" customWidth="1"/>
    <col min="2824" max="2824" width="13" bestFit="1" customWidth="1"/>
    <col min="2825" max="2828" width="0" hidden="1" customWidth="1"/>
    <col min="2830" max="2833" width="0" hidden="1" customWidth="1"/>
    <col min="2835" max="2838" width="0" hidden="1" customWidth="1"/>
    <col min="2840" max="2843" width="0" hidden="1" customWidth="1"/>
    <col min="2845" max="2848" width="0" hidden="1" customWidth="1"/>
    <col min="2850" max="2853" width="0" hidden="1" customWidth="1"/>
    <col min="2855" max="2858" width="0" hidden="1" customWidth="1"/>
    <col min="2860" max="2863" width="0" hidden="1" customWidth="1"/>
    <col min="2865" max="2867" width="0" hidden="1" customWidth="1"/>
    <col min="2869" max="2870" width="0" hidden="1" customWidth="1"/>
    <col min="2872" max="2873" width="0" hidden="1" customWidth="1"/>
    <col min="2874" max="2874" width="16.54296875" customWidth="1"/>
    <col min="2875" max="2875" width="11.453125" bestFit="1" customWidth="1"/>
    <col min="3074" max="3074" width="0" hidden="1" customWidth="1"/>
    <col min="3075" max="3075" width="13" bestFit="1" customWidth="1"/>
    <col min="3076" max="3079" width="0" hidden="1" customWidth="1"/>
    <col min="3080" max="3080" width="13" bestFit="1" customWidth="1"/>
    <col min="3081" max="3084" width="0" hidden="1" customWidth="1"/>
    <col min="3086" max="3089" width="0" hidden="1" customWidth="1"/>
    <col min="3091" max="3094" width="0" hidden="1" customWidth="1"/>
    <col min="3096" max="3099" width="0" hidden="1" customWidth="1"/>
    <col min="3101" max="3104" width="0" hidden="1" customWidth="1"/>
    <col min="3106" max="3109" width="0" hidden="1" customWidth="1"/>
    <col min="3111" max="3114" width="0" hidden="1" customWidth="1"/>
    <col min="3116" max="3119" width="0" hidden="1" customWidth="1"/>
    <col min="3121" max="3123" width="0" hidden="1" customWidth="1"/>
    <col min="3125" max="3126" width="0" hidden="1" customWidth="1"/>
    <col min="3128" max="3129" width="0" hidden="1" customWidth="1"/>
    <col min="3130" max="3130" width="16.54296875" customWidth="1"/>
    <col min="3131" max="3131" width="11.453125" bestFit="1" customWidth="1"/>
    <col min="3330" max="3330" width="0" hidden="1" customWidth="1"/>
    <col min="3331" max="3331" width="13" bestFit="1" customWidth="1"/>
    <col min="3332" max="3335" width="0" hidden="1" customWidth="1"/>
    <col min="3336" max="3336" width="13" bestFit="1" customWidth="1"/>
    <col min="3337" max="3340" width="0" hidden="1" customWidth="1"/>
    <col min="3342" max="3345" width="0" hidden="1" customWidth="1"/>
    <col min="3347" max="3350" width="0" hidden="1" customWidth="1"/>
    <col min="3352" max="3355" width="0" hidden="1" customWidth="1"/>
    <col min="3357" max="3360" width="0" hidden="1" customWidth="1"/>
    <col min="3362" max="3365" width="0" hidden="1" customWidth="1"/>
    <col min="3367" max="3370" width="0" hidden="1" customWidth="1"/>
    <col min="3372" max="3375" width="0" hidden="1" customWidth="1"/>
    <col min="3377" max="3379" width="0" hidden="1" customWidth="1"/>
    <col min="3381" max="3382" width="0" hidden="1" customWidth="1"/>
    <col min="3384" max="3385" width="0" hidden="1" customWidth="1"/>
    <col min="3386" max="3386" width="16.54296875" customWidth="1"/>
    <col min="3387" max="3387" width="11.453125" bestFit="1" customWidth="1"/>
    <col min="3586" max="3586" width="0" hidden="1" customWidth="1"/>
    <col min="3587" max="3587" width="13" bestFit="1" customWidth="1"/>
    <col min="3588" max="3591" width="0" hidden="1" customWidth="1"/>
    <col min="3592" max="3592" width="13" bestFit="1" customWidth="1"/>
    <col min="3593" max="3596" width="0" hidden="1" customWidth="1"/>
    <col min="3598" max="3601" width="0" hidden="1" customWidth="1"/>
    <col min="3603" max="3606" width="0" hidden="1" customWidth="1"/>
    <col min="3608" max="3611" width="0" hidden="1" customWidth="1"/>
    <col min="3613" max="3616" width="0" hidden="1" customWidth="1"/>
    <col min="3618" max="3621" width="0" hidden="1" customWidth="1"/>
    <col min="3623" max="3626" width="0" hidden="1" customWidth="1"/>
    <col min="3628" max="3631" width="0" hidden="1" customWidth="1"/>
    <col min="3633" max="3635" width="0" hidden="1" customWidth="1"/>
    <col min="3637" max="3638" width="0" hidden="1" customWidth="1"/>
    <col min="3640" max="3641" width="0" hidden="1" customWidth="1"/>
    <col min="3642" max="3642" width="16.54296875" customWidth="1"/>
    <col min="3643" max="3643" width="11.453125" bestFit="1" customWidth="1"/>
    <col min="3842" max="3842" width="0" hidden="1" customWidth="1"/>
    <col min="3843" max="3843" width="13" bestFit="1" customWidth="1"/>
    <col min="3844" max="3847" width="0" hidden="1" customWidth="1"/>
    <col min="3848" max="3848" width="13" bestFit="1" customWidth="1"/>
    <col min="3849" max="3852" width="0" hidden="1" customWidth="1"/>
    <col min="3854" max="3857" width="0" hidden="1" customWidth="1"/>
    <col min="3859" max="3862" width="0" hidden="1" customWidth="1"/>
    <col min="3864" max="3867" width="0" hidden="1" customWidth="1"/>
    <col min="3869" max="3872" width="0" hidden="1" customWidth="1"/>
    <col min="3874" max="3877" width="0" hidden="1" customWidth="1"/>
    <col min="3879" max="3882" width="0" hidden="1" customWidth="1"/>
    <col min="3884" max="3887" width="0" hidden="1" customWidth="1"/>
    <col min="3889" max="3891" width="0" hidden="1" customWidth="1"/>
    <col min="3893" max="3894" width="0" hidden="1" customWidth="1"/>
    <col min="3896" max="3897" width="0" hidden="1" customWidth="1"/>
    <col min="3898" max="3898" width="16.54296875" customWidth="1"/>
    <col min="3899" max="3899" width="11.453125" bestFit="1" customWidth="1"/>
    <col min="4098" max="4098" width="0" hidden="1" customWidth="1"/>
    <col min="4099" max="4099" width="13" bestFit="1" customWidth="1"/>
    <col min="4100" max="4103" width="0" hidden="1" customWidth="1"/>
    <col min="4104" max="4104" width="13" bestFit="1" customWidth="1"/>
    <col min="4105" max="4108" width="0" hidden="1" customWidth="1"/>
    <col min="4110" max="4113" width="0" hidden="1" customWidth="1"/>
    <col min="4115" max="4118" width="0" hidden="1" customWidth="1"/>
    <col min="4120" max="4123" width="0" hidden="1" customWidth="1"/>
    <col min="4125" max="4128" width="0" hidden="1" customWidth="1"/>
    <col min="4130" max="4133" width="0" hidden="1" customWidth="1"/>
    <col min="4135" max="4138" width="0" hidden="1" customWidth="1"/>
    <col min="4140" max="4143" width="0" hidden="1" customWidth="1"/>
    <col min="4145" max="4147" width="0" hidden="1" customWidth="1"/>
    <col min="4149" max="4150" width="0" hidden="1" customWidth="1"/>
    <col min="4152" max="4153" width="0" hidden="1" customWidth="1"/>
    <col min="4154" max="4154" width="16.54296875" customWidth="1"/>
    <col min="4155" max="4155" width="11.453125" bestFit="1" customWidth="1"/>
    <col min="4354" max="4354" width="0" hidden="1" customWidth="1"/>
    <col min="4355" max="4355" width="13" bestFit="1" customWidth="1"/>
    <col min="4356" max="4359" width="0" hidden="1" customWidth="1"/>
    <col min="4360" max="4360" width="13" bestFit="1" customWidth="1"/>
    <col min="4361" max="4364" width="0" hidden="1" customWidth="1"/>
    <col min="4366" max="4369" width="0" hidden="1" customWidth="1"/>
    <col min="4371" max="4374" width="0" hidden="1" customWidth="1"/>
    <col min="4376" max="4379" width="0" hidden="1" customWidth="1"/>
    <col min="4381" max="4384" width="0" hidden="1" customWidth="1"/>
    <col min="4386" max="4389" width="0" hidden="1" customWidth="1"/>
    <col min="4391" max="4394" width="0" hidden="1" customWidth="1"/>
    <col min="4396" max="4399" width="0" hidden="1" customWidth="1"/>
    <col min="4401" max="4403" width="0" hidden="1" customWidth="1"/>
    <col min="4405" max="4406" width="0" hidden="1" customWidth="1"/>
    <col min="4408" max="4409" width="0" hidden="1" customWidth="1"/>
    <col min="4410" max="4410" width="16.54296875" customWidth="1"/>
    <col min="4411" max="4411" width="11.453125" bestFit="1" customWidth="1"/>
    <col min="4610" max="4610" width="0" hidden="1" customWidth="1"/>
    <col min="4611" max="4611" width="13" bestFit="1" customWidth="1"/>
    <col min="4612" max="4615" width="0" hidden="1" customWidth="1"/>
    <col min="4616" max="4616" width="13" bestFit="1" customWidth="1"/>
    <col min="4617" max="4620" width="0" hidden="1" customWidth="1"/>
    <col min="4622" max="4625" width="0" hidden="1" customWidth="1"/>
    <col min="4627" max="4630" width="0" hidden="1" customWidth="1"/>
    <col min="4632" max="4635" width="0" hidden="1" customWidth="1"/>
    <col min="4637" max="4640" width="0" hidden="1" customWidth="1"/>
    <col min="4642" max="4645" width="0" hidden="1" customWidth="1"/>
    <col min="4647" max="4650" width="0" hidden="1" customWidth="1"/>
    <col min="4652" max="4655" width="0" hidden="1" customWidth="1"/>
    <col min="4657" max="4659" width="0" hidden="1" customWidth="1"/>
    <col min="4661" max="4662" width="0" hidden="1" customWidth="1"/>
    <col min="4664" max="4665" width="0" hidden="1" customWidth="1"/>
    <col min="4666" max="4666" width="16.54296875" customWidth="1"/>
    <col min="4667" max="4667" width="11.453125" bestFit="1" customWidth="1"/>
    <col min="4866" max="4866" width="0" hidden="1" customWidth="1"/>
    <col min="4867" max="4867" width="13" bestFit="1" customWidth="1"/>
    <col min="4868" max="4871" width="0" hidden="1" customWidth="1"/>
    <col min="4872" max="4872" width="13" bestFit="1" customWidth="1"/>
    <col min="4873" max="4876" width="0" hidden="1" customWidth="1"/>
    <col min="4878" max="4881" width="0" hidden="1" customWidth="1"/>
    <col min="4883" max="4886" width="0" hidden="1" customWidth="1"/>
    <col min="4888" max="4891" width="0" hidden="1" customWidth="1"/>
    <col min="4893" max="4896" width="0" hidden="1" customWidth="1"/>
    <col min="4898" max="4901" width="0" hidden="1" customWidth="1"/>
    <col min="4903" max="4906" width="0" hidden="1" customWidth="1"/>
    <col min="4908" max="4911" width="0" hidden="1" customWidth="1"/>
    <col min="4913" max="4915" width="0" hidden="1" customWidth="1"/>
    <col min="4917" max="4918" width="0" hidden="1" customWidth="1"/>
    <col min="4920" max="4921" width="0" hidden="1" customWidth="1"/>
    <col min="4922" max="4922" width="16.54296875" customWidth="1"/>
    <col min="4923" max="4923" width="11.453125" bestFit="1" customWidth="1"/>
    <col min="5122" max="5122" width="0" hidden="1" customWidth="1"/>
    <col min="5123" max="5123" width="13" bestFit="1" customWidth="1"/>
    <col min="5124" max="5127" width="0" hidden="1" customWidth="1"/>
    <col min="5128" max="5128" width="13" bestFit="1" customWidth="1"/>
    <col min="5129" max="5132" width="0" hidden="1" customWidth="1"/>
    <col min="5134" max="5137" width="0" hidden="1" customWidth="1"/>
    <col min="5139" max="5142" width="0" hidden="1" customWidth="1"/>
    <col min="5144" max="5147" width="0" hidden="1" customWidth="1"/>
    <col min="5149" max="5152" width="0" hidden="1" customWidth="1"/>
    <col min="5154" max="5157" width="0" hidden="1" customWidth="1"/>
    <col min="5159" max="5162" width="0" hidden="1" customWidth="1"/>
    <col min="5164" max="5167" width="0" hidden="1" customWidth="1"/>
    <col min="5169" max="5171" width="0" hidden="1" customWidth="1"/>
    <col min="5173" max="5174" width="0" hidden="1" customWidth="1"/>
    <col min="5176" max="5177" width="0" hidden="1" customWidth="1"/>
    <col min="5178" max="5178" width="16.54296875" customWidth="1"/>
    <col min="5179" max="5179" width="11.453125" bestFit="1" customWidth="1"/>
    <col min="5378" max="5378" width="0" hidden="1" customWidth="1"/>
    <col min="5379" max="5379" width="13" bestFit="1" customWidth="1"/>
    <col min="5380" max="5383" width="0" hidden="1" customWidth="1"/>
    <col min="5384" max="5384" width="13" bestFit="1" customWidth="1"/>
    <col min="5385" max="5388" width="0" hidden="1" customWidth="1"/>
    <col min="5390" max="5393" width="0" hidden="1" customWidth="1"/>
    <col min="5395" max="5398" width="0" hidden="1" customWidth="1"/>
    <col min="5400" max="5403" width="0" hidden="1" customWidth="1"/>
    <col min="5405" max="5408" width="0" hidden="1" customWidth="1"/>
    <col min="5410" max="5413" width="0" hidden="1" customWidth="1"/>
    <col min="5415" max="5418" width="0" hidden="1" customWidth="1"/>
    <col min="5420" max="5423" width="0" hidden="1" customWidth="1"/>
    <col min="5425" max="5427" width="0" hidden="1" customWidth="1"/>
    <col min="5429" max="5430" width="0" hidden="1" customWidth="1"/>
    <col min="5432" max="5433" width="0" hidden="1" customWidth="1"/>
    <col min="5434" max="5434" width="16.54296875" customWidth="1"/>
    <col min="5435" max="5435" width="11.453125" bestFit="1" customWidth="1"/>
    <col min="5634" max="5634" width="0" hidden="1" customWidth="1"/>
    <col min="5635" max="5635" width="13" bestFit="1" customWidth="1"/>
    <col min="5636" max="5639" width="0" hidden="1" customWidth="1"/>
    <col min="5640" max="5640" width="13" bestFit="1" customWidth="1"/>
    <col min="5641" max="5644" width="0" hidden="1" customWidth="1"/>
    <col min="5646" max="5649" width="0" hidden="1" customWidth="1"/>
    <col min="5651" max="5654" width="0" hidden="1" customWidth="1"/>
    <col min="5656" max="5659" width="0" hidden="1" customWidth="1"/>
    <col min="5661" max="5664" width="0" hidden="1" customWidth="1"/>
    <col min="5666" max="5669" width="0" hidden="1" customWidth="1"/>
    <col min="5671" max="5674" width="0" hidden="1" customWidth="1"/>
    <col min="5676" max="5679" width="0" hidden="1" customWidth="1"/>
    <col min="5681" max="5683" width="0" hidden="1" customWidth="1"/>
    <col min="5685" max="5686" width="0" hidden="1" customWidth="1"/>
    <col min="5688" max="5689" width="0" hidden="1" customWidth="1"/>
    <col min="5690" max="5690" width="16.54296875" customWidth="1"/>
    <col min="5691" max="5691" width="11.453125" bestFit="1" customWidth="1"/>
    <col min="5890" max="5890" width="0" hidden="1" customWidth="1"/>
    <col min="5891" max="5891" width="13" bestFit="1" customWidth="1"/>
    <col min="5892" max="5895" width="0" hidden="1" customWidth="1"/>
    <col min="5896" max="5896" width="13" bestFit="1" customWidth="1"/>
    <col min="5897" max="5900" width="0" hidden="1" customWidth="1"/>
    <col min="5902" max="5905" width="0" hidden="1" customWidth="1"/>
    <col min="5907" max="5910" width="0" hidden="1" customWidth="1"/>
    <col min="5912" max="5915" width="0" hidden="1" customWidth="1"/>
    <col min="5917" max="5920" width="0" hidden="1" customWidth="1"/>
    <col min="5922" max="5925" width="0" hidden="1" customWidth="1"/>
    <col min="5927" max="5930" width="0" hidden="1" customWidth="1"/>
    <col min="5932" max="5935" width="0" hidden="1" customWidth="1"/>
    <col min="5937" max="5939" width="0" hidden="1" customWidth="1"/>
    <col min="5941" max="5942" width="0" hidden="1" customWidth="1"/>
    <col min="5944" max="5945" width="0" hidden="1" customWidth="1"/>
    <col min="5946" max="5946" width="16.54296875" customWidth="1"/>
    <col min="5947" max="5947" width="11.453125" bestFit="1" customWidth="1"/>
    <col min="6146" max="6146" width="0" hidden="1" customWidth="1"/>
    <col min="6147" max="6147" width="13" bestFit="1" customWidth="1"/>
    <col min="6148" max="6151" width="0" hidden="1" customWidth="1"/>
    <col min="6152" max="6152" width="13" bestFit="1" customWidth="1"/>
    <col min="6153" max="6156" width="0" hidden="1" customWidth="1"/>
    <col min="6158" max="6161" width="0" hidden="1" customWidth="1"/>
    <col min="6163" max="6166" width="0" hidden="1" customWidth="1"/>
    <col min="6168" max="6171" width="0" hidden="1" customWidth="1"/>
    <col min="6173" max="6176" width="0" hidden="1" customWidth="1"/>
    <col min="6178" max="6181" width="0" hidden="1" customWidth="1"/>
    <col min="6183" max="6186" width="0" hidden="1" customWidth="1"/>
    <col min="6188" max="6191" width="0" hidden="1" customWidth="1"/>
    <col min="6193" max="6195" width="0" hidden="1" customWidth="1"/>
    <col min="6197" max="6198" width="0" hidden="1" customWidth="1"/>
    <col min="6200" max="6201" width="0" hidden="1" customWidth="1"/>
    <col min="6202" max="6202" width="16.54296875" customWidth="1"/>
    <col min="6203" max="6203" width="11.453125" bestFit="1" customWidth="1"/>
    <col min="6402" max="6402" width="0" hidden="1" customWidth="1"/>
    <col min="6403" max="6403" width="13" bestFit="1" customWidth="1"/>
    <col min="6404" max="6407" width="0" hidden="1" customWidth="1"/>
    <col min="6408" max="6408" width="13" bestFit="1" customWidth="1"/>
    <col min="6409" max="6412" width="0" hidden="1" customWidth="1"/>
    <col min="6414" max="6417" width="0" hidden="1" customWidth="1"/>
    <col min="6419" max="6422" width="0" hidden="1" customWidth="1"/>
    <col min="6424" max="6427" width="0" hidden="1" customWidth="1"/>
    <col min="6429" max="6432" width="0" hidden="1" customWidth="1"/>
    <col min="6434" max="6437" width="0" hidden="1" customWidth="1"/>
    <col min="6439" max="6442" width="0" hidden="1" customWidth="1"/>
    <col min="6444" max="6447" width="0" hidden="1" customWidth="1"/>
    <col min="6449" max="6451" width="0" hidden="1" customWidth="1"/>
    <col min="6453" max="6454" width="0" hidden="1" customWidth="1"/>
    <col min="6456" max="6457" width="0" hidden="1" customWidth="1"/>
    <col min="6458" max="6458" width="16.54296875" customWidth="1"/>
    <col min="6459" max="6459" width="11.453125" bestFit="1" customWidth="1"/>
    <col min="6658" max="6658" width="0" hidden="1" customWidth="1"/>
    <col min="6659" max="6659" width="13" bestFit="1" customWidth="1"/>
    <col min="6660" max="6663" width="0" hidden="1" customWidth="1"/>
    <col min="6664" max="6664" width="13" bestFit="1" customWidth="1"/>
    <col min="6665" max="6668" width="0" hidden="1" customWidth="1"/>
    <col min="6670" max="6673" width="0" hidden="1" customWidth="1"/>
    <col min="6675" max="6678" width="0" hidden="1" customWidth="1"/>
    <col min="6680" max="6683" width="0" hidden="1" customWidth="1"/>
    <col min="6685" max="6688" width="0" hidden="1" customWidth="1"/>
    <col min="6690" max="6693" width="0" hidden="1" customWidth="1"/>
    <col min="6695" max="6698" width="0" hidden="1" customWidth="1"/>
    <col min="6700" max="6703" width="0" hidden="1" customWidth="1"/>
    <col min="6705" max="6707" width="0" hidden="1" customWidth="1"/>
    <col min="6709" max="6710" width="0" hidden="1" customWidth="1"/>
    <col min="6712" max="6713" width="0" hidden="1" customWidth="1"/>
    <col min="6714" max="6714" width="16.54296875" customWidth="1"/>
    <col min="6715" max="6715" width="11.453125" bestFit="1" customWidth="1"/>
    <col min="6914" max="6914" width="0" hidden="1" customWidth="1"/>
    <col min="6915" max="6915" width="13" bestFit="1" customWidth="1"/>
    <col min="6916" max="6919" width="0" hidden="1" customWidth="1"/>
    <col min="6920" max="6920" width="13" bestFit="1" customWidth="1"/>
    <col min="6921" max="6924" width="0" hidden="1" customWidth="1"/>
    <col min="6926" max="6929" width="0" hidden="1" customWidth="1"/>
    <col min="6931" max="6934" width="0" hidden="1" customWidth="1"/>
    <col min="6936" max="6939" width="0" hidden="1" customWidth="1"/>
    <col min="6941" max="6944" width="0" hidden="1" customWidth="1"/>
    <col min="6946" max="6949" width="0" hidden="1" customWidth="1"/>
    <col min="6951" max="6954" width="0" hidden="1" customWidth="1"/>
    <col min="6956" max="6959" width="0" hidden="1" customWidth="1"/>
    <col min="6961" max="6963" width="0" hidden="1" customWidth="1"/>
    <col min="6965" max="6966" width="0" hidden="1" customWidth="1"/>
    <col min="6968" max="6969" width="0" hidden="1" customWidth="1"/>
    <col min="6970" max="6970" width="16.54296875" customWidth="1"/>
    <col min="6971" max="6971" width="11.453125" bestFit="1" customWidth="1"/>
    <col min="7170" max="7170" width="0" hidden="1" customWidth="1"/>
    <col min="7171" max="7171" width="13" bestFit="1" customWidth="1"/>
    <col min="7172" max="7175" width="0" hidden="1" customWidth="1"/>
    <col min="7176" max="7176" width="13" bestFit="1" customWidth="1"/>
    <col min="7177" max="7180" width="0" hidden="1" customWidth="1"/>
    <col min="7182" max="7185" width="0" hidden="1" customWidth="1"/>
    <col min="7187" max="7190" width="0" hidden="1" customWidth="1"/>
    <col min="7192" max="7195" width="0" hidden="1" customWidth="1"/>
    <col min="7197" max="7200" width="0" hidden="1" customWidth="1"/>
    <col min="7202" max="7205" width="0" hidden="1" customWidth="1"/>
    <col min="7207" max="7210" width="0" hidden="1" customWidth="1"/>
    <col min="7212" max="7215" width="0" hidden="1" customWidth="1"/>
    <col min="7217" max="7219" width="0" hidden="1" customWidth="1"/>
    <col min="7221" max="7222" width="0" hidden="1" customWidth="1"/>
    <col min="7224" max="7225" width="0" hidden="1" customWidth="1"/>
    <col min="7226" max="7226" width="16.54296875" customWidth="1"/>
    <col min="7227" max="7227" width="11.453125" bestFit="1" customWidth="1"/>
    <col min="7426" max="7426" width="0" hidden="1" customWidth="1"/>
    <col min="7427" max="7427" width="13" bestFit="1" customWidth="1"/>
    <col min="7428" max="7431" width="0" hidden="1" customWidth="1"/>
    <col min="7432" max="7432" width="13" bestFit="1" customWidth="1"/>
    <col min="7433" max="7436" width="0" hidden="1" customWidth="1"/>
    <col min="7438" max="7441" width="0" hidden="1" customWidth="1"/>
    <col min="7443" max="7446" width="0" hidden="1" customWidth="1"/>
    <col min="7448" max="7451" width="0" hidden="1" customWidth="1"/>
    <col min="7453" max="7456" width="0" hidden="1" customWidth="1"/>
    <col min="7458" max="7461" width="0" hidden="1" customWidth="1"/>
    <col min="7463" max="7466" width="0" hidden="1" customWidth="1"/>
    <col min="7468" max="7471" width="0" hidden="1" customWidth="1"/>
    <col min="7473" max="7475" width="0" hidden="1" customWidth="1"/>
    <col min="7477" max="7478" width="0" hidden="1" customWidth="1"/>
    <col min="7480" max="7481" width="0" hidden="1" customWidth="1"/>
    <col min="7482" max="7482" width="16.54296875" customWidth="1"/>
    <col min="7483" max="7483" width="11.453125" bestFit="1" customWidth="1"/>
    <col min="7682" max="7682" width="0" hidden="1" customWidth="1"/>
    <col min="7683" max="7683" width="13" bestFit="1" customWidth="1"/>
    <col min="7684" max="7687" width="0" hidden="1" customWidth="1"/>
    <col min="7688" max="7688" width="13" bestFit="1" customWidth="1"/>
    <col min="7689" max="7692" width="0" hidden="1" customWidth="1"/>
    <col min="7694" max="7697" width="0" hidden="1" customWidth="1"/>
    <col min="7699" max="7702" width="0" hidden="1" customWidth="1"/>
    <col min="7704" max="7707" width="0" hidden="1" customWidth="1"/>
    <col min="7709" max="7712" width="0" hidden="1" customWidth="1"/>
    <col min="7714" max="7717" width="0" hidden="1" customWidth="1"/>
    <col min="7719" max="7722" width="0" hidden="1" customWidth="1"/>
    <col min="7724" max="7727" width="0" hidden="1" customWidth="1"/>
    <col min="7729" max="7731" width="0" hidden="1" customWidth="1"/>
    <col min="7733" max="7734" width="0" hidden="1" customWidth="1"/>
    <col min="7736" max="7737" width="0" hidden="1" customWidth="1"/>
    <col min="7738" max="7738" width="16.54296875" customWidth="1"/>
    <col min="7739" max="7739" width="11.453125" bestFit="1" customWidth="1"/>
    <col min="7938" max="7938" width="0" hidden="1" customWidth="1"/>
    <col min="7939" max="7939" width="13" bestFit="1" customWidth="1"/>
    <col min="7940" max="7943" width="0" hidden="1" customWidth="1"/>
    <col min="7944" max="7944" width="13" bestFit="1" customWidth="1"/>
    <col min="7945" max="7948" width="0" hidden="1" customWidth="1"/>
    <col min="7950" max="7953" width="0" hidden="1" customWidth="1"/>
    <col min="7955" max="7958" width="0" hidden="1" customWidth="1"/>
    <col min="7960" max="7963" width="0" hidden="1" customWidth="1"/>
    <col min="7965" max="7968" width="0" hidden="1" customWidth="1"/>
    <col min="7970" max="7973" width="0" hidden="1" customWidth="1"/>
    <col min="7975" max="7978" width="0" hidden="1" customWidth="1"/>
    <col min="7980" max="7983" width="0" hidden="1" customWidth="1"/>
    <col min="7985" max="7987" width="0" hidden="1" customWidth="1"/>
    <col min="7989" max="7990" width="0" hidden="1" customWidth="1"/>
    <col min="7992" max="7993" width="0" hidden="1" customWidth="1"/>
    <col min="7994" max="7994" width="16.54296875" customWidth="1"/>
    <col min="7995" max="7995" width="11.453125" bestFit="1" customWidth="1"/>
    <col min="8194" max="8194" width="0" hidden="1" customWidth="1"/>
    <col min="8195" max="8195" width="13" bestFit="1" customWidth="1"/>
    <col min="8196" max="8199" width="0" hidden="1" customWidth="1"/>
    <col min="8200" max="8200" width="13" bestFit="1" customWidth="1"/>
    <col min="8201" max="8204" width="0" hidden="1" customWidth="1"/>
    <col min="8206" max="8209" width="0" hidden="1" customWidth="1"/>
    <col min="8211" max="8214" width="0" hidden="1" customWidth="1"/>
    <col min="8216" max="8219" width="0" hidden="1" customWidth="1"/>
    <col min="8221" max="8224" width="0" hidden="1" customWidth="1"/>
    <col min="8226" max="8229" width="0" hidden="1" customWidth="1"/>
    <col min="8231" max="8234" width="0" hidden="1" customWidth="1"/>
    <col min="8236" max="8239" width="0" hidden="1" customWidth="1"/>
    <col min="8241" max="8243" width="0" hidden="1" customWidth="1"/>
    <col min="8245" max="8246" width="0" hidden="1" customWidth="1"/>
    <col min="8248" max="8249" width="0" hidden="1" customWidth="1"/>
    <col min="8250" max="8250" width="16.54296875" customWidth="1"/>
    <col min="8251" max="8251" width="11.453125" bestFit="1" customWidth="1"/>
    <col min="8450" max="8450" width="0" hidden="1" customWidth="1"/>
    <col min="8451" max="8451" width="13" bestFit="1" customWidth="1"/>
    <col min="8452" max="8455" width="0" hidden="1" customWidth="1"/>
    <col min="8456" max="8456" width="13" bestFit="1" customWidth="1"/>
    <col min="8457" max="8460" width="0" hidden="1" customWidth="1"/>
    <col min="8462" max="8465" width="0" hidden="1" customWidth="1"/>
    <col min="8467" max="8470" width="0" hidden="1" customWidth="1"/>
    <col min="8472" max="8475" width="0" hidden="1" customWidth="1"/>
    <col min="8477" max="8480" width="0" hidden="1" customWidth="1"/>
    <col min="8482" max="8485" width="0" hidden="1" customWidth="1"/>
    <col min="8487" max="8490" width="0" hidden="1" customWidth="1"/>
    <col min="8492" max="8495" width="0" hidden="1" customWidth="1"/>
    <col min="8497" max="8499" width="0" hidden="1" customWidth="1"/>
    <col min="8501" max="8502" width="0" hidden="1" customWidth="1"/>
    <col min="8504" max="8505" width="0" hidden="1" customWidth="1"/>
    <col min="8506" max="8506" width="16.54296875" customWidth="1"/>
    <col min="8507" max="8507" width="11.453125" bestFit="1" customWidth="1"/>
    <col min="8706" max="8706" width="0" hidden="1" customWidth="1"/>
    <col min="8707" max="8707" width="13" bestFit="1" customWidth="1"/>
    <col min="8708" max="8711" width="0" hidden="1" customWidth="1"/>
    <col min="8712" max="8712" width="13" bestFit="1" customWidth="1"/>
    <col min="8713" max="8716" width="0" hidden="1" customWidth="1"/>
    <col min="8718" max="8721" width="0" hidden="1" customWidth="1"/>
    <col min="8723" max="8726" width="0" hidden="1" customWidth="1"/>
    <col min="8728" max="8731" width="0" hidden="1" customWidth="1"/>
    <col min="8733" max="8736" width="0" hidden="1" customWidth="1"/>
    <col min="8738" max="8741" width="0" hidden="1" customWidth="1"/>
    <col min="8743" max="8746" width="0" hidden="1" customWidth="1"/>
    <col min="8748" max="8751" width="0" hidden="1" customWidth="1"/>
    <col min="8753" max="8755" width="0" hidden="1" customWidth="1"/>
    <col min="8757" max="8758" width="0" hidden="1" customWidth="1"/>
    <col min="8760" max="8761" width="0" hidden="1" customWidth="1"/>
    <col min="8762" max="8762" width="16.54296875" customWidth="1"/>
    <col min="8763" max="8763" width="11.453125" bestFit="1" customWidth="1"/>
    <col min="8962" max="8962" width="0" hidden="1" customWidth="1"/>
    <col min="8963" max="8963" width="13" bestFit="1" customWidth="1"/>
    <col min="8964" max="8967" width="0" hidden="1" customWidth="1"/>
    <col min="8968" max="8968" width="13" bestFit="1" customWidth="1"/>
    <col min="8969" max="8972" width="0" hidden="1" customWidth="1"/>
    <col min="8974" max="8977" width="0" hidden="1" customWidth="1"/>
    <col min="8979" max="8982" width="0" hidden="1" customWidth="1"/>
    <col min="8984" max="8987" width="0" hidden="1" customWidth="1"/>
    <col min="8989" max="8992" width="0" hidden="1" customWidth="1"/>
    <col min="8994" max="8997" width="0" hidden="1" customWidth="1"/>
    <col min="8999" max="9002" width="0" hidden="1" customWidth="1"/>
    <col min="9004" max="9007" width="0" hidden="1" customWidth="1"/>
    <col min="9009" max="9011" width="0" hidden="1" customWidth="1"/>
    <col min="9013" max="9014" width="0" hidden="1" customWidth="1"/>
    <col min="9016" max="9017" width="0" hidden="1" customWidth="1"/>
    <col min="9018" max="9018" width="16.54296875" customWidth="1"/>
    <col min="9019" max="9019" width="11.453125" bestFit="1" customWidth="1"/>
    <col min="9218" max="9218" width="0" hidden="1" customWidth="1"/>
    <col min="9219" max="9219" width="13" bestFit="1" customWidth="1"/>
    <col min="9220" max="9223" width="0" hidden="1" customWidth="1"/>
    <col min="9224" max="9224" width="13" bestFit="1" customWidth="1"/>
    <col min="9225" max="9228" width="0" hidden="1" customWidth="1"/>
    <col min="9230" max="9233" width="0" hidden="1" customWidth="1"/>
    <col min="9235" max="9238" width="0" hidden="1" customWidth="1"/>
    <col min="9240" max="9243" width="0" hidden="1" customWidth="1"/>
    <col min="9245" max="9248" width="0" hidden="1" customWidth="1"/>
    <col min="9250" max="9253" width="0" hidden="1" customWidth="1"/>
    <col min="9255" max="9258" width="0" hidden="1" customWidth="1"/>
    <col min="9260" max="9263" width="0" hidden="1" customWidth="1"/>
    <col min="9265" max="9267" width="0" hidden="1" customWidth="1"/>
    <col min="9269" max="9270" width="0" hidden="1" customWidth="1"/>
    <col min="9272" max="9273" width="0" hidden="1" customWidth="1"/>
    <col min="9274" max="9274" width="16.54296875" customWidth="1"/>
    <col min="9275" max="9275" width="11.453125" bestFit="1" customWidth="1"/>
    <col min="9474" max="9474" width="0" hidden="1" customWidth="1"/>
    <col min="9475" max="9475" width="13" bestFit="1" customWidth="1"/>
    <col min="9476" max="9479" width="0" hidden="1" customWidth="1"/>
    <col min="9480" max="9480" width="13" bestFit="1" customWidth="1"/>
    <col min="9481" max="9484" width="0" hidden="1" customWidth="1"/>
    <col min="9486" max="9489" width="0" hidden="1" customWidth="1"/>
    <col min="9491" max="9494" width="0" hidden="1" customWidth="1"/>
    <col min="9496" max="9499" width="0" hidden="1" customWidth="1"/>
    <col min="9501" max="9504" width="0" hidden="1" customWidth="1"/>
    <col min="9506" max="9509" width="0" hidden="1" customWidth="1"/>
    <col min="9511" max="9514" width="0" hidden="1" customWidth="1"/>
    <col min="9516" max="9519" width="0" hidden="1" customWidth="1"/>
    <col min="9521" max="9523" width="0" hidden="1" customWidth="1"/>
    <col min="9525" max="9526" width="0" hidden="1" customWidth="1"/>
    <col min="9528" max="9529" width="0" hidden="1" customWidth="1"/>
    <col min="9530" max="9530" width="16.54296875" customWidth="1"/>
    <col min="9531" max="9531" width="11.453125" bestFit="1" customWidth="1"/>
    <col min="9730" max="9730" width="0" hidden="1" customWidth="1"/>
    <col min="9731" max="9731" width="13" bestFit="1" customWidth="1"/>
    <col min="9732" max="9735" width="0" hidden="1" customWidth="1"/>
    <col min="9736" max="9736" width="13" bestFit="1" customWidth="1"/>
    <col min="9737" max="9740" width="0" hidden="1" customWidth="1"/>
    <col min="9742" max="9745" width="0" hidden="1" customWidth="1"/>
    <col min="9747" max="9750" width="0" hidden="1" customWidth="1"/>
    <col min="9752" max="9755" width="0" hidden="1" customWidth="1"/>
    <col min="9757" max="9760" width="0" hidden="1" customWidth="1"/>
    <col min="9762" max="9765" width="0" hidden="1" customWidth="1"/>
    <col min="9767" max="9770" width="0" hidden="1" customWidth="1"/>
    <col min="9772" max="9775" width="0" hidden="1" customWidth="1"/>
    <col min="9777" max="9779" width="0" hidden="1" customWidth="1"/>
    <col min="9781" max="9782" width="0" hidden="1" customWidth="1"/>
    <col min="9784" max="9785" width="0" hidden="1" customWidth="1"/>
    <col min="9786" max="9786" width="16.54296875" customWidth="1"/>
    <col min="9787" max="9787" width="11.453125" bestFit="1" customWidth="1"/>
    <col min="9986" max="9986" width="0" hidden="1" customWidth="1"/>
    <col min="9987" max="9987" width="13" bestFit="1" customWidth="1"/>
    <col min="9988" max="9991" width="0" hidden="1" customWidth="1"/>
    <col min="9992" max="9992" width="13" bestFit="1" customWidth="1"/>
    <col min="9993" max="9996" width="0" hidden="1" customWidth="1"/>
    <col min="9998" max="10001" width="0" hidden="1" customWidth="1"/>
    <col min="10003" max="10006" width="0" hidden="1" customWidth="1"/>
    <col min="10008" max="10011" width="0" hidden="1" customWidth="1"/>
    <col min="10013" max="10016" width="0" hidden="1" customWidth="1"/>
    <col min="10018" max="10021" width="0" hidden="1" customWidth="1"/>
    <col min="10023" max="10026" width="0" hidden="1" customWidth="1"/>
    <col min="10028" max="10031" width="0" hidden="1" customWidth="1"/>
    <col min="10033" max="10035" width="0" hidden="1" customWidth="1"/>
    <col min="10037" max="10038" width="0" hidden="1" customWidth="1"/>
    <col min="10040" max="10041" width="0" hidden="1" customWidth="1"/>
    <col min="10042" max="10042" width="16.54296875" customWidth="1"/>
    <col min="10043" max="10043" width="11.453125" bestFit="1" customWidth="1"/>
    <col min="10242" max="10242" width="0" hidden="1" customWidth="1"/>
    <col min="10243" max="10243" width="13" bestFit="1" customWidth="1"/>
    <col min="10244" max="10247" width="0" hidden="1" customWidth="1"/>
    <col min="10248" max="10248" width="13" bestFit="1" customWidth="1"/>
    <col min="10249" max="10252" width="0" hidden="1" customWidth="1"/>
    <col min="10254" max="10257" width="0" hidden="1" customWidth="1"/>
    <col min="10259" max="10262" width="0" hidden="1" customWidth="1"/>
    <col min="10264" max="10267" width="0" hidden="1" customWidth="1"/>
    <col min="10269" max="10272" width="0" hidden="1" customWidth="1"/>
    <col min="10274" max="10277" width="0" hidden="1" customWidth="1"/>
    <col min="10279" max="10282" width="0" hidden="1" customWidth="1"/>
    <col min="10284" max="10287" width="0" hidden="1" customWidth="1"/>
    <col min="10289" max="10291" width="0" hidden="1" customWidth="1"/>
    <col min="10293" max="10294" width="0" hidden="1" customWidth="1"/>
    <col min="10296" max="10297" width="0" hidden="1" customWidth="1"/>
    <col min="10298" max="10298" width="16.54296875" customWidth="1"/>
    <col min="10299" max="10299" width="11.453125" bestFit="1" customWidth="1"/>
    <col min="10498" max="10498" width="0" hidden="1" customWidth="1"/>
    <col min="10499" max="10499" width="13" bestFit="1" customWidth="1"/>
    <col min="10500" max="10503" width="0" hidden="1" customWidth="1"/>
    <col min="10504" max="10504" width="13" bestFit="1" customWidth="1"/>
    <col min="10505" max="10508" width="0" hidden="1" customWidth="1"/>
    <col min="10510" max="10513" width="0" hidden="1" customWidth="1"/>
    <col min="10515" max="10518" width="0" hidden="1" customWidth="1"/>
    <col min="10520" max="10523" width="0" hidden="1" customWidth="1"/>
    <col min="10525" max="10528" width="0" hidden="1" customWidth="1"/>
    <col min="10530" max="10533" width="0" hidden="1" customWidth="1"/>
    <col min="10535" max="10538" width="0" hidden="1" customWidth="1"/>
    <col min="10540" max="10543" width="0" hidden="1" customWidth="1"/>
    <col min="10545" max="10547" width="0" hidden="1" customWidth="1"/>
    <col min="10549" max="10550" width="0" hidden="1" customWidth="1"/>
    <col min="10552" max="10553" width="0" hidden="1" customWidth="1"/>
    <col min="10554" max="10554" width="16.54296875" customWidth="1"/>
    <col min="10555" max="10555" width="11.453125" bestFit="1" customWidth="1"/>
    <col min="10754" max="10754" width="0" hidden="1" customWidth="1"/>
    <col min="10755" max="10755" width="13" bestFit="1" customWidth="1"/>
    <col min="10756" max="10759" width="0" hidden="1" customWidth="1"/>
    <col min="10760" max="10760" width="13" bestFit="1" customWidth="1"/>
    <col min="10761" max="10764" width="0" hidden="1" customWidth="1"/>
    <col min="10766" max="10769" width="0" hidden="1" customWidth="1"/>
    <col min="10771" max="10774" width="0" hidden="1" customWidth="1"/>
    <col min="10776" max="10779" width="0" hidden="1" customWidth="1"/>
    <col min="10781" max="10784" width="0" hidden="1" customWidth="1"/>
    <col min="10786" max="10789" width="0" hidden="1" customWidth="1"/>
    <col min="10791" max="10794" width="0" hidden="1" customWidth="1"/>
    <col min="10796" max="10799" width="0" hidden="1" customWidth="1"/>
    <col min="10801" max="10803" width="0" hidden="1" customWidth="1"/>
    <col min="10805" max="10806" width="0" hidden="1" customWidth="1"/>
    <col min="10808" max="10809" width="0" hidden="1" customWidth="1"/>
    <col min="10810" max="10810" width="16.54296875" customWidth="1"/>
    <col min="10811" max="10811" width="11.453125" bestFit="1" customWidth="1"/>
    <col min="11010" max="11010" width="0" hidden="1" customWidth="1"/>
    <col min="11011" max="11011" width="13" bestFit="1" customWidth="1"/>
    <col min="11012" max="11015" width="0" hidden="1" customWidth="1"/>
    <col min="11016" max="11016" width="13" bestFit="1" customWidth="1"/>
    <col min="11017" max="11020" width="0" hidden="1" customWidth="1"/>
    <col min="11022" max="11025" width="0" hidden="1" customWidth="1"/>
    <col min="11027" max="11030" width="0" hidden="1" customWidth="1"/>
    <col min="11032" max="11035" width="0" hidden="1" customWidth="1"/>
    <col min="11037" max="11040" width="0" hidden="1" customWidth="1"/>
    <col min="11042" max="11045" width="0" hidden="1" customWidth="1"/>
    <col min="11047" max="11050" width="0" hidden="1" customWidth="1"/>
    <col min="11052" max="11055" width="0" hidden="1" customWidth="1"/>
    <col min="11057" max="11059" width="0" hidden="1" customWidth="1"/>
    <col min="11061" max="11062" width="0" hidden="1" customWidth="1"/>
    <col min="11064" max="11065" width="0" hidden="1" customWidth="1"/>
    <col min="11066" max="11066" width="16.54296875" customWidth="1"/>
    <col min="11067" max="11067" width="11.453125" bestFit="1" customWidth="1"/>
    <col min="11266" max="11266" width="0" hidden="1" customWidth="1"/>
    <col min="11267" max="11267" width="13" bestFit="1" customWidth="1"/>
    <col min="11268" max="11271" width="0" hidden="1" customWidth="1"/>
    <col min="11272" max="11272" width="13" bestFit="1" customWidth="1"/>
    <col min="11273" max="11276" width="0" hidden="1" customWidth="1"/>
    <col min="11278" max="11281" width="0" hidden="1" customWidth="1"/>
    <col min="11283" max="11286" width="0" hidden="1" customWidth="1"/>
    <col min="11288" max="11291" width="0" hidden="1" customWidth="1"/>
    <col min="11293" max="11296" width="0" hidden="1" customWidth="1"/>
    <col min="11298" max="11301" width="0" hidden="1" customWidth="1"/>
    <col min="11303" max="11306" width="0" hidden="1" customWidth="1"/>
    <col min="11308" max="11311" width="0" hidden="1" customWidth="1"/>
    <col min="11313" max="11315" width="0" hidden="1" customWidth="1"/>
    <col min="11317" max="11318" width="0" hidden="1" customWidth="1"/>
    <col min="11320" max="11321" width="0" hidden="1" customWidth="1"/>
    <col min="11322" max="11322" width="16.54296875" customWidth="1"/>
    <col min="11323" max="11323" width="11.453125" bestFit="1" customWidth="1"/>
    <col min="11522" max="11522" width="0" hidden="1" customWidth="1"/>
    <col min="11523" max="11523" width="13" bestFit="1" customWidth="1"/>
    <col min="11524" max="11527" width="0" hidden="1" customWidth="1"/>
    <col min="11528" max="11528" width="13" bestFit="1" customWidth="1"/>
    <col min="11529" max="11532" width="0" hidden="1" customWidth="1"/>
    <col min="11534" max="11537" width="0" hidden="1" customWidth="1"/>
    <col min="11539" max="11542" width="0" hidden="1" customWidth="1"/>
    <col min="11544" max="11547" width="0" hidden="1" customWidth="1"/>
    <col min="11549" max="11552" width="0" hidden="1" customWidth="1"/>
    <col min="11554" max="11557" width="0" hidden="1" customWidth="1"/>
    <col min="11559" max="11562" width="0" hidden="1" customWidth="1"/>
    <col min="11564" max="11567" width="0" hidden="1" customWidth="1"/>
    <col min="11569" max="11571" width="0" hidden="1" customWidth="1"/>
    <col min="11573" max="11574" width="0" hidden="1" customWidth="1"/>
    <col min="11576" max="11577" width="0" hidden="1" customWidth="1"/>
    <col min="11578" max="11578" width="16.54296875" customWidth="1"/>
    <col min="11579" max="11579" width="11.453125" bestFit="1" customWidth="1"/>
    <col min="11778" max="11778" width="0" hidden="1" customWidth="1"/>
    <col min="11779" max="11779" width="13" bestFit="1" customWidth="1"/>
    <col min="11780" max="11783" width="0" hidden="1" customWidth="1"/>
    <col min="11784" max="11784" width="13" bestFit="1" customWidth="1"/>
    <col min="11785" max="11788" width="0" hidden="1" customWidth="1"/>
    <col min="11790" max="11793" width="0" hidden="1" customWidth="1"/>
    <col min="11795" max="11798" width="0" hidden="1" customWidth="1"/>
    <col min="11800" max="11803" width="0" hidden="1" customWidth="1"/>
    <col min="11805" max="11808" width="0" hidden="1" customWidth="1"/>
    <col min="11810" max="11813" width="0" hidden="1" customWidth="1"/>
    <col min="11815" max="11818" width="0" hidden="1" customWidth="1"/>
    <col min="11820" max="11823" width="0" hidden="1" customWidth="1"/>
    <col min="11825" max="11827" width="0" hidden="1" customWidth="1"/>
    <col min="11829" max="11830" width="0" hidden="1" customWidth="1"/>
    <col min="11832" max="11833" width="0" hidden="1" customWidth="1"/>
    <col min="11834" max="11834" width="16.54296875" customWidth="1"/>
    <col min="11835" max="11835" width="11.453125" bestFit="1" customWidth="1"/>
    <col min="12034" max="12034" width="0" hidden="1" customWidth="1"/>
    <col min="12035" max="12035" width="13" bestFit="1" customWidth="1"/>
    <col min="12036" max="12039" width="0" hidden="1" customWidth="1"/>
    <col min="12040" max="12040" width="13" bestFit="1" customWidth="1"/>
    <col min="12041" max="12044" width="0" hidden="1" customWidth="1"/>
    <col min="12046" max="12049" width="0" hidden="1" customWidth="1"/>
    <col min="12051" max="12054" width="0" hidden="1" customWidth="1"/>
    <col min="12056" max="12059" width="0" hidden="1" customWidth="1"/>
    <col min="12061" max="12064" width="0" hidden="1" customWidth="1"/>
    <col min="12066" max="12069" width="0" hidden="1" customWidth="1"/>
    <col min="12071" max="12074" width="0" hidden="1" customWidth="1"/>
    <col min="12076" max="12079" width="0" hidden="1" customWidth="1"/>
    <col min="12081" max="12083" width="0" hidden="1" customWidth="1"/>
    <col min="12085" max="12086" width="0" hidden="1" customWidth="1"/>
    <col min="12088" max="12089" width="0" hidden="1" customWidth="1"/>
    <col min="12090" max="12090" width="16.54296875" customWidth="1"/>
    <col min="12091" max="12091" width="11.453125" bestFit="1" customWidth="1"/>
    <col min="12290" max="12290" width="0" hidden="1" customWidth="1"/>
    <col min="12291" max="12291" width="13" bestFit="1" customWidth="1"/>
    <col min="12292" max="12295" width="0" hidden="1" customWidth="1"/>
    <col min="12296" max="12296" width="13" bestFit="1" customWidth="1"/>
    <col min="12297" max="12300" width="0" hidden="1" customWidth="1"/>
    <col min="12302" max="12305" width="0" hidden="1" customWidth="1"/>
    <col min="12307" max="12310" width="0" hidden="1" customWidth="1"/>
    <col min="12312" max="12315" width="0" hidden="1" customWidth="1"/>
    <col min="12317" max="12320" width="0" hidden="1" customWidth="1"/>
    <col min="12322" max="12325" width="0" hidden="1" customWidth="1"/>
    <col min="12327" max="12330" width="0" hidden="1" customWidth="1"/>
    <col min="12332" max="12335" width="0" hidden="1" customWidth="1"/>
    <col min="12337" max="12339" width="0" hidden="1" customWidth="1"/>
    <col min="12341" max="12342" width="0" hidden="1" customWidth="1"/>
    <col min="12344" max="12345" width="0" hidden="1" customWidth="1"/>
    <col min="12346" max="12346" width="16.54296875" customWidth="1"/>
    <col min="12347" max="12347" width="11.453125" bestFit="1" customWidth="1"/>
    <col min="12546" max="12546" width="0" hidden="1" customWidth="1"/>
    <col min="12547" max="12547" width="13" bestFit="1" customWidth="1"/>
    <col min="12548" max="12551" width="0" hidden="1" customWidth="1"/>
    <col min="12552" max="12552" width="13" bestFit="1" customWidth="1"/>
    <col min="12553" max="12556" width="0" hidden="1" customWidth="1"/>
    <col min="12558" max="12561" width="0" hidden="1" customWidth="1"/>
    <col min="12563" max="12566" width="0" hidden="1" customWidth="1"/>
    <col min="12568" max="12571" width="0" hidden="1" customWidth="1"/>
    <col min="12573" max="12576" width="0" hidden="1" customWidth="1"/>
    <col min="12578" max="12581" width="0" hidden="1" customWidth="1"/>
    <col min="12583" max="12586" width="0" hidden="1" customWidth="1"/>
    <col min="12588" max="12591" width="0" hidden="1" customWidth="1"/>
    <col min="12593" max="12595" width="0" hidden="1" customWidth="1"/>
    <col min="12597" max="12598" width="0" hidden="1" customWidth="1"/>
    <col min="12600" max="12601" width="0" hidden="1" customWidth="1"/>
    <col min="12602" max="12602" width="16.54296875" customWidth="1"/>
    <col min="12603" max="12603" width="11.453125" bestFit="1" customWidth="1"/>
    <col min="12802" max="12802" width="0" hidden="1" customWidth="1"/>
    <col min="12803" max="12803" width="13" bestFit="1" customWidth="1"/>
    <col min="12804" max="12807" width="0" hidden="1" customWidth="1"/>
    <col min="12808" max="12808" width="13" bestFit="1" customWidth="1"/>
    <col min="12809" max="12812" width="0" hidden="1" customWidth="1"/>
    <col min="12814" max="12817" width="0" hidden="1" customWidth="1"/>
    <col min="12819" max="12822" width="0" hidden="1" customWidth="1"/>
    <col min="12824" max="12827" width="0" hidden="1" customWidth="1"/>
    <col min="12829" max="12832" width="0" hidden="1" customWidth="1"/>
    <col min="12834" max="12837" width="0" hidden="1" customWidth="1"/>
    <col min="12839" max="12842" width="0" hidden="1" customWidth="1"/>
    <col min="12844" max="12847" width="0" hidden="1" customWidth="1"/>
    <col min="12849" max="12851" width="0" hidden="1" customWidth="1"/>
    <col min="12853" max="12854" width="0" hidden="1" customWidth="1"/>
    <col min="12856" max="12857" width="0" hidden="1" customWidth="1"/>
    <col min="12858" max="12858" width="16.54296875" customWidth="1"/>
    <col min="12859" max="12859" width="11.453125" bestFit="1" customWidth="1"/>
    <col min="13058" max="13058" width="0" hidden="1" customWidth="1"/>
    <col min="13059" max="13059" width="13" bestFit="1" customWidth="1"/>
    <col min="13060" max="13063" width="0" hidden="1" customWidth="1"/>
    <col min="13064" max="13064" width="13" bestFit="1" customWidth="1"/>
    <col min="13065" max="13068" width="0" hidden="1" customWidth="1"/>
    <col min="13070" max="13073" width="0" hidden="1" customWidth="1"/>
    <col min="13075" max="13078" width="0" hidden="1" customWidth="1"/>
    <col min="13080" max="13083" width="0" hidden="1" customWidth="1"/>
    <col min="13085" max="13088" width="0" hidden="1" customWidth="1"/>
    <col min="13090" max="13093" width="0" hidden="1" customWidth="1"/>
    <col min="13095" max="13098" width="0" hidden="1" customWidth="1"/>
    <col min="13100" max="13103" width="0" hidden="1" customWidth="1"/>
    <col min="13105" max="13107" width="0" hidden="1" customWidth="1"/>
    <col min="13109" max="13110" width="0" hidden="1" customWidth="1"/>
    <col min="13112" max="13113" width="0" hidden="1" customWidth="1"/>
    <col min="13114" max="13114" width="16.54296875" customWidth="1"/>
    <col min="13115" max="13115" width="11.453125" bestFit="1" customWidth="1"/>
    <col min="13314" max="13314" width="0" hidden="1" customWidth="1"/>
    <col min="13315" max="13315" width="13" bestFit="1" customWidth="1"/>
    <col min="13316" max="13319" width="0" hidden="1" customWidth="1"/>
    <col min="13320" max="13320" width="13" bestFit="1" customWidth="1"/>
    <col min="13321" max="13324" width="0" hidden="1" customWidth="1"/>
    <col min="13326" max="13329" width="0" hidden="1" customWidth="1"/>
    <col min="13331" max="13334" width="0" hidden="1" customWidth="1"/>
    <col min="13336" max="13339" width="0" hidden="1" customWidth="1"/>
    <col min="13341" max="13344" width="0" hidden="1" customWidth="1"/>
    <col min="13346" max="13349" width="0" hidden="1" customWidth="1"/>
    <col min="13351" max="13354" width="0" hidden="1" customWidth="1"/>
    <col min="13356" max="13359" width="0" hidden="1" customWidth="1"/>
    <col min="13361" max="13363" width="0" hidden="1" customWidth="1"/>
    <col min="13365" max="13366" width="0" hidden="1" customWidth="1"/>
    <col min="13368" max="13369" width="0" hidden="1" customWidth="1"/>
    <col min="13370" max="13370" width="16.54296875" customWidth="1"/>
    <col min="13371" max="13371" width="11.453125" bestFit="1" customWidth="1"/>
    <col min="13570" max="13570" width="0" hidden="1" customWidth="1"/>
    <col min="13571" max="13571" width="13" bestFit="1" customWidth="1"/>
    <col min="13572" max="13575" width="0" hidden="1" customWidth="1"/>
    <col min="13576" max="13576" width="13" bestFit="1" customWidth="1"/>
    <col min="13577" max="13580" width="0" hidden="1" customWidth="1"/>
    <col min="13582" max="13585" width="0" hidden="1" customWidth="1"/>
    <col min="13587" max="13590" width="0" hidden="1" customWidth="1"/>
    <col min="13592" max="13595" width="0" hidden="1" customWidth="1"/>
    <col min="13597" max="13600" width="0" hidden="1" customWidth="1"/>
    <col min="13602" max="13605" width="0" hidden="1" customWidth="1"/>
    <col min="13607" max="13610" width="0" hidden="1" customWidth="1"/>
    <col min="13612" max="13615" width="0" hidden="1" customWidth="1"/>
    <col min="13617" max="13619" width="0" hidden="1" customWidth="1"/>
    <col min="13621" max="13622" width="0" hidden="1" customWidth="1"/>
    <col min="13624" max="13625" width="0" hidden="1" customWidth="1"/>
    <col min="13626" max="13626" width="16.54296875" customWidth="1"/>
    <col min="13627" max="13627" width="11.453125" bestFit="1" customWidth="1"/>
    <col min="13826" max="13826" width="0" hidden="1" customWidth="1"/>
    <col min="13827" max="13827" width="13" bestFit="1" customWidth="1"/>
    <col min="13828" max="13831" width="0" hidden="1" customWidth="1"/>
    <col min="13832" max="13832" width="13" bestFit="1" customWidth="1"/>
    <col min="13833" max="13836" width="0" hidden="1" customWidth="1"/>
    <col min="13838" max="13841" width="0" hidden="1" customWidth="1"/>
    <col min="13843" max="13846" width="0" hidden="1" customWidth="1"/>
    <col min="13848" max="13851" width="0" hidden="1" customWidth="1"/>
    <col min="13853" max="13856" width="0" hidden="1" customWidth="1"/>
    <col min="13858" max="13861" width="0" hidden="1" customWidth="1"/>
    <col min="13863" max="13866" width="0" hidden="1" customWidth="1"/>
    <col min="13868" max="13871" width="0" hidden="1" customWidth="1"/>
    <col min="13873" max="13875" width="0" hidden="1" customWidth="1"/>
    <col min="13877" max="13878" width="0" hidden="1" customWidth="1"/>
    <col min="13880" max="13881" width="0" hidden="1" customWidth="1"/>
    <col min="13882" max="13882" width="16.54296875" customWidth="1"/>
    <col min="13883" max="13883" width="11.453125" bestFit="1" customWidth="1"/>
    <col min="14082" max="14082" width="0" hidden="1" customWidth="1"/>
    <col min="14083" max="14083" width="13" bestFit="1" customWidth="1"/>
    <col min="14084" max="14087" width="0" hidden="1" customWidth="1"/>
    <col min="14088" max="14088" width="13" bestFit="1" customWidth="1"/>
    <col min="14089" max="14092" width="0" hidden="1" customWidth="1"/>
    <col min="14094" max="14097" width="0" hidden="1" customWidth="1"/>
    <col min="14099" max="14102" width="0" hidden="1" customWidth="1"/>
    <col min="14104" max="14107" width="0" hidden="1" customWidth="1"/>
    <col min="14109" max="14112" width="0" hidden="1" customWidth="1"/>
    <col min="14114" max="14117" width="0" hidden="1" customWidth="1"/>
    <col min="14119" max="14122" width="0" hidden="1" customWidth="1"/>
    <col min="14124" max="14127" width="0" hidden="1" customWidth="1"/>
    <col min="14129" max="14131" width="0" hidden="1" customWidth="1"/>
    <col min="14133" max="14134" width="0" hidden="1" customWidth="1"/>
    <col min="14136" max="14137" width="0" hidden="1" customWidth="1"/>
    <col min="14138" max="14138" width="16.54296875" customWidth="1"/>
    <col min="14139" max="14139" width="11.453125" bestFit="1" customWidth="1"/>
    <col min="14338" max="14338" width="0" hidden="1" customWidth="1"/>
    <col min="14339" max="14339" width="13" bestFit="1" customWidth="1"/>
    <col min="14340" max="14343" width="0" hidden="1" customWidth="1"/>
    <col min="14344" max="14344" width="13" bestFit="1" customWidth="1"/>
    <col min="14345" max="14348" width="0" hidden="1" customWidth="1"/>
    <col min="14350" max="14353" width="0" hidden="1" customWidth="1"/>
    <col min="14355" max="14358" width="0" hidden="1" customWidth="1"/>
    <col min="14360" max="14363" width="0" hidden="1" customWidth="1"/>
    <col min="14365" max="14368" width="0" hidden="1" customWidth="1"/>
    <col min="14370" max="14373" width="0" hidden="1" customWidth="1"/>
    <col min="14375" max="14378" width="0" hidden="1" customWidth="1"/>
    <col min="14380" max="14383" width="0" hidden="1" customWidth="1"/>
    <col min="14385" max="14387" width="0" hidden="1" customWidth="1"/>
    <col min="14389" max="14390" width="0" hidden="1" customWidth="1"/>
    <col min="14392" max="14393" width="0" hidden="1" customWidth="1"/>
    <col min="14394" max="14394" width="16.54296875" customWidth="1"/>
    <col min="14395" max="14395" width="11.453125" bestFit="1" customWidth="1"/>
    <col min="14594" max="14594" width="0" hidden="1" customWidth="1"/>
    <col min="14595" max="14595" width="13" bestFit="1" customWidth="1"/>
    <col min="14596" max="14599" width="0" hidden="1" customWidth="1"/>
    <col min="14600" max="14600" width="13" bestFit="1" customWidth="1"/>
    <col min="14601" max="14604" width="0" hidden="1" customWidth="1"/>
    <col min="14606" max="14609" width="0" hidden="1" customWidth="1"/>
    <col min="14611" max="14614" width="0" hidden="1" customWidth="1"/>
    <col min="14616" max="14619" width="0" hidden="1" customWidth="1"/>
    <col min="14621" max="14624" width="0" hidden="1" customWidth="1"/>
    <col min="14626" max="14629" width="0" hidden="1" customWidth="1"/>
    <col min="14631" max="14634" width="0" hidden="1" customWidth="1"/>
    <col min="14636" max="14639" width="0" hidden="1" customWidth="1"/>
    <col min="14641" max="14643" width="0" hidden="1" customWidth="1"/>
    <col min="14645" max="14646" width="0" hidden="1" customWidth="1"/>
    <col min="14648" max="14649" width="0" hidden="1" customWidth="1"/>
    <col min="14650" max="14650" width="16.54296875" customWidth="1"/>
    <col min="14651" max="14651" width="11.453125" bestFit="1" customWidth="1"/>
    <col min="14850" max="14850" width="0" hidden="1" customWidth="1"/>
    <col min="14851" max="14851" width="13" bestFit="1" customWidth="1"/>
    <col min="14852" max="14855" width="0" hidden="1" customWidth="1"/>
    <col min="14856" max="14856" width="13" bestFit="1" customWidth="1"/>
    <col min="14857" max="14860" width="0" hidden="1" customWidth="1"/>
    <col min="14862" max="14865" width="0" hidden="1" customWidth="1"/>
    <col min="14867" max="14870" width="0" hidden="1" customWidth="1"/>
    <col min="14872" max="14875" width="0" hidden="1" customWidth="1"/>
    <col min="14877" max="14880" width="0" hidden="1" customWidth="1"/>
    <col min="14882" max="14885" width="0" hidden="1" customWidth="1"/>
    <col min="14887" max="14890" width="0" hidden="1" customWidth="1"/>
    <col min="14892" max="14895" width="0" hidden="1" customWidth="1"/>
    <col min="14897" max="14899" width="0" hidden="1" customWidth="1"/>
    <col min="14901" max="14902" width="0" hidden="1" customWidth="1"/>
    <col min="14904" max="14905" width="0" hidden="1" customWidth="1"/>
    <col min="14906" max="14906" width="16.54296875" customWidth="1"/>
    <col min="14907" max="14907" width="11.453125" bestFit="1" customWidth="1"/>
    <col min="15106" max="15106" width="0" hidden="1" customWidth="1"/>
    <col min="15107" max="15107" width="13" bestFit="1" customWidth="1"/>
    <col min="15108" max="15111" width="0" hidden="1" customWidth="1"/>
    <col min="15112" max="15112" width="13" bestFit="1" customWidth="1"/>
    <col min="15113" max="15116" width="0" hidden="1" customWidth="1"/>
    <col min="15118" max="15121" width="0" hidden="1" customWidth="1"/>
    <col min="15123" max="15126" width="0" hidden="1" customWidth="1"/>
    <col min="15128" max="15131" width="0" hidden="1" customWidth="1"/>
    <col min="15133" max="15136" width="0" hidden="1" customWidth="1"/>
    <col min="15138" max="15141" width="0" hidden="1" customWidth="1"/>
    <col min="15143" max="15146" width="0" hidden="1" customWidth="1"/>
    <col min="15148" max="15151" width="0" hidden="1" customWidth="1"/>
    <col min="15153" max="15155" width="0" hidden="1" customWidth="1"/>
    <col min="15157" max="15158" width="0" hidden="1" customWidth="1"/>
    <col min="15160" max="15161" width="0" hidden="1" customWidth="1"/>
    <col min="15162" max="15162" width="16.54296875" customWidth="1"/>
    <col min="15163" max="15163" width="11.453125" bestFit="1" customWidth="1"/>
    <col min="15362" max="15362" width="0" hidden="1" customWidth="1"/>
    <col min="15363" max="15363" width="13" bestFit="1" customWidth="1"/>
    <col min="15364" max="15367" width="0" hidden="1" customWidth="1"/>
    <col min="15368" max="15368" width="13" bestFit="1" customWidth="1"/>
    <col min="15369" max="15372" width="0" hidden="1" customWidth="1"/>
    <col min="15374" max="15377" width="0" hidden="1" customWidth="1"/>
    <col min="15379" max="15382" width="0" hidden="1" customWidth="1"/>
    <col min="15384" max="15387" width="0" hidden="1" customWidth="1"/>
    <col min="15389" max="15392" width="0" hidden="1" customWidth="1"/>
    <col min="15394" max="15397" width="0" hidden="1" customWidth="1"/>
    <col min="15399" max="15402" width="0" hidden="1" customWidth="1"/>
    <col min="15404" max="15407" width="0" hidden="1" customWidth="1"/>
    <col min="15409" max="15411" width="0" hidden="1" customWidth="1"/>
    <col min="15413" max="15414" width="0" hidden="1" customWidth="1"/>
    <col min="15416" max="15417" width="0" hidden="1" customWidth="1"/>
    <col min="15418" max="15418" width="16.54296875" customWidth="1"/>
    <col min="15419" max="15419" width="11.453125" bestFit="1" customWidth="1"/>
    <col min="15618" max="15618" width="0" hidden="1" customWidth="1"/>
    <col min="15619" max="15619" width="13" bestFit="1" customWidth="1"/>
    <col min="15620" max="15623" width="0" hidden="1" customWidth="1"/>
    <col min="15624" max="15624" width="13" bestFit="1" customWidth="1"/>
    <col min="15625" max="15628" width="0" hidden="1" customWidth="1"/>
    <col min="15630" max="15633" width="0" hidden="1" customWidth="1"/>
    <col min="15635" max="15638" width="0" hidden="1" customWidth="1"/>
    <col min="15640" max="15643" width="0" hidden="1" customWidth="1"/>
    <col min="15645" max="15648" width="0" hidden="1" customWidth="1"/>
    <col min="15650" max="15653" width="0" hidden="1" customWidth="1"/>
    <col min="15655" max="15658" width="0" hidden="1" customWidth="1"/>
    <col min="15660" max="15663" width="0" hidden="1" customWidth="1"/>
    <col min="15665" max="15667" width="0" hidden="1" customWidth="1"/>
    <col min="15669" max="15670" width="0" hidden="1" customWidth="1"/>
    <col min="15672" max="15673" width="0" hidden="1" customWidth="1"/>
    <col min="15674" max="15674" width="16.54296875" customWidth="1"/>
    <col min="15675" max="15675" width="11.453125" bestFit="1" customWidth="1"/>
    <col min="15874" max="15874" width="0" hidden="1" customWidth="1"/>
    <col min="15875" max="15875" width="13" bestFit="1" customWidth="1"/>
    <col min="15876" max="15879" width="0" hidden="1" customWidth="1"/>
    <col min="15880" max="15880" width="13" bestFit="1" customWidth="1"/>
    <col min="15881" max="15884" width="0" hidden="1" customWidth="1"/>
    <col min="15886" max="15889" width="0" hidden="1" customWidth="1"/>
    <col min="15891" max="15894" width="0" hidden="1" customWidth="1"/>
    <col min="15896" max="15899" width="0" hidden="1" customWidth="1"/>
    <col min="15901" max="15904" width="0" hidden="1" customWidth="1"/>
    <col min="15906" max="15909" width="0" hidden="1" customWidth="1"/>
    <col min="15911" max="15914" width="0" hidden="1" customWidth="1"/>
    <col min="15916" max="15919" width="0" hidden="1" customWidth="1"/>
    <col min="15921" max="15923" width="0" hidden="1" customWidth="1"/>
    <col min="15925" max="15926" width="0" hidden="1" customWidth="1"/>
    <col min="15928" max="15929" width="0" hidden="1" customWidth="1"/>
    <col min="15930" max="15930" width="16.54296875" customWidth="1"/>
    <col min="15931" max="15931" width="11.453125" bestFit="1" customWidth="1"/>
    <col min="16130" max="16130" width="0" hidden="1" customWidth="1"/>
    <col min="16131" max="16131" width="13" bestFit="1" customWidth="1"/>
    <col min="16132" max="16135" width="0" hidden="1" customWidth="1"/>
    <col min="16136" max="16136" width="13" bestFit="1" customWidth="1"/>
    <col min="16137" max="16140" width="0" hidden="1" customWidth="1"/>
    <col min="16142" max="16145" width="0" hidden="1" customWidth="1"/>
    <col min="16147" max="16150" width="0" hidden="1" customWidth="1"/>
    <col min="16152" max="16155" width="0" hidden="1" customWidth="1"/>
    <col min="16157" max="16160" width="0" hidden="1" customWidth="1"/>
    <col min="16162" max="16165" width="0" hidden="1" customWidth="1"/>
    <col min="16167" max="16170" width="0" hidden="1" customWidth="1"/>
    <col min="16172" max="16175" width="0" hidden="1" customWidth="1"/>
    <col min="16177" max="16179" width="0" hidden="1" customWidth="1"/>
    <col min="16181" max="16182" width="0" hidden="1" customWidth="1"/>
    <col min="16184" max="16185" width="0" hidden="1" customWidth="1"/>
    <col min="16186" max="16186" width="16.54296875" customWidth="1"/>
    <col min="16187" max="16187" width="11.453125" bestFit="1" customWidth="1"/>
  </cols>
  <sheetData>
    <row r="1" spans="1:58" x14ac:dyDescent="0.35">
      <c r="C1" s="2">
        <v>45627</v>
      </c>
      <c r="H1" s="3">
        <v>45597</v>
      </c>
      <c r="M1" s="2">
        <v>45566</v>
      </c>
      <c r="R1" s="3">
        <v>45536</v>
      </c>
      <c r="W1" s="2">
        <v>45505</v>
      </c>
      <c r="AB1" s="3">
        <v>45474</v>
      </c>
      <c r="AE1" s="2"/>
      <c r="AG1" s="2">
        <v>45444</v>
      </c>
      <c r="AL1" s="3">
        <v>45413</v>
      </c>
      <c r="AQ1" s="2">
        <v>45383</v>
      </c>
      <c r="AV1" s="3">
        <v>45352</v>
      </c>
      <c r="AZ1" s="3">
        <v>45323</v>
      </c>
      <c r="BC1" s="3">
        <v>45292</v>
      </c>
      <c r="BF1" s="3">
        <v>45261</v>
      </c>
    </row>
    <row r="2" spans="1:58" x14ac:dyDescent="0.35">
      <c r="A2" s="302" t="s">
        <v>0</v>
      </c>
      <c r="B2" s="303"/>
      <c r="C2" s="303"/>
      <c r="D2" s="303"/>
      <c r="E2" s="304"/>
      <c r="F2" s="305" t="s">
        <v>1</v>
      </c>
      <c r="G2" s="306"/>
      <c r="H2" s="306"/>
      <c r="I2" s="306"/>
      <c r="J2" s="307"/>
      <c r="K2" s="302" t="s">
        <v>2</v>
      </c>
      <c r="L2" s="303"/>
      <c r="M2" s="303"/>
      <c r="N2" s="303"/>
      <c r="O2" s="304"/>
      <c r="P2" s="4"/>
      <c r="Q2" s="301" t="s">
        <v>3</v>
      </c>
      <c r="R2" s="301"/>
      <c r="S2" s="301"/>
      <c r="T2" s="5"/>
      <c r="U2" s="6"/>
      <c r="V2" s="308" t="s">
        <v>4</v>
      </c>
      <c r="W2" s="308"/>
      <c r="X2" s="308"/>
      <c r="Y2" s="7"/>
      <c r="Z2" s="4"/>
      <c r="AA2" s="301" t="s">
        <v>5</v>
      </c>
      <c r="AB2" s="301"/>
      <c r="AC2" s="301"/>
      <c r="AD2" s="5"/>
      <c r="AE2" s="6"/>
      <c r="AF2" s="308" t="s">
        <v>6</v>
      </c>
      <c r="AG2" s="308"/>
      <c r="AH2" s="308"/>
      <c r="AI2" s="7"/>
      <c r="AJ2" s="4"/>
      <c r="AK2" s="301" t="s">
        <v>7</v>
      </c>
      <c r="AL2" s="301"/>
      <c r="AM2" s="301"/>
      <c r="AN2" s="5"/>
      <c r="AO2" s="6"/>
      <c r="AP2" s="308" t="s">
        <v>8</v>
      </c>
      <c r="AQ2" s="308"/>
      <c r="AR2" s="308"/>
      <c r="AS2" s="7"/>
      <c r="AT2" s="4"/>
      <c r="AU2" s="301" t="s">
        <v>9</v>
      </c>
      <c r="AV2" s="301"/>
      <c r="AW2" s="301"/>
      <c r="AX2" s="5"/>
      <c r="AY2" s="309" t="s">
        <v>10</v>
      </c>
      <c r="AZ2" s="310"/>
      <c r="BA2" s="310"/>
      <c r="BB2" s="311"/>
      <c r="BC2" s="301" t="s">
        <v>7</v>
      </c>
      <c r="BD2" s="301"/>
      <c r="BE2" s="301"/>
    </row>
    <row r="3" spans="1:58" x14ac:dyDescent="0.35">
      <c r="A3" s="8" t="s">
        <v>11</v>
      </c>
      <c r="B3" s="8" t="s">
        <v>12</v>
      </c>
      <c r="C3" s="8" t="s">
        <v>13</v>
      </c>
      <c r="D3" s="9" t="s">
        <v>14</v>
      </c>
      <c r="E3" s="10" t="s">
        <v>15</v>
      </c>
      <c r="F3" s="11" t="s">
        <v>11</v>
      </c>
      <c r="G3" s="11" t="s">
        <v>12</v>
      </c>
      <c r="H3" s="11" t="s">
        <v>13</v>
      </c>
      <c r="I3" s="12" t="s">
        <v>14</v>
      </c>
      <c r="J3" s="13" t="s">
        <v>15</v>
      </c>
      <c r="K3" s="8" t="s">
        <v>11</v>
      </c>
      <c r="L3" s="8" t="s">
        <v>12</v>
      </c>
      <c r="M3" s="8" t="s">
        <v>13</v>
      </c>
      <c r="N3" s="9" t="s">
        <v>14</v>
      </c>
      <c r="O3" s="10" t="s">
        <v>15</v>
      </c>
      <c r="P3" s="14" t="s">
        <v>11</v>
      </c>
      <c r="Q3" s="15" t="s">
        <v>12</v>
      </c>
      <c r="R3" s="11" t="s">
        <v>13</v>
      </c>
      <c r="S3" s="16" t="s">
        <v>14</v>
      </c>
      <c r="T3" s="13" t="s">
        <v>15</v>
      </c>
      <c r="U3" s="17" t="s">
        <v>11</v>
      </c>
      <c r="V3" s="18" t="s">
        <v>12</v>
      </c>
      <c r="W3" s="8" t="s">
        <v>13</v>
      </c>
      <c r="X3" s="19" t="s">
        <v>14</v>
      </c>
      <c r="Y3" s="10" t="s">
        <v>15</v>
      </c>
      <c r="Z3" s="14" t="s">
        <v>11</v>
      </c>
      <c r="AA3" s="15" t="s">
        <v>12</v>
      </c>
      <c r="AB3" s="11" t="s">
        <v>13</v>
      </c>
      <c r="AC3" s="16" t="s">
        <v>14</v>
      </c>
      <c r="AD3" s="13" t="s">
        <v>15</v>
      </c>
      <c r="AE3" s="17" t="s">
        <v>11</v>
      </c>
      <c r="AF3" s="18" t="s">
        <v>12</v>
      </c>
      <c r="AG3" s="8" t="s">
        <v>13</v>
      </c>
      <c r="AH3" s="19" t="s">
        <v>14</v>
      </c>
      <c r="AI3" s="10" t="s">
        <v>15</v>
      </c>
      <c r="AJ3" s="14" t="s">
        <v>11</v>
      </c>
      <c r="AK3" s="15" t="s">
        <v>12</v>
      </c>
      <c r="AL3" s="11" t="s">
        <v>13</v>
      </c>
      <c r="AM3" s="16" t="s">
        <v>14</v>
      </c>
      <c r="AN3" s="13" t="s">
        <v>15</v>
      </c>
      <c r="AO3" s="17" t="s">
        <v>11</v>
      </c>
      <c r="AP3" s="18" t="s">
        <v>12</v>
      </c>
      <c r="AQ3" s="8" t="s">
        <v>13</v>
      </c>
      <c r="AR3" s="19" t="s">
        <v>14</v>
      </c>
      <c r="AS3" s="10" t="s">
        <v>15</v>
      </c>
      <c r="AT3" s="14" t="s">
        <v>11</v>
      </c>
      <c r="AU3" s="15" t="s">
        <v>12</v>
      </c>
      <c r="AV3" s="11" t="s">
        <v>13</v>
      </c>
      <c r="AW3" s="16" t="s">
        <v>16</v>
      </c>
      <c r="AX3" s="13" t="s">
        <v>15</v>
      </c>
      <c r="AY3" s="20" t="s">
        <v>17</v>
      </c>
      <c r="AZ3" s="21" t="s">
        <v>18</v>
      </c>
      <c r="BA3" s="22" t="s">
        <v>19</v>
      </c>
      <c r="BB3" s="23" t="s">
        <v>20</v>
      </c>
      <c r="BC3" s="24" t="s">
        <v>18</v>
      </c>
      <c r="BD3" s="24" t="s">
        <v>19</v>
      </c>
      <c r="BE3" s="25" t="s">
        <v>20</v>
      </c>
    </row>
    <row r="4" spans="1:58" x14ac:dyDescent="0.35">
      <c r="A4" s="26" t="s">
        <v>21</v>
      </c>
      <c r="B4" s="27" t="s">
        <v>22</v>
      </c>
      <c r="C4" s="28">
        <v>1988629</v>
      </c>
      <c r="D4" s="29">
        <f>+C4</f>
        <v>1988629</v>
      </c>
      <c r="E4" s="30">
        <f t="shared" ref="E4:E31" si="0">+C4-D4</f>
        <v>0</v>
      </c>
      <c r="F4" s="31" t="s">
        <v>21</v>
      </c>
      <c r="G4" s="32" t="s">
        <v>22</v>
      </c>
      <c r="H4" s="33">
        <v>2967573</v>
      </c>
      <c r="I4" s="34">
        <v>2967573</v>
      </c>
      <c r="J4" s="35">
        <f>+H4-I4</f>
        <v>0</v>
      </c>
      <c r="K4" s="26" t="s">
        <v>21</v>
      </c>
      <c r="L4" s="36" t="s">
        <v>23</v>
      </c>
      <c r="M4" s="28">
        <v>1988219</v>
      </c>
      <c r="N4" s="29">
        <v>1988219</v>
      </c>
      <c r="O4" s="30">
        <f>+M4-N4</f>
        <v>0</v>
      </c>
      <c r="P4" s="37" t="s">
        <v>21</v>
      </c>
      <c r="Q4" s="38" t="s">
        <v>24</v>
      </c>
      <c r="R4" s="39">
        <v>1966674</v>
      </c>
      <c r="S4" s="40">
        <f>+R4</f>
        <v>1966674</v>
      </c>
      <c r="T4" s="41">
        <f>+R4-S4</f>
        <v>0</v>
      </c>
      <c r="U4" s="42" t="s">
        <v>21</v>
      </c>
      <c r="V4" s="43" t="s">
        <v>24</v>
      </c>
      <c r="W4" s="44">
        <v>2299195</v>
      </c>
      <c r="X4" s="44">
        <f>+W4</f>
        <v>2299195</v>
      </c>
      <c r="Y4" s="45">
        <f>+W4-X4</f>
        <v>0</v>
      </c>
      <c r="Z4" s="37" t="s">
        <v>21</v>
      </c>
      <c r="AA4" s="38" t="s">
        <v>24</v>
      </c>
      <c r="AB4" s="46">
        <v>2266654</v>
      </c>
      <c r="AC4" s="47">
        <v>2266654</v>
      </c>
      <c r="AD4" s="41">
        <f>+AB4-AC4</f>
        <v>0</v>
      </c>
      <c r="AE4" s="42" t="s">
        <v>21</v>
      </c>
      <c r="AF4" s="43" t="s">
        <v>24</v>
      </c>
      <c r="AG4" s="48">
        <v>663382</v>
      </c>
      <c r="AH4" s="48">
        <v>663382</v>
      </c>
      <c r="AI4" s="45">
        <f>+AG4-AH4</f>
        <v>0</v>
      </c>
      <c r="AJ4" s="37" t="s">
        <v>21</v>
      </c>
      <c r="AK4" s="38" t="s">
        <v>24</v>
      </c>
      <c r="AL4" s="49">
        <v>0</v>
      </c>
      <c r="AM4" s="49">
        <v>0</v>
      </c>
      <c r="AN4" s="41">
        <f>+AL4-AM4</f>
        <v>0</v>
      </c>
      <c r="AO4" s="42" t="s">
        <v>21</v>
      </c>
      <c r="AP4" s="43" t="s">
        <v>24</v>
      </c>
      <c r="AQ4" s="50">
        <v>0</v>
      </c>
      <c r="AR4" s="50">
        <v>0</v>
      </c>
      <c r="AS4" s="45">
        <f>+AQ4-AR4</f>
        <v>0</v>
      </c>
      <c r="AT4" s="37" t="s">
        <v>21</v>
      </c>
      <c r="AU4" s="38" t="s">
        <v>25</v>
      </c>
      <c r="AV4" s="51">
        <v>100000</v>
      </c>
      <c r="AW4" s="51">
        <v>100000</v>
      </c>
      <c r="AX4" s="41">
        <f>+AV4-AW4</f>
        <v>0</v>
      </c>
      <c r="AY4" s="52" t="s">
        <v>21</v>
      </c>
      <c r="AZ4" s="53">
        <v>0</v>
      </c>
      <c r="BA4" s="54">
        <v>0</v>
      </c>
      <c r="BB4" s="55">
        <f>+AZ4-BA4</f>
        <v>0</v>
      </c>
      <c r="BC4" s="56">
        <v>860757</v>
      </c>
      <c r="BD4" s="47">
        <v>860757</v>
      </c>
      <c r="BE4" s="57">
        <f t="shared" ref="BE4:BE32" si="1">+BC4-BD4</f>
        <v>0</v>
      </c>
    </row>
    <row r="5" spans="1:58" x14ac:dyDescent="0.35">
      <c r="A5" s="42" t="s">
        <v>26</v>
      </c>
      <c r="B5" s="27" t="s">
        <v>27</v>
      </c>
      <c r="C5" s="28">
        <v>0</v>
      </c>
      <c r="D5" s="29">
        <v>0</v>
      </c>
      <c r="E5" s="30">
        <f t="shared" si="0"/>
        <v>0</v>
      </c>
      <c r="F5" s="37" t="s">
        <v>26</v>
      </c>
      <c r="G5" s="32" t="s">
        <v>27</v>
      </c>
      <c r="H5" s="33">
        <v>0</v>
      </c>
      <c r="I5" s="58">
        <v>0</v>
      </c>
      <c r="J5" s="35">
        <f t="shared" ref="J5:J32" si="2">+H5-I5</f>
        <v>0</v>
      </c>
      <c r="K5" s="42" t="s">
        <v>26</v>
      </c>
      <c r="L5" s="36" t="s">
        <v>28</v>
      </c>
      <c r="M5" s="28">
        <v>0</v>
      </c>
      <c r="N5" s="59">
        <v>0</v>
      </c>
      <c r="O5" s="30">
        <f t="shared" ref="O5:O34" si="3">+M5-N5</f>
        <v>0</v>
      </c>
      <c r="P5" s="37" t="s">
        <v>26</v>
      </c>
      <c r="Q5" s="38" t="s">
        <v>29</v>
      </c>
      <c r="R5" s="39">
        <v>0</v>
      </c>
      <c r="S5" s="40">
        <f t="shared" ref="S5:S31" si="4">+R5</f>
        <v>0</v>
      </c>
      <c r="T5" s="41">
        <f t="shared" ref="T5:T31" si="5">+R5-S5</f>
        <v>0</v>
      </c>
      <c r="U5" s="42" t="s">
        <v>26</v>
      </c>
      <c r="V5" s="43" t="s">
        <v>29</v>
      </c>
      <c r="W5" s="44">
        <v>0</v>
      </c>
      <c r="X5" s="44">
        <f t="shared" ref="X5:X31" si="6">+W5</f>
        <v>0</v>
      </c>
      <c r="Y5" s="45">
        <f t="shared" ref="Y5:Y31" si="7">+W5-X5</f>
        <v>0</v>
      </c>
      <c r="Z5" s="37" t="s">
        <v>26</v>
      </c>
      <c r="AA5" s="38" t="s">
        <v>29</v>
      </c>
      <c r="AB5" s="46">
        <v>0</v>
      </c>
      <c r="AC5" s="54">
        <v>0</v>
      </c>
      <c r="AD5" s="41">
        <f t="shared" ref="AD5:AD31" si="8">+AB5-AC5</f>
        <v>0</v>
      </c>
      <c r="AE5" s="42" t="s">
        <v>26</v>
      </c>
      <c r="AF5" s="43" t="s">
        <v>29</v>
      </c>
      <c r="AG5" s="60">
        <v>0</v>
      </c>
      <c r="AH5" s="60">
        <v>0</v>
      </c>
      <c r="AI5" s="45">
        <f t="shared" ref="AI5:AI31" si="9">+AG5-AH5</f>
        <v>0</v>
      </c>
      <c r="AJ5" s="37" t="s">
        <v>26</v>
      </c>
      <c r="AK5" s="38" t="s">
        <v>29</v>
      </c>
      <c r="AL5" s="49">
        <v>0</v>
      </c>
      <c r="AM5" s="49">
        <v>0</v>
      </c>
      <c r="AN5" s="41">
        <f t="shared" ref="AN5:AN31" si="10">+AL5-AM5</f>
        <v>0</v>
      </c>
      <c r="AO5" s="42" t="s">
        <v>26</v>
      </c>
      <c r="AP5" s="43" t="s">
        <v>29</v>
      </c>
      <c r="AQ5" s="50">
        <v>0</v>
      </c>
      <c r="AR5" s="50">
        <v>0</v>
      </c>
      <c r="AS5" s="45">
        <f t="shared" ref="AS5:AS31" si="11">+AQ5-AR5</f>
        <v>0</v>
      </c>
      <c r="AT5" s="37" t="s">
        <v>26</v>
      </c>
      <c r="AU5" s="38" t="s">
        <v>30</v>
      </c>
      <c r="AV5" s="51">
        <v>0</v>
      </c>
      <c r="AW5" s="51">
        <v>0</v>
      </c>
      <c r="AX5" s="41">
        <f t="shared" ref="AX5:AX31" si="12">+AV5-AW5</f>
        <v>0</v>
      </c>
      <c r="AY5" s="52" t="s">
        <v>26</v>
      </c>
      <c r="AZ5" s="53">
        <v>0</v>
      </c>
      <c r="BA5" s="54">
        <v>0</v>
      </c>
      <c r="BB5" s="55">
        <f t="shared" ref="BB5:BB32" si="13">+AZ5-BA5</f>
        <v>0</v>
      </c>
      <c r="BC5" s="61">
        <v>0</v>
      </c>
      <c r="BD5" s="54">
        <v>0</v>
      </c>
      <c r="BE5" s="57">
        <f t="shared" si="1"/>
        <v>0</v>
      </c>
    </row>
    <row r="6" spans="1:58" x14ac:dyDescent="0.35">
      <c r="A6" s="42" t="s">
        <v>31</v>
      </c>
      <c r="B6" s="27" t="s">
        <v>32</v>
      </c>
      <c r="C6" s="28">
        <v>0</v>
      </c>
      <c r="D6" s="29">
        <v>0</v>
      </c>
      <c r="E6" s="30">
        <f t="shared" si="0"/>
        <v>0</v>
      </c>
      <c r="F6" s="37" t="s">
        <v>31</v>
      </c>
      <c r="G6" s="32" t="s">
        <v>32</v>
      </c>
      <c r="H6" s="33">
        <v>0</v>
      </c>
      <c r="I6" s="58">
        <v>0</v>
      </c>
      <c r="J6" s="35">
        <f t="shared" si="2"/>
        <v>0</v>
      </c>
      <c r="K6" s="42" t="s">
        <v>31</v>
      </c>
      <c r="L6" s="36" t="s">
        <v>33</v>
      </c>
      <c r="M6" s="28">
        <v>0</v>
      </c>
      <c r="N6" s="59">
        <v>0</v>
      </c>
      <c r="O6" s="30">
        <f t="shared" si="3"/>
        <v>0</v>
      </c>
      <c r="P6" s="37" t="s">
        <v>31</v>
      </c>
      <c r="Q6" s="38" t="s">
        <v>34</v>
      </c>
      <c r="R6" s="39">
        <v>0</v>
      </c>
      <c r="S6" s="40">
        <f t="shared" si="4"/>
        <v>0</v>
      </c>
      <c r="T6" s="41">
        <f t="shared" si="5"/>
        <v>0</v>
      </c>
      <c r="U6" s="42" t="s">
        <v>31</v>
      </c>
      <c r="V6" s="43" t="s">
        <v>34</v>
      </c>
      <c r="W6" s="44">
        <v>0</v>
      </c>
      <c r="X6" s="44">
        <f t="shared" si="6"/>
        <v>0</v>
      </c>
      <c r="Y6" s="45">
        <f t="shared" si="7"/>
        <v>0</v>
      </c>
      <c r="Z6" s="37" t="s">
        <v>31</v>
      </c>
      <c r="AA6" s="38" t="s">
        <v>34</v>
      </c>
      <c r="AB6" s="46">
        <v>0</v>
      </c>
      <c r="AC6" s="54">
        <v>0</v>
      </c>
      <c r="AD6" s="41">
        <f t="shared" si="8"/>
        <v>0</v>
      </c>
      <c r="AE6" s="42" t="s">
        <v>31</v>
      </c>
      <c r="AF6" s="43" t="s">
        <v>34</v>
      </c>
      <c r="AG6" s="60">
        <v>0</v>
      </c>
      <c r="AH6" s="60">
        <v>0</v>
      </c>
      <c r="AI6" s="45">
        <f t="shared" si="9"/>
        <v>0</v>
      </c>
      <c r="AJ6" s="37" t="s">
        <v>31</v>
      </c>
      <c r="AK6" s="38" t="s">
        <v>34</v>
      </c>
      <c r="AL6" s="49">
        <v>0</v>
      </c>
      <c r="AM6" s="49">
        <v>0</v>
      </c>
      <c r="AN6" s="41">
        <f t="shared" si="10"/>
        <v>0</v>
      </c>
      <c r="AO6" s="42" t="s">
        <v>31</v>
      </c>
      <c r="AP6" s="43" t="s">
        <v>34</v>
      </c>
      <c r="AQ6" s="50">
        <v>0</v>
      </c>
      <c r="AR6" s="50">
        <v>0</v>
      </c>
      <c r="AS6" s="45">
        <f t="shared" si="11"/>
        <v>0</v>
      </c>
      <c r="AT6" s="37" t="s">
        <v>31</v>
      </c>
      <c r="AU6" s="38" t="s">
        <v>34</v>
      </c>
      <c r="AV6" s="51">
        <v>0</v>
      </c>
      <c r="AW6" s="51">
        <v>0</v>
      </c>
      <c r="AX6" s="41">
        <f t="shared" si="12"/>
        <v>0</v>
      </c>
      <c r="AY6" s="52" t="s">
        <v>31</v>
      </c>
      <c r="AZ6" s="53">
        <v>0</v>
      </c>
      <c r="BA6" s="54">
        <v>0</v>
      </c>
      <c r="BB6" s="55">
        <f t="shared" si="13"/>
        <v>0</v>
      </c>
      <c r="BC6" s="61">
        <v>0</v>
      </c>
      <c r="BD6" s="54">
        <v>0</v>
      </c>
      <c r="BE6" s="57">
        <f t="shared" si="1"/>
        <v>0</v>
      </c>
    </row>
    <row r="7" spans="1:58" x14ac:dyDescent="0.35">
      <c r="A7" s="42" t="s">
        <v>35</v>
      </c>
      <c r="B7" s="27" t="s">
        <v>36</v>
      </c>
      <c r="C7" s="28">
        <v>0</v>
      </c>
      <c r="D7" s="29">
        <v>0</v>
      </c>
      <c r="E7" s="30">
        <f t="shared" si="0"/>
        <v>0</v>
      </c>
      <c r="F7" s="37" t="s">
        <v>35</v>
      </c>
      <c r="G7" s="32" t="s">
        <v>36</v>
      </c>
      <c r="H7" s="33">
        <v>0</v>
      </c>
      <c r="I7" s="58">
        <v>0</v>
      </c>
      <c r="J7" s="35">
        <f t="shared" si="2"/>
        <v>0</v>
      </c>
      <c r="K7" s="42" t="s">
        <v>35</v>
      </c>
      <c r="L7" s="36" t="s">
        <v>37</v>
      </c>
      <c r="M7" s="28">
        <v>0</v>
      </c>
      <c r="N7" s="59">
        <v>0</v>
      </c>
      <c r="O7" s="30">
        <f t="shared" si="3"/>
        <v>0</v>
      </c>
      <c r="P7" s="37" t="s">
        <v>35</v>
      </c>
      <c r="Q7" s="38" t="s">
        <v>38</v>
      </c>
      <c r="R7" s="39">
        <v>0</v>
      </c>
      <c r="S7" s="40">
        <f t="shared" si="4"/>
        <v>0</v>
      </c>
      <c r="T7" s="41">
        <f t="shared" si="5"/>
        <v>0</v>
      </c>
      <c r="U7" s="42" t="s">
        <v>35</v>
      </c>
      <c r="V7" s="43" t="s">
        <v>38</v>
      </c>
      <c r="W7" s="44">
        <v>0</v>
      </c>
      <c r="X7" s="44">
        <f t="shared" si="6"/>
        <v>0</v>
      </c>
      <c r="Y7" s="45">
        <f t="shared" si="7"/>
        <v>0</v>
      </c>
      <c r="Z7" s="37" t="s">
        <v>35</v>
      </c>
      <c r="AA7" s="38" t="s">
        <v>38</v>
      </c>
      <c r="AB7" s="46">
        <v>0</v>
      </c>
      <c r="AC7" s="54">
        <v>0</v>
      </c>
      <c r="AD7" s="41">
        <f t="shared" si="8"/>
        <v>0</v>
      </c>
      <c r="AE7" s="42" t="s">
        <v>35</v>
      </c>
      <c r="AF7" s="43" t="s">
        <v>38</v>
      </c>
      <c r="AG7" s="60">
        <v>853952</v>
      </c>
      <c r="AH7" s="60">
        <v>853952</v>
      </c>
      <c r="AI7" s="45">
        <f t="shared" si="9"/>
        <v>0</v>
      </c>
      <c r="AJ7" s="37" t="s">
        <v>35</v>
      </c>
      <c r="AK7" s="38" t="s">
        <v>38</v>
      </c>
      <c r="AL7" s="49">
        <v>1178525</v>
      </c>
      <c r="AM7" s="49">
        <v>1178525</v>
      </c>
      <c r="AN7" s="41">
        <f t="shared" si="10"/>
        <v>0</v>
      </c>
      <c r="AO7" s="42" t="s">
        <v>35</v>
      </c>
      <c r="AP7" s="43" t="s">
        <v>38</v>
      </c>
      <c r="AQ7" s="50">
        <v>1178525</v>
      </c>
      <c r="AR7" s="50">
        <v>1178525</v>
      </c>
      <c r="AS7" s="45">
        <f t="shared" si="11"/>
        <v>0</v>
      </c>
      <c r="AT7" s="37" t="s">
        <v>35</v>
      </c>
      <c r="AU7" s="38" t="s">
        <v>39</v>
      </c>
      <c r="AV7" s="51">
        <v>0</v>
      </c>
      <c r="AW7" s="51">
        <v>0</v>
      </c>
      <c r="AX7" s="41">
        <f t="shared" si="12"/>
        <v>0</v>
      </c>
      <c r="AY7" s="52" t="s">
        <v>35</v>
      </c>
      <c r="AZ7" s="53">
        <v>0</v>
      </c>
      <c r="BA7" s="54">
        <v>0</v>
      </c>
      <c r="BB7" s="55">
        <f t="shared" si="13"/>
        <v>0</v>
      </c>
      <c r="BC7" s="61">
        <v>0</v>
      </c>
      <c r="BD7" s="54">
        <v>0</v>
      </c>
      <c r="BE7" s="57">
        <f t="shared" si="1"/>
        <v>0</v>
      </c>
    </row>
    <row r="8" spans="1:58" x14ac:dyDescent="0.35">
      <c r="A8" s="62" t="s">
        <v>40</v>
      </c>
      <c r="B8" s="27" t="s">
        <v>41</v>
      </c>
      <c r="C8" s="28">
        <v>80799</v>
      </c>
      <c r="D8" s="29">
        <v>80799</v>
      </c>
      <c r="E8" s="30">
        <f t="shared" si="0"/>
        <v>0</v>
      </c>
      <c r="F8" s="63" t="s">
        <v>40</v>
      </c>
      <c r="G8" s="32" t="s">
        <v>41</v>
      </c>
      <c r="H8" s="33">
        <v>876262</v>
      </c>
      <c r="I8" s="34">
        <v>876262</v>
      </c>
      <c r="J8" s="35">
        <f t="shared" si="2"/>
        <v>0</v>
      </c>
      <c r="K8" s="62" t="s">
        <v>40</v>
      </c>
      <c r="L8" s="36" t="s">
        <v>42</v>
      </c>
      <c r="M8" s="28">
        <v>38711</v>
      </c>
      <c r="N8" s="29">
        <v>38711</v>
      </c>
      <c r="O8" s="30">
        <f t="shared" si="3"/>
        <v>0</v>
      </c>
      <c r="P8" s="37" t="s">
        <v>40</v>
      </c>
      <c r="Q8" s="38" t="s">
        <v>43</v>
      </c>
      <c r="R8" s="39">
        <v>1189552</v>
      </c>
      <c r="S8" s="40">
        <f t="shared" si="4"/>
        <v>1189552</v>
      </c>
      <c r="T8" s="41">
        <f t="shared" si="5"/>
        <v>0</v>
      </c>
      <c r="U8" s="42" t="s">
        <v>40</v>
      </c>
      <c r="V8" s="43" t="s">
        <v>43</v>
      </c>
      <c r="W8" s="44">
        <v>-226223</v>
      </c>
      <c r="X8" s="44">
        <f t="shared" si="6"/>
        <v>-226223</v>
      </c>
      <c r="Y8" s="45">
        <f t="shared" si="7"/>
        <v>0</v>
      </c>
      <c r="Z8" s="37" t="s">
        <v>40</v>
      </c>
      <c r="AA8" s="38" t="s">
        <v>43</v>
      </c>
      <c r="AB8" s="46">
        <v>-462988</v>
      </c>
      <c r="AC8" s="47">
        <v>-462988</v>
      </c>
      <c r="AD8" s="41">
        <f t="shared" si="8"/>
        <v>0</v>
      </c>
      <c r="AE8" s="42" t="s">
        <v>40</v>
      </c>
      <c r="AF8" s="43" t="s">
        <v>43</v>
      </c>
      <c r="AG8" s="60">
        <v>1069526</v>
      </c>
      <c r="AH8" s="60">
        <v>1069526</v>
      </c>
      <c r="AI8" s="45">
        <f t="shared" si="9"/>
        <v>0</v>
      </c>
      <c r="AJ8" s="37" t="s">
        <v>40</v>
      </c>
      <c r="AK8" s="38" t="s">
        <v>43</v>
      </c>
      <c r="AL8" s="49">
        <v>0</v>
      </c>
      <c r="AM8" s="49">
        <v>0</v>
      </c>
      <c r="AN8" s="41">
        <f t="shared" si="10"/>
        <v>0</v>
      </c>
      <c r="AO8" s="42" t="s">
        <v>40</v>
      </c>
      <c r="AP8" s="43" t="s">
        <v>43</v>
      </c>
      <c r="AQ8" s="50">
        <v>0</v>
      </c>
      <c r="AR8" s="50">
        <v>0</v>
      </c>
      <c r="AS8" s="45">
        <f t="shared" si="11"/>
        <v>0</v>
      </c>
      <c r="AT8" s="37" t="s">
        <v>40</v>
      </c>
      <c r="AU8" s="38" t="s">
        <v>44</v>
      </c>
      <c r="AV8" s="51">
        <v>0</v>
      </c>
      <c r="AW8" s="51">
        <v>0</v>
      </c>
      <c r="AX8" s="41">
        <f t="shared" si="12"/>
        <v>0</v>
      </c>
      <c r="AY8" s="52" t="s">
        <v>40</v>
      </c>
      <c r="AZ8" s="53">
        <v>0</v>
      </c>
      <c r="BA8" s="54">
        <v>0</v>
      </c>
      <c r="BB8" s="55">
        <f t="shared" si="13"/>
        <v>0</v>
      </c>
      <c r="BC8" s="61">
        <v>-550</v>
      </c>
      <c r="BD8" s="54">
        <v>-550</v>
      </c>
      <c r="BE8" s="57">
        <f t="shared" si="1"/>
        <v>0</v>
      </c>
    </row>
    <row r="9" spans="1:58" x14ac:dyDescent="0.35">
      <c r="A9" s="42" t="s">
        <v>45</v>
      </c>
      <c r="B9" s="27" t="s">
        <v>46</v>
      </c>
      <c r="C9" s="28">
        <v>0</v>
      </c>
      <c r="D9" s="29">
        <v>0</v>
      </c>
      <c r="E9" s="30">
        <f t="shared" si="0"/>
        <v>0</v>
      </c>
      <c r="F9" s="37" t="s">
        <v>45</v>
      </c>
      <c r="G9" s="32" t="s">
        <v>46</v>
      </c>
      <c r="H9" s="33">
        <v>0</v>
      </c>
      <c r="I9" s="58">
        <v>0</v>
      </c>
      <c r="J9" s="35">
        <f t="shared" si="2"/>
        <v>0</v>
      </c>
      <c r="K9" s="42" t="s">
        <v>45</v>
      </c>
      <c r="L9" s="36" t="s">
        <v>47</v>
      </c>
      <c r="M9" s="28">
        <v>0</v>
      </c>
      <c r="N9" s="59">
        <v>0</v>
      </c>
      <c r="O9" s="30">
        <f t="shared" si="3"/>
        <v>0</v>
      </c>
      <c r="P9" s="37" t="s">
        <v>45</v>
      </c>
      <c r="Q9" s="38" t="s">
        <v>48</v>
      </c>
      <c r="R9" s="39">
        <v>0</v>
      </c>
      <c r="S9" s="40">
        <f t="shared" si="4"/>
        <v>0</v>
      </c>
      <c r="T9" s="41">
        <f t="shared" si="5"/>
        <v>0</v>
      </c>
      <c r="U9" s="42" t="s">
        <v>45</v>
      </c>
      <c r="V9" s="43" t="s">
        <v>48</v>
      </c>
      <c r="W9" s="44">
        <v>0</v>
      </c>
      <c r="X9" s="44">
        <f t="shared" si="6"/>
        <v>0</v>
      </c>
      <c r="Y9" s="45">
        <f t="shared" si="7"/>
        <v>0</v>
      </c>
      <c r="Z9" s="37" t="s">
        <v>45</v>
      </c>
      <c r="AA9" s="38" t="s">
        <v>48</v>
      </c>
      <c r="AB9" s="46">
        <v>0</v>
      </c>
      <c r="AC9" s="54">
        <v>0</v>
      </c>
      <c r="AD9" s="41">
        <f t="shared" si="8"/>
        <v>0</v>
      </c>
      <c r="AE9" s="42" t="s">
        <v>45</v>
      </c>
      <c r="AF9" s="43" t="s">
        <v>48</v>
      </c>
      <c r="AG9" s="60">
        <v>0</v>
      </c>
      <c r="AH9" s="60">
        <v>0</v>
      </c>
      <c r="AI9" s="45">
        <f t="shared" si="9"/>
        <v>0</v>
      </c>
      <c r="AJ9" s="37" t="s">
        <v>45</v>
      </c>
      <c r="AK9" s="38" t="s">
        <v>48</v>
      </c>
      <c r="AL9" s="49">
        <v>0</v>
      </c>
      <c r="AM9" s="49">
        <v>0</v>
      </c>
      <c r="AN9" s="41">
        <f t="shared" si="10"/>
        <v>0</v>
      </c>
      <c r="AO9" s="42" t="s">
        <v>45</v>
      </c>
      <c r="AP9" s="43" t="s">
        <v>48</v>
      </c>
      <c r="AQ9" s="50">
        <v>0</v>
      </c>
      <c r="AR9" s="50">
        <v>0</v>
      </c>
      <c r="AS9" s="45">
        <f t="shared" si="11"/>
        <v>0</v>
      </c>
      <c r="AT9" s="37" t="s">
        <v>45</v>
      </c>
      <c r="AU9" s="38" t="s">
        <v>49</v>
      </c>
      <c r="AV9" s="51">
        <v>0</v>
      </c>
      <c r="AW9" s="51">
        <v>0</v>
      </c>
      <c r="AX9" s="41">
        <f t="shared" si="12"/>
        <v>0</v>
      </c>
      <c r="AY9" s="52" t="s">
        <v>45</v>
      </c>
      <c r="AZ9" s="53">
        <v>0</v>
      </c>
      <c r="BA9" s="54">
        <v>0</v>
      </c>
      <c r="BB9" s="55">
        <f t="shared" si="13"/>
        <v>0</v>
      </c>
      <c r="BC9" s="61">
        <v>0</v>
      </c>
      <c r="BD9" s="54">
        <v>0</v>
      </c>
      <c r="BE9" s="57">
        <f t="shared" si="1"/>
        <v>0</v>
      </c>
    </row>
    <row r="10" spans="1:58" x14ac:dyDescent="0.35">
      <c r="A10" s="42" t="s">
        <v>50</v>
      </c>
      <c r="B10" s="27" t="s">
        <v>51</v>
      </c>
      <c r="C10" s="28">
        <v>765284</v>
      </c>
      <c r="D10" s="29">
        <v>765284</v>
      </c>
      <c r="E10" s="30">
        <f t="shared" si="0"/>
        <v>0</v>
      </c>
      <c r="F10" s="37" t="s">
        <v>50</v>
      </c>
      <c r="G10" s="32" t="s">
        <v>51</v>
      </c>
      <c r="H10" s="33">
        <v>0</v>
      </c>
      <c r="I10" s="58">
        <v>0</v>
      </c>
      <c r="J10" s="35">
        <f t="shared" si="2"/>
        <v>0</v>
      </c>
      <c r="K10" s="42" t="s">
        <v>50</v>
      </c>
      <c r="L10" s="36" t="s">
        <v>52</v>
      </c>
      <c r="M10" s="28">
        <v>0</v>
      </c>
      <c r="N10" s="59">
        <v>0</v>
      </c>
      <c r="O10" s="30">
        <f t="shared" si="3"/>
        <v>0</v>
      </c>
      <c r="P10" s="37" t="s">
        <v>50</v>
      </c>
      <c r="Q10" s="38" t="s">
        <v>53</v>
      </c>
      <c r="R10" s="39">
        <v>0</v>
      </c>
      <c r="S10" s="40">
        <f t="shared" si="4"/>
        <v>0</v>
      </c>
      <c r="T10" s="41">
        <f t="shared" si="5"/>
        <v>0</v>
      </c>
      <c r="U10" s="42" t="s">
        <v>50</v>
      </c>
      <c r="V10" s="43" t="s">
        <v>53</v>
      </c>
      <c r="W10" s="44">
        <v>0</v>
      </c>
      <c r="X10" s="44">
        <f t="shared" si="6"/>
        <v>0</v>
      </c>
      <c r="Y10" s="45">
        <f t="shared" si="7"/>
        <v>0</v>
      </c>
      <c r="Z10" s="37" t="s">
        <v>50</v>
      </c>
      <c r="AA10" s="38" t="s">
        <v>53</v>
      </c>
      <c r="AB10" s="46">
        <v>0</v>
      </c>
      <c r="AC10" s="54">
        <v>0</v>
      </c>
      <c r="AD10" s="41">
        <f t="shared" si="8"/>
        <v>0</v>
      </c>
      <c r="AE10" s="42" t="s">
        <v>50</v>
      </c>
      <c r="AF10" s="43" t="s">
        <v>53</v>
      </c>
      <c r="AG10" s="60">
        <v>0</v>
      </c>
      <c r="AH10" s="60">
        <v>0</v>
      </c>
      <c r="AI10" s="45">
        <f t="shared" si="9"/>
        <v>0</v>
      </c>
      <c r="AJ10" s="37" t="s">
        <v>50</v>
      </c>
      <c r="AK10" s="38" t="s">
        <v>53</v>
      </c>
      <c r="AL10" s="49">
        <v>0</v>
      </c>
      <c r="AM10" s="49">
        <v>0</v>
      </c>
      <c r="AN10" s="41">
        <f t="shared" si="10"/>
        <v>0</v>
      </c>
      <c r="AO10" s="42" t="s">
        <v>50</v>
      </c>
      <c r="AP10" s="43" t="s">
        <v>53</v>
      </c>
      <c r="AQ10" s="50">
        <v>0</v>
      </c>
      <c r="AR10" s="50">
        <v>0</v>
      </c>
      <c r="AS10" s="45">
        <f t="shared" si="11"/>
        <v>0</v>
      </c>
      <c r="AT10" s="37" t="s">
        <v>50</v>
      </c>
      <c r="AU10" s="38" t="s">
        <v>54</v>
      </c>
      <c r="AV10" s="51">
        <v>0</v>
      </c>
      <c r="AW10" s="51">
        <v>0</v>
      </c>
      <c r="AX10" s="41">
        <f t="shared" si="12"/>
        <v>0</v>
      </c>
      <c r="AY10" s="52" t="s">
        <v>50</v>
      </c>
      <c r="AZ10" s="53">
        <v>0</v>
      </c>
      <c r="BA10" s="54">
        <v>0</v>
      </c>
      <c r="BB10" s="55">
        <f t="shared" si="13"/>
        <v>0</v>
      </c>
      <c r="BC10" s="61">
        <v>0</v>
      </c>
      <c r="BD10" s="54">
        <v>0</v>
      </c>
      <c r="BE10" s="57">
        <f t="shared" si="1"/>
        <v>0</v>
      </c>
    </row>
    <row r="11" spans="1:58" x14ac:dyDescent="0.35">
      <c r="A11" s="42" t="s">
        <v>55</v>
      </c>
      <c r="B11" s="27" t="s">
        <v>56</v>
      </c>
      <c r="C11" s="28">
        <v>6</v>
      </c>
      <c r="D11" s="29">
        <v>6</v>
      </c>
      <c r="E11" s="30">
        <f t="shared" si="0"/>
        <v>0</v>
      </c>
      <c r="F11" s="37" t="s">
        <v>55</v>
      </c>
      <c r="G11" s="32" t="s">
        <v>56</v>
      </c>
      <c r="H11" s="33">
        <v>6</v>
      </c>
      <c r="I11" s="58">
        <v>6</v>
      </c>
      <c r="J11" s="35">
        <f t="shared" si="2"/>
        <v>0</v>
      </c>
      <c r="K11" s="42" t="s">
        <v>55</v>
      </c>
      <c r="L11" s="36" t="s">
        <v>57</v>
      </c>
      <c r="M11" s="28">
        <v>0</v>
      </c>
      <c r="N11" s="59">
        <v>0</v>
      </c>
      <c r="O11" s="30">
        <f t="shared" si="3"/>
        <v>0</v>
      </c>
      <c r="P11" s="37" t="s">
        <v>55</v>
      </c>
      <c r="Q11" s="38" t="s">
        <v>58</v>
      </c>
      <c r="R11" s="39">
        <v>0</v>
      </c>
      <c r="S11" s="40">
        <f t="shared" si="4"/>
        <v>0</v>
      </c>
      <c r="T11" s="41">
        <f t="shared" si="5"/>
        <v>0</v>
      </c>
      <c r="U11" s="42" t="s">
        <v>55</v>
      </c>
      <c r="V11" s="43" t="s">
        <v>58</v>
      </c>
      <c r="W11" s="44">
        <v>0</v>
      </c>
      <c r="X11" s="44">
        <f t="shared" si="6"/>
        <v>0</v>
      </c>
      <c r="Y11" s="45">
        <f t="shared" si="7"/>
        <v>0</v>
      </c>
      <c r="Z11" s="37" t="s">
        <v>55</v>
      </c>
      <c r="AA11" s="38" t="s">
        <v>58</v>
      </c>
      <c r="AB11" s="46">
        <v>-3672</v>
      </c>
      <c r="AC11" s="47">
        <v>-3672</v>
      </c>
      <c r="AD11" s="41">
        <f t="shared" si="8"/>
        <v>0</v>
      </c>
      <c r="AE11" s="42" t="s">
        <v>55</v>
      </c>
      <c r="AF11" s="43" t="s">
        <v>58</v>
      </c>
      <c r="AG11" s="60">
        <v>0</v>
      </c>
      <c r="AH11" s="60">
        <v>0</v>
      </c>
      <c r="AI11" s="45">
        <f t="shared" si="9"/>
        <v>0</v>
      </c>
      <c r="AJ11" s="37" t="s">
        <v>55</v>
      </c>
      <c r="AK11" s="38" t="s">
        <v>58</v>
      </c>
      <c r="AL11" s="49">
        <v>0</v>
      </c>
      <c r="AM11" s="49">
        <v>0</v>
      </c>
      <c r="AN11" s="41">
        <f t="shared" si="10"/>
        <v>0</v>
      </c>
      <c r="AO11" s="42" t="s">
        <v>55</v>
      </c>
      <c r="AP11" s="43" t="s">
        <v>58</v>
      </c>
      <c r="AQ11" s="50">
        <v>0</v>
      </c>
      <c r="AR11" s="50">
        <v>0</v>
      </c>
      <c r="AS11" s="45">
        <f t="shared" si="11"/>
        <v>0</v>
      </c>
      <c r="AT11" s="37" t="s">
        <v>55</v>
      </c>
      <c r="AU11" s="38" t="s">
        <v>59</v>
      </c>
      <c r="AV11" s="51">
        <v>0</v>
      </c>
      <c r="AW11" s="51">
        <v>0</v>
      </c>
      <c r="AX11" s="41">
        <f t="shared" si="12"/>
        <v>0</v>
      </c>
      <c r="AY11" s="52" t="s">
        <v>55</v>
      </c>
      <c r="AZ11" s="53">
        <v>-3</v>
      </c>
      <c r="BA11" s="54">
        <v>-3</v>
      </c>
      <c r="BB11" s="55">
        <f t="shared" si="13"/>
        <v>0</v>
      </c>
      <c r="BC11" s="61">
        <v>55621</v>
      </c>
      <c r="BD11" s="47">
        <v>55621</v>
      </c>
      <c r="BE11" s="57">
        <f t="shared" si="1"/>
        <v>0</v>
      </c>
    </row>
    <row r="12" spans="1:58" x14ac:dyDescent="0.35">
      <c r="A12" s="42" t="s">
        <v>60</v>
      </c>
      <c r="B12" s="27" t="s">
        <v>61</v>
      </c>
      <c r="C12" s="28">
        <v>-315</v>
      </c>
      <c r="D12" s="29">
        <v>-315</v>
      </c>
      <c r="E12" s="30">
        <f t="shared" si="0"/>
        <v>0</v>
      </c>
      <c r="F12" s="37" t="s">
        <v>60</v>
      </c>
      <c r="G12" s="32" t="s">
        <v>61</v>
      </c>
      <c r="H12" s="33">
        <v>-255</v>
      </c>
      <c r="I12" s="58">
        <v>-120</v>
      </c>
      <c r="J12" s="35">
        <f t="shared" si="2"/>
        <v>-135</v>
      </c>
      <c r="K12" s="42" t="s">
        <v>60</v>
      </c>
      <c r="L12" s="36" t="s">
        <v>62</v>
      </c>
      <c r="M12" s="28">
        <v>-195</v>
      </c>
      <c r="N12" s="59">
        <v>-195</v>
      </c>
      <c r="O12" s="30">
        <f t="shared" si="3"/>
        <v>0</v>
      </c>
      <c r="P12" s="37" t="s">
        <v>60</v>
      </c>
      <c r="Q12" s="38" t="s">
        <v>63</v>
      </c>
      <c r="R12" s="39">
        <v>0</v>
      </c>
      <c r="S12" s="40">
        <f t="shared" si="4"/>
        <v>0</v>
      </c>
      <c r="T12" s="41">
        <f t="shared" si="5"/>
        <v>0</v>
      </c>
      <c r="U12" s="42" t="s">
        <v>60</v>
      </c>
      <c r="V12" s="43" t="s">
        <v>63</v>
      </c>
      <c r="W12" s="44">
        <v>0</v>
      </c>
      <c r="X12" s="44">
        <f t="shared" si="6"/>
        <v>0</v>
      </c>
      <c r="Y12" s="45">
        <f t="shared" si="7"/>
        <v>0</v>
      </c>
      <c r="Z12" s="37" t="s">
        <v>60</v>
      </c>
      <c r="AA12" s="38" t="s">
        <v>63</v>
      </c>
      <c r="AB12" s="46">
        <v>0</v>
      </c>
      <c r="AC12" s="54">
        <v>0</v>
      </c>
      <c r="AD12" s="41">
        <f t="shared" si="8"/>
        <v>0</v>
      </c>
      <c r="AE12" s="42" t="s">
        <v>60</v>
      </c>
      <c r="AF12" s="43" t="s">
        <v>63</v>
      </c>
      <c r="AG12" s="60">
        <v>-552958</v>
      </c>
      <c r="AH12" s="60">
        <v>-552958</v>
      </c>
      <c r="AI12" s="45">
        <f t="shared" si="9"/>
        <v>0</v>
      </c>
      <c r="AJ12" s="37" t="s">
        <v>60</v>
      </c>
      <c r="AK12" s="38" t="s">
        <v>63</v>
      </c>
      <c r="AL12" s="49">
        <v>0</v>
      </c>
      <c r="AM12" s="49">
        <v>0</v>
      </c>
      <c r="AN12" s="41">
        <f t="shared" si="10"/>
        <v>0</v>
      </c>
      <c r="AO12" s="42" t="s">
        <v>60</v>
      </c>
      <c r="AP12" s="43" t="s">
        <v>63</v>
      </c>
      <c r="AQ12" s="50">
        <v>0</v>
      </c>
      <c r="AR12" s="50">
        <v>0</v>
      </c>
      <c r="AS12" s="45">
        <f t="shared" si="11"/>
        <v>0</v>
      </c>
      <c r="AT12" s="37" t="s">
        <v>60</v>
      </c>
      <c r="AU12" s="38" t="s">
        <v>63</v>
      </c>
      <c r="AV12" s="51">
        <v>0</v>
      </c>
      <c r="AW12" s="51">
        <v>0</v>
      </c>
      <c r="AX12" s="41">
        <f t="shared" si="12"/>
        <v>0</v>
      </c>
      <c r="AY12" s="52" t="s">
        <v>60</v>
      </c>
      <c r="AZ12" s="53">
        <v>0</v>
      </c>
      <c r="BA12" s="54">
        <v>0</v>
      </c>
      <c r="BB12" s="55">
        <f t="shared" si="13"/>
        <v>0</v>
      </c>
      <c r="BC12" s="61">
        <v>0</v>
      </c>
      <c r="BD12" s="54">
        <v>0</v>
      </c>
      <c r="BE12" s="57">
        <f t="shared" si="1"/>
        <v>0</v>
      </c>
    </row>
    <row r="13" spans="1:58" x14ac:dyDescent="0.35">
      <c r="A13" s="42" t="s">
        <v>64</v>
      </c>
      <c r="B13" s="27" t="s">
        <v>65</v>
      </c>
      <c r="C13" s="28">
        <v>-6</v>
      </c>
      <c r="D13" s="29">
        <v>-6</v>
      </c>
      <c r="E13" s="30">
        <f t="shared" si="0"/>
        <v>0</v>
      </c>
      <c r="F13" s="37" t="s">
        <v>64</v>
      </c>
      <c r="G13" s="32" t="s">
        <v>65</v>
      </c>
      <c r="H13" s="33">
        <v>-3</v>
      </c>
      <c r="I13" s="58">
        <v>-3</v>
      </c>
      <c r="J13" s="35">
        <f t="shared" si="2"/>
        <v>0</v>
      </c>
      <c r="K13" s="42" t="s">
        <v>64</v>
      </c>
      <c r="L13" s="36" t="s">
        <v>66</v>
      </c>
      <c r="M13" s="28">
        <v>0</v>
      </c>
      <c r="N13" s="59">
        <v>0</v>
      </c>
      <c r="O13" s="30">
        <f t="shared" si="3"/>
        <v>0</v>
      </c>
      <c r="P13" s="37" t="s">
        <v>64</v>
      </c>
      <c r="Q13" s="38" t="s">
        <v>67</v>
      </c>
      <c r="R13" s="39">
        <v>0</v>
      </c>
      <c r="S13" s="40">
        <f t="shared" si="4"/>
        <v>0</v>
      </c>
      <c r="T13" s="41">
        <f t="shared" si="5"/>
        <v>0</v>
      </c>
      <c r="U13" s="42" t="s">
        <v>64</v>
      </c>
      <c r="V13" s="43" t="s">
        <v>67</v>
      </c>
      <c r="W13" s="44">
        <v>0</v>
      </c>
      <c r="X13" s="44">
        <f t="shared" si="6"/>
        <v>0</v>
      </c>
      <c r="Y13" s="45">
        <f t="shared" si="7"/>
        <v>0</v>
      </c>
      <c r="Z13" s="37" t="s">
        <v>64</v>
      </c>
      <c r="AA13" s="38" t="s">
        <v>67</v>
      </c>
      <c r="AB13" s="46">
        <v>0</v>
      </c>
      <c r="AC13" s="54">
        <v>0</v>
      </c>
      <c r="AD13" s="41">
        <f t="shared" si="8"/>
        <v>0</v>
      </c>
      <c r="AE13" s="42" t="s">
        <v>64</v>
      </c>
      <c r="AF13" s="43" t="s">
        <v>67</v>
      </c>
      <c r="AG13" s="60">
        <v>0</v>
      </c>
      <c r="AH13" s="60">
        <v>0</v>
      </c>
      <c r="AI13" s="45">
        <f t="shared" si="9"/>
        <v>0</v>
      </c>
      <c r="AJ13" s="37" t="s">
        <v>64</v>
      </c>
      <c r="AK13" s="38" t="s">
        <v>67</v>
      </c>
      <c r="AL13" s="49">
        <v>0</v>
      </c>
      <c r="AM13" s="49">
        <v>0</v>
      </c>
      <c r="AN13" s="41">
        <f t="shared" si="10"/>
        <v>0</v>
      </c>
      <c r="AO13" s="42" t="s">
        <v>64</v>
      </c>
      <c r="AP13" s="43" t="s">
        <v>67</v>
      </c>
      <c r="AQ13" s="50">
        <v>0</v>
      </c>
      <c r="AR13" s="50">
        <v>0</v>
      </c>
      <c r="AS13" s="45">
        <f t="shared" si="11"/>
        <v>0</v>
      </c>
      <c r="AT13" s="37" t="s">
        <v>64</v>
      </c>
      <c r="AU13" s="38" t="s">
        <v>67</v>
      </c>
      <c r="AV13" s="51">
        <v>0</v>
      </c>
      <c r="AW13" s="51">
        <v>0</v>
      </c>
      <c r="AX13" s="41">
        <f t="shared" si="12"/>
        <v>0</v>
      </c>
      <c r="AY13" s="52" t="s">
        <v>64</v>
      </c>
      <c r="AZ13" s="53">
        <v>0</v>
      </c>
      <c r="BA13" s="54">
        <v>0</v>
      </c>
      <c r="BB13" s="55">
        <f t="shared" si="13"/>
        <v>0</v>
      </c>
      <c r="BC13" s="61">
        <v>0</v>
      </c>
      <c r="BD13" s="54">
        <v>0</v>
      </c>
      <c r="BE13" s="57">
        <f t="shared" si="1"/>
        <v>0</v>
      </c>
    </row>
    <row r="14" spans="1:58" x14ac:dyDescent="0.35">
      <c r="A14" s="26" t="s">
        <v>68</v>
      </c>
      <c r="B14" s="27" t="s">
        <v>69</v>
      </c>
      <c r="C14" s="28">
        <v>0</v>
      </c>
      <c r="D14" s="29">
        <v>0</v>
      </c>
      <c r="E14" s="30">
        <f t="shared" si="0"/>
        <v>0</v>
      </c>
      <c r="F14" s="31" t="s">
        <v>68</v>
      </c>
      <c r="G14" s="32" t="s">
        <v>69</v>
      </c>
      <c r="H14" s="33">
        <v>2168654</v>
      </c>
      <c r="I14" s="34">
        <v>2168654</v>
      </c>
      <c r="J14" s="35">
        <f t="shared" si="2"/>
        <v>0</v>
      </c>
      <c r="K14" s="26" t="s">
        <v>68</v>
      </c>
      <c r="L14" s="36" t="s">
        <v>70</v>
      </c>
      <c r="M14" s="28">
        <v>1306726</v>
      </c>
      <c r="N14" s="29">
        <v>1306726</v>
      </c>
      <c r="O14" s="30">
        <f t="shared" si="3"/>
        <v>0</v>
      </c>
      <c r="P14" s="37" t="s">
        <v>68</v>
      </c>
      <c r="Q14" s="38" t="s">
        <v>71</v>
      </c>
      <c r="R14" s="39">
        <v>2434061</v>
      </c>
      <c r="S14" s="40">
        <f t="shared" si="4"/>
        <v>2434061</v>
      </c>
      <c r="T14" s="41">
        <f t="shared" si="5"/>
        <v>0</v>
      </c>
      <c r="U14" s="42" t="s">
        <v>68</v>
      </c>
      <c r="V14" s="43" t="s">
        <v>71</v>
      </c>
      <c r="W14" s="44">
        <v>1000287</v>
      </c>
      <c r="X14" s="44">
        <f t="shared" si="6"/>
        <v>1000287</v>
      </c>
      <c r="Y14" s="45">
        <f t="shared" si="7"/>
        <v>0</v>
      </c>
      <c r="Z14" s="37" t="s">
        <v>68</v>
      </c>
      <c r="AA14" s="38" t="s">
        <v>71</v>
      </c>
      <c r="AB14" s="46">
        <v>1888477</v>
      </c>
      <c r="AC14" s="47">
        <v>1888477</v>
      </c>
      <c r="AD14" s="41">
        <f t="shared" si="8"/>
        <v>0</v>
      </c>
      <c r="AE14" s="42" t="s">
        <v>68</v>
      </c>
      <c r="AF14" s="43" t="s">
        <v>71</v>
      </c>
      <c r="AG14" s="60">
        <v>465558</v>
      </c>
      <c r="AH14" s="60">
        <v>465558</v>
      </c>
      <c r="AI14" s="45">
        <f t="shared" si="9"/>
        <v>0</v>
      </c>
      <c r="AJ14" s="37" t="s">
        <v>68</v>
      </c>
      <c r="AK14" s="38" t="s">
        <v>71</v>
      </c>
      <c r="AL14" s="49">
        <v>1152922</v>
      </c>
      <c r="AM14" s="49">
        <v>1152922</v>
      </c>
      <c r="AN14" s="41">
        <f t="shared" si="10"/>
        <v>0</v>
      </c>
      <c r="AO14" s="42" t="s">
        <v>68</v>
      </c>
      <c r="AP14" s="43" t="s">
        <v>71</v>
      </c>
      <c r="AQ14" s="50">
        <v>1152922</v>
      </c>
      <c r="AR14" s="50">
        <v>1152922</v>
      </c>
      <c r="AS14" s="45">
        <f t="shared" si="11"/>
        <v>0</v>
      </c>
      <c r="AT14" s="37" t="s">
        <v>68</v>
      </c>
      <c r="AU14" s="38" t="s">
        <v>71</v>
      </c>
      <c r="AV14" s="51">
        <v>0</v>
      </c>
      <c r="AW14" s="51">
        <v>0</v>
      </c>
      <c r="AX14" s="41">
        <f t="shared" si="12"/>
        <v>0</v>
      </c>
      <c r="AY14" s="52" t="s">
        <v>68</v>
      </c>
      <c r="AZ14" s="53">
        <v>2275813</v>
      </c>
      <c r="BA14" s="47">
        <v>2275813</v>
      </c>
      <c r="BB14" s="55">
        <f t="shared" si="13"/>
        <v>0</v>
      </c>
      <c r="BC14" s="61">
        <v>1482166</v>
      </c>
      <c r="BD14" s="47">
        <v>1482166</v>
      </c>
      <c r="BE14" s="57">
        <f t="shared" si="1"/>
        <v>0</v>
      </c>
    </row>
    <row r="15" spans="1:58" x14ac:dyDescent="0.35">
      <c r="A15" s="42" t="s">
        <v>72</v>
      </c>
      <c r="B15" s="27" t="s">
        <v>73</v>
      </c>
      <c r="C15" s="28">
        <v>105527</v>
      </c>
      <c r="D15" s="29">
        <v>105527</v>
      </c>
      <c r="E15" s="30">
        <f t="shared" si="0"/>
        <v>0</v>
      </c>
      <c r="F15" s="37" t="s">
        <v>72</v>
      </c>
      <c r="G15" s="32" t="s">
        <v>73</v>
      </c>
      <c r="H15" s="33">
        <v>942944</v>
      </c>
      <c r="I15" s="34">
        <v>942944</v>
      </c>
      <c r="J15" s="35">
        <f t="shared" si="2"/>
        <v>0</v>
      </c>
      <c r="K15" s="42" t="s">
        <v>72</v>
      </c>
      <c r="L15" s="36" t="s">
        <v>74</v>
      </c>
      <c r="M15" s="28">
        <v>1469877</v>
      </c>
      <c r="N15" s="29">
        <v>1469877</v>
      </c>
      <c r="O15" s="30">
        <f t="shared" si="3"/>
        <v>0</v>
      </c>
      <c r="P15" s="37" t="s">
        <v>72</v>
      </c>
      <c r="Q15" s="38" t="s">
        <v>75</v>
      </c>
      <c r="R15" s="39">
        <v>515962</v>
      </c>
      <c r="S15" s="40">
        <f t="shared" si="4"/>
        <v>515962</v>
      </c>
      <c r="T15" s="41">
        <f t="shared" si="5"/>
        <v>0</v>
      </c>
      <c r="U15" s="42" t="s">
        <v>72</v>
      </c>
      <c r="V15" s="43" t="s">
        <v>75</v>
      </c>
      <c r="W15" s="44">
        <v>901397</v>
      </c>
      <c r="X15" s="44">
        <f t="shared" si="6"/>
        <v>901397</v>
      </c>
      <c r="Y15" s="45">
        <f t="shared" si="7"/>
        <v>0</v>
      </c>
      <c r="Z15" s="37" t="s">
        <v>72</v>
      </c>
      <c r="AA15" s="38" t="s">
        <v>75</v>
      </c>
      <c r="AB15" s="46">
        <v>742876</v>
      </c>
      <c r="AC15" s="47">
        <v>742876</v>
      </c>
      <c r="AD15" s="41">
        <f t="shared" si="8"/>
        <v>0</v>
      </c>
      <c r="AE15" s="42" t="s">
        <v>72</v>
      </c>
      <c r="AF15" s="43" t="s">
        <v>75</v>
      </c>
      <c r="AG15" s="60">
        <v>143692</v>
      </c>
      <c r="AH15" s="60">
        <v>143692</v>
      </c>
      <c r="AI15" s="45">
        <f t="shared" si="9"/>
        <v>0</v>
      </c>
      <c r="AJ15" s="37" t="s">
        <v>72</v>
      </c>
      <c r="AK15" s="38" t="s">
        <v>75</v>
      </c>
      <c r="AL15" s="49">
        <v>500000</v>
      </c>
      <c r="AM15" s="49">
        <v>500000</v>
      </c>
      <c r="AN15" s="41">
        <f t="shared" si="10"/>
        <v>0</v>
      </c>
      <c r="AO15" s="42" t="s">
        <v>72</v>
      </c>
      <c r="AP15" s="43" t="s">
        <v>75</v>
      </c>
      <c r="AQ15" s="50">
        <v>500000</v>
      </c>
      <c r="AR15" s="50">
        <v>500000</v>
      </c>
      <c r="AS15" s="45">
        <f t="shared" si="11"/>
        <v>0</v>
      </c>
      <c r="AT15" s="37" t="s">
        <v>72</v>
      </c>
      <c r="AU15" s="38" t="s">
        <v>76</v>
      </c>
      <c r="AV15" s="51">
        <v>191919</v>
      </c>
      <c r="AW15" s="51">
        <v>191919</v>
      </c>
      <c r="AX15" s="41">
        <f t="shared" si="12"/>
        <v>0</v>
      </c>
      <c r="AY15" s="52" t="s">
        <v>72</v>
      </c>
      <c r="AZ15" s="53">
        <v>910028</v>
      </c>
      <c r="BA15" s="47">
        <v>910028</v>
      </c>
      <c r="BB15" s="55">
        <f t="shared" si="13"/>
        <v>0</v>
      </c>
      <c r="BC15" s="61">
        <v>44862</v>
      </c>
      <c r="BD15" s="47">
        <v>44862</v>
      </c>
      <c r="BE15" s="57">
        <f t="shared" si="1"/>
        <v>0</v>
      </c>
    </row>
    <row r="16" spans="1:58" x14ac:dyDescent="0.35">
      <c r="A16" s="42" t="s">
        <v>77</v>
      </c>
      <c r="B16" s="27" t="s">
        <v>78</v>
      </c>
      <c r="C16" s="28">
        <v>0</v>
      </c>
      <c r="D16" s="29">
        <v>0</v>
      </c>
      <c r="E16" s="30">
        <f t="shared" si="0"/>
        <v>0</v>
      </c>
      <c r="F16" s="37" t="s">
        <v>77</v>
      </c>
      <c r="G16" s="32" t="s">
        <v>78</v>
      </c>
      <c r="H16" s="33">
        <v>0</v>
      </c>
      <c r="I16" s="58">
        <v>0</v>
      </c>
      <c r="J16" s="35">
        <f t="shared" si="2"/>
        <v>0</v>
      </c>
      <c r="K16" s="42" t="s">
        <v>77</v>
      </c>
      <c r="L16" s="36" t="s">
        <v>79</v>
      </c>
      <c r="M16" s="28">
        <v>0</v>
      </c>
      <c r="N16" s="59">
        <v>0</v>
      </c>
      <c r="O16" s="30">
        <f t="shared" si="3"/>
        <v>0</v>
      </c>
      <c r="P16" s="37" t="s">
        <v>77</v>
      </c>
      <c r="Q16" s="38" t="s">
        <v>80</v>
      </c>
      <c r="R16" s="39">
        <v>0</v>
      </c>
      <c r="S16" s="40">
        <f t="shared" si="4"/>
        <v>0</v>
      </c>
      <c r="T16" s="41">
        <f t="shared" si="5"/>
        <v>0</v>
      </c>
      <c r="U16" s="42" t="s">
        <v>77</v>
      </c>
      <c r="V16" s="43" t="s">
        <v>80</v>
      </c>
      <c r="W16" s="44">
        <v>0</v>
      </c>
      <c r="X16" s="44">
        <f t="shared" si="6"/>
        <v>0</v>
      </c>
      <c r="Y16" s="45">
        <f t="shared" si="7"/>
        <v>0</v>
      </c>
      <c r="Z16" s="37" t="s">
        <v>77</v>
      </c>
      <c r="AA16" s="38" t="s">
        <v>80</v>
      </c>
      <c r="AB16" s="46">
        <v>0</v>
      </c>
      <c r="AC16" s="54">
        <v>0</v>
      </c>
      <c r="AD16" s="41">
        <f t="shared" si="8"/>
        <v>0</v>
      </c>
      <c r="AE16" s="42" t="s">
        <v>77</v>
      </c>
      <c r="AF16" s="43" t="s">
        <v>80</v>
      </c>
      <c r="AG16" s="60">
        <v>0</v>
      </c>
      <c r="AH16" s="60">
        <v>0</v>
      </c>
      <c r="AI16" s="45">
        <f t="shared" si="9"/>
        <v>0</v>
      </c>
      <c r="AJ16" s="37" t="s">
        <v>77</v>
      </c>
      <c r="AK16" s="38" t="s">
        <v>80</v>
      </c>
      <c r="AL16" s="49">
        <v>0</v>
      </c>
      <c r="AM16" s="49">
        <v>0</v>
      </c>
      <c r="AN16" s="41">
        <f t="shared" si="10"/>
        <v>0</v>
      </c>
      <c r="AO16" s="42" t="s">
        <v>77</v>
      </c>
      <c r="AP16" s="43" t="s">
        <v>80</v>
      </c>
      <c r="AQ16" s="50">
        <v>0</v>
      </c>
      <c r="AR16" s="50">
        <v>0</v>
      </c>
      <c r="AS16" s="45">
        <f t="shared" si="11"/>
        <v>0</v>
      </c>
      <c r="AT16" s="37" t="s">
        <v>77</v>
      </c>
      <c r="AU16" s="38" t="s">
        <v>80</v>
      </c>
      <c r="AV16" s="51">
        <v>0</v>
      </c>
      <c r="AW16" s="51">
        <v>0</v>
      </c>
      <c r="AX16" s="41">
        <f t="shared" si="12"/>
        <v>0</v>
      </c>
      <c r="AY16" s="52" t="s">
        <v>77</v>
      </c>
      <c r="AZ16" s="53">
        <v>0</v>
      </c>
      <c r="BA16" s="54">
        <v>0</v>
      </c>
      <c r="BB16" s="55">
        <f t="shared" si="13"/>
        <v>0</v>
      </c>
      <c r="BC16" s="61">
        <v>0</v>
      </c>
      <c r="BD16" s="54">
        <v>0</v>
      </c>
      <c r="BE16" s="57">
        <f t="shared" si="1"/>
        <v>0</v>
      </c>
    </row>
    <row r="17" spans="1:57" x14ac:dyDescent="0.35">
      <c r="A17" s="42" t="s">
        <v>81</v>
      </c>
      <c r="B17" s="27" t="s">
        <v>82</v>
      </c>
      <c r="C17" s="28">
        <v>0</v>
      </c>
      <c r="D17" s="29">
        <v>0</v>
      </c>
      <c r="E17" s="30">
        <f t="shared" si="0"/>
        <v>0</v>
      </c>
      <c r="F17" s="37" t="s">
        <v>81</v>
      </c>
      <c r="G17" s="32" t="s">
        <v>82</v>
      </c>
      <c r="H17" s="33">
        <v>0</v>
      </c>
      <c r="I17" s="58">
        <v>0</v>
      </c>
      <c r="J17" s="35">
        <f t="shared" si="2"/>
        <v>0</v>
      </c>
      <c r="K17" s="42" t="s">
        <v>81</v>
      </c>
      <c r="L17" s="36" t="s">
        <v>83</v>
      </c>
      <c r="M17" s="28">
        <v>0</v>
      </c>
      <c r="N17" s="59">
        <v>0</v>
      </c>
      <c r="O17" s="30">
        <f t="shared" si="3"/>
        <v>0</v>
      </c>
      <c r="P17" s="37" t="s">
        <v>81</v>
      </c>
      <c r="Q17" s="38" t="s">
        <v>84</v>
      </c>
      <c r="R17" s="39">
        <v>0</v>
      </c>
      <c r="S17" s="40">
        <f t="shared" si="4"/>
        <v>0</v>
      </c>
      <c r="T17" s="41">
        <f t="shared" si="5"/>
        <v>0</v>
      </c>
      <c r="U17" s="42" t="s">
        <v>81</v>
      </c>
      <c r="V17" s="43" t="s">
        <v>84</v>
      </c>
      <c r="W17" s="44">
        <v>0</v>
      </c>
      <c r="X17" s="44">
        <f t="shared" si="6"/>
        <v>0</v>
      </c>
      <c r="Y17" s="45">
        <f t="shared" si="7"/>
        <v>0</v>
      </c>
      <c r="Z17" s="37" t="s">
        <v>81</v>
      </c>
      <c r="AA17" s="38" t="s">
        <v>84</v>
      </c>
      <c r="AB17" s="46">
        <v>0</v>
      </c>
      <c r="AC17" s="54">
        <v>0</v>
      </c>
      <c r="AD17" s="41">
        <f t="shared" si="8"/>
        <v>0</v>
      </c>
      <c r="AE17" s="42" t="s">
        <v>81</v>
      </c>
      <c r="AF17" s="43" t="s">
        <v>84</v>
      </c>
      <c r="AG17" s="60">
        <v>0</v>
      </c>
      <c r="AH17" s="60">
        <v>0</v>
      </c>
      <c r="AI17" s="45">
        <f t="shared" si="9"/>
        <v>0</v>
      </c>
      <c r="AJ17" s="37" t="s">
        <v>81</v>
      </c>
      <c r="AK17" s="38" t="s">
        <v>84</v>
      </c>
      <c r="AL17" s="49">
        <v>0</v>
      </c>
      <c r="AM17" s="49">
        <v>0</v>
      </c>
      <c r="AN17" s="41">
        <f t="shared" si="10"/>
        <v>0</v>
      </c>
      <c r="AO17" s="42" t="s">
        <v>81</v>
      </c>
      <c r="AP17" s="43" t="s">
        <v>84</v>
      </c>
      <c r="AQ17" s="50">
        <v>0</v>
      </c>
      <c r="AR17" s="50">
        <v>0</v>
      </c>
      <c r="AS17" s="45">
        <f t="shared" si="11"/>
        <v>0</v>
      </c>
      <c r="AT17" s="37" t="s">
        <v>81</v>
      </c>
      <c r="AU17" s="38" t="s">
        <v>85</v>
      </c>
      <c r="AV17" s="51">
        <v>0</v>
      </c>
      <c r="AW17" s="51">
        <v>0</v>
      </c>
      <c r="AX17" s="41">
        <f t="shared" si="12"/>
        <v>0</v>
      </c>
      <c r="AY17" s="52" t="s">
        <v>81</v>
      </c>
      <c r="AZ17" s="53">
        <v>0</v>
      </c>
      <c r="BA17" s="54">
        <v>0</v>
      </c>
      <c r="BB17" s="55">
        <f t="shared" si="13"/>
        <v>0</v>
      </c>
      <c r="BC17" s="61">
        <v>0</v>
      </c>
      <c r="BD17" s="54">
        <v>0</v>
      </c>
      <c r="BE17" s="57">
        <f t="shared" si="1"/>
        <v>0</v>
      </c>
    </row>
    <row r="18" spans="1:57" x14ac:dyDescent="0.35">
      <c r="A18" s="42" t="s">
        <v>86</v>
      </c>
      <c r="B18" s="27" t="s">
        <v>87</v>
      </c>
      <c r="C18" s="28">
        <v>43441</v>
      </c>
      <c r="D18" s="29">
        <v>43441</v>
      </c>
      <c r="E18" s="30">
        <f t="shared" si="0"/>
        <v>0</v>
      </c>
      <c r="F18" s="37" t="s">
        <v>86</v>
      </c>
      <c r="G18" s="32" t="s">
        <v>87</v>
      </c>
      <c r="H18" s="33">
        <v>0</v>
      </c>
      <c r="I18" s="58">
        <v>0</v>
      </c>
      <c r="J18" s="35">
        <f t="shared" si="2"/>
        <v>0</v>
      </c>
      <c r="K18" s="42" t="s">
        <v>86</v>
      </c>
      <c r="L18" s="36" t="s">
        <v>88</v>
      </c>
      <c r="M18" s="28">
        <v>0</v>
      </c>
      <c r="N18" s="59">
        <v>0</v>
      </c>
      <c r="O18" s="30">
        <f t="shared" si="3"/>
        <v>0</v>
      </c>
      <c r="P18" s="37" t="s">
        <v>86</v>
      </c>
      <c r="Q18" s="38" t="s">
        <v>89</v>
      </c>
      <c r="R18" s="39">
        <v>-13219</v>
      </c>
      <c r="S18" s="40">
        <f t="shared" si="4"/>
        <v>-13219</v>
      </c>
      <c r="T18" s="41">
        <f t="shared" si="5"/>
        <v>0</v>
      </c>
      <c r="U18" s="42" t="s">
        <v>86</v>
      </c>
      <c r="V18" s="43" t="s">
        <v>89</v>
      </c>
      <c r="W18" s="44">
        <v>39708</v>
      </c>
      <c r="X18" s="44">
        <f t="shared" si="6"/>
        <v>39708</v>
      </c>
      <c r="Y18" s="45">
        <f t="shared" si="7"/>
        <v>0</v>
      </c>
      <c r="Z18" s="37" t="s">
        <v>86</v>
      </c>
      <c r="AA18" s="38" t="s">
        <v>89</v>
      </c>
      <c r="AB18" s="46">
        <v>-3733</v>
      </c>
      <c r="AC18" s="47">
        <v>-3733</v>
      </c>
      <c r="AD18" s="41">
        <f t="shared" si="8"/>
        <v>0</v>
      </c>
      <c r="AE18" s="42" t="s">
        <v>86</v>
      </c>
      <c r="AF18" s="43" t="s">
        <v>89</v>
      </c>
      <c r="AG18" s="60">
        <v>50</v>
      </c>
      <c r="AH18" s="60">
        <v>50</v>
      </c>
      <c r="AI18" s="45">
        <f t="shared" si="9"/>
        <v>0</v>
      </c>
      <c r="AJ18" s="37" t="s">
        <v>86</v>
      </c>
      <c r="AK18" s="38" t="s">
        <v>89</v>
      </c>
      <c r="AL18" s="49">
        <v>42077</v>
      </c>
      <c r="AM18" s="49">
        <v>42077</v>
      </c>
      <c r="AN18" s="41">
        <f t="shared" si="10"/>
        <v>0</v>
      </c>
      <c r="AO18" s="42" t="s">
        <v>86</v>
      </c>
      <c r="AP18" s="43" t="s">
        <v>89</v>
      </c>
      <c r="AQ18" s="50">
        <v>42077</v>
      </c>
      <c r="AR18" s="50">
        <v>42077</v>
      </c>
      <c r="AS18" s="45">
        <f t="shared" si="11"/>
        <v>0</v>
      </c>
      <c r="AT18" s="37" t="s">
        <v>86</v>
      </c>
      <c r="AU18" s="38" t="s">
        <v>90</v>
      </c>
      <c r="AV18" s="64">
        <v>-860000</v>
      </c>
      <c r="AW18" s="64">
        <v>-860000</v>
      </c>
      <c r="AX18" s="41">
        <f t="shared" si="12"/>
        <v>0</v>
      </c>
      <c r="AY18" s="52" t="s">
        <v>86</v>
      </c>
      <c r="AZ18" s="53">
        <v>-862269</v>
      </c>
      <c r="BA18" s="47">
        <v>-862269</v>
      </c>
      <c r="BB18" s="55">
        <f t="shared" si="13"/>
        <v>0</v>
      </c>
      <c r="BC18" s="61">
        <v>-866524</v>
      </c>
      <c r="BD18" s="47">
        <v>-866524</v>
      </c>
      <c r="BE18" s="57">
        <f t="shared" si="1"/>
        <v>0</v>
      </c>
    </row>
    <row r="19" spans="1:57" x14ac:dyDescent="0.35">
      <c r="A19" s="42" t="s">
        <v>91</v>
      </c>
      <c r="B19" s="27" t="s">
        <v>92</v>
      </c>
      <c r="C19" s="28">
        <v>0</v>
      </c>
      <c r="D19" s="29">
        <v>0</v>
      </c>
      <c r="E19" s="30">
        <f t="shared" si="0"/>
        <v>0</v>
      </c>
      <c r="F19" s="37" t="s">
        <v>91</v>
      </c>
      <c r="G19" s="32" t="s">
        <v>92</v>
      </c>
      <c r="H19" s="33">
        <v>0</v>
      </c>
      <c r="I19" s="58">
        <v>0</v>
      </c>
      <c r="J19" s="35">
        <f t="shared" si="2"/>
        <v>0</v>
      </c>
      <c r="K19" s="42" t="s">
        <v>91</v>
      </c>
      <c r="L19" s="36" t="s">
        <v>93</v>
      </c>
      <c r="M19" s="28">
        <v>0</v>
      </c>
      <c r="N19" s="59">
        <v>0</v>
      </c>
      <c r="O19" s="30">
        <f t="shared" si="3"/>
        <v>0</v>
      </c>
      <c r="P19" s="37" t="s">
        <v>91</v>
      </c>
      <c r="Q19" s="38" t="s">
        <v>94</v>
      </c>
      <c r="R19" s="39">
        <v>0</v>
      </c>
      <c r="S19" s="40">
        <f t="shared" si="4"/>
        <v>0</v>
      </c>
      <c r="T19" s="41">
        <f t="shared" si="5"/>
        <v>0</v>
      </c>
      <c r="U19" s="42" t="s">
        <v>91</v>
      </c>
      <c r="V19" s="43" t="s">
        <v>94</v>
      </c>
      <c r="W19" s="44">
        <v>0</v>
      </c>
      <c r="X19" s="44">
        <f t="shared" si="6"/>
        <v>0</v>
      </c>
      <c r="Y19" s="45">
        <f t="shared" si="7"/>
        <v>0</v>
      </c>
      <c r="Z19" s="37" t="s">
        <v>91</v>
      </c>
      <c r="AA19" s="38" t="s">
        <v>94</v>
      </c>
      <c r="AB19" s="46">
        <v>0</v>
      </c>
      <c r="AC19" s="54">
        <v>0</v>
      </c>
      <c r="AD19" s="41">
        <f t="shared" si="8"/>
        <v>0</v>
      </c>
      <c r="AE19" s="42" t="s">
        <v>91</v>
      </c>
      <c r="AF19" s="43" t="s">
        <v>94</v>
      </c>
      <c r="AG19" s="48">
        <v>0</v>
      </c>
      <c r="AH19" s="48">
        <v>0</v>
      </c>
      <c r="AI19" s="45">
        <f t="shared" si="9"/>
        <v>0</v>
      </c>
      <c r="AJ19" s="37" t="s">
        <v>91</v>
      </c>
      <c r="AK19" s="38" t="s">
        <v>94</v>
      </c>
      <c r="AL19" s="49">
        <v>0</v>
      </c>
      <c r="AM19" s="49">
        <v>0</v>
      </c>
      <c r="AN19" s="41">
        <f t="shared" si="10"/>
        <v>0</v>
      </c>
      <c r="AO19" s="42" t="s">
        <v>91</v>
      </c>
      <c r="AP19" s="43" t="s">
        <v>94</v>
      </c>
      <c r="AQ19" s="50">
        <v>0</v>
      </c>
      <c r="AR19" s="50">
        <v>0</v>
      </c>
      <c r="AS19" s="45">
        <f t="shared" si="11"/>
        <v>0</v>
      </c>
      <c r="AT19" s="37" t="s">
        <v>91</v>
      </c>
      <c r="AU19" s="38" t="s">
        <v>95</v>
      </c>
      <c r="AV19" s="51">
        <v>0</v>
      </c>
      <c r="AW19" s="51">
        <v>0</v>
      </c>
      <c r="AX19" s="41">
        <f t="shared" si="12"/>
        <v>0</v>
      </c>
      <c r="AY19" s="52" t="s">
        <v>91</v>
      </c>
      <c r="AZ19" s="53">
        <v>2476</v>
      </c>
      <c r="BA19" s="54">
        <v>0</v>
      </c>
      <c r="BB19" s="55">
        <f t="shared" si="13"/>
        <v>2476</v>
      </c>
      <c r="BC19" s="61">
        <f>-864255+866731</f>
        <v>2476</v>
      </c>
      <c r="BD19" s="54">
        <v>0</v>
      </c>
      <c r="BE19" s="57">
        <f t="shared" si="1"/>
        <v>2476</v>
      </c>
    </row>
    <row r="20" spans="1:57" x14ac:dyDescent="0.35">
      <c r="A20" s="42" t="s">
        <v>96</v>
      </c>
      <c r="B20" s="27" t="s">
        <v>97</v>
      </c>
      <c r="C20" s="28">
        <v>0</v>
      </c>
      <c r="D20" s="29">
        <v>0</v>
      </c>
      <c r="E20" s="30">
        <f t="shared" si="0"/>
        <v>0</v>
      </c>
      <c r="F20" s="37" t="s">
        <v>96</v>
      </c>
      <c r="G20" s="32" t="s">
        <v>97</v>
      </c>
      <c r="H20" s="33">
        <v>0</v>
      </c>
      <c r="I20" s="58">
        <v>0</v>
      </c>
      <c r="J20" s="35">
        <f t="shared" si="2"/>
        <v>0</v>
      </c>
      <c r="K20" s="42" t="s">
        <v>96</v>
      </c>
      <c r="L20" s="36" t="s">
        <v>98</v>
      </c>
      <c r="M20" s="28">
        <v>0</v>
      </c>
      <c r="N20" s="59">
        <v>0</v>
      </c>
      <c r="O20" s="30">
        <f t="shared" si="3"/>
        <v>0</v>
      </c>
      <c r="P20" s="37" t="s">
        <v>96</v>
      </c>
      <c r="Q20" s="38" t="s">
        <v>99</v>
      </c>
      <c r="R20" s="39">
        <v>0</v>
      </c>
      <c r="S20" s="40">
        <f t="shared" si="4"/>
        <v>0</v>
      </c>
      <c r="T20" s="41">
        <f t="shared" si="5"/>
        <v>0</v>
      </c>
      <c r="U20" s="42" t="s">
        <v>96</v>
      </c>
      <c r="V20" s="43" t="s">
        <v>99</v>
      </c>
      <c r="W20" s="44">
        <v>0</v>
      </c>
      <c r="X20" s="44">
        <f t="shared" si="6"/>
        <v>0</v>
      </c>
      <c r="Y20" s="45">
        <f t="shared" si="7"/>
        <v>0</v>
      </c>
      <c r="Z20" s="37" t="s">
        <v>96</v>
      </c>
      <c r="AA20" s="38" t="s">
        <v>99</v>
      </c>
      <c r="AB20" s="46">
        <v>0</v>
      </c>
      <c r="AC20" s="54">
        <v>0</v>
      </c>
      <c r="AD20" s="41">
        <f t="shared" si="8"/>
        <v>0</v>
      </c>
      <c r="AE20" s="42" t="s">
        <v>96</v>
      </c>
      <c r="AF20" s="43" t="s">
        <v>99</v>
      </c>
      <c r="AG20" s="48">
        <v>0</v>
      </c>
      <c r="AH20" s="48">
        <v>0</v>
      </c>
      <c r="AI20" s="45">
        <f t="shared" si="9"/>
        <v>0</v>
      </c>
      <c r="AJ20" s="37" t="s">
        <v>96</v>
      </c>
      <c r="AK20" s="38" t="s">
        <v>99</v>
      </c>
      <c r="AL20" s="49">
        <v>-218814</v>
      </c>
      <c r="AM20" s="49">
        <v>-218814</v>
      </c>
      <c r="AN20" s="41">
        <f t="shared" si="10"/>
        <v>0</v>
      </c>
      <c r="AO20" s="42" t="s">
        <v>96</v>
      </c>
      <c r="AP20" s="43" t="s">
        <v>99</v>
      </c>
      <c r="AQ20" s="50">
        <v>-218814</v>
      </c>
      <c r="AR20" s="50">
        <v>-218814</v>
      </c>
      <c r="AS20" s="45">
        <f t="shared" si="11"/>
        <v>0</v>
      </c>
      <c r="AT20" s="37" t="s">
        <v>96</v>
      </c>
      <c r="AU20" s="38" t="s">
        <v>100</v>
      </c>
      <c r="AV20" s="51">
        <v>0</v>
      </c>
      <c r="AW20" s="51">
        <v>0</v>
      </c>
      <c r="AX20" s="41">
        <f t="shared" si="12"/>
        <v>0</v>
      </c>
      <c r="AY20" s="52" t="s">
        <v>96</v>
      </c>
      <c r="AZ20" s="53">
        <v>809022</v>
      </c>
      <c r="BA20" s="47">
        <v>809022</v>
      </c>
      <c r="BB20" s="55">
        <f t="shared" si="13"/>
        <v>0</v>
      </c>
      <c r="BC20" s="61">
        <v>0</v>
      </c>
      <c r="BD20" s="54">
        <v>0</v>
      </c>
      <c r="BE20" s="57">
        <f t="shared" si="1"/>
        <v>0</v>
      </c>
    </row>
    <row r="21" spans="1:57" x14ac:dyDescent="0.35">
      <c r="A21" s="42" t="s">
        <v>101</v>
      </c>
      <c r="B21" s="27" t="s">
        <v>102</v>
      </c>
      <c r="C21" s="28">
        <v>-9633</v>
      </c>
      <c r="D21" s="29">
        <v>-9633</v>
      </c>
      <c r="E21" s="30">
        <f t="shared" si="0"/>
        <v>0</v>
      </c>
      <c r="F21" s="37" t="s">
        <v>101</v>
      </c>
      <c r="G21" s="32" t="s">
        <v>102</v>
      </c>
      <c r="H21" s="33">
        <v>-180157</v>
      </c>
      <c r="I21" s="34">
        <v>-180216</v>
      </c>
      <c r="J21" s="35">
        <f t="shared" si="2"/>
        <v>59</v>
      </c>
      <c r="K21" s="42" t="s">
        <v>101</v>
      </c>
      <c r="L21" s="36" t="s">
        <v>103</v>
      </c>
      <c r="M21" s="28">
        <v>-600681</v>
      </c>
      <c r="N21" s="29">
        <v>-600740</v>
      </c>
      <c r="O21" s="30">
        <f t="shared" si="3"/>
        <v>59</v>
      </c>
      <c r="P21" s="37" t="s">
        <v>101</v>
      </c>
      <c r="Q21" s="38" t="s">
        <v>104</v>
      </c>
      <c r="R21" s="39">
        <v>-21205</v>
      </c>
      <c r="S21" s="40">
        <f t="shared" si="4"/>
        <v>-21205</v>
      </c>
      <c r="T21" s="65">
        <f t="shared" si="5"/>
        <v>0</v>
      </c>
      <c r="U21" s="42" t="s">
        <v>101</v>
      </c>
      <c r="V21" s="43" t="s">
        <v>104</v>
      </c>
      <c r="W21" s="44">
        <v>-28697</v>
      </c>
      <c r="X21" s="44">
        <f t="shared" si="6"/>
        <v>-28697</v>
      </c>
      <c r="Y21" s="45">
        <f t="shared" si="7"/>
        <v>0</v>
      </c>
      <c r="Z21" s="37" t="s">
        <v>101</v>
      </c>
      <c r="AA21" s="38" t="s">
        <v>104</v>
      </c>
      <c r="AB21" s="46">
        <v>49770</v>
      </c>
      <c r="AC21" s="47">
        <v>49711</v>
      </c>
      <c r="AD21" s="65">
        <f t="shared" si="8"/>
        <v>59</v>
      </c>
      <c r="AE21" s="42" t="s">
        <v>101</v>
      </c>
      <c r="AF21" s="43" t="s">
        <v>104</v>
      </c>
      <c r="AG21" s="48">
        <v>923474</v>
      </c>
      <c r="AH21" s="48">
        <v>923474</v>
      </c>
      <c r="AI21" s="45">
        <f t="shared" si="9"/>
        <v>0</v>
      </c>
      <c r="AJ21" s="37" t="s">
        <v>101</v>
      </c>
      <c r="AK21" s="38" t="s">
        <v>104</v>
      </c>
      <c r="AL21" s="49">
        <v>-4601</v>
      </c>
      <c r="AM21" s="49">
        <v>-4601</v>
      </c>
      <c r="AN21" s="41">
        <f t="shared" si="10"/>
        <v>0</v>
      </c>
      <c r="AO21" s="42" t="s">
        <v>101</v>
      </c>
      <c r="AP21" s="43" t="s">
        <v>104</v>
      </c>
      <c r="AQ21" s="50">
        <v>-4601</v>
      </c>
      <c r="AR21" s="50">
        <v>-4601</v>
      </c>
      <c r="AS21" s="45">
        <f t="shared" si="11"/>
        <v>0</v>
      </c>
      <c r="AT21" s="37" t="s">
        <v>101</v>
      </c>
      <c r="AU21" s="38" t="s">
        <v>105</v>
      </c>
      <c r="AV21" s="51">
        <v>0</v>
      </c>
      <c r="AW21" s="51">
        <v>0</v>
      </c>
      <c r="AX21" s="41">
        <f t="shared" si="12"/>
        <v>0</v>
      </c>
      <c r="AY21" s="52" t="s">
        <v>101</v>
      </c>
      <c r="AZ21" s="53">
        <v>0</v>
      </c>
      <c r="BA21" s="54">
        <v>0</v>
      </c>
      <c r="BB21" s="55">
        <f t="shared" si="13"/>
        <v>0</v>
      </c>
      <c r="BC21" s="61">
        <v>-1500</v>
      </c>
      <c r="BD21" s="47">
        <v>-1500</v>
      </c>
      <c r="BE21" s="57">
        <f t="shared" si="1"/>
        <v>0</v>
      </c>
    </row>
    <row r="22" spans="1:57" x14ac:dyDescent="0.35">
      <c r="A22" s="42" t="s">
        <v>106</v>
      </c>
      <c r="B22" s="27" t="s">
        <v>107</v>
      </c>
      <c r="C22" s="28">
        <v>0</v>
      </c>
      <c r="D22" s="29">
        <v>0</v>
      </c>
      <c r="E22" s="30">
        <f t="shared" si="0"/>
        <v>0</v>
      </c>
      <c r="F22" s="37" t="s">
        <v>106</v>
      </c>
      <c r="G22" s="32" t="s">
        <v>107</v>
      </c>
      <c r="H22" s="33">
        <v>0</v>
      </c>
      <c r="I22" s="58">
        <v>0</v>
      </c>
      <c r="J22" s="35">
        <f t="shared" si="2"/>
        <v>0</v>
      </c>
      <c r="K22" s="42" t="s">
        <v>106</v>
      </c>
      <c r="L22" s="36" t="s">
        <v>108</v>
      </c>
      <c r="M22" s="28">
        <v>0</v>
      </c>
      <c r="N22" s="59">
        <v>0</v>
      </c>
      <c r="O22" s="30">
        <f t="shared" si="3"/>
        <v>0</v>
      </c>
      <c r="P22" s="37" t="s">
        <v>106</v>
      </c>
      <c r="Q22" s="38" t="s">
        <v>109</v>
      </c>
      <c r="R22" s="39">
        <v>0</v>
      </c>
      <c r="S22" s="40">
        <f t="shared" si="4"/>
        <v>0</v>
      </c>
      <c r="T22" s="41">
        <f t="shared" si="5"/>
        <v>0</v>
      </c>
      <c r="U22" s="42" t="s">
        <v>106</v>
      </c>
      <c r="V22" s="43" t="s">
        <v>109</v>
      </c>
      <c r="W22" s="44">
        <v>-91</v>
      </c>
      <c r="X22" s="44">
        <f t="shared" si="6"/>
        <v>-91</v>
      </c>
      <c r="Y22" s="45">
        <f t="shared" si="7"/>
        <v>0</v>
      </c>
      <c r="Z22" s="37" t="s">
        <v>106</v>
      </c>
      <c r="AA22" s="38" t="s">
        <v>109</v>
      </c>
      <c r="AB22" s="46">
        <v>0</v>
      </c>
      <c r="AC22" s="54">
        <v>0</v>
      </c>
      <c r="AD22" s="41">
        <f t="shared" si="8"/>
        <v>0</v>
      </c>
      <c r="AE22" s="42" t="s">
        <v>106</v>
      </c>
      <c r="AF22" s="43" t="s">
        <v>109</v>
      </c>
      <c r="AG22" s="48">
        <v>0</v>
      </c>
      <c r="AH22" s="48">
        <v>0</v>
      </c>
      <c r="AI22" s="45">
        <f t="shared" si="9"/>
        <v>0</v>
      </c>
      <c r="AJ22" s="37" t="s">
        <v>106</v>
      </c>
      <c r="AK22" s="38" t="s">
        <v>109</v>
      </c>
      <c r="AL22" s="49">
        <v>0</v>
      </c>
      <c r="AM22" s="49">
        <v>0</v>
      </c>
      <c r="AN22" s="41">
        <f t="shared" si="10"/>
        <v>0</v>
      </c>
      <c r="AO22" s="42" t="s">
        <v>106</v>
      </c>
      <c r="AP22" s="43" t="s">
        <v>109</v>
      </c>
      <c r="AQ22" s="50">
        <v>0</v>
      </c>
      <c r="AR22" s="50">
        <v>0</v>
      </c>
      <c r="AS22" s="45">
        <f t="shared" si="11"/>
        <v>0</v>
      </c>
      <c r="AT22" s="37" t="s">
        <v>106</v>
      </c>
      <c r="AU22" s="38" t="s">
        <v>110</v>
      </c>
      <c r="AV22" s="64">
        <v>-200000</v>
      </c>
      <c r="AW22" s="64">
        <v>-200000</v>
      </c>
      <c r="AX22" s="41">
        <f t="shared" si="12"/>
        <v>0</v>
      </c>
      <c r="AY22" s="52" t="s">
        <v>106</v>
      </c>
      <c r="AZ22" s="53">
        <v>1000208</v>
      </c>
      <c r="BA22" s="47">
        <v>1000208</v>
      </c>
      <c r="BB22" s="55">
        <f t="shared" si="13"/>
        <v>0</v>
      </c>
      <c r="BC22" s="61">
        <v>1139884</v>
      </c>
      <c r="BD22" s="47">
        <v>1139884</v>
      </c>
      <c r="BE22" s="57">
        <f t="shared" si="1"/>
        <v>0</v>
      </c>
    </row>
    <row r="23" spans="1:57" x14ac:dyDescent="0.35">
      <c r="A23" s="42" t="s">
        <v>111</v>
      </c>
      <c r="B23" s="27" t="s">
        <v>112</v>
      </c>
      <c r="C23" s="28">
        <v>0</v>
      </c>
      <c r="D23" s="29">
        <v>0</v>
      </c>
      <c r="E23" s="30">
        <f t="shared" si="0"/>
        <v>0</v>
      </c>
      <c r="F23" s="37" t="s">
        <v>111</v>
      </c>
      <c r="G23" s="32" t="s">
        <v>112</v>
      </c>
      <c r="H23" s="33">
        <v>0</v>
      </c>
      <c r="I23" s="58">
        <v>0</v>
      </c>
      <c r="J23" s="35">
        <f t="shared" si="2"/>
        <v>0</v>
      </c>
      <c r="K23" s="42" t="s">
        <v>111</v>
      </c>
      <c r="L23" s="36" t="s">
        <v>113</v>
      </c>
      <c r="M23" s="28">
        <v>0</v>
      </c>
      <c r="N23" s="59">
        <v>0</v>
      </c>
      <c r="O23" s="30">
        <f t="shared" si="3"/>
        <v>0</v>
      </c>
      <c r="P23" s="37" t="s">
        <v>111</v>
      </c>
      <c r="Q23" s="38" t="s">
        <v>114</v>
      </c>
      <c r="R23" s="39">
        <v>0</v>
      </c>
      <c r="S23" s="40">
        <f t="shared" si="4"/>
        <v>0</v>
      </c>
      <c r="T23" s="41">
        <f t="shared" si="5"/>
        <v>0</v>
      </c>
      <c r="U23" s="42" t="s">
        <v>111</v>
      </c>
      <c r="V23" s="43" t="s">
        <v>114</v>
      </c>
      <c r="W23" s="44">
        <v>0</v>
      </c>
      <c r="X23" s="44">
        <f t="shared" si="6"/>
        <v>0</v>
      </c>
      <c r="Y23" s="45">
        <f t="shared" si="7"/>
        <v>0</v>
      </c>
      <c r="Z23" s="37" t="s">
        <v>111</v>
      </c>
      <c r="AA23" s="38" t="s">
        <v>114</v>
      </c>
      <c r="AB23" s="46">
        <v>0</v>
      </c>
      <c r="AC23" s="54">
        <v>0</v>
      </c>
      <c r="AD23" s="41">
        <f t="shared" si="8"/>
        <v>0</v>
      </c>
      <c r="AE23" s="42" t="s">
        <v>111</v>
      </c>
      <c r="AF23" s="43" t="s">
        <v>114</v>
      </c>
      <c r="AG23" s="48">
        <v>0</v>
      </c>
      <c r="AH23" s="48">
        <v>0</v>
      </c>
      <c r="AI23" s="45">
        <f t="shared" si="9"/>
        <v>0</v>
      </c>
      <c r="AJ23" s="37" t="s">
        <v>111</v>
      </c>
      <c r="AK23" s="38" t="s">
        <v>114</v>
      </c>
      <c r="AL23" s="49">
        <v>87930</v>
      </c>
      <c r="AM23" s="49">
        <v>87930</v>
      </c>
      <c r="AN23" s="41">
        <f t="shared" si="10"/>
        <v>0</v>
      </c>
      <c r="AO23" s="42" t="s">
        <v>111</v>
      </c>
      <c r="AP23" s="43" t="s">
        <v>114</v>
      </c>
      <c r="AQ23" s="50">
        <v>87930</v>
      </c>
      <c r="AR23" s="50">
        <v>87930</v>
      </c>
      <c r="AS23" s="45">
        <f t="shared" si="11"/>
        <v>0</v>
      </c>
      <c r="AT23" s="37" t="s">
        <v>111</v>
      </c>
      <c r="AU23" s="38" t="s">
        <v>115</v>
      </c>
      <c r="AV23" s="51">
        <v>0</v>
      </c>
      <c r="AW23" s="51">
        <v>0</v>
      </c>
      <c r="AX23" s="41">
        <f t="shared" si="12"/>
        <v>0</v>
      </c>
      <c r="AY23" s="52" t="s">
        <v>111</v>
      </c>
      <c r="AZ23" s="53">
        <v>0</v>
      </c>
      <c r="BA23" s="54">
        <v>0</v>
      </c>
      <c r="BB23" s="55">
        <f t="shared" si="13"/>
        <v>0</v>
      </c>
      <c r="BC23" s="61">
        <v>0</v>
      </c>
      <c r="BD23" s="54">
        <v>0</v>
      </c>
      <c r="BE23" s="57">
        <f t="shared" si="1"/>
        <v>0</v>
      </c>
    </row>
    <row r="24" spans="1:57" x14ac:dyDescent="0.35">
      <c r="A24" s="42" t="s">
        <v>116</v>
      </c>
      <c r="B24" s="27" t="s">
        <v>117</v>
      </c>
      <c r="C24" s="28">
        <v>-9</v>
      </c>
      <c r="D24" s="29">
        <v>-9</v>
      </c>
      <c r="E24" s="30">
        <f t="shared" si="0"/>
        <v>0</v>
      </c>
      <c r="F24" s="37" t="s">
        <v>116</v>
      </c>
      <c r="G24" s="32" t="s">
        <v>117</v>
      </c>
      <c r="H24" s="33">
        <v>16361</v>
      </c>
      <c r="I24" s="34">
        <v>-9</v>
      </c>
      <c r="J24" s="35">
        <f t="shared" si="2"/>
        <v>16370</v>
      </c>
      <c r="K24" s="42" t="s">
        <v>116</v>
      </c>
      <c r="L24" s="36" t="s">
        <v>118</v>
      </c>
      <c r="M24" s="28">
        <v>135</v>
      </c>
      <c r="N24" s="29">
        <v>0</v>
      </c>
      <c r="O24" s="30">
        <f t="shared" si="3"/>
        <v>135</v>
      </c>
      <c r="P24" s="37" t="s">
        <v>116</v>
      </c>
      <c r="Q24" s="38" t="s">
        <v>119</v>
      </c>
      <c r="R24" s="39">
        <v>783407</v>
      </c>
      <c r="S24" s="40">
        <f t="shared" si="4"/>
        <v>783407</v>
      </c>
      <c r="T24" s="41">
        <f t="shared" si="5"/>
        <v>0</v>
      </c>
      <c r="U24" s="42" t="s">
        <v>116</v>
      </c>
      <c r="V24" s="43" t="s">
        <v>119</v>
      </c>
      <c r="W24" s="44">
        <v>-1004</v>
      </c>
      <c r="X24" s="44">
        <f t="shared" si="6"/>
        <v>-1004</v>
      </c>
      <c r="Y24" s="45">
        <f t="shared" si="7"/>
        <v>0</v>
      </c>
      <c r="Z24" s="37" t="s">
        <v>116</v>
      </c>
      <c r="AA24" s="38" t="s">
        <v>119</v>
      </c>
      <c r="AB24" s="46">
        <v>-1004</v>
      </c>
      <c r="AC24" s="47">
        <v>-1004</v>
      </c>
      <c r="AD24" s="41">
        <f t="shared" si="8"/>
        <v>0</v>
      </c>
      <c r="AE24" s="42" t="s">
        <v>116</v>
      </c>
      <c r="AF24" s="43" t="s">
        <v>119</v>
      </c>
      <c r="AG24" s="48">
        <v>49462</v>
      </c>
      <c r="AH24" s="48">
        <v>49462</v>
      </c>
      <c r="AI24" s="45">
        <f t="shared" si="9"/>
        <v>0</v>
      </c>
      <c r="AJ24" s="37" t="s">
        <v>116</v>
      </c>
      <c r="AK24" s="38" t="s">
        <v>119</v>
      </c>
      <c r="AL24" s="49">
        <v>-297006</v>
      </c>
      <c r="AM24" s="49">
        <v>-297006</v>
      </c>
      <c r="AN24" s="41">
        <f t="shared" si="10"/>
        <v>0</v>
      </c>
      <c r="AO24" s="42" t="s">
        <v>116</v>
      </c>
      <c r="AP24" s="43" t="s">
        <v>119</v>
      </c>
      <c r="AQ24" s="50">
        <v>-297006</v>
      </c>
      <c r="AR24" s="50">
        <v>-297006</v>
      </c>
      <c r="AS24" s="45">
        <f t="shared" si="11"/>
        <v>0</v>
      </c>
      <c r="AT24" s="37" t="s">
        <v>116</v>
      </c>
      <c r="AU24" s="38" t="s">
        <v>120</v>
      </c>
      <c r="AV24" s="64">
        <v>-930736</v>
      </c>
      <c r="AW24" s="64">
        <v>-930736</v>
      </c>
      <c r="AX24" s="41">
        <f t="shared" si="12"/>
        <v>0</v>
      </c>
      <c r="AY24" s="52" t="s">
        <v>116</v>
      </c>
      <c r="AZ24" s="53">
        <v>-930236</v>
      </c>
      <c r="BA24" s="47">
        <v>-930236</v>
      </c>
      <c r="BB24" s="55">
        <f t="shared" si="13"/>
        <v>0</v>
      </c>
      <c r="BC24" s="61">
        <v>-930736</v>
      </c>
      <c r="BD24" s="47">
        <v>-930736</v>
      </c>
      <c r="BE24" s="57">
        <f t="shared" si="1"/>
        <v>0</v>
      </c>
    </row>
    <row r="25" spans="1:57" x14ac:dyDescent="0.35">
      <c r="A25" s="42" t="s">
        <v>121</v>
      </c>
      <c r="B25" s="27" t="s">
        <v>122</v>
      </c>
      <c r="C25" s="28">
        <v>0</v>
      </c>
      <c r="D25" s="29">
        <v>0</v>
      </c>
      <c r="E25" s="30">
        <f t="shared" si="0"/>
        <v>0</v>
      </c>
      <c r="F25" s="37" t="s">
        <v>121</v>
      </c>
      <c r="G25" s="32" t="s">
        <v>122</v>
      </c>
      <c r="H25" s="33">
        <v>2205333</v>
      </c>
      <c r="I25" s="34">
        <v>2205333</v>
      </c>
      <c r="J25" s="35">
        <f t="shared" si="2"/>
        <v>0</v>
      </c>
      <c r="K25" s="42" t="s">
        <v>121</v>
      </c>
      <c r="L25" s="36" t="s">
        <v>123</v>
      </c>
      <c r="M25" s="28">
        <v>1091587</v>
      </c>
      <c r="N25" s="29">
        <v>1091587</v>
      </c>
      <c r="O25" s="30">
        <f t="shared" si="3"/>
        <v>0</v>
      </c>
      <c r="P25" s="37" t="s">
        <v>121</v>
      </c>
      <c r="Q25" s="38" t="s">
        <v>124</v>
      </c>
      <c r="R25" s="39">
        <v>0</v>
      </c>
      <c r="S25" s="40">
        <f t="shared" si="4"/>
        <v>0</v>
      </c>
      <c r="T25" s="41">
        <f t="shared" si="5"/>
        <v>0</v>
      </c>
      <c r="U25" s="42" t="s">
        <v>121</v>
      </c>
      <c r="V25" s="43" t="s">
        <v>124</v>
      </c>
      <c r="W25" s="44">
        <v>0</v>
      </c>
      <c r="X25" s="44">
        <f t="shared" si="6"/>
        <v>0</v>
      </c>
      <c r="Y25" s="45">
        <f t="shared" si="7"/>
        <v>0</v>
      </c>
      <c r="Z25" s="37" t="s">
        <v>121</v>
      </c>
      <c r="AA25" s="38" t="s">
        <v>124</v>
      </c>
      <c r="AB25" s="46">
        <v>0</v>
      </c>
      <c r="AC25" s="54">
        <v>0</v>
      </c>
      <c r="AD25" s="41">
        <f t="shared" si="8"/>
        <v>0</v>
      </c>
      <c r="AE25" s="42" t="s">
        <v>121</v>
      </c>
      <c r="AF25" s="43" t="s">
        <v>124</v>
      </c>
      <c r="AG25" s="48">
        <v>0</v>
      </c>
      <c r="AH25" s="48">
        <v>0</v>
      </c>
      <c r="AI25" s="45">
        <f t="shared" si="9"/>
        <v>0</v>
      </c>
      <c r="AJ25" s="37" t="s">
        <v>121</v>
      </c>
      <c r="AK25" s="38" t="s">
        <v>124</v>
      </c>
      <c r="AL25" s="49">
        <v>0</v>
      </c>
      <c r="AM25" s="49"/>
      <c r="AN25" s="41">
        <f t="shared" si="10"/>
        <v>0</v>
      </c>
      <c r="AO25" s="42" t="s">
        <v>121</v>
      </c>
      <c r="AP25" s="43" t="s">
        <v>124</v>
      </c>
      <c r="AQ25" s="50">
        <v>0</v>
      </c>
      <c r="AR25" s="50"/>
      <c r="AS25" s="45">
        <f t="shared" si="11"/>
        <v>0</v>
      </c>
      <c r="AT25" s="37" t="s">
        <v>121</v>
      </c>
      <c r="AU25" s="38" t="s">
        <v>125</v>
      </c>
      <c r="AV25" s="51">
        <v>-96</v>
      </c>
      <c r="AW25" s="51">
        <v>-96</v>
      </c>
      <c r="AX25" s="41">
        <f t="shared" si="12"/>
        <v>0</v>
      </c>
      <c r="AY25" s="52" t="s">
        <v>121</v>
      </c>
      <c r="AZ25" s="53">
        <v>-64</v>
      </c>
      <c r="BA25" s="54">
        <v>-64</v>
      </c>
      <c r="BB25" s="55">
        <f t="shared" si="13"/>
        <v>0</v>
      </c>
      <c r="BC25" s="61">
        <v>-32</v>
      </c>
      <c r="BD25" s="54">
        <v>-32</v>
      </c>
      <c r="BE25" s="57">
        <f t="shared" si="1"/>
        <v>0</v>
      </c>
    </row>
    <row r="26" spans="1:57" x14ac:dyDescent="0.35">
      <c r="A26" s="42" t="s">
        <v>126</v>
      </c>
      <c r="B26" s="27" t="s">
        <v>127</v>
      </c>
      <c r="C26" s="28">
        <v>0</v>
      </c>
      <c r="D26" s="29">
        <v>0</v>
      </c>
      <c r="E26" s="30">
        <f t="shared" si="0"/>
        <v>0</v>
      </c>
      <c r="F26" s="37" t="s">
        <v>126</v>
      </c>
      <c r="G26" s="32" t="s">
        <v>127</v>
      </c>
      <c r="H26" s="33">
        <v>0</v>
      </c>
      <c r="I26" s="34">
        <v>0</v>
      </c>
      <c r="J26" s="35">
        <f t="shared" si="2"/>
        <v>0</v>
      </c>
      <c r="K26" s="42" t="s">
        <v>126</v>
      </c>
      <c r="L26" s="36" t="s">
        <v>128</v>
      </c>
      <c r="M26" s="28">
        <v>1023653</v>
      </c>
      <c r="N26" s="29">
        <v>1023653</v>
      </c>
      <c r="O26" s="30">
        <f t="shared" si="3"/>
        <v>0</v>
      </c>
      <c r="P26" s="37" t="s">
        <v>126</v>
      </c>
      <c r="Q26" s="38" t="s">
        <v>129</v>
      </c>
      <c r="R26" s="39">
        <v>0</v>
      </c>
      <c r="S26" s="40">
        <f t="shared" si="4"/>
        <v>0</v>
      </c>
      <c r="T26" s="41">
        <f t="shared" si="5"/>
        <v>0</v>
      </c>
      <c r="U26" s="42" t="s">
        <v>126</v>
      </c>
      <c r="V26" s="43" t="s">
        <v>129</v>
      </c>
      <c r="W26" s="44">
        <v>0</v>
      </c>
      <c r="X26" s="44">
        <f t="shared" si="6"/>
        <v>0</v>
      </c>
      <c r="Y26" s="45">
        <f t="shared" si="7"/>
        <v>0</v>
      </c>
      <c r="Z26" s="37" t="s">
        <v>126</v>
      </c>
      <c r="AA26" s="38" t="s">
        <v>129</v>
      </c>
      <c r="AB26" s="46">
        <v>0</v>
      </c>
      <c r="AC26" s="54">
        <v>0</v>
      </c>
      <c r="AD26" s="41">
        <f t="shared" si="8"/>
        <v>0</v>
      </c>
      <c r="AE26" s="42" t="s">
        <v>126</v>
      </c>
      <c r="AF26" s="43" t="s">
        <v>129</v>
      </c>
      <c r="AG26" s="48">
        <v>0</v>
      </c>
      <c r="AH26" s="48">
        <v>0</v>
      </c>
      <c r="AI26" s="45">
        <f t="shared" si="9"/>
        <v>0</v>
      </c>
      <c r="AJ26" s="37" t="s">
        <v>126</v>
      </c>
      <c r="AK26" s="38" t="s">
        <v>129</v>
      </c>
      <c r="AL26" s="49">
        <v>0</v>
      </c>
      <c r="AM26" s="49"/>
      <c r="AN26" s="41">
        <f t="shared" si="10"/>
        <v>0</v>
      </c>
      <c r="AO26" s="42" t="s">
        <v>126</v>
      </c>
      <c r="AP26" s="43" t="s">
        <v>129</v>
      </c>
      <c r="AQ26" s="50">
        <v>0</v>
      </c>
      <c r="AR26" s="50"/>
      <c r="AS26" s="45">
        <f t="shared" si="11"/>
        <v>0</v>
      </c>
      <c r="AT26" s="37" t="s">
        <v>126</v>
      </c>
      <c r="AU26" s="38" t="s">
        <v>129</v>
      </c>
      <c r="AV26" s="51">
        <v>0</v>
      </c>
      <c r="AW26" s="51">
        <v>0</v>
      </c>
      <c r="AX26" s="41">
        <f t="shared" si="12"/>
        <v>0</v>
      </c>
      <c r="AY26" s="52" t="s">
        <v>126</v>
      </c>
      <c r="AZ26" s="53">
        <v>0</v>
      </c>
      <c r="BA26" s="54">
        <v>0</v>
      </c>
      <c r="BB26" s="55">
        <f t="shared" si="13"/>
        <v>0</v>
      </c>
      <c r="BC26" s="61">
        <v>0</v>
      </c>
      <c r="BD26" s="54">
        <v>0</v>
      </c>
      <c r="BE26" s="57">
        <f t="shared" si="1"/>
        <v>0</v>
      </c>
    </row>
    <row r="27" spans="1:57" x14ac:dyDescent="0.35">
      <c r="A27" s="42" t="s">
        <v>130</v>
      </c>
      <c r="B27" s="27" t="s">
        <v>131</v>
      </c>
      <c r="C27" s="28">
        <v>0</v>
      </c>
      <c r="D27" s="29">
        <v>0</v>
      </c>
      <c r="E27" s="30">
        <f t="shared" si="0"/>
        <v>0</v>
      </c>
      <c r="F27" s="37" t="s">
        <v>130</v>
      </c>
      <c r="G27" s="32" t="s">
        <v>131</v>
      </c>
      <c r="H27" s="33">
        <v>0</v>
      </c>
      <c r="I27" s="58">
        <v>0</v>
      </c>
      <c r="J27" s="35">
        <f t="shared" si="2"/>
        <v>0</v>
      </c>
      <c r="K27" s="42" t="s">
        <v>130</v>
      </c>
      <c r="L27" s="36" t="s">
        <v>132</v>
      </c>
      <c r="M27" s="28">
        <v>0</v>
      </c>
      <c r="N27" s="59">
        <v>0</v>
      </c>
      <c r="O27" s="30">
        <f t="shared" si="3"/>
        <v>0</v>
      </c>
      <c r="P27" s="37" t="s">
        <v>130</v>
      </c>
      <c r="Q27" s="38" t="s">
        <v>133</v>
      </c>
      <c r="R27" s="39">
        <v>0</v>
      </c>
      <c r="S27" s="40">
        <f t="shared" si="4"/>
        <v>0</v>
      </c>
      <c r="T27" s="41">
        <f t="shared" si="5"/>
        <v>0</v>
      </c>
      <c r="U27" s="42" t="s">
        <v>130</v>
      </c>
      <c r="V27" s="43" t="s">
        <v>133</v>
      </c>
      <c r="W27" s="44">
        <v>0</v>
      </c>
      <c r="X27" s="44">
        <f t="shared" si="6"/>
        <v>0</v>
      </c>
      <c r="Y27" s="45">
        <f t="shared" si="7"/>
        <v>0</v>
      </c>
      <c r="Z27" s="37" t="s">
        <v>130</v>
      </c>
      <c r="AA27" s="38" t="s">
        <v>133</v>
      </c>
      <c r="AB27" s="46">
        <v>0</v>
      </c>
      <c r="AC27" s="54">
        <v>0</v>
      </c>
      <c r="AD27" s="41">
        <f t="shared" si="8"/>
        <v>0</v>
      </c>
      <c r="AE27" s="42" t="s">
        <v>130</v>
      </c>
      <c r="AF27" s="43" t="s">
        <v>133</v>
      </c>
      <c r="AG27" s="48">
        <v>0</v>
      </c>
      <c r="AH27" s="48">
        <v>0</v>
      </c>
      <c r="AI27" s="45">
        <f t="shared" si="9"/>
        <v>0</v>
      </c>
      <c r="AJ27" s="37" t="s">
        <v>130</v>
      </c>
      <c r="AK27" s="38" t="s">
        <v>133</v>
      </c>
      <c r="AL27" s="49">
        <v>0</v>
      </c>
      <c r="AM27" s="49"/>
      <c r="AN27" s="41">
        <f t="shared" si="10"/>
        <v>0</v>
      </c>
      <c r="AO27" s="42" t="s">
        <v>130</v>
      </c>
      <c r="AP27" s="43" t="s">
        <v>133</v>
      </c>
      <c r="AQ27" s="50">
        <v>0</v>
      </c>
      <c r="AR27" s="50"/>
      <c r="AS27" s="45">
        <f t="shared" si="11"/>
        <v>0</v>
      </c>
      <c r="AT27" s="37" t="s">
        <v>130</v>
      </c>
      <c r="AU27" s="38" t="s">
        <v>134</v>
      </c>
      <c r="AV27" s="51">
        <v>0</v>
      </c>
      <c r="AW27" s="51">
        <v>0</v>
      </c>
      <c r="AX27" s="41">
        <f t="shared" si="12"/>
        <v>0</v>
      </c>
      <c r="AY27" s="52" t="s">
        <v>130</v>
      </c>
      <c r="AZ27" s="53">
        <v>0</v>
      </c>
      <c r="BA27" s="54">
        <v>0</v>
      </c>
      <c r="BB27" s="55">
        <f t="shared" si="13"/>
        <v>0</v>
      </c>
      <c r="BC27" s="61">
        <v>0</v>
      </c>
      <c r="BD27" s="54">
        <v>0</v>
      </c>
      <c r="BE27" s="57">
        <f t="shared" si="1"/>
        <v>0</v>
      </c>
    </row>
    <row r="28" spans="1:57" x14ac:dyDescent="0.35">
      <c r="A28" s="42" t="s">
        <v>135</v>
      </c>
      <c r="B28" s="27" t="s">
        <v>136</v>
      </c>
      <c r="C28" s="28">
        <v>-1354</v>
      </c>
      <c r="D28" s="29">
        <v>-1354</v>
      </c>
      <c r="E28" s="30">
        <f t="shared" si="0"/>
        <v>0</v>
      </c>
      <c r="F28" s="37" t="s">
        <v>135</v>
      </c>
      <c r="G28" s="32" t="s">
        <v>136</v>
      </c>
      <c r="H28" s="33">
        <v>-1279404</v>
      </c>
      <c r="I28" s="34">
        <v>-1279404</v>
      </c>
      <c r="J28" s="35">
        <f t="shared" si="2"/>
        <v>0</v>
      </c>
      <c r="K28" s="42" t="s">
        <v>135</v>
      </c>
      <c r="L28" s="36" t="s">
        <v>137</v>
      </c>
      <c r="M28" s="28">
        <v>59341</v>
      </c>
      <c r="N28" s="29">
        <v>59341</v>
      </c>
      <c r="O28" s="30">
        <f t="shared" si="3"/>
        <v>0</v>
      </c>
      <c r="P28" s="37" t="s">
        <v>135</v>
      </c>
      <c r="Q28" s="38" t="s">
        <v>138</v>
      </c>
      <c r="R28" s="39">
        <v>-709</v>
      </c>
      <c r="S28" s="40">
        <f t="shared" si="4"/>
        <v>-709</v>
      </c>
      <c r="T28" s="41">
        <f t="shared" si="5"/>
        <v>0</v>
      </c>
      <c r="U28" s="42" t="s">
        <v>135</v>
      </c>
      <c r="V28" s="43" t="s">
        <v>138</v>
      </c>
      <c r="W28" s="44">
        <v>128528</v>
      </c>
      <c r="X28" s="44">
        <f t="shared" si="6"/>
        <v>128528</v>
      </c>
      <c r="Y28" s="45">
        <f t="shared" si="7"/>
        <v>0</v>
      </c>
      <c r="Z28" s="37" t="s">
        <v>135</v>
      </c>
      <c r="AA28" s="38" t="s">
        <v>138</v>
      </c>
      <c r="AB28" s="46">
        <v>900204</v>
      </c>
      <c r="AC28" s="47">
        <v>900204</v>
      </c>
      <c r="AD28" s="41">
        <f t="shared" si="8"/>
        <v>0</v>
      </c>
      <c r="AE28" s="42" t="s">
        <v>135</v>
      </c>
      <c r="AF28" s="43" t="s">
        <v>138</v>
      </c>
      <c r="AG28" s="48">
        <v>-950</v>
      </c>
      <c r="AH28" s="48">
        <v>-950</v>
      </c>
      <c r="AI28" s="45">
        <f t="shared" si="9"/>
        <v>0</v>
      </c>
      <c r="AJ28" s="37" t="s">
        <v>135</v>
      </c>
      <c r="AK28" s="38" t="s">
        <v>138</v>
      </c>
      <c r="AL28" s="49">
        <v>0</v>
      </c>
      <c r="AM28" s="49">
        <v>0</v>
      </c>
      <c r="AN28" s="41">
        <f t="shared" si="10"/>
        <v>0</v>
      </c>
      <c r="AO28" s="42" t="s">
        <v>135</v>
      </c>
      <c r="AP28" s="43" t="s">
        <v>138</v>
      </c>
      <c r="AQ28" s="50">
        <v>0</v>
      </c>
      <c r="AR28" s="50">
        <v>0</v>
      </c>
      <c r="AS28" s="45">
        <f t="shared" si="11"/>
        <v>0</v>
      </c>
      <c r="AT28" s="37" t="s">
        <v>135</v>
      </c>
      <c r="AU28" s="38" t="s">
        <v>139</v>
      </c>
      <c r="AV28" s="51">
        <v>106933</v>
      </c>
      <c r="AW28" s="51">
        <v>106933</v>
      </c>
      <c r="AX28" s="41">
        <f t="shared" si="12"/>
        <v>0</v>
      </c>
      <c r="AY28" s="52" t="s">
        <v>135</v>
      </c>
      <c r="AZ28" s="53">
        <v>471464</v>
      </c>
      <c r="BA28" s="47">
        <v>471464</v>
      </c>
      <c r="BB28" s="55">
        <f t="shared" si="13"/>
        <v>0</v>
      </c>
      <c r="BC28" s="61">
        <v>417099</v>
      </c>
      <c r="BD28" s="47">
        <v>417099</v>
      </c>
      <c r="BE28" s="57">
        <f t="shared" si="1"/>
        <v>0</v>
      </c>
    </row>
    <row r="29" spans="1:57" x14ac:dyDescent="0.35">
      <c r="A29" s="42" t="s">
        <v>140</v>
      </c>
      <c r="B29" s="27" t="s">
        <v>141</v>
      </c>
      <c r="C29" s="28">
        <v>376214</v>
      </c>
      <c r="D29" s="29">
        <v>376214</v>
      </c>
      <c r="E29" s="30">
        <f t="shared" si="0"/>
        <v>0</v>
      </c>
      <c r="F29" s="37" t="s">
        <v>140</v>
      </c>
      <c r="G29" s="32" t="s">
        <v>141</v>
      </c>
      <c r="H29" s="33">
        <v>1461285</v>
      </c>
      <c r="I29" s="34">
        <v>1461285</v>
      </c>
      <c r="J29" s="35">
        <f t="shared" si="2"/>
        <v>0</v>
      </c>
      <c r="K29" s="42" t="s">
        <v>140</v>
      </c>
      <c r="L29" s="36" t="s">
        <v>142</v>
      </c>
      <c r="M29" s="28">
        <v>466361</v>
      </c>
      <c r="N29" s="29">
        <v>466361</v>
      </c>
      <c r="O29" s="30">
        <f t="shared" si="3"/>
        <v>0</v>
      </c>
      <c r="P29" s="37" t="s">
        <v>140</v>
      </c>
      <c r="Q29" s="38" t="s">
        <v>143</v>
      </c>
      <c r="R29" s="39">
        <v>667357</v>
      </c>
      <c r="S29" s="40">
        <f t="shared" si="4"/>
        <v>667357</v>
      </c>
      <c r="T29" s="65">
        <f t="shared" si="5"/>
        <v>0</v>
      </c>
      <c r="U29" s="42" t="s">
        <v>140</v>
      </c>
      <c r="V29" s="43" t="s">
        <v>143</v>
      </c>
      <c r="W29" s="44">
        <v>0</v>
      </c>
      <c r="X29" s="44">
        <f t="shared" si="6"/>
        <v>0</v>
      </c>
      <c r="Y29" s="45">
        <f t="shared" si="7"/>
        <v>0</v>
      </c>
      <c r="Z29" s="37" t="s">
        <v>140</v>
      </c>
      <c r="AA29" s="38" t="s">
        <v>143</v>
      </c>
      <c r="AB29" s="46">
        <v>322190</v>
      </c>
      <c r="AC29" s="47">
        <v>300197</v>
      </c>
      <c r="AD29" s="65">
        <f t="shared" si="8"/>
        <v>21993</v>
      </c>
      <c r="AE29" s="42" t="s">
        <v>140</v>
      </c>
      <c r="AF29" s="43" t="s">
        <v>143</v>
      </c>
      <c r="AG29" s="48">
        <v>2090842</v>
      </c>
      <c r="AH29" s="48">
        <v>2090842</v>
      </c>
      <c r="AI29" s="45">
        <f t="shared" si="9"/>
        <v>0</v>
      </c>
      <c r="AJ29" s="37" t="s">
        <v>140</v>
      </c>
      <c r="AK29" s="38" t="s">
        <v>143</v>
      </c>
      <c r="AL29" s="49">
        <v>1343757</v>
      </c>
      <c r="AM29" s="49">
        <v>1343757</v>
      </c>
      <c r="AN29" s="41">
        <f t="shared" si="10"/>
        <v>0</v>
      </c>
      <c r="AO29" s="42" t="s">
        <v>140</v>
      </c>
      <c r="AP29" s="43" t="s">
        <v>143</v>
      </c>
      <c r="AQ29" s="50">
        <v>1343757</v>
      </c>
      <c r="AR29" s="50">
        <v>1343757</v>
      </c>
      <c r="AS29" s="45">
        <f t="shared" si="11"/>
        <v>0</v>
      </c>
      <c r="AT29" s="37" t="s">
        <v>140</v>
      </c>
      <c r="AU29" s="38" t="s">
        <v>144</v>
      </c>
      <c r="AV29" s="64">
        <v>-16255</v>
      </c>
      <c r="AW29" s="64">
        <v>-16255</v>
      </c>
      <c r="AX29" s="41">
        <f t="shared" si="12"/>
        <v>0</v>
      </c>
      <c r="AY29" s="52" t="s">
        <v>140</v>
      </c>
      <c r="AZ29" s="53">
        <v>0</v>
      </c>
      <c r="BA29" s="54">
        <v>0</v>
      </c>
      <c r="BB29" s="55">
        <f t="shared" si="13"/>
        <v>0</v>
      </c>
      <c r="BC29" s="61">
        <v>0</v>
      </c>
      <c r="BD29" s="54">
        <v>0</v>
      </c>
      <c r="BE29" s="57">
        <f t="shared" si="1"/>
        <v>0</v>
      </c>
    </row>
    <row r="30" spans="1:57" x14ac:dyDescent="0.35">
      <c r="A30" s="42" t="s">
        <v>145</v>
      </c>
      <c r="B30" s="27" t="s">
        <v>146</v>
      </c>
      <c r="C30" s="28">
        <v>-90</v>
      </c>
      <c r="D30" s="29">
        <v>-90</v>
      </c>
      <c r="E30" s="30">
        <f t="shared" si="0"/>
        <v>0</v>
      </c>
      <c r="F30" s="37" t="s">
        <v>145</v>
      </c>
      <c r="G30" s="32" t="s">
        <v>146</v>
      </c>
      <c r="H30" s="33">
        <v>835894</v>
      </c>
      <c r="I30" s="58">
        <v>835894</v>
      </c>
      <c r="J30" s="35">
        <f t="shared" si="2"/>
        <v>0</v>
      </c>
      <c r="K30" s="42" t="s">
        <v>145</v>
      </c>
      <c r="L30" s="36" t="s">
        <v>147</v>
      </c>
      <c r="M30" s="28">
        <v>-53</v>
      </c>
      <c r="N30" s="59">
        <v>-53</v>
      </c>
      <c r="O30" s="30">
        <f t="shared" si="3"/>
        <v>0</v>
      </c>
      <c r="P30" s="37" t="s">
        <v>145</v>
      </c>
      <c r="Q30" s="38" t="s">
        <v>148</v>
      </c>
      <c r="R30" s="39">
        <v>0</v>
      </c>
      <c r="S30" s="40">
        <f t="shared" si="4"/>
        <v>0</v>
      </c>
      <c r="T30" s="41">
        <f t="shared" si="5"/>
        <v>0</v>
      </c>
      <c r="U30" s="42" t="s">
        <v>145</v>
      </c>
      <c r="V30" s="43" t="s">
        <v>148</v>
      </c>
      <c r="W30" s="44">
        <v>0</v>
      </c>
      <c r="X30" s="44">
        <f t="shared" si="6"/>
        <v>0</v>
      </c>
      <c r="Y30" s="45">
        <f t="shared" si="7"/>
        <v>0</v>
      </c>
      <c r="Z30" s="37" t="s">
        <v>145</v>
      </c>
      <c r="AA30" s="38" t="s">
        <v>148</v>
      </c>
      <c r="AB30" s="46">
        <v>0</v>
      </c>
      <c r="AC30" s="54">
        <v>0</v>
      </c>
      <c r="AD30" s="41">
        <f t="shared" si="8"/>
        <v>0</v>
      </c>
      <c r="AE30" s="42" t="s">
        <v>145</v>
      </c>
      <c r="AF30" s="43" t="s">
        <v>148</v>
      </c>
      <c r="AG30" s="48">
        <v>0</v>
      </c>
      <c r="AH30" s="48">
        <v>0</v>
      </c>
      <c r="AI30" s="45">
        <f t="shared" si="9"/>
        <v>0</v>
      </c>
      <c r="AJ30" s="37" t="s">
        <v>145</v>
      </c>
      <c r="AK30" s="38" t="s">
        <v>148</v>
      </c>
      <c r="AL30" s="49">
        <v>0</v>
      </c>
      <c r="AM30" s="49">
        <v>0</v>
      </c>
      <c r="AN30" s="41">
        <f t="shared" si="10"/>
        <v>0</v>
      </c>
      <c r="AO30" s="42" t="s">
        <v>145</v>
      </c>
      <c r="AP30" s="43" t="s">
        <v>148</v>
      </c>
      <c r="AQ30" s="50">
        <v>0</v>
      </c>
      <c r="AR30" s="50">
        <v>0</v>
      </c>
      <c r="AS30" s="45">
        <f t="shared" si="11"/>
        <v>0</v>
      </c>
      <c r="AT30" s="37" t="s">
        <v>145</v>
      </c>
      <c r="AU30" s="38" t="s">
        <v>149</v>
      </c>
      <c r="AV30" s="51">
        <v>0</v>
      </c>
      <c r="AW30" s="51">
        <v>0</v>
      </c>
      <c r="AX30" s="41">
        <f t="shared" si="12"/>
        <v>0</v>
      </c>
      <c r="AY30" s="52" t="s">
        <v>145</v>
      </c>
      <c r="AZ30" s="53">
        <v>0</v>
      </c>
      <c r="BA30" s="54">
        <v>0</v>
      </c>
      <c r="BB30" s="55">
        <f t="shared" si="13"/>
        <v>0</v>
      </c>
      <c r="BC30" s="61">
        <v>0</v>
      </c>
      <c r="BD30" s="54">
        <v>0</v>
      </c>
      <c r="BE30" s="57">
        <f t="shared" si="1"/>
        <v>0</v>
      </c>
    </row>
    <row r="31" spans="1:57" x14ac:dyDescent="0.35">
      <c r="A31" s="42" t="s">
        <v>150</v>
      </c>
      <c r="B31" s="27" t="s">
        <v>151</v>
      </c>
      <c r="C31" s="28">
        <v>-9415</v>
      </c>
      <c r="D31" s="29">
        <v>-9415</v>
      </c>
      <c r="E31" s="30">
        <f t="shared" si="0"/>
        <v>0</v>
      </c>
      <c r="F31" s="37" t="s">
        <v>150</v>
      </c>
      <c r="G31" s="32" t="s">
        <v>151</v>
      </c>
      <c r="H31" s="33">
        <v>0</v>
      </c>
      <c r="I31" s="58">
        <v>0</v>
      </c>
      <c r="J31" s="35">
        <f t="shared" si="2"/>
        <v>0</v>
      </c>
      <c r="K31" s="42" t="s">
        <v>150</v>
      </c>
      <c r="L31" s="36" t="s">
        <v>152</v>
      </c>
      <c r="M31" s="28">
        <v>0</v>
      </c>
      <c r="N31" s="59">
        <v>0</v>
      </c>
      <c r="O31" s="30">
        <f t="shared" si="3"/>
        <v>0</v>
      </c>
      <c r="P31" s="37" t="s">
        <v>150</v>
      </c>
      <c r="Q31" s="38" t="s">
        <v>153</v>
      </c>
      <c r="R31" s="39">
        <v>0</v>
      </c>
      <c r="S31" s="40">
        <f t="shared" si="4"/>
        <v>0</v>
      </c>
      <c r="T31" s="41">
        <f t="shared" si="5"/>
        <v>0</v>
      </c>
      <c r="U31" s="42" t="s">
        <v>150</v>
      </c>
      <c r="V31" s="43" t="s">
        <v>153</v>
      </c>
      <c r="W31" s="44">
        <v>0</v>
      </c>
      <c r="X31" s="44">
        <f t="shared" si="6"/>
        <v>0</v>
      </c>
      <c r="Y31" s="45">
        <f t="shared" si="7"/>
        <v>0</v>
      </c>
      <c r="Z31" s="37" t="s">
        <v>150</v>
      </c>
      <c r="AA31" s="38" t="s">
        <v>153</v>
      </c>
      <c r="AB31" s="46">
        <v>1422238</v>
      </c>
      <c r="AC31" s="47">
        <v>1422238</v>
      </c>
      <c r="AD31" s="41">
        <f t="shared" si="8"/>
        <v>0</v>
      </c>
      <c r="AE31" s="42" t="s">
        <v>150</v>
      </c>
      <c r="AF31" s="43" t="s">
        <v>153</v>
      </c>
      <c r="AG31" s="48">
        <v>0</v>
      </c>
      <c r="AH31" s="48">
        <v>0</v>
      </c>
      <c r="AI31" s="45">
        <f t="shared" si="9"/>
        <v>0</v>
      </c>
      <c r="AJ31" s="37" t="s">
        <v>150</v>
      </c>
      <c r="AK31" s="38" t="s">
        <v>153</v>
      </c>
      <c r="AL31" s="49">
        <v>1945011</v>
      </c>
      <c r="AM31" s="49">
        <v>1945011</v>
      </c>
      <c r="AN31" s="41">
        <f t="shared" si="10"/>
        <v>0</v>
      </c>
      <c r="AO31" s="42" t="s">
        <v>150</v>
      </c>
      <c r="AP31" s="43" t="s">
        <v>153</v>
      </c>
      <c r="AQ31" s="50">
        <v>1945011</v>
      </c>
      <c r="AR31" s="50">
        <v>1945011</v>
      </c>
      <c r="AS31" s="45">
        <f t="shared" si="11"/>
        <v>0</v>
      </c>
      <c r="AT31" s="37" t="s">
        <v>150</v>
      </c>
      <c r="AU31" s="38" t="s">
        <v>153</v>
      </c>
      <c r="AV31" s="51">
        <v>770032</v>
      </c>
      <c r="AW31" s="51">
        <v>770032</v>
      </c>
      <c r="AX31" s="41">
        <f t="shared" si="12"/>
        <v>0</v>
      </c>
      <c r="AY31" s="52" t="s">
        <v>150</v>
      </c>
      <c r="AZ31" s="53">
        <v>0</v>
      </c>
      <c r="BA31" s="54">
        <v>0</v>
      </c>
      <c r="BB31" s="55">
        <f t="shared" si="13"/>
        <v>0</v>
      </c>
      <c r="BC31" s="61">
        <v>0</v>
      </c>
      <c r="BD31" s="54">
        <v>0</v>
      </c>
      <c r="BE31" s="57">
        <f t="shared" si="1"/>
        <v>0</v>
      </c>
    </row>
    <row r="32" spans="1:57" x14ac:dyDescent="0.35">
      <c r="A32" s="42" t="s">
        <v>154</v>
      </c>
      <c r="B32" s="27" t="s">
        <v>155</v>
      </c>
      <c r="C32" s="28">
        <v>0</v>
      </c>
      <c r="D32" s="29">
        <v>0</v>
      </c>
      <c r="E32" s="30"/>
      <c r="F32" s="37" t="s">
        <v>154</v>
      </c>
      <c r="G32" s="32" t="s">
        <v>155</v>
      </c>
      <c r="H32" s="33">
        <v>0</v>
      </c>
      <c r="I32" s="58">
        <v>0</v>
      </c>
      <c r="J32" s="35">
        <f t="shared" si="2"/>
        <v>0</v>
      </c>
      <c r="K32" s="42" t="s">
        <v>154</v>
      </c>
      <c r="L32" s="36" t="s">
        <v>156</v>
      </c>
      <c r="M32" s="28">
        <v>0</v>
      </c>
      <c r="N32" s="59">
        <v>0</v>
      </c>
      <c r="O32" s="30">
        <f t="shared" si="3"/>
        <v>0</v>
      </c>
      <c r="P32" s="37" t="s">
        <v>154</v>
      </c>
      <c r="Q32" s="38" t="s">
        <v>157</v>
      </c>
      <c r="R32" s="40">
        <v>0</v>
      </c>
      <c r="S32" s="66">
        <v>0</v>
      </c>
      <c r="T32" s="5">
        <v>0</v>
      </c>
      <c r="U32" s="42" t="s">
        <v>154</v>
      </c>
      <c r="V32" s="67" t="s">
        <v>157</v>
      </c>
      <c r="W32" s="44">
        <v>0</v>
      </c>
      <c r="X32" s="68">
        <v>0</v>
      </c>
      <c r="Y32" s="7">
        <v>0</v>
      </c>
      <c r="Z32" s="37" t="s">
        <v>154</v>
      </c>
      <c r="AA32" s="69" t="s">
        <v>157</v>
      </c>
      <c r="AB32" s="46">
        <v>0</v>
      </c>
      <c r="AC32" s="54">
        <v>0</v>
      </c>
      <c r="AD32" s="5">
        <v>0</v>
      </c>
      <c r="AE32" s="42" t="s">
        <v>154</v>
      </c>
      <c r="AF32" s="43" t="s">
        <v>157</v>
      </c>
      <c r="AG32" s="70">
        <v>0</v>
      </c>
      <c r="AH32" s="70">
        <v>0</v>
      </c>
      <c r="AI32" s="71">
        <v>0</v>
      </c>
      <c r="AJ32" s="37" t="s">
        <v>154</v>
      </c>
      <c r="AK32" s="38" t="s">
        <v>157</v>
      </c>
      <c r="AL32" s="49">
        <v>0</v>
      </c>
      <c r="AM32" s="49">
        <v>0</v>
      </c>
      <c r="AN32" s="72">
        <v>0</v>
      </c>
      <c r="AO32" s="42" t="s">
        <v>154</v>
      </c>
      <c r="AP32" s="43" t="s">
        <v>157</v>
      </c>
      <c r="AQ32" s="50">
        <v>0</v>
      </c>
      <c r="AR32" s="50">
        <v>0</v>
      </c>
      <c r="AS32" s="71">
        <v>0</v>
      </c>
      <c r="AT32" s="37" t="s">
        <v>154</v>
      </c>
      <c r="AU32" s="38" t="s">
        <v>157</v>
      </c>
      <c r="AV32" s="72"/>
      <c r="AW32" s="73"/>
      <c r="AX32" s="72"/>
      <c r="AY32" s="74" t="s">
        <v>154</v>
      </c>
      <c r="AZ32" s="53">
        <v>0</v>
      </c>
      <c r="BA32" s="54">
        <v>0</v>
      </c>
      <c r="BB32" s="55">
        <f t="shared" si="13"/>
        <v>0</v>
      </c>
      <c r="BC32" s="61">
        <v>0</v>
      </c>
      <c r="BD32" s="54">
        <v>0</v>
      </c>
      <c r="BE32" s="57">
        <f t="shared" si="1"/>
        <v>0</v>
      </c>
    </row>
    <row r="33" spans="1:59" ht="15" thickBot="1" x14ac:dyDescent="0.4">
      <c r="A33" s="75"/>
      <c r="B33" s="76"/>
      <c r="C33" s="77"/>
      <c r="D33" s="78"/>
      <c r="E33" s="79"/>
      <c r="F33" s="80"/>
      <c r="G33" s="81"/>
      <c r="H33" s="82"/>
      <c r="I33" s="83"/>
      <c r="J33" s="84"/>
      <c r="K33" s="75"/>
      <c r="L33" s="85"/>
      <c r="M33" s="77"/>
      <c r="N33" s="86"/>
      <c r="O33" s="79"/>
      <c r="P33" s="80"/>
      <c r="Q33" s="69"/>
      <c r="R33" s="87"/>
      <c r="S33" s="88"/>
      <c r="T33" s="5"/>
      <c r="U33" s="75"/>
      <c r="V33" s="67"/>
      <c r="W33" s="44"/>
      <c r="X33" s="68"/>
      <c r="Y33" s="7"/>
      <c r="Z33" s="80"/>
      <c r="AA33" s="69"/>
      <c r="AB33" s="46"/>
      <c r="AC33" s="54"/>
      <c r="AD33" s="5"/>
      <c r="AE33" s="7"/>
      <c r="AF33" s="89" t="s">
        <v>158</v>
      </c>
      <c r="AG33" s="90"/>
      <c r="AH33" s="90"/>
      <c r="AI33" s="91"/>
      <c r="AJ33" s="5"/>
      <c r="AK33" s="92"/>
      <c r="AL33" s="93"/>
      <c r="AM33" s="93"/>
      <c r="AN33" s="94"/>
      <c r="AO33" s="7"/>
      <c r="AP33" s="89"/>
      <c r="AQ33" s="90"/>
      <c r="AR33" s="90"/>
      <c r="AS33" s="91"/>
      <c r="AT33" s="5"/>
      <c r="AU33" s="92"/>
      <c r="AV33" s="95"/>
      <c r="AW33" s="95"/>
      <c r="AX33" s="94"/>
      <c r="AY33" s="96"/>
      <c r="AZ33" s="97"/>
      <c r="BA33" s="47"/>
      <c r="BB33" s="98"/>
      <c r="BC33" s="97"/>
      <c r="BD33" s="99">
        <f>SUM(BD4:BD32)</f>
        <v>2201047</v>
      </c>
      <c r="BE33" s="99">
        <f>SUM(BE4:BE32)</f>
        <v>2476</v>
      </c>
      <c r="BF33" s="100" t="s">
        <v>159</v>
      </c>
    </row>
    <row r="34" spans="1:59" s="109" customFormat="1" ht="15" thickTop="1" x14ac:dyDescent="0.35">
      <c r="A34" s="101" t="s">
        <v>160</v>
      </c>
      <c r="B34" s="102" t="s">
        <v>158</v>
      </c>
      <c r="C34" s="103">
        <f>SUM(C4:C32)</f>
        <v>3339078</v>
      </c>
      <c r="D34" s="103">
        <f>SUM(D4:D32)</f>
        <v>3339078</v>
      </c>
      <c r="E34" s="103">
        <f>SUM(E4:E32)</f>
        <v>0</v>
      </c>
      <c r="F34" s="104"/>
      <c r="G34" s="102" t="s">
        <v>158</v>
      </c>
      <c r="H34" s="103">
        <f>SUM(H4:H32)</f>
        <v>10014493</v>
      </c>
      <c r="I34" s="103">
        <f>SUM(I4:I32)</f>
        <v>9998199</v>
      </c>
      <c r="J34" s="103">
        <f>SUM(J4:J32)</f>
        <v>16294</v>
      </c>
      <c r="K34" s="104"/>
      <c r="L34" s="102" t="s">
        <v>158</v>
      </c>
      <c r="M34" s="105">
        <v>-503652</v>
      </c>
      <c r="N34" s="106">
        <v>7611797</v>
      </c>
      <c r="O34" s="107">
        <f t="shared" si="3"/>
        <v>-8115449</v>
      </c>
      <c r="P34" s="104"/>
      <c r="Q34" s="102" t="s">
        <v>158</v>
      </c>
      <c r="R34" s="108">
        <f>SUM(R4:R31)</f>
        <v>7521880</v>
      </c>
      <c r="S34" s="108">
        <f t="shared" ref="S34:BC34" si="14">SUM(S4:S31)</f>
        <v>7521880</v>
      </c>
      <c r="T34" s="108">
        <f t="shared" si="14"/>
        <v>0</v>
      </c>
      <c r="U34" s="108">
        <f t="shared" si="14"/>
        <v>0</v>
      </c>
      <c r="V34" s="108">
        <f t="shared" si="14"/>
        <v>0</v>
      </c>
      <c r="W34" s="108">
        <f t="shared" si="14"/>
        <v>4113100</v>
      </c>
      <c r="X34" s="108">
        <f t="shared" si="14"/>
        <v>4113100</v>
      </c>
      <c r="Y34" s="108">
        <f t="shared" si="14"/>
        <v>0</v>
      </c>
      <c r="Z34" s="108">
        <f t="shared" si="14"/>
        <v>0</v>
      </c>
      <c r="AA34" s="108">
        <f t="shared" si="14"/>
        <v>0</v>
      </c>
      <c r="AB34" s="108">
        <f t="shared" si="14"/>
        <v>7121012</v>
      </c>
      <c r="AC34" s="108">
        <f t="shared" si="14"/>
        <v>7098960</v>
      </c>
      <c r="AD34" s="108">
        <f t="shared" si="14"/>
        <v>22052</v>
      </c>
      <c r="AE34" s="108">
        <f t="shared" si="14"/>
        <v>0</v>
      </c>
      <c r="AF34" s="108">
        <f t="shared" si="14"/>
        <v>0</v>
      </c>
      <c r="AG34" s="108">
        <f t="shared" si="14"/>
        <v>5706030</v>
      </c>
      <c r="AH34" s="108">
        <f t="shared" si="14"/>
        <v>5706030</v>
      </c>
      <c r="AI34" s="108">
        <f t="shared" si="14"/>
        <v>0</v>
      </c>
      <c r="AJ34" s="108">
        <f t="shared" si="14"/>
        <v>0</v>
      </c>
      <c r="AK34" s="108">
        <f t="shared" si="14"/>
        <v>0</v>
      </c>
      <c r="AL34" s="108">
        <f t="shared" si="14"/>
        <v>5729801</v>
      </c>
      <c r="AM34" s="108">
        <f t="shared" si="14"/>
        <v>5729801</v>
      </c>
      <c r="AN34" s="108">
        <f t="shared" si="14"/>
        <v>0</v>
      </c>
      <c r="AO34" s="108">
        <f t="shared" si="14"/>
        <v>0</v>
      </c>
      <c r="AP34" s="108">
        <f t="shared" si="14"/>
        <v>0</v>
      </c>
      <c r="AQ34" s="108">
        <f t="shared" si="14"/>
        <v>5729801</v>
      </c>
      <c r="AR34" s="108">
        <f t="shared" si="14"/>
        <v>5729801</v>
      </c>
      <c r="AS34" s="108">
        <f t="shared" si="14"/>
        <v>0</v>
      </c>
      <c r="AT34" s="108">
        <f t="shared" si="14"/>
        <v>0</v>
      </c>
      <c r="AU34" s="108">
        <f t="shared" si="14"/>
        <v>0</v>
      </c>
      <c r="AV34" s="108">
        <f t="shared" si="14"/>
        <v>-838203</v>
      </c>
      <c r="AW34" s="108">
        <f t="shared" si="14"/>
        <v>-838203</v>
      </c>
      <c r="AX34" s="108">
        <f t="shared" si="14"/>
        <v>0</v>
      </c>
      <c r="AY34" s="108">
        <f t="shared" si="14"/>
        <v>0</v>
      </c>
      <c r="AZ34" s="108">
        <f t="shared" si="14"/>
        <v>3676439</v>
      </c>
      <c r="BA34" s="108">
        <f t="shared" si="14"/>
        <v>3673963</v>
      </c>
      <c r="BB34" s="108">
        <f t="shared" si="14"/>
        <v>2476</v>
      </c>
      <c r="BC34" s="108">
        <f t="shared" si="14"/>
        <v>2203523</v>
      </c>
      <c r="BF34" s="110">
        <f>(C34+H34+M34+R34+W34+AB34+AG34+AL34+AQ34+AV34+AZ34+BC34)/12</f>
        <v>4484441.833333333</v>
      </c>
    </row>
    <row r="35" spans="1:59" x14ac:dyDescent="0.35">
      <c r="A35" s="111" t="s">
        <v>161</v>
      </c>
      <c r="B35" s="112" t="s">
        <v>162</v>
      </c>
      <c r="C35" s="113">
        <v>37511649</v>
      </c>
      <c r="D35" s="113">
        <v>0</v>
      </c>
      <c r="E35" s="114"/>
      <c r="F35" s="111"/>
      <c r="G35" s="112" t="s">
        <v>162</v>
      </c>
      <c r="H35" s="113">
        <v>34276752</v>
      </c>
      <c r="I35" s="113">
        <v>503652</v>
      </c>
      <c r="J35" s="114"/>
      <c r="K35" s="72"/>
      <c r="L35" s="115"/>
      <c r="M35" s="49">
        <v>34934183</v>
      </c>
      <c r="N35" s="49"/>
      <c r="O35" s="41"/>
      <c r="P35" s="72"/>
      <c r="Q35" s="115"/>
      <c r="R35" s="49">
        <v>50363418</v>
      </c>
      <c r="S35" s="49"/>
      <c r="T35" s="41"/>
      <c r="U35" s="72"/>
      <c r="V35" s="115"/>
      <c r="W35" s="49">
        <v>34498288</v>
      </c>
      <c r="X35" s="49"/>
      <c r="Y35" s="41"/>
      <c r="Z35" s="72"/>
      <c r="AA35" s="115"/>
      <c r="AB35" s="49">
        <v>51976752</v>
      </c>
      <c r="AC35" s="49"/>
      <c r="AD35" s="41"/>
      <c r="AE35" s="72"/>
      <c r="AF35" s="115" t="s">
        <v>162</v>
      </c>
      <c r="AG35" s="49">
        <v>35807963</v>
      </c>
      <c r="AH35" s="49">
        <v>503652</v>
      </c>
      <c r="AI35" s="41"/>
      <c r="AJ35" s="72"/>
      <c r="AK35" s="115" t="s">
        <v>162</v>
      </c>
      <c r="AL35" s="49">
        <v>52010804</v>
      </c>
      <c r="AM35" s="49">
        <v>503652</v>
      </c>
      <c r="AN35" s="41"/>
      <c r="AO35" s="72"/>
      <c r="AP35" s="72"/>
      <c r="AQ35" s="72">
        <v>38837397</v>
      </c>
      <c r="AR35" s="72"/>
      <c r="AS35" s="72"/>
      <c r="AT35" s="72"/>
      <c r="AU35" s="72"/>
      <c r="AV35" s="72">
        <v>28773246</v>
      </c>
      <c r="AW35" s="72"/>
      <c r="AX35" s="72"/>
      <c r="AY35" s="72"/>
      <c r="AZ35" s="72">
        <v>27272657</v>
      </c>
      <c r="BA35" s="72"/>
      <c r="BB35" s="72"/>
      <c r="BC35" s="72">
        <v>25907273</v>
      </c>
      <c r="BF35" s="110">
        <f>(C35+H35+M35+R35+W35+AB35+AG35+AL35+AQ35+AV35+AZ35+BC35)/12</f>
        <v>37680865.166666664</v>
      </c>
      <c r="BG35" s="116">
        <f>SUM(C35:BC35)</f>
        <v>453681338</v>
      </c>
    </row>
    <row r="36" spans="1:59" x14ac:dyDescent="0.35">
      <c r="A36" s="101" t="s">
        <v>163</v>
      </c>
      <c r="B36" s="104"/>
      <c r="C36" s="117">
        <f>C35-C34</f>
        <v>34172571</v>
      </c>
      <c r="D36" s="117">
        <f t="shared" ref="D36:BE36" si="15">D35-D34</f>
        <v>-3339078</v>
      </c>
      <c r="E36" s="117">
        <f t="shared" si="15"/>
        <v>0</v>
      </c>
      <c r="F36" s="117">
        <f t="shared" si="15"/>
        <v>0</v>
      </c>
      <c r="G36" s="117" t="e">
        <f t="shared" si="15"/>
        <v>#VALUE!</v>
      </c>
      <c r="H36" s="117">
        <f t="shared" si="15"/>
        <v>24262259</v>
      </c>
      <c r="I36" s="117">
        <f t="shared" si="15"/>
        <v>-9494547</v>
      </c>
      <c r="J36" s="117">
        <f t="shared" si="15"/>
        <v>-16294</v>
      </c>
      <c r="K36" s="117">
        <f t="shared" si="15"/>
        <v>0</v>
      </c>
      <c r="L36" s="117" t="e">
        <f t="shared" si="15"/>
        <v>#VALUE!</v>
      </c>
      <c r="M36" s="117">
        <f t="shared" si="15"/>
        <v>35437835</v>
      </c>
      <c r="N36" s="117">
        <f t="shared" si="15"/>
        <v>-7611797</v>
      </c>
      <c r="O36" s="117">
        <f t="shared" si="15"/>
        <v>8115449</v>
      </c>
      <c r="P36" s="117">
        <f t="shared" si="15"/>
        <v>0</v>
      </c>
      <c r="Q36" s="117" t="e">
        <f t="shared" si="15"/>
        <v>#VALUE!</v>
      </c>
      <c r="R36" s="117">
        <f t="shared" si="15"/>
        <v>42841538</v>
      </c>
      <c r="S36" s="117">
        <f t="shared" si="15"/>
        <v>-7521880</v>
      </c>
      <c r="T36" s="117">
        <f t="shared" si="15"/>
        <v>0</v>
      </c>
      <c r="U36" s="117">
        <f t="shared" si="15"/>
        <v>0</v>
      </c>
      <c r="V36" s="117">
        <f t="shared" si="15"/>
        <v>0</v>
      </c>
      <c r="W36" s="117">
        <f t="shared" si="15"/>
        <v>30385188</v>
      </c>
      <c r="X36" s="117">
        <f t="shared" si="15"/>
        <v>-4113100</v>
      </c>
      <c r="Y36" s="117">
        <f t="shared" si="15"/>
        <v>0</v>
      </c>
      <c r="Z36" s="117">
        <f t="shared" si="15"/>
        <v>0</v>
      </c>
      <c r="AA36" s="117">
        <f t="shared" si="15"/>
        <v>0</v>
      </c>
      <c r="AB36" s="117">
        <f t="shared" si="15"/>
        <v>44855740</v>
      </c>
      <c r="AC36" s="117">
        <f t="shared" si="15"/>
        <v>-7098960</v>
      </c>
      <c r="AD36" s="117">
        <f t="shared" si="15"/>
        <v>-22052</v>
      </c>
      <c r="AE36" s="117">
        <f t="shared" si="15"/>
        <v>0</v>
      </c>
      <c r="AF36" s="117" t="e">
        <f t="shared" si="15"/>
        <v>#VALUE!</v>
      </c>
      <c r="AG36" s="117">
        <f t="shared" si="15"/>
        <v>30101933</v>
      </c>
      <c r="AH36" s="117">
        <f t="shared" si="15"/>
        <v>-5202378</v>
      </c>
      <c r="AI36" s="117">
        <f t="shared" si="15"/>
        <v>0</v>
      </c>
      <c r="AJ36" s="117">
        <f t="shared" si="15"/>
        <v>0</v>
      </c>
      <c r="AK36" s="117" t="e">
        <f t="shared" si="15"/>
        <v>#VALUE!</v>
      </c>
      <c r="AL36" s="117">
        <f t="shared" si="15"/>
        <v>46281003</v>
      </c>
      <c r="AM36" s="117">
        <f t="shared" si="15"/>
        <v>-5226149</v>
      </c>
      <c r="AN36" s="117">
        <f t="shared" si="15"/>
        <v>0</v>
      </c>
      <c r="AO36" s="117">
        <f t="shared" si="15"/>
        <v>0</v>
      </c>
      <c r="AP36" s="117">
        <f t="shared" si="15"/>
        <v>0</v>
      </c>
      <c r="AQ36" s="117">
        <f t="shared" si="15"/>
        <v>33107596</v>
      </c>
      <c r="AR36" s="117">
        <f t="shared" si="15"/>
        <v>-5729801</v>
      </c>
      <c r="AS36" s="117">
        <f t="shared" si="15"/>
        <v>0</v>
      </c>
      <c r="AT36" s="117">
        <f t="shared" si="15"/>
        <v>0</v>
      </c>
      <c r="AU36" s="117">
        <f t="shared" si="15"/>
        <v>0</v>
      </c>
      <c r="AV36" s="117">
        <f t="shared" si="15"/>
        <v>29611449</v>
      </c>
      <c r="AW36" s="117">
        <f t="shared" si="15"/>
        <v>838203</v>
      </c>
      <c r="AX36" s="117">
        <f t="shared" si="15"/>
        <v>0</v>
      </c>
      <c r="AY36" s="117">
        <f t="shared" si="15"/>
        <v>0</v>
      </c>
      <c r="AZ36" s="117">
        <f t="shared" si="15"/>
        <v>23596218</v>
      </c>
      <c r="BA36" s="117">
        <f t="shared" si="15"/>
        <v>-3673963</v>
      </c>
      <c r="BB36" s="117">
        <f t="shared" si="15"/>
        <v>-2476</v>
      </c>
      <c r="BC36" s="117">
        <f t="shared" si="15"/>
        <v>23703750</v>
      </c>
      <c r="BD36" s="117">
        <f t="shared" si="15"/>
        <v>0</v>
      </c>
      <c r="BE36" s="117">
        <f t="shared" si="15"/>
        <v>0</v>
      </c>
    </row>
    <row r="37" spans="1:59" x14ac:dyDescent="0.35">
      <c r="A37" s="118" t="s">
        <v>164</v>
      </c>
      <c r="C37" s="119">
        <f>C34/C35</f>
        <v>8.9014428557912764E-2</v>
      </c>
      <c r="D37" s="119" t="e">
        <f t="shared" ref="D37:BC37" si="16">D34/D35</f>
        <v>#DIV/0!</v>
      </c>
      <c r="E37" s="119" t="e">
        <f t="shared" si="16"/>
        <v>#DIV/0!</v>
      </c>
      <c r="F37" s="119" t="e">
        <f t="shared" si="16"/>
        <v>#DIV/0!</v>
      </c>
      <c r="G37" s="119" t="e">
        <f t="shared" si="16"/>
        <v>#VALUE!</v>
      </c>
      <c r="H37" s="119">
        <f t="shared" si="16"/>
        <v>0.29216575129405492</v>
      </c>
      <c r="I37" s="119">
        <f t="shared" si="16"/>
        <v>19.851403349932095</v>
      </c>
      <c r="J37" s="119" t="e">
        <f t="shared" si="16"/>
        <v>#DIV/0!</v>
      </c>
      <c r="K37" s="119" t="e">
        <f t="shared" si="16"/>
        <v>#DIV/0!</v>
      </c>
      <c r="L37" s="119" t="e">
        <f t="shared" si="16"/>
        <v>#VALUE!</v>
      </c>
      <c r="M37" s="119">
        <f t="shared" si="16"/>
        <v>-1.4417168422115382E-2</v>
      </c>
      <c r="N37" s="119" t="e">
        <f t="shared" si="16"/>
        <v>#DIV/0!</v>
      </c>
      <c r="O37" s="119" t="e">
        <f t="shared" si="16"/>
        <v>#DIV/0!</v>
      </c>
      <c r="P37" s="119" t="e">
        <f t="shared" si="16"/>
        <v>#DIV/0!</v>
      </c>
      <c r="Q37" s="119" t="e">
        <f t="shared" si="16"/>
        <v>#VALUE!</v>
      </c>
      <c r="R37" s="119">
        <f t="shared" si="16"/>
        <v>0.14935205549393013</v>
      </c>
      <c r="S37" s="119" t="e">
        <f t="shared" si="16"/>
        <v>#DIV/0!</v>
      </c>
      <c r="T37" s="119" t="e">
        <f t="shared" si="16"/>
        <v>#DIV/0!</v>
      </c>
      <c r="U37" s="119" t="e">
        <f t="shared" si="16"/>
        <v>#DIV/0!</v>
      </c>
      <c r="V37" s="119" t="e">
        <f t="shared" si="16"/>
        <v>#DIV/0!</v>
      </c>
      <c r="W37" s="119">
        <f t="shared" si="16"/>
        <v>0.1192262062395676</v>
      </c>
      <c r="X37" s="119" t="e">
        <f t="shared" si="16"/>
        <v>#DIV/0!</v>
      </c>
      <c r="Y37" s="119" t="e">
        <f t="shared" si="16"/>
        <v>#DIV/0!</v>
      </c>
      <c r="Z37" s="119" t="e">
        <f t="shared" si="16"/>
        <v>#DIV/0!</v>
      </c>
      <c r="AA37" s="119" t="e">
        <f t="shared" si="16"/>
        <v>#DIV/0!</v>
      </c>
      <c r="AB37" s="119">
        <f t="shared" si="16"/>
        <v>0.13700378969428487</v>
      </c>
      <c r="AC37" s="119" t="e">
        <f t="shared" si="16"/>
        <v>#DIV/0!</v>
      </c>
      <c r="AD37" s="119" t="e">
        <f t="shared" si="16"/>
        <v>#DIV/0!</v>
      </c>
      <c r="AE37" s="119" t="e">
        <f t="shared" si="16"/>
        <v>#DIV/0!</v>
      </c>
      <c r="AF37" s="119" t="e">
        <f t="shared" si="16"/>
        <v>#VALUE!</v>
      </c>
      <c r="AG37" s="119">
        <f t="shared" si="16"/>
        <v>0.159350868408795</v>
      </c>
      <c r="AH37" s="119">
        <f t="shared" si="16"/>
        <v>11.329310714540993</v>
      </c>
      <c r="AI37" s="119" t="e">
        <f t="shared" si="16"/>
        <v>#DIV/0!</v>
      </c>
      <c r="AJ37" s="119" t="e">
        <f t="shared" si="16"/>
        <v>#DIV/0!</v>
      </c>
      <c r="AK37" s="119" t="e">
        <f t="shared" si="16"/>
        <v>#VALUE!</v>
      </c>
      <c r="AL37" s="119">
        <f t="shared" si="16"/>
        <v>0.11016559174897585</v>
      </c>
      <c r="AM37" s="119">
        <f t="shared" si="16"/>
        <v>11.376507985672648</v>
      </c>
      <c r="AN37" s="119" t="e">
        <f t="shared" si="16"/>
        <v>#DIV/0!</v>
      </c>
      <c r="AO37" s="119" t="e">
        <f t="shared" si="16"/>
        <v>#DIV/0!</v>
      </c>
      <c r="AP37" s="119" t="e">
        <f t="shared" si="16"/>
        <v>#DIV/0!</v>
      </c>
      <c r="AQ37" s="119">
        <f t="shared" si="16"/>
        <v>0.14753308518590985</v>
      </c>
      <c r="AR37" s="119" t="e">
        <f t="shared" si="16"/>
        <v>#DIV/0!</v>
      </c>
      <c r="AS37" s="119" t="e">
        <f t="shared" si="16"/>
        <v>#DIV/0!</v>
      </c>
      <c r="AT37" s="119" t="e">
        <f t="shared" si="16"/>
        <v>#DIV/0!</v>
      </c>
      <c r="AU37" s="119" t="e">
        <f t="shared" si="16"/>
        <v>#DIV/0!</v>
      </c>
      <c r="AV37" s="119">
        <f t="shared" si="16"/>
        <v>-2.9131332627538791E-2</v>
      </c>
      <c r="AW37" s="119" t="e">
        <f t="shared" si="16"/>
        <v>#DIV/0!</v>
      </c>
      <c r="AX37" s="119" t="e">
        <f t="shared" si="16"/>
        <v>#DIV/0!</v>
      </c>
      <c r="AY37" s="119" t="e">
        <f t="shared" si="16"/>
        <v>#DIV/0!</v>
      </c>
      <c r="AZ37" s="119">
        <f t="shared" si="16"/>
        <v>0.13480311067601516</v>
      </c>
      <c r="BA37" s="119" t="e">
        <f t="shared" si="16"/>
        <v>#DIV/0!</v>
      </c>
      <c r="BB37" s="119" t="e">
        <f t="shared" si="16"/>
        <v>#DIV/0!</v>
      </c>
      <c r="BC37" s="119">
        <f t="shared" si="16"/>
        <v>8.5054223962514316E-2</v>
      </c>
      <c r="BF37" s="120"/>
    </row>
    <row r="40" spans="1:59" x14ac:dyDescent="0.35">
      <c r="BF40" s="121">
        <f>BF34/BF35</f>
        <v>0.11901111647777055</v>
      </c>
    </row>
  </sheetData>
  <mergeCells count="12">
    <mergeCell ref="BC2:BE2"/>
    <mergeCell ref="A2:E2"/>
    <mergeCell ref="F2:J2"/>
    <mergeCell ref="K2:O2"/>
    <mergeCell ref="Q2:S2"/>
    <mergeCell ref="V2:X2"/>
    <mergeCell ref="AA2:AC2"/>
    <mergeCell ref="AF2:AH2"/>
    <mergeCell ref="AK2:AM2"/>
    <mergeCell ref="AP2:AR2"/>
    <mergeCell ref="AU2:AW2"/>
    <mergeCell ref="AY2:BB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B7713-5E46-431F-AA82-B18E7011BFBF}">
  <dimension ref="A1:CI42"/>
  <sheetViews>
    <sheetView tabSelected="1" topLeftCell="BQ37" workbookViewId="0">
      <selection activeCell="BQ14" sqref="BQ14"/>
    </sheetView>
  </sheetViews>
  <sheetFormatPr baseColWidth="10" defaultRowHeight="12" x14ac:dyDescent="0.3"/>
  <cols>
    <col min="1" max="1" width="10.90625" style="138"/>
    <col min="2" max="2" width="0" style="138" hidden="1" customWidth="1"/>
    <col min="3" max="3" width="13.1796875" style="138" hidden="1" customWidth="1"/>
    <col min="4" max="4" width="12.1796875" style="138" hidden="1" customWidth="1"/>
    <col min="5" max="5" width="0" style="138" hidden="1" customWidth="1"/>
    <col min="6" max="7" width="0" style="140" hidden="1" customWidth="1"/>
    <col min="8" max="8" width="13" style="140" hidden="1" customWidth="1"/>
    <col min="9" max="9" width="12.54296875" style="140" hidden="1" customWidth="1"/>
    <col min="10" max="10" width="0" style="140" hidden="1" customWidth="1"/>
    <col min="11" max="11" width="0" style="138" hidden="1" customWidth="1"/>
    <col min="12" max="12" width="36.1796875" style="138" hidden="1" customWidth="1"/>
    <col min="13" max="13" width="11.90625" style="138" hidden="1" customWidth="1"/>
    <col min="14" max="15" width="0" style="138" hidden="1" customWidth="1"/>
    <col min="16" max="17" width="0" style="140" hidden="1" customWidth="1"/>
    <col min="18" max="18" width="12.26953125" style="282" hidden="1" customWidth="1"/>
    <col min="19" max="20" width="0" style="140" hidden="1" customWidth="1"/>
    <col min="21" max="22" width="0" style="138" hidden="1" customWidth="1"/>
    <col min="23" max="23" width="11.6328125" style="138" hidden="1" customWidth="1"/>
    <col min="24" max="25" width="0" style="138" hidden="1" customWidth="1"/>
    <col min="26" max="27" width="0" style="140" hidden="1" customWidth="1"/>
    <col min="28" max="30" width="12" style="140" hidden="1" customWidth="1"/>
    <col min="31" max="35" width="12" style="138" hidden="1" customWidth="1"/>
    <col min="36" max="37" width="12" style="140" hidden="1" customWidth="1"/>
    <col min="38" max="38" width="12" style="140" customWidth="1"/>
    <col min="39" max="40" width="10.90625" style="140" hidden="1" customWidth="1"/>
    <col min="41" max="42" width="10.90625" style="138" hidden="1" customWidth="1"/>
    <col min="43" max="43" width="12.81640625" style="138" bestFit="1" customWidth="1"/>
    <col min="44" max="45" width="10.90625" style="138" hidden="1" customWidth="1"/>
    <col min="46" max="46" width="10.90625" style="140" hidden="1" customWidth="1"/>
    <col min="47" max="47" width="11" style="140" hidden="1" customWidth="1"/>
    <col min="48" max="48" width="10.90625" style="140"/>
    <col min="49" max="52" width="10.90625" style="140" hidden="1" customWidth="1"/>
    <col min="53" max="53" width="11.08984375" style="140" bestFit="1" customWidth="1"/>
    <col min="54" max="55" width="10.90625" style="140" hidden="1" customWidth="1"/>
    <col min="56" max="56" width="11.81640625" style="142" hidden="1" customWidth="1"/>
    <col min="57" max="57" width="10.90625" style="142" hidden="1" customWidth="1"/>
    <col min="58" max="58" width="13.08984375" style="142" customWidth="1"/>
    <col min="59" max="59" width="16.54296875" style="142" hidden="1" customWidth="1"/>
    <col min="60" max="60" width="11.6328125" style="142" hidden="1" customWidth="1"/>
    <col min="61" max="61" width="10.90625" style="140"/>
    <col min="62" max="62" width="10.90625" style="140" customWidth="1"/>
    <col min="63" max="64" width="10.90625" style="140" hidden="1" customWidth="1"/>
    <col min="65" max="65" width="10.90625" style="314"/>
    <col min="66" max="68" width="10.90625" style="140" hidden="1" customWidth="1"/>
    <col min="69" max="69" width="10.90625" style="140" customWidth="1"/>
    <col min="70" max="72" width="10.90625" style="140" hidden="1" customWidth="1"/>
    <col min="73" max="73" width="10.90625" style="140" customWidth="1"/>
    <col min="74" max="77" width="10.90625" style="140" hidden="1" customWidth="1"/>
    <col min="78" max="78" width="10.90625" style="140" customWidth="1"/>
    <col min="79" max="82" width="10.90625" style="140" hidden="1" customWidth="1"/>
    <col min="83" max="83" width="10.90625" style="314" customWidth="1"/>
    <col min="84" max="261" width="10.90625" style="140"/>
    <col min="262" max="262" width="0" style="140" hidden="1" customWidth="1"/>
    <col min="263" max="263" width="13" style="140" bestFit="1" customWidth="1"/>
    <col min="264" max="267" width="0" style="140" hidden="1" customWidth="1"/>
    <col min="268" max="268" width="13" style="140" bestFit="1" customWidth="1"/>
    <col min="269" max="272" width="0" style="140" hidden="1" customWidth="1"/>
    <col min="273" max="273" width="10.90625" style="140"/>
    <col min="274" max="277" width="0" style="140" hidden="1" customWidth="1"/>
    <col min="278" max="278" width="10.90625" style="140"/>
    <col min="279" max="282" width="0" style="140" hidden="1" customWidth="1"/>
    <col min="283" max="283" width="10.90625" style="140"/>
    <col min="284" max="287" width="0" style="140" hidden="1" customWidth="1"/>
    <col min="288" max="288" width="10.90625" style="140"/>
    <col min="289" max="292" width="0" style="140" hidden="1" customWidth="1"/>
    <col min="293" max="293" width="10.90625" style="140"/>
    <col min="294" max="297" width="0" style="140" hidden="1" customWidth="1"/>
    <col min="298" max="298" width="10.90625" style="140"/>
    <col min="299" max="302" width="0" style="140" hidden="1" customWidth="1"/>
    <col min="303" max="303" width="10.90625" style="140"/>
    <col min="304" max="307" width="0" style="140" hidden="1" customWidth="1"/>
    <col min="308" max="308" width="10.90625" style="140"/>
    <col min="309" max="311" width="0" style="140" hidden="1" customWidth="1"/>
    <col min="312" max="312" width="10.90625" style="140"/>
    <col min="313" max="314" width="0" style="140" hidden="1" customWidth="1"/>
    <col min="315" max="315" width="10.90625" style="140"/>
    <col min="316" max="317" width="0" style="140" hidden="1" customWidth="1"/>
    <col min="318" max="318" width="16.54296875" style="140" customWidth="1"/>
    <col min="319" max="319" width="11.453125" style="140" bestFit="1" customWidth="1"/>
    <col min="320" max="517" width="10.90625" style="140"/>
    <col min="518" max="518" width="0" style="140" hidden="1" customWidth="1"/>
    <col min="519" max="519" width="13" style="140" bestFit="1" customWidth="1"/>
    <col min="520" max="523" width="0" style="140" hidden="1" customWidth="1"/>
    <col min="524" max="524" width="13" style="140" bestFit="1" customWidth="1"/>
    <col min="525" max="528" width="0" style="140" hidden="1" customWidth="1"/>
    <col min="529" max="529" width="10.90625" style="140"/>
    <col min="530" max="533" width="0" style="140" hidden="1" customWidth="1"/>
    <col min="534" max="534" width="10.90625" style="140"/>
    <col min="535" max="538" width="0" style="140" hidden="1" customWidth="1"/>
    <col min="539" max="539" width="10.90625" style="140"/>
    <col min="540" max="543" width="0" style="140" hidden="1" customWidth="1"/>
    <col min="544" max="544" width="10.90625" style="140"/>
    <col min="545" max="548" width="0" style="140" hidden="1" customWidth="1"/>
    <col min="549" max="549" width="10.90625" style="140"/>
    <col min="550" max="553" width="0" style="140" hidden="1" customWidth="1"/>
    <col min="554" max="554" width="10.90625" style="140"/>
    <col min="555" max="558" width="0" style="140" hidden="1" customWidth="1"/>
    <col min="559" max="559" width="10.90625" style="140"/>
    <col min="560" max="563" width="0" style="140" hidden="1" customWidth="1"/>
    <col min="564" max="564" width="10.90625" style="140"/>
    <col min="565" max="567" width="0" style="140" hidden="1" customWidth="1"/>
    <col min="568" max="568" width="10.90625" style="140"/>
    <col min="569" max="570" width="0" style="140" hidden="1" customWidth="1"/>
    <col min="571" max="571" width="10.90625" style="140"/>
    <col min="572" max="573" width="0" style="140" hidden="1" customWidth="1"/>
    <col min="574" max="574" width="16.54296875" style="140" customWidth="1"/>
    <col min="575" max="575" width="11.453125" style="140" bestFit="1" customWidth="1"/>
    <col min="576" max="773" width="10.90625" style="140"/>
    <col min="774" max="774" width="0" style="140" hidden="1" customWidth="1"/>
    <col min="775" max="775" width="13" style="140" bestFit="1" customWidth="1"/>
    <col min="776" max="779" width="0" style="140" hidden="1" customWidth="1"/>
    <col min="780" max="780" width="13" style="140" bestFit="1" customWidth="1"/>
    <col min="781" max="784" width="0" style="140" hidden="1" customWidth="1"/>
    <col min="785" max="785" width="10.90625" style="140"/>
    <col min="786" max="789" width="0" style="140" hidden="1" customWidth="1"/>
    <col min="790" max="790" width="10.90625" style="140"/>
    <col min="791" max="794" width="0" style="140" hidden="1" customWidth="1"/>
    <col min="795" max="795" width="10.90625" style="140"/>
    <col min="796" max="799" width="0" style="140" hidden="1" customWidth="1"/>
    <col min="800" max="800" width="10.90625" style="140"/>
    <col min="801" max="804" width="0" style="140" hidden="1" customWidth="1"/>
    <col min="805" max="805" width="10.90625" style="140"/>
    <col min="806" max="809" width="0" style="140" hidden="1" customWidth="1"/>
    <col min="810" max="810" width="10.90625" style="140"/>
    <col min="811" max="814" width="0" style="140" hidden="1" customWidth="1"/>
    <col min="815" max="815" width="10.90625" style="140"/>
    <col min="816" max="819" width="0" style="140" hidden="1" customWidth="1"/>
    <col min="820" max="820" width="10.90625" style="140"/>
    <col min="821" max="823" width="0" style="140" hidden="1" customWidth="1"/>
    <col min="824" max="824" width="10.90625" style="140"/>
    <col min="825" max="826" width="0" style="140" hidden="1" customWidth="1"/>
    <col min="827" max="827" width="10.90625" style="140"/>
    <col min="828" max="829" width="0" style="140" hidden="1" customWidth="1"/>
    <col min="830" max="830" width="16.54296875" style="140" customWidth="1"/>
    <col min="831" max="831" width="11.453125" style="140" bestFit="1" customWidth="1"/>
    <col min="832" max="1029" width="10.90625" style="140"/>
    <col min="1030" max="1030" width="0" style="140" hidden="1" customWidth="1"/>
    <col min="1031" max="1031" width="13" style="140" bestFit="1" customWidth="1"/>
    <col min="1032" max="1035" width="0" style="140" hidden="1" customWidth="1"/>
    <col min="1036" max="1036" width="13" style="140" bestFit="1" customWidth="1"/>
    <col min="1037" max="1040" width="0" style="140" hidden="1" customWidth="1"/>
    <col min="1041" max="1041" width="10.90625" style="140"/>
    <col min="1042" max="1045" width="0" style="140" hidden="1" customWidth="1"/>
    <col min="1046" max="1046" width="10.90625" style="140"/>
    <col min="1047" max="1050" width="0" style="140" hidden="1" customWidth="1"/>
    <col min="1051" max="1051" width="10.90625" style="140"/>
    <col min="1052" max="1055" width="0" style="140" hidden="1" customWidth="1"/>
    <col min="1056" max="1056" width="10.90625" style="140"/>
    <col min="1057" max="1060" width="0" style="140" hidden="1" customWidth="1"/>
    <col min="1061" max="1061" width="10.90625" style="140"/>
    <col min="1062" max="1065" width="0" style="140" hidden="1" customWidth="1"/>
    <col min="1066" max="1066" width="10.90625" style="140"/>
    <col min="1067" max="1070" width="0" style="140" hidden="1" customWidth="1"/>
    <col min="1071" max="1071" width="10.90625" style="140"/>
    <col min="1072" max="1075" width="0" style="140" hidden="1" customWidth="1"/>
    <col min="1076" max="1076" width="10.90625" style="140"/>
    <col min="1077" max="1079" width="0" style="140" hidden="1" customWidth="1"/>
    <col min="1080" max="1080" width="10.90625" style="140"/>
    <col min="1081" max="1082" width="0" style="140" hidden="1" customWidth="1"/>
    <col min="1083" max="1083" width="10.90625" style="140"/>
    <col min="1084" max="1085" width="0" style="140" hidden="1" customWidth="1"/>
    <col min="1086" max="1086" width="16.54296875" style="140" customWidth="1"/>
    <col min="1087" max="1087" width="11.453125" style="140" bestFit="1" customWidth="1"/>
    <col min="1088" max="1285" width="10.90625" style="140"/>
    <col min="1286" max="1286" width="0" style="140" hidden="1" customWidth="1"/>
    <col min="1287" max="1287" width="13" style="140" bestFit="1" customWidth="1"/>
    <col min="1288" max="1291" width="0" style="140" hidden="1" customWidth="1"/>
    <col min="1292" max="1292" width="13" style="140" bestFit="1" customWidth="1"/>
    <col min="1293" max="1296" width="0" style="140" hidden="1" customWidth="1"/>
    <col min="1297" max="1297" width="10.90625" style="140"/>
    <col min="1298" max="1301" width="0" style="140" hidden="1" customWidth="1"/>
    <col min="1302" max="1302" width="10.90625" style="140"/>
    <col min="1303" max="1306" width="0" style="140" hidden="1" customWidth="1"/>
    <col min="1307" max="1307" width="10.90625" style="140"/>
    <col min="1308" max="1311" width="0" style="140" hidden="1" customWidth="1"/>
    <col min="1312" max="1312" width="10.90625" style="140"/>
    <col min="1313" max="1316" width="0" style="140" hidden="1" customWidth="1"/>
    <col min="1317" max="1317" width="10.90625" style="140"/>
    <col min="1318" max="1321" width="0" style="140" hidden="1" customWidth="1"/>
    <col min="1322" max="1322" width="10.90625" style="140"/>
    <col min="1323" max="1326" width="0" style="140" hidden="1" customWidth="1"/>
    <col min="1327" max="1327" width="10.90625" style="140"/>
    <col min="1328" max="1331" width="0" style="140" hidden="1" customWidth="1"/>
    <col min="1332" max="1332" width="10.90625" style="140"/>
    <col min="1333" max="1335" width="0" style="140" hidden="1" customWidth="1"/>
    <col min="1336" max="1336" width="10.90625" style="140"/>
    <col min="1337" max="1338" width="0" style="140" hidden="1" customWidth="1"/>
    <col min="1339" max="1339" width="10.90625" style="140"/>
    <col min="1340" max="1341" width="0" style="140" hidden="1" customWidth="1"/>
    <col min="1342" max="1342" width="16.54296875" style="140" customWidth="1"/>
    <col min="1343" max="1343" width="11.453125" style="140" bestFit="1" customWidth="1"/>
    <col min="1344" max="1541" width="10.90625" style="140"/>
    <col min="1542" max="1542" width="0" style="140" hidden="1" customWidth="1"/>
    <col min="1543" max="1543" width="13" style="140" bestFit="1" customWidth="1"/>
    <col min="1544" max="1547" width="0" style="140" hidden="1" customWidth="1"/>
    <col min="1548" max="1548" width="13" style="140" bestFit="1" customWidth="1"/>
    <col min="1549" max="1552" width="0" style="140" hidden="1" customWidth="1"/>
    <col min="1553" max="1553" width="10.90625" style="140"/>
    <col min="1554" max="1557" width="0" style="140" hidden="1" customWidth="1"/>
    <col min="1558" max="1558" width="10.90625" style="140"/>
    <col min="1559" max="1562" width="0" style="140" hidden="1" customWidth="1"/>
    <col min="1563" max="1563" width="10.90625" style="140"/>
    <col min="1564" max="1567" width="0" style="140" hidden="1" customWidth="1"/>
    <col min="1568" max="1568" width="10.90625" style="140"/>
    <col min="1569" max="1572" width="0" style="140" hidden="1" customWidth="1"/>
    <col min="1573" max="1573" width="10.90625" style="140"/>
    <col min="1574" max="1577" width="0" style="140" hidden="1" customWidth="1"/>
    <col min="1578" max="1578" width="10.90625" style="140"/>
    <col min="1579" max="1582" width="0" style="140" hidden="1" customWidth="1"/>
    <col min="1583" max="1583" width="10.90625" style="140"/>
    <col min="1584" max="1587" width="0" style="140" hidden="1" customWidth="1"/>
    <col min="1588" max="1588" width="10.90625" style="140"/>
    <col min="1589" max="1591" width="0" style="140" hidden="1" customWidth="1"/>
    <col min="1592" max="1592" width="10.90625" style="140"/>
    <col min="1593" max="1594" width="0" style="140" hidden="1" customWidth="1"/>
    <col min="1595" max="1595" width="10.90625" style="140"/>
    <col min="1596" max="1597" width="0" style="140" hidden="1" customWidth="1"/>
    <col min="1598" max="1598" width="16.54296875" style="140" customWidth="1"/>
    <col min="1599" max="1599" width="11.453125" style="140" bestFit="1" customWidth="1"/>
    <col min="1600" max="1797" width="10.90625" style="140"/>
    <col min="1798" max="1798" width="0" style="140" hidden="1" customWidth="1"/>
    <col min="1799" max="1799" width="13" style="140" bestFit="1" customWidth="1"/>
    <col min="1800" max="1803" width="0" style="140" hidden="1" customWidth="1"/>
    <col min="1804" max="1804" width="13" style="140" bestFit="1" customWidth="1"/>
    <col min="1805" max="1808" width="0" style="140" hidden="1" customWidth="1"/>
    <col min="1809" max="1809" width="10.90625" style="140"/>
    <col min="1810" max="1813" width="0" style="140" hidden="1" customWidth="1"/>
    <col min="1814" max="1814" width="10.90625" style="140"/>
    <col min="1815" max="1818" width="0" style="140" hidden="1" customWidth="1"/>
    <col min="1819" max="1819" width="10.90625" style="140"/>
    <col min="1820" max="1823" width="0" style="140" hidden="1" customWidth="1"/>
    <col min="1824" max="1824" width="10.90625" style="140"/>
    <col min="1825" max="1828" width="0" style="140" hidden="1" customWidth="1"/>
    <col min="1829" max="1829" width="10.90625" style="140"/>
    <col min="1830" max="1833" width="0" style="140" hidden="1" customWidth="1"/>
    <col min="1834" max="1834" width="10.90625" style="140"/>
    <col min="1835" max="1838" width="0" style="140" hidden="1" customWidth="1"/>
    <col min="1839" max="1839" width="10.90625" style="140"/>
    <col min="1840" max="1843" width="0" style="140" hidden="1" customWidth="1"/>
    <col min="1844" max="1844" width="10.90625" style="140"/>
    <col min="1845" max="1847" width="0" style="140" hidden="1" customWidth="1"/>
    <col min="1848" max="1848" width="10.90625" style="140"/>
    <col min="1849" max="1850" width="0" style="140" hidden="1" customWidth="1"/>
    <col min="1851" max="1851" width="10.90625" style="140"/>
    <col min="1852" max="1853" width="0" style="140" hidden="1" customWidth="1"/>
    <col min="1854" max="1854" width="16.54296875" style="140" customWidth="1"/>
    <col min="1855" max="1855" width="11.453125" style="140" bestFit="1" customWidth="1"/>
    <col min="1856" max="2053" width="10.90625" style="140"/>
    <col min="2054" max="2054" width="0" style="140" hidden="1" customWidth="1"/>
    <col min="2055" max="2055" width="13" style="140" bestFit="1" customWidth="1"/>
    <col min="2056" max="2059" width="0" style="140" hidden="1" customWidth="1"/>
    <col min="2060" max="2060" width="13" style="140" bestFit="1" customWidth="1"/>
    <col min="2061" max="2064" width="0" style="140" hidden="1" customWidth="1"/>
    <col min="2065" max="2065" width="10.90625" style="140"/>
    <col min="2066" max="2069" width="0" style="140" hidden="1" customWidth="1"/>
    <col min="2070" max="2070" width="10.90625" style="140"/>
    <col min="2071" max="2074" width="0" style="140" hidden="1" customWidth="1"/>
    <col min="2075" max="2075" width="10.90625" style="140"/>
    <col min="2076" max="2079" width="0" style="140" hidden="1" customWidth="1"/>
    <col min="2080" max="2080" width="10.90625" style="140"/>
    <col min="2081" max="2084" width="0" style="140" hidden="1" customWidth="1"/>
    <col min="2085" max="2085" width="10.90625" style="140"/>
    <col min="2086" max="2089" width="0" style="140" hidden="1" customWidth="1"/>
    <col min="2090" max="2090" width="10.90625" style="140"/>
    <col min="2091" max="2094" width="0" style="140" hidden="1" customWidth="1"/>
    <col min="2095" max="2095" width="10.90625" style="140"/>
    <col min="2096" max="2099" width="0" style="140" hidden="1" customWidth="1"/>
    <col min="2100" max="2100" width="10.90625" style="140"/>
    <col min="2101" max="2103" width="0" style="140" hidden="1" customWidth="1"/>
    <col min="2104" max="2104" width="10.90625" style="140"/>
    <col min="2105" max="2106" width="0" style="140" hidden="1" customWidth="1"/>
    <col min="2107" max="2107" width="10.90625" style="140"/>
    <col min="2108" max="2109" width="0" style="140" hidden="1" customWidth="1"/>
    <col min="2110" max="2110" width="16.54296875" style="140" customWidth="1"/>
    <col min="2111" max="2111" width="11.453125" style="140" bestFit="1" customWidth="1"/>
    <col min="2112" max="2309" width="10.90625" style="140"/>
    <col min="2310" max="2310" width="0" style="140" hidden="1" customWidth="1"/>
    <col min="2311" max="2311" width="13" style="140" bestFit="1" customWidth="1"/>
    <col min="2312" max="2315" width="0" style="140" hidden="1" customWidth="1"/>
    <col min="2316" max="2316" width="13" style="140" bestFit="1" customWidth="1"/>
    <col min="2317" max="2320" width="0" style="140" hidden="1" customWidth="1"/>
    <col min="2321" max="2321" width="10.90625" style="140"/>
    <col min="2322" max="2325" width="0" style="140" hidden="1" customWidth="1"/>
    <col min="2326" max="2326" width="10.90625" style="140"/>
    <col min="2327" max="2330" width="0" style="140" hidden="1" customWidth="1"/>
    <col min="2331" max="2331" width="10.90625" style="140"/>
    <col min="2332" max="2335" width="0" style="140" hidden="1" customWidth="1"/>
    <col min="2336" max="2336" width="10.90625" style="140"/>
    <col min="2337" max="2340" width="0" style="140" hidden="1" customWidth="1"/>
    <col min="2341" max="2341" width="10.90625" style="140"/>
    <col min="2342" max="2345" width="0" style="140" hidden="1" customWidth="1"/>
    <col min="2346" max="2346" width="10.90625" style="140"/>
    <col min="2347" max="2350" width="0" style="140" hidden="1" customWidth="1"/>
    <col min="2351" max="2351" width="10.90625" style="140"/>
    <col min="2352" max="2355" width="0" style="140" hidden="1" customWidth="1"/>
    <col min="2356" max="2356" width="10.90625" style="140"/>
    <col min="2357" max="2359" width="0" style="140" hidden="1" customWidth="1"/>
    <col min="2360" max="2360" width="10.90625" style="140"/>
    <col min="2361" max="2362" width="0" style="140" hidden="1" customWidth="1"/>
    <col min="2363" max="2363" width="10.90625" style="140"/>
    <col min="2364" max="2365" width="0" style="140" hidden="1" customWidth="1"/>
    <col min="2366" max="2366" width="16.54296875" style="140" customWidth="1"/>
    <col min="2367" max="2367" width="11.453125" style="140" bestFit="1" customWidth="1"/>
    <col min="2368" max="2565" width="10.90625" style="140"/>
    <col min="2566" max="2566" width="0" style="140" hidden="1" customWidth="1"/>
    <col min="2567" max="2567" width="13" style="140" bestFit="1" customWidth="1"/>
    <col min="2568" max="2571" width="0" style="140" hidden="1" customWidth="1"/>
    <col min="2572" max="2572" width="13" style="140" bestFit="1" customWidth="1"/>
    <col min="2573" max="2576" width="0" style="140" hidden="1" customWidth="1"/>
    <col min="2577" max="2577" width="10.90625" style="140"/>
    <col min="2578" max="2581" width="0" style="140" hidden="1" customWidth="1"/>
    <col min="2582" max="2582" width="10.90625" style="140"/>
    <col min="2583" max="2586" width="0" style="140" hidden="1" customWidth="1"/>
    <col min="2587" max="2587" width="10.90625" style="140"/>
    <col min="2588" max="2591" width="0" style="140" hidden="1" customWidth="1"/>
    <col min="2592" max="2592" width="10.90625" style="140"/>
    <col min="2593" max="2596" width="0" style="140" hidden="1" customWidth="1"/>
    <col min="2597" max="2597" width="10.90625" style="140"/>
    <col min="2598" max="2601" width="0" style="140" hidden="1" customWidth="1"/>
    <col min="2602" max="2602" width="10.90625" style="140"/>
    <col min="2603" max="2606" width="0" style="140" hidden="1" customWidth="1"/>
    <col min="2607" max="2607" width="10.90625" style="140"/>
    <col min="2608" max="2611" width="0" style="140" hidden="1" customWidth="1"/>
    <col min="2612" max="2612" width="10.90625" style="140"/>
    <col min="2613" max="2615" width="0" style="140" hidden="1" customWidth="1"/>
    <col min="2616" max="2616" width="10.90625" style="140"/>
    <col min="2617" max="2618" width="0" style="140" hidden="1" customWidth="1"/>
    <col min="2619" max="2619" width="10.90625" style="140"/>
    <col min="2620" max="2621" width="0" style="140" hidden="1" customWidth="1"/>
    <col min="2622" max="2622" width="16.54296875" style="140" customWidth="1"/>
    <col min="2623" max="2623" width="11.453125" style="140" bestFit="1" customWidth="1"/>
    <col min="2624" max="2821" width="10.90625" style="140"/>
    <col min="2822" max="2822" width="0" style="140" hidden="1" customWidth="1"/>
    <col min="2823" max="2823" width="13" style="140" bestFit="1" customWidth="1"/>
    <col min="2824" max="2827" width="0" style="140" hidden="1" customWidth="1"/>
    <col min="2828" max="2828" width="13" style="140" bestFit="1" customWidth="1"/>
    <col min="2829" max="2832" width="0" style="140" hidden="1" customWidth="1"/>
    <col min="2833" max="2833" width="10.90625" style="140"/>
    <col min="2834" max="2837" width="0" style="140" hidden="1" customWidth="1"/>
    <col min="2838" max="2838" width="10.90625" style="140"/>
    <col min="2839" max="2842" width="0" style="140" hidden="1" customWidth="1"/>
    <col min="2843" max="2843" width="10.90625" style="140"/>
    <col min="2844" max="2847" width="0" style="140" hidden="1" customWidth="1"/>
    <col min="2848" max="2848" width="10.90625" style="140"/>
    <col min="2849" max="2852" width="0" style="140" hidden="1" customWidth="1"/>
    <col min="2853" max="2853" width="10.90625" style="140"/>
    <col min="2854" max="2857" width="0" style="140" hidden="1" customWidth="1"/>
    <col min="2858" max="2858" width="10.90625" style="140"/>
    <col min="2859" max="2862" width="0" style="140" hidden="1" customWidth="1"/>
    <col min="2863" max="2863" width="10.90625" style="140"/>
    <col min="2864" max="2867" width="0" style="140" hidden="1" customWidth="1"/>
    <col min="2868" max="2868" width="10.90625" style="140"/>
    <col min="2869" max="2871" width="0" style="140" hidden="1" customWidth="1"/>
    <col min="2872" max="2872" width="10.90625" style="140"/>
    <col min="2873" max="2874" width="0" style="140" hidden="1" customWidth="1"/>
    <col min="2875" max="2875" width="10.90625" style="140"/>
    <col min="2876" max="2877" width="0" style="140" hidden="1" customWidth="1"/>
    <col min="2878" max="2878" width="16.54296875" style="140" customWidth="1"/>
    <col min="2879" max="2879" width="11.453125" style="140" bestFit="1" customWidth="1"/>
    <col min="2880" max="3077" width="10.90625" style="140"/>
    <col min="3078" max="3078" width="0" style="140" hidden="1" customWidth="1"/>
    <col min="3079" max="3079" width="13" style="140" bestFit="1" customWidth="1"/>
    <col min="3080" max="3083" width="0" style="140" hidden="1" customWidth="1"/>
    <col min="3084" max="3084" width="13" style="140" bestFit="1" customWidth="1"/>
    <col min="3085" max="3088" width="0" style="140" hidden="1" customWidth="1"/>
    <col min="3089" max="3089" width="10.90625" style="140"/>
    <col min="3090" max="3093" width="0" style="140" hidden="1" customWidth="1"/>
    <col min="3094" max="3094" width="10.90625" style="140"/>
    <col min="3095" max="3098" width="0" style="140" hidden="1" customWidth="1"/>
    <col min="3099" max="3099" width="10.90625" style="140"/>
    <col min="3100" max="3103" width="0" style="140" hidden="1" customWidth="1"/>
    <col min="3104" max="3104" width="10.90625" style="140"/>
    <col min="3105" max="3108" width="0" style="140" hidden="1" customWidth="1"/>
    <col min="3109" max="3109" width="10.90625" style="140"/>
    <col min="3110" max="3113" width="0" style="140" hidden="1" customWidth="1"/>
    <col min="3114" max="3114" width="10.90625" style="140"/>
    <col min="3115" max="3118" width="0" style="140" hidden="1" customWidth="1"/>
    <col min="3119" max="3119" width="10.90625" style="140"/>
    <col min="3120" max="3123" width="0" style="140" hidden="1" customWidth="1"/>
    <col min="3124" max="3124" width="10.90625" style="140"/>
    <col min="3125" max="3127" width="0" style="140" hidden="1" customWidth="1"/>
    <col min="3128" max="3128" width="10.90625" style="140"/>
    <col min="3129" max="3130" width="0" style="140" hidden="1" customWidth="1"/>
    <col min="3131" max="3131" width="10.90625" style="140"/>
    <col min="3132" max="3133" width="0" style="140" hidden="1" customWidth="1"/>
    <col min="3134" max="3134" width="16.54296875" style="140" customWidth="1"/>
    <col min="3135" max="3135" width="11.453125" style="140" bestFit="1" customWidth="1"/>
    <col min="3136" max="3333" width="10.90625" style="140"/>
    <col min="3334" max="3334" width="0" style="140" hidden="1" customWidth="1"/>
    <col min="3335" max="3335" width="13" style="140" bestFit="1" customWidth="1"/>
    <col min="3336" max="3339" width="0" style="140" hidden="1" customWidth="1"/>
    <col min="3340" max="3340" width="13" style="140" bestFit="1" customWidth="1"/>
    <col min="3341" max="3344" width="0" style="140" hidden="1" customWidth="1"/>
    <col min="3345" max="3345" width="10.90625" style="140"/>
    <col min="3346" max="3349" width="0" style="140" hidden="1" customWidth="1"/>
    <col min="3350" max="3350" width="10.90625" style="140"/>
    <col min="3351" max="3354" width="0" style="140" hidden="1" customWidth="1"/>
    <col min="3355" max="3355" width="10.90625" style="140"/>
    <col min="3356" max="3359" width="0" style="140" hidden="1" customWidth="1"/>
    <col min="3360" max="3360" width="10.90625" style="140"/>
    <col min="3361" max="3364" width="0" style="140" hidden="1" customWidth="1"/>
    <col min="3365" max="3365" width="10.90625" style="140"/>
    <col min="3366" max="3369" width="0" style="140" hidden="1" customWidth="1"/>
    <col min="3370" max="3370" width="10.90625" style="140"/>
    <col min="3371" max="3374" width="0" style="140" hidden="1" customWidth="1"/>
    <col min="3375" max="3375" width="10.90625" style="140"/>
    <col min="3376" max="3379" width="0" style="140" hidden="1" customWidth="1"/>
    <col min="3380" max="3380" width="10.90625" style="140"/>
    <col min="3381" max="3383" width="0" style="140" hidden="1" customWidth="1"/>
    <col min="3384" max="3384" width="10.90625" style="140"/>
    <col min="3385" max="3386" width="0" style="140" hidden="1" customWidth="1"/>
    <col min="3387" max="3387" width="10.90625" style="140"/>
    <col min="3388" max="3389" width="0" style="140" hidden="1" customWidth="1"/>
    <col min="3390" max="3390" width="16.54296875" style="140" customWidth="1"/>
    <col min="3391" max="3391" width="11.453125" style="140" bestFit="1" customWidth="1"/>
    <col min="3392" max="3589" width="10.90625" style="140"/>
    <col min="3590" max="3590" width="0" style="140" hidden="1" customWidth="1"/>
    <col min="3591" max="3591" width="13" style="140" bestFit="1" customWidth="1"/>
    <col min="3592" max="3595" width="0" style="140" hidden="1" customWidth="1"/>
    <col min="3596" max="3596" width="13" style="140" bestFit="1" customWidth="1"/>
    <col min="3597" max="3600" width="0" style="140" hidden="1" customWidth="1"/>
    <col min="3601" max="3601" width="10.90625" style="140"/>
    <col min="3602" max="3605" width="0" style="140" hidden="1" customWidth="1"/>
    <col min="3606" max="3606" width="10.90625" style="140"/>
    <col min="3607" max="3610" width="0" style="140" hidden="1" customWidth="1"/>
    <col min="3611" max="3611" width="10.90625" style="140"/>
    <col min="3612" max="3615" width="0" style="140" hidden="1" customWidth="1"/>
    <col min="3616" max="3616" width="10.90625" style="140"/>
    <col min="3617" max="3620" width="0" style="140" hidden="1" customWidth="1"/>
    <col min="3621" max="3621" width="10.90625" style="140"/>
    <col min="3622" max="3625" width="0" style="140" hidden="1" customWidth="1"/>
    <col min="3626" max="3626" width="10.90625" style="140"/>
    <col min="3627" max="3630" width="0" style="140" hidden="1" customWidth="1"/>
    <col min="3631" max="3631" width="10.90625" style="140"/>
    <col min="3632" max="3635" width="0" style="140" hidden="1" customWidth="1"/>
    <col min="3636" max="3636" width="10.90625" style="140"/>
    <col min="3637" max="3639" width="0" style="140" hidden="1" customWidth="1"/>
    <col min="3640" max="3640" width="10.90625" style="140"/>
    <col min="3641" max="3642" width="0" style="140" hidden="1" customWidth="1"/>
    <col min="3643" max="3643" width="10.90625" style="140"/>
    <col min="3644" max="3645" width="0" style="140" hidden="1" customWidth="1"/>
    <col min="3646" max="3646" width="16.54296875" style="140" customWidth="1"/>
    <col min="3647" max="3647" width="11.453125" style="140" bestFit="1" customWidth="1"/>
    <col min="3648" max="3845" width="10.90625" style="140"/>
    <col min="3846" max="3846" width="0" style="140" hidden="1" customWidth="1"/>
    <col min="3847" max="3847" width="13" style="140" bestFit="1" customWidth="1"/>
    <col min="3848" max="3851" width="0" style="140" hidden="1" customWidth="1"/>
    <col min="3852" max="3852" width="13" style="140" bestFit="1" customWidth="1"/>
    <col min="3853" max="3856" width="0" style="140" hidden="1" customWidth="1"/>
    <col min="3857" max="3857" width="10.90625" style="140"/>
    <col min="3858" max="3861" width="0" style="140" hidden="1" customWidth="1"/>
    <col min="3862" max="3862" width="10.90625" style="140"/>
    <col min="3863" max="3866" width="0" style="140" hidden="1" customWidth="1"/>
    <col min="3867" max="3867" width="10.90625" style="140"/>
    <col min="3868" max="3871" width="0" style="140" hidden="1" customWidth="1"/>
    <col min="3872" max="3872" width="10.90625" style="140"/>
    <col min="3873" max="3876" width="0" style="140" hidden="1" customWidth="1"/>
    <col min="3877" max="3877" width="10.90625" style="140"/>
    <col min="3878" max="3881" width="0" style="140" hidden="1" customWidth="1"/>
    <col min="3882" max="3882" width="10.90625" style="140"/>
    <col min="3883" max="3886" width="0" style="140" hidden="1" customWidth="1"/>
    <col min="3887" max="3887" width="10.90625" style="140"/>
    <col min="3888" max="3891" width="0" style="140" hidden="1" customWidth="1"/>
    <col min="3892" max="3892" width="10.90625" style="140"/>
    <col min="3893" max="3895" width="0" style="140" hidden="1" customWidth="1"/>
    <col min="3896" max="3896" width="10.90625" style="140"/>
    <col min="3897" max="3898" width="0" style="140" hidden="1" customWidth="1"/>
    <col min="3899" max="3899" width="10.90625" style="140"/>
    <col min="3900" max="3901" width="0" style="140" hidden="1" customWidth="1"/>
    <col min="3902" max="3902" width="16.54296875" style="140" customWidth="1"/>
    <col min="3903" max="3903" width="11.453125" style="140" bestFit="1" customWidth="1"/>
    <col min="3904" max="4101" width="10.90625" style="140"/>
    <col min="4102" max="4102" width="0" style="140" hidden="1" customWidth="1"/>
    <col min="4103" max="4103" width="13" style="140" bestFit="1" customWidth="1"/>
    <col min="4104" max="4107" width="0" style="140" hidden="1" customWidth="1"/>
    <col min="4108" max="4108" width="13" style="140" bestFit="1" customWidth="1"/>
    <col min="4109" max="4112" width="0" style="140" hidden="1" customWidth="1"/>
    <col min="4113" max="4113" width="10.90625" style="140"/>
    <col min="4114" max="4117" width="0" style="140" hidden="1" customWidth="1"/>
    <col min="4118" max="4118" width="10.90625" style="140"/>
    <col min="4119" max="4122" width="0" style="140" hidden="1" customWidth="1"/>
    <col min="4123" max="4123" width="10.90625" style="140"/>
    <col min="4124" max="4127" width="0" style="140" hidden="1" customWidth="1"/>
    <col min="4128" max="4128" width="10.90625" style="140"/>
    <col min="4129" max="4132" width="0" style="140" hidden="1" customWidth="1"/>
    <col min="4133" max="4133" width="10.90625" style="140"/>
    <col min="4134" max="4137" width="0" style="140" hidden="1" customWidth="1"/>
    <col min="4138" max="4138" width="10.90625" style="140"/>
    <col min="4139" max="4142" width="0" style="140" hidden="1" customWidth="1"/>
    <col min="4143" max="4143" width="10.90625" style="140"/>
    <col min="4144" max="4147" width="0" style="140" hidden="1" customWidth="1"/>
    <col min="4148" max="4148" width="10.90625" style="140"/>
    <col min="4149" max="4151" width="0" style="140" hidden="1" customWidth="1"/>
    <col min="4152" max="4152" width="10.90625" style="140"/>
    <col min="4153" max="4154" width="0" style="140" hidden="1" customWidth="1"/>
    <col min="4155" max="4155" width="10.90625" style="140"/>
    <col min="4156" max="4157" width="0" style="140" hidden="1" customWidth="1"/>
    <col min="4158" max="4158" width="16.54296875" style="140" customWidth="1"/>
    <col min="4159" max="4159" width="11.453125" style="140" bestFit="1" customWidth="1"/>
    <col min="4160" max="4357" width="10.90625" style="140"/>
    <col min="4358" max="4358" width="0" style="140" hidden="1" customWidth="1"/>
    <col min="4359" max="4359" width="13" style="140" bestFit="1" customWidth="1"/>
    <col min="4360" max="4363" width="0" style="140" hidden="1" customWidth="1"/>
    <col min="4364" max="4364" width="13" style="140" bestFit="1" customWidth="1"/>
    <col min="4365" max="4368" width="0" style="140" hidden="1" customWidth="1"/>
    <col min="4369" max="4369" width="10.90625" style="140"/>
    <col min="4370" max="4373" width="0" style="140" hidden="1" customWidth="1"/>
    <col min="4374" max="4374" width="10.90625" style="140"/>
    <col min="4375" max="4378" width="0" style="140" hidden="1" customWidth="1"/>
    <col min="4379" max="4379" width="10.90625" style="140"/>
    <col min="4380" max="4383" width="0" style="140" hidden="1" customWidth="1"/>
    <col min="4384" max="4384" width="10.90625" style="140"/>
    <col min="4385" max="4388" width="0" style="140" hidden="1" customWidth="1"/>
    <col min="4389" max="4389" width="10.90625" style="140"/>
    <col min="4390" max="4393" width="0" style="140" hidden="1" customWidth="1"/>
    <col min="4394" max="4394" width="10.90625" style="140"/>
    <col min="4395" max="4398" width="0" style="140" hidden="1" customWidth="1"/>
    <col min="4399" max="4399" width="10.90625" style="140"/>
    <col min="4400" max="4403" width="0" style="140" hidden="1" customWidth="1"/>
    <col min="4404" max="4404" width="10.90625" style="140"/>
    <col min="4405" max="4407" width="0" style="140" hidden="1" customWidth="1"/>
    <col min="4408" max="4408" width="10.90625" style="140"/>
    <col min="4409" max="4410" width="0" style="140" hidden="1" customWidth="1"/>
    <col min="4411" max="4411" width="10.90625" style="140"/>
    <col min="4412" max="4413" width="0" style="140" hidden="1" customWidth="1"/>
    <col min="4414" max="4414" width="16.54296875" style="140" customWidth="1"/>
    <col min="4415" max="4415" width="11.453125" style="140" bestFit="1" customWidth="1"/>
    <col min="4416" max="4613" width="10.90625" style="140"/>
    <col min="4614" max="4614" width="0" style="140" hidden="1" customWidth="1"/>
    <col min="4615" max="4615" width="13" style="140" bestFit="1" customWidth="1"/>
    <col min="4616" max="4619" width="0" style="140" hidden="1" customWidth="1"/>
    <col min="4620" max="4620" width="13" style="140" bestFit="1" customWidth="1"/>
    <col min="4621" max="4624" width="0" style="140" hidden="1" customWidth="1"/>
    <col min="4625" max="4625" width="10.90625" style="140"/>
    <col min="4626" max="4629" width="0" style="140" hidden="1" customWidth="1"/>
    <col min="4630" max="4630" width="10.90625" style="140"/>
    <col min="4631" max="4634" width="0" style="140" hidden="1" customWidth="1"/>
    <col min="4635" max="4635" width="10.90625" style="140"/>
    <col min="4636" max="4639" width="0" style="140" hidden="1" customWidth="1"/>
    <col min="4640" max="4640" width="10.90625" style="140"/>
    <col min="4641" max="4644" width="0" style="140" hidden="1" customWidth="1"/>
    <col min="4645" max="4645" width="10.90625" style="140"/>
    <col min="4646" max="4649" width="0" style="140" hidden="1" customWidth="1"/>
    <col min="4650" max="4650" width="10.90625" style="140"/>
    <col min="4651" max="4654" width="0" style="140" hidden="1" customWidth="1"/>
    <col min="4655" max="4655" width="10.90625" style="140"/>
    <col min="4656" max="4659" width="0" style="140" hidden="1" customWidth="1"/>
    <col min="4660" max="4660" width="10.90625" style="140"/>
    <col min="4661" max="4663" width="0" style="140" hidden="1" customWidth="1"/>
    <col min="4664" max="4664" width="10.90625" style="140"/>
    <col min="4665" max="4666" width="0" style="140" hidden="1" customWidth="1"/>
    <col min="4667" max="4667" width="10.90625" style="140"/>
    <col min="4668" max="4669" width="0" style="140" hidden="1" customWidth="1"/>
    <col min="4670" max="4670" width="16.54296875" style="140" customWidth="1"/>
    <col min="4671" max="4671" width="11.453125" style="140" bestFit="1" customWidth="1"/>
    <col min="4672" max="4869" width="10.90625" style="140"/>
    <col min="4870" max="4870" width="0" style="140" hidden="1" customWidth="1"/>
    <col min="4871" max="4871" width="13" style="140" bestFit="1" customWidth="1"/>
    <col min="4872" max="4875" width="0" style="140" hidden="1" customWidth="1"/>
    <col min="4876" max="4876" width="13" style="140" bestFit="1" customWidth="1"/>
    <col min="4877" max="4880" width="0" style="140" hidden="1" customWidth="1"/>
    <col min="4881" max="4881" width="10.90625" style="140"/>
    <col min="4882" max="4885" width="0" style="140" hidden="1" customWidth="1"/>
    <col min="4886" max="4886" width="10.90625" style="140"/>
    <col min="4887" max="4890" width="0" style="140" hidden="1" customWidth="1"/>
    <col min="4891" max="4891" width="10.90625" style="140"/>
    <col min="4892" max="4895" width="0" style="140" hidden="1" customWidth="1"/>
    <col min="4896" max="4896" width="10.90625" style="140"/>
    <col min="4897" max="4900" width="0" style="140" hidden="1" customWidth="1"/>
    <col min="4901" max="4901" width="10.90625" style="140"/>
    <col min="4902" max="4905" width="0" style="140" hidden="1" customWidth="1"/>
    <col min="4906" max="4906" width="10.90625" style="140"/>
    <col min="4907" max="4910" width="0" style="140" hidden="1" customWidth="1"/>
    <col min="4911" max="4911" width="10.90625" style="140"/>
    <col min="4912" max="4915" width="0" style="140" hidden="1" customWidth="1"/>
    <col min="4916" max="4916" width="10.90625" style="140"/>
    <col min="4917" max="4919" width="0" style="140" hidden="1" customWidth="1"/>
    <col min="4920" max="4920" width="10.90625" style="140"/>
    <col min="4921" max="4922" width="0" style="140" hidden="1" customWidth="1"/>
    <col min="4923" max="4923" width="10.90625" style="140"/>
    <col min="4924" max="4925" width="0" style="140" hidden="1" customWidth="1"/>
    <col min="4926" max="4926" width="16.54296875" style="140" customWidth="1"/>
    <col min="4927" max="4927" width="11.453125" style="140" bestFit="1" customWidth="1"/>
    <col min="4928" max="5125" width="10.90625" style="140"/>
    <col min="5126" max="5126" width="0" style="140" hidden="1" customWidth="1"/>
    <col min="5127" max="5127" width="13" style="140" bestFit="1" customWidth="1"/>
    <col min="5128" max="5131" width="0" style="140" hidden="1" customWidth="1"/>
    <col min="5132" max="5132" width="13" style="140" bestFit="1" customWidth="1"/>
    <col min="5133" max="5136" width="0" style="140" hidden="1" customWidth="1"/>
    <col min="5137" max="5137" width="10.90625" style="140"/>
    <col min="5138" max="5141" width="0" style="140" hidden="1" customWidth="1"/>
    <col min="5142" max="5142" width="10.90625" style="140"/>
    <col min="5143" max="5146" width="0" style="140" hidden="1" customWidth="1"/>
    <col min="5147" max="5147" width="10.90625" style="140"/>
    <col min="5148" max="5151" width="0" style="140" hidden="1" customWidth="1"/>
    <col min="5152" max="5152" width="10.90625" style="140"/>
    <col min="5153" max="5156" width="0" style="140" hidden="1" customWidth="1"/>
    <col min="5157" max="5157" width="10.90625" style="140"/>
    <col min="5158" max="5161" width="0" style="140" hidden="1" customWidth="1"/>
    <col min="5162" max="5162" width="10.90625" style="140"/>
    <col min="5163" max="5166" width="0" style="140" hidden="1" customWidth="1"/>
    <col min="5167" max="5167" width="10.90625" style="140"/>
    <col min="5168" max="5171" width="0" style="140" hidden="1" customWidth="1"/>
    <col min="5172" max="5172" width="10.90625" style="140"/>
    <col min="5173" max="5175" width="0" style="140" hidden="1" customWidth="1"/>
    <col min="5176" max="5176" width="10.90625" style="140"/>
    <col min="5177" max="5178" width="0" style="140" hidden="1" customWidth="1"/>
    <col min="5179" max="5179" width="10.90625" style="140"/>
    <col min="5180" max="5181" width="0" style="140" hidden="1" customWidth="1"/>
    <col min="5182" max="5182" width="16.54296875" style="140" customWidth="1"/>
    <col min="5183" max="5183" width="11.453125" style="140" bestFit="1" customWidth="1"/>
    <col min="5184" max="5381" width="10.90625" style="140"/>
    <col min="5382" max="5382" width="0" style="140" hidden="1" customWidth="1"/>
    <col min="5383" max="5383" width="13" style="140" bestFit="1" customWidth="1"/>
    <col min="5384" max="5387" width="0" style="140" hidden="1" customWidth="1"/>
    <col min="5388" max="5388" width="13" style="140" bestFit="1" customWidth="1"/>
    <col min="5389" max="5392" width="0" style="140" hidden="1" customWidth="1"/>
    <col min="5393" max="5393" width="10.90625" style="140"/>
    <col min="5394" max="5397" width="0" style="140" hidden="1" customWidth="1"/>
    <col min="5398" max="5398" width="10.90625" style="140"/>
    <col min="5399" max="5402" width="0" style="140" hidden="1" customWidth="1"/>
    <col min="5403" max="5403" width="10.90625" style="140"/>
    <col min="5404" max="5407" width="0" style="140" hidden="1" customWidth="1"/>
    <col min="5408" max="5408" width="10.90625" style="140"/>
    <col min="5409" max="5412" width="0" style="140" hidden="1" customWidth="1"/>
    <col min="5413" max="5413" width="10.90625" style="140"/>
    <col min="5414" max="5417" width="0" style="140" hidden="1" customWidth="1"/>
    <col min="5418" max="5418" width="10.90625" style="140"/>
    <col min="5419" max="5422" width="0" style="140" hidden="1" customWidth="1"/>
    <col min="5423" max="5423" width="10.90625" style="140"/>
    <col min="5424" max="5427" width="0" style="140" hidden="1" customWidth="1"/>
    <col min="5428" max="5428" width="10.90625" style="140"/>
    <col min="5429" max="5431" width="0" style="140" hidden="1" customWidth="1"/>
    <col min="5432" max="5432" width="10.90625" style="140"/>
    <col min="5433" max="5434" width="0" style="140" hidden="1" customWidth="1"/>
    <col min="5435" max="5435" width="10.90625" style="140"/>
    <col min="5436" max="5437" width="0" style="140" hidden="1" customWidth="1"/>
    <col min="5438" max="5438" width="16.54296875" style="140" customWidth="1"/>
    <col min="5439" max="5439" width="11.453125" style="140" bestFit="1" customWidth="1"/>
    <col min="5440" max="5637" width="10.90625" style="140"/>
    <col min="5638" max="5638" width="0" style="140" hidden="1" customWidth="1"/>
    <col min="5639" max="5639" width="13" style="140" bestFit="1" customWidth="1"/>
    <col min="5640" max="5643" width="0" style="140" hidden="1" customWidth="1"/>
    <col min="5644" max="5644" width="13" style="140" bestFit="1" customWidth="1"/>
    <col min="5645" max="5648" width="0" style="140" hidden="1" customWidth="1"/>
    <col min="5649" max="5649" width="10.90625" style="140"/>
    <col min="5650" max="5653" width="0" style="140" hidden="1" customWidth="1"/>
    <col min="5654" max="5654" width="10.90625" style="140"/>
    <col min="5655" max="5658" width="0" style="140" hidden="1" customWidth="1"/>
    <col min="5659" max="5659" width="10.90625" style="140"/>
    <col min="5660" max="5663" width="0" style="140" hidden="1" customWidth="1"/>
    <col min="5664" max="5664" width="10.90625" style="140"/>
    <col min="5665" max="5668" width="0" style="140" hidden="1" customWidth="1"/>
    <col min="5669" max="5669" width="10.90625" style="140"/>
    <col min="5670" max="5673" width="0" style="140" hidden="1" customWidth="1"/>
    <col min="5674" max="5674" width="10.90625" style="140"/>
    <col min="5675" max="5678" width="0" style="140" hidden="1" customWidth="1"/>
    <col min="5679" max="5679" width="10.90625" style="140"/>
    <col min="5680" max="5683" width="0" style="140" hidden="1" customWidth="1"/>
    <col min="5684" max="5684" width="10.90625" style="140"/>
    <col min="5685" max="5687" width="0" style="140" hidden="1" customWidth="1"/>
    <col min="5688" max="5688" width="10.90625" style="140"/>
    <col min="5689" max="5690" width="0" style="140" hidden="1" customWidth="1"/>
    <col min="5691" max="5691" width="10.90625" style="140"/>
    <col min="5692" max="5693" width="0" style="140" hidden="1" customWidth="1"/>
    <col min="5694" max="5694" width="16.54296875" style="140" customWidth="1"/>
    <col min="5695" max="5695" width="11.453125" style="140" bestFit="1" customWidth="1"/>
    <col min="5696" max="5893" width="10.90625" style="140"/>
    <col min="5894" max="5894" width="0" style="140" hidden="1" customWidth="1"/>
    <col min="5895" max="5895" width="13" style="140" bestFit="1" customWidth="1"/>
    <col min="5896" max="5899" width="0" style="140" hidden="1" customWidth="1"/>
    <col min="5900" max="5900" width="13" style="140" bestFit="1" customWidth="1"/>
    <col min="5901" max="5904" width="0" style="140" hidden="1" customWidth="1"/>
    <col min="5905" max="5905" width="10.90625" style="140"/>
    <col min="5906" max="5909" width="0" style="140" hidden="1" customWidth="1"/>
    <col min="5910" max="5910" width="10.90625" style="140"/>
    <col min="5911" max="5914" width="0" style="140" hidden="1" customWidth="1"/>
    <col min="5915" max="5915" width="10.90625" style="140"/>
    <col min="5916" max="5919" width="0" style="140" hidden="1" customWidth="1"/>
    <col min="5920" max="5920" width="10.90625" style="140"/>
    <col min="5921" max="5924" width="0" style="140" hidden="1" customWidth="1"/>
    <col min="5925" max="5925" width="10.90625" style="140"/>
    <col min="5926" max="5929" width="0" style="140" hidden="1" customWidth="1"/>
    <col min="5930" max="5930" width="10.90625" style="140"/>
    <col min="5931" max="5934" width="0" style="140" hidden="1" customWidth="1"/>
    <col min="5935" max="5935" width="10.90625" style="140"/>
    <col min="5936" max="5939" width="0" style="140" hidden="1" customWidth="1"/>
    <col min="5940" max="5940" width="10.90625" style="140"/>
    <col min="5941" max="5943" width="0" style="140" hidden="1" customWidth="1"/>
    <col min="5944" max="5944" width="10.90625" style="140"/>
    <col min="5945" max="5946" width="0" style="140" hidden="1" customWidth="1"/>
    <col min="5947" max="5947" width="10.90625" style="140"/>
    <col min="5948" max="5949" width="0" style="140" hidden="1" customWidth="1"/>
    <col min="5950" max="5950" width="16.54296875" style="140" customWidth="1"/>
    <col min="5951" max="5951" width="11.453125" style="140" bestFit="1" customWidth="1"/>
    <col min="5952" max="6149" width="10.90625" style="140"/>
    <col min="6150" max="6150" width="0" style="140" hidden="1" customWidth="1"/>
    <col min="6151" max="6151" width="13" style="140" bestFit="1" customWidth="1"/>
    <col min="6152" max="6155" width="0" style="140" hidden="1" customWidth="1"/>
    <col min="6156" max="6156" width="13" style="140" bestFit="1" customWidth="1"/>
    <col min="6157" max="6160" width="0" style="140" hidden="1" customWidth="1"/>
    <col min="6161" max="6161" width="10.90625" style="140"/>
    <col min="6162" max="6165" width="0" style="140" hidden="1" customWidth="1"/>
    <col min="6166" max="6166" width="10.90625" style="140"/>
    <col min="6167" max="6170" width="0" style="140" hidden="1" customWidth="1"/>
    <col min="6171" max="6171" width="10.90625" style="140"/>
    <col min="6172" max="6175" width="0" style="140" hidden="1" customWidth="1"/>
    <col min="6176" max="6176" width="10.90625" style="140"/>
    <col min="6177" max="6180" width="0" style="140" hidden="1" customWidth="1"/>
    <col min="6181" max="6181" width="10.90625" style="140"/>
    <col min="6182" max="6185" width="0" style="140" hidden="1" customWidth="1"/>
    <col min="6186" max="6186" width="10.90625" style="140"/>
    <col min="6187" max="6190" width="0" style="140" hidden="1" customWidth="1"/>
    <col min="6191" max="6191" width="10.90625" style="140"/>
    <col min="6192" max="6195" width="0" style="140" hidden="1" customWidth="1"/>
    <col min="6196" max="6196" width="10.90625" style="140"/>
    <col min="6197" max="6199" width="0" style="140" hidden="1" customWidth="1"/>
    <col min="6200" max="6200" width="10.90625" style="140"/>
    <col min="6201" max="6202" width="0" style="140" hidden="1" customWidth="1"/>
    <col min="6203" max="6203" width="10.90625" style="140"/>
    <col min="6204" max="6205" width="0" style="140" hidden="1" customWidth="1"/>
    <col min="6206" max="6206" width="16.54296875" style="140" customWidth="1"/>
    <col min="6207" max="6207" width="11.453125" style="140" bestFit="1" customWidth="1"/>
    <col min="6208" max="6405" width="10.90625" style="140"/>
    <col min="6406" max="6406" width="0" style="140" hidden="1" customWidth="1"/>
    <col min="6407" max="6407" width="13" style="140" bestFit="1" customWidth="1"/>
    <col min="6408" max="6411" width="0" style="140" hidden="1" customWidth="1"/>
    <col min="6412" max="6412" width="13" style="140" bestFit="1" customWidth="1"/>
    <col min="6413" max="6416" width="0" style="140" hidden="1" customWidth="1"/>
    <col min="6417" max="6417" width="10.90625" style="140"/>
    <col min="6418" max="6421" width="0" style="140" hidden="1" customWidth="1"/>
    <col min="6422" max="6422" width="10.90625" style="140"/>
    <col min="6423" max="6426" width="0" style="140" hidden="1" customWidth="1"/>
    <col min="6427" max="6427" width="10.90625" style="140"/>
    <col min="6428" max="6431" width="0" style="140" hidden="1" customWidth="1"/>
    <col min="6432" max="6432" width="10.90625" style="140"/>
    <col min="6433" max="6436" width="0" style="140" hidden="1" customWidth="1"/>
    <col min="6437" max="6437" width="10.90625" style="140"/>
    <col min="6438" max="6441" width="0" style="140" hidden="1" customWidth="1"/>
    <col min="6442" max="6442" width="10.90625" style="140"/>
    <col min="6443" max="6446" width="0" style="140" hidden="1" customWidth="1"/>
    <col min="6447" max="6447" width="10.90625" style="140"/>
    <col min="6448" max="6451" width="0" style="140" hidden="1" customWidth="1"/>
    <col min="6452" max="6452" width="10.90625" style="140"/>
    <col min="6453" max="6455" width="0" style="140" hidden="1" customWidth="1"/>
    <col min="6456" max="6456" width="10.90625" style="140"/>
    <col min="6457" max="6458" width="0" style="140" hidden="1" customWidth="1"/>
    <col min="6459" max="6459" width="10.90625" style="140"/>
    <col min="6460" max="6461" width="0" style="140" hidden="1" customWidth="1"/>
    <col min="6462" max="6462" width="16.54296875" style="140" customWidth="1"/>
    <col min="6463" max="6463" width="11.453125" style="140" bestFit="1" customWidth="1"/>
    <col min="6464" max="6661" width="10.90625" style="140"/>
    <col min="6662" max="6662" width="0" style="140" hidden="1" customWidth="1"/>
    <col min="6663" max="6663" width="13" style="140" bestFit="1" customWidth="1"/>
    <col min="6664" max="6667" width="0" style="140" hidden="1" customWidth="1"/>
    <col min="6668" max="6668" width="13" style="140" bestFit="1" customWidth="1"/>
    <col min="6669" max="6672" width="0" style="140" hidden="1" customWidth="1"/>
    <col min="6673" max="6673" width="10.90625" style="140"/>
    <col min="6674" max="6677" width="0" style="140" hidden="1" customWidth="1"/>
    <col min="6678" max="6678" width="10.90625" style="140"/>
    <col min="6679" max="6682" width="0" style="140" hidden="1" customWidth="1"/>
    <col min="6683" max="6683" width="10.90625" style="140"/>
    <col min="6684" max="6687" width="0" style="140" hidden="1" customWidth="1"/>
    <col min="6688" max="6688" width="10.90625" style="140"/>
    <col min="6689" max="6692" width="0" style="140" hidden="1" customWidth="1"/>
    <col min="6693" max="6693" width="10.90625" style="140"/>
    <col min="6694" max="6697" width="0" style="140" hidden="1" customWidth="1"/>
    <col min="6698" max="6698" width="10.90625" style="140"/>
    <col min="6699" max="6702" width="0" style="140" hidden="1" customWidth="1"/>
    <col min="6703" max="6703" width="10.90625" style="140"/>
    <col min="6704" max="6707" width="0" style="140" hidden="1" customWidth="1"/>
    <col min="6708" max="6708" width="10.90625" style="140"/>
    <col min="6709" max="6711" width="0" style="140" hidden="1" customWidth="1"/>
    <col min="6712" max="6712" width="10.90625" style="140"/>
    <col min="6713" max="6714" width="0" style="140" hidden="1" customWidth="1"/>
    <col min="6715" max="6715" width="10.90625" style="140"/>
    <col min="6716" max="6717" width="0" style="140" hidden="1" customWidth="1"/>
    <col min="6718" max="6718" width="16.54296875" style="140" customWidth="1"/>
    <col min="6719" max="6719" width="11.453125" style="140" bestFit="1" customWidth="1"/>
    <col min="6720" max="6917" width="10.90625" style="140"/>
    <col min="6918" max="6918" width="0" style="140" hidden="1" customWidth="1"/>
    <col min="6919" max="6919" width="13" style="140" bestFit="1" customWidth="1"/>
    <col min="6920" max="6923" width="0" style="140" hidden="1" customWidth="1"/>
    <col min="6924" max="6924" width="13" style="140" bestFit="1" customWidth="1"/>
    <col min="6925" max="6928" width="0" style="140" hidden="1" customWidth="1"/>
    <col min="6929" max="6929" width="10.90625" style="140"/>
    <col min="6930" max="6933" width="0" style="140" hidden="1" customWidth="1"/>
    <col min="6934" max="6934" width="10.90625" style="140"/>
    <col min="6935" max="6938" width="0" style="140" hidden="1" customWidth="1"/>
    <col min="6939" max="6939" width="10.90625" style="140"/>
    <col min="6940" max="6943" width="0" style="140" hidden="1" customWidth="1"/>
    <col min="6944" max="6944" width="10.90625" style="140"/>
    <col min="6945" max="6948" width="0" style="140" hidden="1" customWidth="1"/>
    <col min="6949" max="6949" width="10.90625" style="140"/>
    <col min="6950" max="6953" width="0" style="140" hidden="1" customWidth="1"/>
    <col min="6954" max="6954" width="10.90625" style="140"/>
    <col min="6955" max="6958" width="0" style="140" hidden="1" customWidth="1"/>
    <col min="6959" max="6959" width="10.90625" style="140"/>
    <col min="6960" max="6963" width="0" style="140" hidden="1" customWidth="1"/>
    <col min="6964" max="6964" width="10.90625" style="140"/>
    <col min="6965" max="6967" width="0" style="140" hidden="1" customWidth="1"/>
    <col min="6968" max="6968" width="10.90625" style="140"/>
    <col min="6969" max="6970" width="0" style="140" hidden="1" customWidth="1"/>
    <col min="6971" max="6971" width="10.90625" style="140"/>
    <col min="6972" max="6973" width="0" style="140" hidden="1" customWidth="1"/>
    <col min="6974" max="6974" width="16.54296875" style="140" customWidth="1"/>
    <col min="6975" max="6975" width="11.453125" style="140" bestFit="1" customWidth="1"/>
    <col min="6976" max="7173" width="10.90625" style="140"/>
    <col min="7174" max="7174" width="0" style="140" hidden="1" customWidth="1"/>
    <col min="7175" max="7175" width="13" style="140" bestFit="1" customWidth="1"/>
    <col min="7176" max="7179" width="0" style="140" hidden="1" customWidth="1"/>
    <col min="7180" max="7180" width="13" style="140" bestFit="1" customWidth="1"/>
    <col min="7181" max="7184" width="0" style="140" hidden="1" customWidth="1"/>
    <col min="7185" max="7185" width="10.90625" style="140"/>
    <col min="7186" max="7189" width="0" style="140" hidden="1" customWidth="1"/>
    <col min="7190" max="7190" width="10.90625" style="140"/>
    <col min="7191" max="7194" width="0" style="140" hidden="1" customWidth="1"/>
    <col min="7195" max="7195" width="10.90625" style="140"/>
    <col min="7196" max="7199" width="0" style="140" hidden="1" customWidth="1"/>
    <col min="7200" max="7200" width="10.90625" style="140"/>
    <col min="7201" max="7204" width="0" style="140" hidden="1" customWidth="1"/>
    <col min="7205" max="7205" width="10.90625" style="140"/>
    <col min="7206" max="7209" width="0" style="140" hidden="1" customWidth="1"/>
    <col min="7210" max="7210" width="10.90625" style="140"/>
    <col min="7211" max="7214" width="0" style="140" hidden="1" customWidth="1"/>
    <col min="7215" max="7215" width="10.90625" style="140"/>
    <col min="7216" max="7219" width="0" style="140" hidden="1" customWidth="1"/>
    <col min="7220" max="7220" width="10.90625" style="140"/>
    <col min="7221" max="7223" width="0" style="140" hidden="1" customWidth="1"/>
    <col min="7224" max="7224" width="10.90625" style="140"/>
    <col min="7225" max="7226" width="0" style="140" hidden="1" customWidth="1"/>
    <col min="7227" max="7227" width="10.90625" style="140"/>
    <col min="7228" max="7229" width="0" style="140" hidden="1" customWidth="1"/>
    <col min="7230" max="7230" width="16.54296875" style="140" customWidth="1"/>
    <col min="7231" max="7231" width="11.453125" style="140" bestFit="1" customWidth="1"/>
    <col min="7232" max="7429" width="10.90625" style="140"/>
    <col min="7430" max="7430" width="0" style="140" hidden="1" customWidth="1"/>
    <col min="7431" max="7431" width="13" style="140" bestFit="1" customWidth="1"/>
    <col min="7432" max="7435" width="0" style="140" hidden="1" customWidth="1"/>
    <col min="7436" max="7436" width="13" style="140" bestFit="1" customWidth="1"/>
    <col min="7437" max="7440" width="0" style="140" hidden="1" customWidth="1"/>
    <col min="7441" max="7441" width="10.90625" style="140"/>
    <col min="7442" max="7445" width="0" style="140" hidden="1" customWidth="1"/>
    <col min="7446" max="7446" width="10.90625" style="140"/>
    <col min="7447" max="7450" width="0" style="140" hidden="1" customWidth="1"/>
    <col min="7451" max="7451" width="10.90625" style="140"/>
    <col min="7452" max="7455" width="0" style="140" hidden="1" customWidth="1"/>
    <col min="7456" max="7456" width="10.90625" style="140"/>
    <col min="7457" max="7460" width="0" style="140" hidden="1" customWidth="1"/>
    <col min="7461" max="7461" width="10.90625" style="140"/>
    <col min="7462" max="7465" width="0" style="140" hidden="1" customWidth="1"/>
    <col min="7466" max="7466" width="10.90625" style="140"/>
    <col min="7467" max="7470" width="0" style="140" hidden="1" customWidth="1"/>
    <col min="7471" max="7471" width="10.90625" style="140"/>
    <col min="7472" max="7475" width="0" style="140" hidden="1" customWidth="1"/>
    <col min="7476" max="7476" width="10.90625" style="140"/>
    <col min="7477" max="7479" width="0" style="140" hidden="1" customWidth="1"/>
    <col min="7480" max="7480" width="10.90625" style="140"/>
    <col min="7481" max="7482" width="0" style="140" hidden="1" customWidth="1"/>
    <col min="7483" max="7483" width="10.90625" style="140"/>
    <col min="7484" max="7485" width="0" style="140" hidden="1" customWidth="1"/>
    <col min="7486" max="7486" width="16.54296875" style="140" customWidth="1"/>
    <col min="7487" max="7487" width="11.453125" style="140" bestFit="1" customWidth="1"/>
    <col min="7488" max="7685" width="10.90625" style="140"/>
    <col min="7686" max="7686" width="0" style="140" hidden="1" customWidth="1"/>
    <col min="7687" max="7687" width="13" style="140" bestFit="1" customWidth="1"/>
    <col min="7688" max="7691" width="0" style="140" hidden="1" customWidth="1"/>
    <col min="7692" max="7692" width="13" style="140" bestFit="1" customWidth="1"/>
    <col min="7693" max="7696" width="0" style="140" hidden="1" customWidth="1"/>
    <col min="7697" max="7697" width="10.90625" style="140"/>
    <col min="7698" max="7701" width="0" style="140" hidden="1" customWidth="1"/>
    <col min="7702" max="7702" width="10.90625" style="140"/>
    <col min="7703" max="7706" width="0" style="140" hidden="1" customWidth="1"/>
    <col min="7707" max="7707" width="10.90625" style="140"/>
    <col min="7708" max="7711" width="0" style="140" hidden="1" customWidth="1"/>
    <col min="7712" max="7712" width="10.90625" style="140"/>
    <col min="7713" max="7716" width="0" style="140" hidden="1" customWidth="1"/>
    <col min="7717" max="7717" width="10.90625" style="140"/>
    <col min="7718" max="7721" width="0" style="140" hidden="1" customWidth="1"/>
    <col min="7722" max="7722" width="10.90625" style="140"/>
    <col min="7723" max="7726" width="0" style="140" hidden="1" customWidth="1"/>
    <col min="7727" max="7727" width="10.90625" style="140"/>
    <col min="7728" max="7731" width="0" style="140" hidden="1" customWidth="1"/>
    <col min="7732" max="7732" width="10.90625" style="140"/>
    <col min="7733" max="7735" width="0" style="140" hidden="1" customWidth="1"/>
    <col min="7736" max="7736" width="10.90625" style="140"/>
    <col min="7737" max="7738" width="0" style="140" hidden="1" customWidth="1"/>
    <col min="7739" max="7739" width="10.90625" style="140"/>
    <col min="7740" max="7741" width="0" style="140" hidden="1" customWidth="1"/>
    <col min="7742" max="7742" width="16.54296875" style="140" customWidth="1"/>
    <col min="7743" max="7743" width="11.453125" style="140" bestFit="1" customWidth="1"/>
    <col min="7744" max="7941" width="10.90625" style="140"/>
    <col min="7942" max="7942" width="0" style="140" hidden="1" customWidth="1"/>
    <col min="7943" max="7943" width="13" style="140" bestFit="1" customWidth="1"/>
    <col min="7944" max="7947" width="0" style="140" hidden="1" customWidth="1"/>
    <col min="7948" max="7948" width="13" style="140" bestFit="1" customWidth="1"/>
    <col min="7949" max="7952" width="0" style="140" hidden="1" customWidth="1"/>
    <col min="7953" max="7953" width="10.90625" style="140"/>
    <col min="7954" max="7957" width="0" style="140" hidden="1" customWidth="1"/>
    <col min="7958" max="7958" width="10.90625" style="140"/>
    <col min="7959" max="7962" width="0" style="140" hidden="1" customWidth="1"/>
    <col min="7963" max="7963" width="10.90625" style="140"/>
    <col min="7964" max="7967" width="0" style="140" hidden="1" customWidth="1"/>
    <col min="7968" max="7968" width="10.90625" style="140"/>
    <col min="7969" max="7972" width="0" style="140" hidden="1" customWidth="1"/>
    <col min="7973" max="7973" width="10.90625" style="140"/>
    <col min="7974" max="7977" width="0" style="140" hidden="1" customWidth="1"/>
    <col min="7978" max="7978" width="10.90625" style="140"/>
    <col min="7979" max="7982" width="0" style="140" hidden="1" customWidth="1"/>
    <col min="7983" max="7983" width="10.90625" style="140"/>
    <col min="7984" max="7987" width="0" style="140" hidden="1" customWidth="1"/>
    <col min="7988" max="7988" width="10.90625" style="140"/>
    <col min="7989" max="7991" width="0" style="140" hidden="1" customWidth="1"/>
    <col min="7992" max="7992" width="10.90625" style="140"/>
    <col min="7993" max="7994" width="0" style="140" hidden="1" customWidth="1"/>
    <col min="7995" max="7995" width="10.90625" style="140"/>
    <col min="7996" max="7997" width="0" style="140" hidden="1" customWidth="1"/>
    <col min="7998" max="7998" width="16.54296875" style="140" customWidth="1"/>
    <col min="7999" max="7999" width="11.453125" style="140" bestFit="1" customWidth="1"/>
    <col min="8000" max="8197" width="10.90625" style="140"/>
    <col min="8198" max="8198" width="0" style="140" hidden="1" customWidth="1"/>
    <col min="8199" max="8199" width="13" style="140" bestFit="1" customWidth="1"/>
    <col min="8200" max="8203" width="0" style="140" hidden="1" customWidth="1"/>
    <col min="8204" max="8204" width="13" style="140" bestFit="1" customWidth="1"/>
    <col min="8205" max="8208" width="0" style="140" hidden="1" customWidth="1"/>
    <col min="8209" max="8209" width="10.90625" style="140"/>
    <col min="8210" max="8213" width="0" style="140" hidden="1" customWidth="1"/>
    <col min="8214" max="8214" width="10.90625" style="140"/>
    <col min="8215" max="8218" width="0" style="140" hidden="1" customWidth="1"/>
    <col min="8219" max="8219" width="10.90625" style="140"/>
    <col min="8220" max="8223" width="0" style="140" hidden="1" customWidth="1"/>
    <col min="8224" max="8224" width="10.90625" style="140"/>
    <col min="8225" max="8228" width="0" style="140" hidden="1" customWidth="1"/>
    <col min="8229" max="8229" width="10.90625" style="140"/>
    <col min="8230" max="8233" width="0" style="140" hidden="1" customWidth="1"/>
    <col min="8234" max="8234" width="10.90625" style="140"/>
    <col min="8235" max="8238" width="0" style="140" hidden="1" customWidth="1"/>
    <col min="8239" max="8239" width="10.90625" style="140"/>
    <col min="8240" max="8243" width="0" style="140" hidden="1" customWidth="1"/>
    <col min="8244" max="8244" width="10.90625" style="140"/>
    <col min="8245" max="8247" width="0" style="140" hidden="1" customWidth="1"/>
    <col min="8248" max="8248" width="10.90625" style="140"/>
    <col min="8249" max="8250" width="0" style="140" hidden="1" customWidth="1"/>
    <col min="8251" max="8251" width="10.90625" style="140"/>
    <col min="8252" max="8253" width="0" style="140" hidden="1" customWidth="1"/>
    <col min="8254" max="8254" width="16.54296875" style="140" customWidth="1"/>
    <col min="8255" max="8255" width="11.453125" style="140" bestFit="1" customWidth="1"/>
    <col min="8256" max="8453" width="10.90625" style="140"/>
    <col min="8454" max="8454" width="0" style="140" hidden="1" customWidth="1"/>
    <col min="8455" max="8455" width="13" style="140" bestFit="1" customWidth="1"/>
    <col min="8456" max="8459" width="0" style="140" hidden="1" customWidth="1"/>
    <col min="8460" max="8460" width="13" style="140" bestFit="1" customWidth="1"/>
    <col min="8461" max="8464" width="0" style="140" hidden="1" customWidth="1"/>
    <col min="8465" max="8465" width="10.90625" style="140"/>
    <col min="8466" max="8469" width="0" style="140" hidden="1" customWidth="1"/>
    <col min="8470" max="8470" width="10.90625" style="140"/>
    <col min="8471" max="8474" width="0" style="140" hidden="1" customWidth="1"/>
    <col min="8475" max="8475" width="10.90625" style="140"/>
    <col min="8476" max="8479" width="0" style="140" hidden="1" customWidth="1"/>
    <col min="8480" max="8480" width="10.90625" style="140"/>
    <col min="8481" max="8484" width="0" style="140" hidden="1" customWidth="1"/>
    <col min="8485" max="8485" width="10.90625" style="140"/>
    <col min="8486" max="8489" width="0" style="140" hidden="1" customWidth="1"/>
    <col min="8490" max="8490" width="10.90625" style="140"/>
    <col min="8491" max="8494" width="0" style="140" hidden="1" customWidth="1"/>
    <col min="8495" max="8495" width="10.90625" style="140"/>
    <col min="8496" max="8499" width="0" style="140" hidden="1" customWidth="1"/>
    <col min="8500" max="8500" width="10.90625" style="140"/>
    <col min="8501" max="8503" width="0" style="140" hidden="1" customWidth="1"/>
    <col min="8504" max="8504" width="10.90625" style="140"/>
    <col min="8505" max="8506" width="0" style="140" hidden="1" customWidth="1"/>
    <col min="8507" max="8507" width="10.90625" style="140"/>
    <col min="8508" max="8509" width="0" style="140" hidden="1" customWidth="1"/>
    <col min="8510" max="8510" width="16.54296875" style="140" customWidth="1"/>
    <col min="8511" max="8511" width="11.453125" style="140" bestFit="1" customWidth="1"/>
    <col min="8512" max="8709" width="10.90625" style="140"/>
    <col min="8710" max="8710" width="0" style="140" hidden="1" customWidth="1"/>
    <col min="8711" max="8711" width="13" style="140" bestFit="1" customWidth="1"/>
    <col min="8712" max="8715" width="0" style="140" hidden="1" customWidth="1"/>
    <col min="8716" max="8716" width="13" style="140" bestFit="1" customWidth="1"/>
    <col min="8717" max="8720" width="0" style="140" hidden="1" customWidth="1"/>
    <col min="8721" max="8721" width="10.90625" style="140"/>
    <col min="8722" max="8725" width="0" style="140" hidden="1" customWidth="1"/>
    <col min="8726" max="8726" width="10.90625" style="140"/>
    <col min="8727" max="8730" width="0" style="140" hidden="1" customWidth="1"/>
    <col min="8731" max="8731" width="10.90625" style="140"/>
    <col min="8732" max="8735" width="0" style="140" hidden="1" customWidth="1"/>
    <col min="8736" max="8736" width="10.90625" style="140"/>
    <col min="8737" max="8740" width="0" style="140" hidden="1" customWidth="1"/>
    <col min="8741" max="8741" width="10.90625" style="140"/>
    <col min="8742" max="8745" width="0" style="140" hidden="1" customWidth="1"/>
    <col min="8746" max="8746" width="10.90625" style="140"/>
    <col min="8747" max="8750" width="0" style="140" hidden="1" customWidth="1"/>
    <col min="8751" max="8751" width="10.90625" style="140"/>
    <col min="8752" max="8755" width="0" style="140" hidden="1" customWidth="1"/>
    <col min="8756" max="8756" width="10.90625" style="140"/>
    <col min="8757" max="8759" width="0" style="140" hidden="1" customWidth="1"/>
    <col min="8760" max="8760" width="10.90625" style="140"/>
    <col min="8761" max="8762" width="0" style="140" hidden="1" customWidth="1"/>
    <col min="8763" max="8763" width="10.90625" style="140"/>
    <col min="8764" max="8765" width="0" style="140" hidden="1" customWidth="1"/>
    <col min="8766" max="8766" width="16.54296875" style="140" customWidth="1"/>
    <col min="8767" max="8767" width="11.453125" style="140" bestFit="1" customWidth="1"/>
    <col min="8768" max="8965" width="10.90625" style="140"/>
    <col min="8966" max="8966" width="0" style="140" hidden="1" customWidth="1"/>
    <col min="8967" max="8967" width="13" style="140" bestFit="1" customWidth="1"/>
    <col min="8968" max="8971" width="0" style="140" hidden="1" customWidth="1"/>
    <col min="8972" max="8972" width="13" style="140" bestFit="1" customWidth="1"/>
    <col min="8973" max="8976" width="0" style="140" hidden="1" customWidth="1"/>
    <col min="8977" max="8977" width="10.90625" style="140"/>
    <col min="8978" max="8981" width="0" style="140" hidden="1" customWidth="1"/>
    <col min="8982" max="8982" width="10.90625" style="140"/>
    <col min="8983" max="8986" width="0" style="140" hidden="1" customWidth="1"/>
    <col min="8987" max="8987" width="10.90625" style="140"/>
    <col min="8988" max="8991" width="0" style="140" hidden="1" customWidth="1"/>
    <col min="8992" max="8992" width="10.90625" style="140"/>
    <col min="8993" max="8996" width="0" style="140" hidden="1" customWidth="1"/>
    <col min="8997" max="8997" width="10.90625" style="140"/>
    <col min="8998" max="9001" width="0" style="140" hidden="1" customWidth="1"/>
    <col min="9002" max="9002" width="10.90625" style="140"/>
    <col min="9003" max="9006" width="0" style="140" hidden="1" customWidth="1"/>
    <col min="9007" max="9007" width="10.90625" style="140"/>
    <col min="9008" max="9011" width="0" style="140" hidden="1" customWidth="1"/>
    <col min="9012" max="9012" width="10.90625" style="140"/>
    <col min="9013" max="9015" width="0" style="140" hidden="1" customWidth="1"/>
    <col min="9016" max="9016" width="10.90625" style="140"/>
    <col min="9017" max="9018" width="0" style="140" hidden="1" customWidth="1"/>
    <col min="9019" max="9019" width="10.90625" style="140"/>
    <col min="9020" max="9021" width="0" style="140" hidden="1" customWidth="1"/>
    <col min="9022" max="9022" width="16.54296875" style="140" customWidth="1"/>
    <col min="9023" max="9023" width="11.453125" style="140" bestFit="1" customWidth="1"/>
    <col min="9024" max="9221" width="10.90625" style="140"/>
    <col min="9222" max="9222" width="0" style="140" hidden="1" customWidth="1"/>
    <col min="9223" max="9223" width="13" style="140" bestFit="1" customWidth="1"/>
    <col min="9224" max="9227" width="0" style="140" hidden="1" customWidth="1"/>
    <col min="9228" max="9228" width="13" style="140" bestFit="1" customWidth="1"/>
    <col min="9229" max="9232" width="0" style="140" hidden="1" customWidth="1"/>
    <col min="9233" max="9233" width="10.90625" style="140"/>
    <col min="9234" max="9237" width="0" style="140" hidden="1" customWidth="1"/>
    <col min="9238" max="9238" width="10.90625" style="140"/>
    <col min="9239" max="9242" width="0" style="140" hidden="1" customWidth="1"/>
    <col min="9243" max="9243" width="10.90625" style="140"/>
    <col min="9244" max="9247" width="0" style="140" hidden="1" customWidth="1"/>
    <col min="9248" max="9248" width="10.90625" style="140"/>
    <col min="9249" max="9252" width="0" style="140" hidden="1" customWidth="1"/>
    <col min="9253" max="9253" width="10.90625" style="140"/>
    <col min="9254" max="9257" width="0" style="140" hidden="1" customWidth="1"/>
    <col min="9258" max="9258" width="10.90625" style="140"/>
    <col min="9259" max="9262" width="0" style="140" hidden="1" customWidth="1"/>
    <col min="9263" max="9263" width="10.90625" style="140"/>
    <col min="9264" max="9267" width="0" style="140" hidden="1" customWidth="1"/>
    <col min="9268" max="9268" width="10.90625" style="140"/>
    <col min="9269" max="9271" width="0" style="140" hidden="1" customWidth="1"/>
    <col min="9272" max="9272" width="10.90625" style="140"/>
    <col min="9273" max="9274" width="0" style="140" hidden="1" customWidth="1"/>
    <col min="9275" max="9275" width="10.90625" style="140"/>
    <col min="9276" max="9277" width="0" style="140" hidden="1" customWidth="1"/>
    <col min="9278" max="9278" width="16.54296875" style="140" customWidth="1"/>
    <col min="9279" max="9279" width="11.453125" style="140" bestFit="1" customWidth="1"/>
    <col min="9280" max="9477" width="10.90625" style="140"/>
    <col min="9478" max="9478" width="0" style="140" hidden="1" customWidth="1"/>
    <col min="9479" max="9479" width="13" style="140" bestFit="1" customWidth="1"/>
    <col min="9480" max="9483" width="0" style="140" hidden="1" customWidth="1"/>
    <col min="9484" max="9484" width="13" style="140" bestFit="1" customWidth="1"/>
    <col min="9485" max="9488" width="0" style="140" hidden="1" customWidth="1"/>
    <col min="9489" max="9489" width="10.90625" style="140"/>
    <col min="9490" max="9493" width="0" style="140" hidden="1" customWidth="1"/>
    <col min="9494" max="9494" width="10.90625" style="140"/>
    <col min="9495" max="9498" width="0" style="140" hidden="1" customWidth="1"/>
    <col min="9499" max="9499" width="10.90625" style="140"/>
    <col min="9500" max="9503" width="0" style="140" hidden="1" customWidth="1"/>
    <col min="9504" max="9504" width="10.90625" style="140"/>
    <col min="9505" max="9508" width="0" style="140" hidden="1" customWidth="1"/>
    <col min="9509" max="9509" width="10.90625" style="140"/>
    <col min="9510" max="9513" width="0" style="140" hidden="1" customWidth="1"/>
    <col min="9514" max="9514" width="10.90625" style="140"/>
    <col min="9515" max="9518" width="0" style="140" hidden="1" customWidth="1"/>
    <col min="9519" max="9519" width="10.90625" style="140"/>
    <col min="9520" max="9523" width="0" style="140" hidden="1" customWidth="1"/>
    <col min="9524" max="9524" width="10.90625" style="140"/>
    <col min="9525" max="9527" width="0" style="140" hidden="1" customWidth="1"/>
    <col min="9528" max="9528" width="10.90625" style="140"/>
    <col min="9529" max="9530" width="0" style="140" hidden="1" customWidth="1"/>
    <col min="9531" max="9531" width="10.90625" style="140"/>
    <col min="9532" max="9533" width="0" style="140" hidden="1" customWidth="1"/>
    <col min="9534" max="9534" width="16.54296875" style="140" customWidth="1"/>
    <col min="9535" max="9535" width="11.453125" style="140" bestFit="1" customWidth="1"/>
    <col min="9536" max="9733" width="10.90625" style="140"/>
    <col min="9734" max="9734" width="0" style="140" hidden="1" customWidth="1"/>
    <col min="9735" max="9735" width="13" style="140" bestFit="1" customWidth="1"/>
    <col min="9736" max="9739" width="0" style="140" hidden="1" customWidth="1"/>
    <col min="9740" max="9740" width="13" style="140" bestFit="1" customWidth="1"/>
    <col min="9741" max="9744" width="0" style="140" hidden="1" customWidth="1"/>
    <col min="9745" max="9745" width="10.90625" style="140"/>
    <col min="9746" max="9749" width="0" style="140" hidden="1" customWidth="1"/>
    <col min="9750" max="9750" width="10.90625" style="140"/>
    <col min="9751" max="9754" width="0" style="140" hidden="1" customWidth="1"/>
    <col min="9755" max="9755" width="10.90625" style="140"/>
    <col min="9756" max="9759" width="0" style="140" hidden="1" customWidth="1"/>
    <col min="9760" max="9760" width="10.90625" style="140"/>
    <col min="9761" max="9764" width="0" style="140" hidden="1" customWidth="1"/>
    <col min="9765" max="9765" width="10.90625" style="140"/>
    <col min="9766" max="9769" width="0" style="140" hidden="1" customWidth="1"/>
    <col min="9770" max="9770" width="10.90625" style="140"/>
    <col min="9771" max="9774" width="0" style="140" hidden="1" customWidth="1"/>
    <col min="9775" max="9775" width="10.90625" style="140"/>
    <col min="9776" max="9779" width="0" style="140" hidden="1" customWidth="1"/>
    <col min="9780" max="9780" width="10.90625" style="140"/>
    <col min="9781" max="9783" width="0" style="140" hidden="1" customWidth="1"/>
    <col min="9784" max="9784" width="10.90625" style="140"/>
    <col min="9785" max="9786" width="0" style="140" hidden="1" customWidth="1"/>
    <col min="9787" max="9787" width="10.90625" style="140"/>
    <col min="9788" max="9789" width="0" style="140" hidden="1" customWidth="1"/>
    <col min="9790" max="9790" width="16.54296875" style="140" customWidth="1"/>
    <col min="9791" max="9791" width="11.453125" style="140" bestFit="1" customWidth="1"/>
    <col min="9792" max="9989" width="10.90625" style="140"/>
    <col min="9990" max="9990" width="0" style="140" hidden="1" customWidth="1"/>
    <col min="9991" max="9991" width="13" style="140" bestFit="1" customWidth="1"/>
    <col min="9992" max="9995" width="0" style="140" hidden="1" customWidth="1"/>
    <col min="9996" max="9996" width="13" style="140" bestFit="1" customWidth="1"/>
    <col min="9997" max="10000" width="0" style="140" hidden="1" customWidth="1"/>
    <col min="10001" max="10001" width="10.90625" style="140"/>
    <col min="10002" max="10005" width="0" style="140" hidden="1" customWidth="1"/>
    <col min="10006" max="10006" width="10.90625" style="140"/>
    <col min="10007" max="10010" width="0" style="140" hidden="1" customWidth="1"/>
    <col min="10011" max="10011" width="10.90625" style="140"/>
    <col min="10012" max="10015" width="0" style="140" hidden="1" customWidth="1"/>
    <col min="10016" max="10016" width="10.90625" style="140"/>
    <col min="10017" max="10020" width="0" style="140" hidden="1" customWidth="1"/>
    <col min="10021" max="10021" width="10.90625" style="140"/>
    <col min="10022" max="10025" width="0" style="140" hidden="1" customWidth="1"/>
    <col min="10026" max="10026" width="10.90625" style="140"/>
    <col min="10027" max="10030" width="0" style="140" hidden="1" customWidth="1"/>
    <col min="10031" max="10031" width="10.90625" style="140"/>
    <col min="10032" max="10035" width="0" style="140" hidden="1" customWidth="1"/>
    <col min="10036" max="10036" width="10.90625" style="140"/>
    <col min="10037" max="10039" width="0" style="140" hidden="1" customWidth="1"/>
    <col min="10040" max="10040" width="10.90625" style="140"/>
    <col min="10041" max="10042" width="0" style="140" hidden="1" customWidth="1"/>
    <col min="10043" max="10043" width="10.90625" style="140"/>
    <col min="10044" max="10045" width="0" style="140" hidden="1" customWidth="1"/>
    <col min="10046" max="10046" width="16.54296875" style="140" customWidth="1"/>
    <col min="10047" max="10047" width="11.453125" style="140" bestFit="1" customWidth="1"/>
    <col min="10048" max="10245" width="10.90625" style="140"/>
    <col min="10246" max="10246" width="0" style="140" hidden="1" customWidth="1"/>
    <col min="10247" max="10247" width="13" style="140" bestFit="1" customWidth="1"/>
    <col min="10248" max="10251" width="0" style="140" hidden="1" customWidth="1"/>
    <col min="10252" max="10252" width="13" style="140" bestFit="1" customWidth="1"/>
    <col min="10253" max="10256" width="0" style="140" hidden="1" customWidth="1"/>
    <col min="10257" max="10257" width="10.90625" style="140"/>
    <col min="10258" max="10261" width="0" style="140" hidden="1" customWidth="1"/>
    <col min="10262" max="10262" width="10.90625" style="140"/>
    <col min="10263" max="10266" width="0" style="140" hidden="1" customWidth="1"/>
    <col min="10267" max="10267" width="10.90625" style="140"/>
    <col min="10268" max="10271" width="0" style="140" hidden="1" customWidth="1"/>
    <col min="10272" max="10272" width="10.90625" style="140"/>
    <col min="10273" max="10276" width="0" style="140" hidden="1" customWidth="1"/>
    <col min="10277" max="10277" width="10.90625" style="140"/>
    <col min="10278" max="10281" width="0" style="140" hidden="1" customWidth="1"/>
    <col min="10282" max="10282" width="10.90625" style="140"/>
    <col min="10283" max="10286" width="0" style="140" hidden="1" customWidth="1"/>
    <col min="10287" max="10287" width="10.90625" style="140"/>
    <col min="10288" max="10291" width="0" style="140" hidden="1" customWidth="1"/>
    <col min="10292" max="10292" width="10.90625" style="140"/>
    <col min="10293" max="10295" width="0" style="140" hidden="1" customWidth="1"/>
    <col min="10296" max="10296" width="10.90625" style="140"/>
    <col min="10297" max="10298" width="0" style="140" hidden="1" customWidth="1"/>
    <col min="10299" max="10299" width="10.90625" style="140"/>
    <col min="10300" max="10301" width="0" style="140" hidden="1" customWidth="1"/>
    <col min="10302" max="10302" width="16.54296875" style="140" customWidth="1"/>
    <col min="10303" max="10303" width="11.453125" style="140" bestFit="1" customWidth="1"/>
    <col min="10304" max="10501" width="10.90625" style="140"/>
    <col min="10502" max="10502" width="0" style="140" hidden="1" customWidth="1"/>
    <col min="10503" max="10503" width="13" style="140" bestFit="1" customWidth="1"/>
    <col min="10504" max="10507" width="0" style="140" hidden="1" customWidth="1"/>
    <col min="10508" max="10508" width="13" style="140" bestFit="1" customWidth="1"/>
    <col min="10509" max="10512" width="0" style="140" hidden="1" customWidth="1"/>
    <col min="10513" max="10513" width="10.90625" style="140"/>
    <col min="10514" max="10517" width="0" style="140" hidden="1" customWidth="1"/>
    <col min="10518" max="10518" width="10.90625" style="140"/>
    <col min="10519" max="10522" width="0" style="140" hidden="1" customWidth="1"/>
    <col min="10523" max="10523" width="10.90625" style="140"/>
    <col min="10524" max="10527" width="0" style="140" hidden="1" customWidth="1"/>
    <col min="10528" max="10528" width="10.90625" style="140"/>
    <col min="10529" max="10532" width="0" style="140" hidden="1" customWidth="1"/>
    <col min="10533" max="10533" width="10.90625" style="140"/>
    <col min="10534" max="10537" width="0" style="140" hidden="1" customWidth="1"/>
    <col min="10538" max="10538" width="10.90625" style="140"/>
    <col min="10539" max="10542" width="0" style="140" hidden="1" customWidth="1"/>
    <col min="10543" max="10543" width="10.90625" style="140"/>
    <col min="10544" max="10547" width="0" style="140" hidden="1" customWidth="1"/>
    <col min="10548" max="10548" width="10.90625" style="140"/>
    <col min="10549" max="10551" width="0" style="140" hidden="1" customWidth="1"/>
    <col min="10552" max="10552" width="10.90625" style="140"/>
    <col min="10553" max="10554" width="0" style="140" hidden="1" customWidth="1"/>
    <col min="10555" max="10555" width="10.90625" style="140"/>
    <col min="10556" max="10557" width="0" style="140" hidden="1" customWidth="1"/>
    <col min="10558" max="10558" width="16.54296875" style="140" customWidth="1"/>
    <col min="10559" max="10559" width="11.453125" style="140" bestFit="1" customWidth="1"/>
    <col min="10560" max="10757" width="10.90625" style="140"/>
    <col min="10758" max="10758" width="0" style="140" hidden="1" customWidth="1"/>
    <col min="10759" max="10759" width="13" style="140" bestFit="1" customWidth="1"/>
    <col min="10760" max="10763" width="0" style="140" hidden="1" customWidth="1"/>
    <col min="10764" max="10764" width="13" style="140" bestFit="1" customWidth="1"/>
    <col min="10765" max="10768" width="0" style="140" hidden="1" customWidth="1"/>
    <col min="10769" max="10769" width="10.90625" style="140"/>
    <col min="10770" max="10773" width="0" style="140" hidden="1" customWidth="1"/>
    <col min="10774" max="10774" width="10.90625" style="140"/>
    <col min="10775" max="10778" width="0" style="140" hidden="1" customWidth="1"/>
    <col min="10779" max="10779" width="10.90625" style="140"/>
    <col min="10780" max="10783" width="0" style="140" hidden="1" customWidth="1"/>
    <col min="10784" max="10784" width="10.90625" style="140"/>
    <col min="10785" max="10788" width="0" style="140" hidden="1" customWidth="1"/>
    <col min="10789" max="10789" width="10.90625" style="140"/>
    <col min="10790" max="10793" width="0" style="140" hidden="1" customWidth="1"/>
    <col min="10794" max="10794" width="10.90625" style="140"/>
    <col min="10795" max="10798" width="0" style="140" hidden="1" customWidth="1"/>
    <col min="10799" max="10799" width="10.90625" style="140"/>
    <col min="10800" max="10803" width="0" style="140" hidden="1" customWidth="1"/>
    <col min="10804" max="10804" width="10.90625" style="140"/>
    <col min="10805" max="10807" width="0" style="140" hidden="1" customWidth="1"/>
    <col min="10808" max="10808" width="10.90625" style="140"/>
    <col min="10809" max="10810" width="0" style="140" hidden="1" customWidth="1"/>
    <col min="10811" max="10811" width="10.90625" style="140"/>
    <col min="10812" max="10813" width="0" style="140" hidden="1" customWidth="1"/>
    <col min="10814" max="10814" width="16.54296875" style="140" customWidth="1"/>
    <col min="10815" max="10815" width="11.453125" style="140" bestFit="1" customWidth="1"/>
    <col min="10816" max="11013" width="10.90625" style="140"/>
    <col min="11014" max="11014" width="0" style="140" hidden="1" customWidth="1"/>
    <col min="11015" max="11015" width="13" style="140" bestFit="1" customWidth="1"/>
    <col min="11016" max="11019" width="0" style="140" hidden="1" customWidth="1"/>
    <col min="11020" max="11020" width="13" style="140" bestFit="1" customWidth="1"/>
    <col min="11021" max="11024" width="0" style="140" hidden="1" customWidth="1"/>
    <col min="11025" max="11025" width="10.90625" style="140"/>
    <col min="11026" max="11029" width="0" style="140" hidden="1" customWidth="1"/>
    <col min="11030" max="11030" width="10.90625" style="140"/>
    <col min="11031" max="11034" width="0" style="140" hidden="1" customWidth="1"/>
    <col min="11035" max="11035" width="10.90625" style="140"/>
    <col min="11036" max="11039" width="0" style="140" hidden="1" customWidth="1"/>
    <col min="11040" max="11040" width="10.90625" style="140"/>
    <col min="11041" max="11044" width="0" style="140" hidden="1" customWidth="1"/>
    <col min="11045" max="11045" width="10.90625" style="140"/>
    <col min="11046" max="11049" width="0" style="140" hidden="1" customWidth="1"/>
    <col min="11050" max="11050" width="10.90625" style="140"/>
    <col min="11051" max="11054" width="0" style="140" hidden="1" customWidth="1"/>
    <col min="11055" max="11055" width="10.90625" style="140"/>
    <col min="11056" max="11059" width="0" style="140" hidden="1" customWidth="1"/>
    <col min="11060" max="11060" width="10.90625" style="140"/>
    <col min="11061" max="11063" width="0" style="140" hidden="1" customWidth="1"/>
    <col min="11064" max="11064" width="10.90625" style="140"/>
    <col min="11065" max="11066" width="0" style="140" hidden="1" customWidth="1"/>
    <col min="11067" max="11067" width="10.90625" style="140"/>
    <col min="11068" max="11069" width="0" style="140" hidden="1" customWidth="1"/>
    <col min="11070" max="11070" width="16.54296875" style="140" customWidth="1"/>
    <col min="11071" max="11071" width="11.453125" style="140" bestFit="1" customWidth="1"/>
    <col min="11072" max="11269" width="10.90625" style="140"/>
    <col min="11270" max="11270" width="0" style="140" hidden="1" customWidth="1"/>
    <col min="11271" max="11271" width="13" style="140" bestFit="1" customWidth="1"/>
    <col min="11272" max="11275" width="0" style="140" hidden="1" customWidth="1"/>
    <col min="11276" max="11276" width="13" style="140" bestFit="1" customWidth="1"/>
    <col min="11277" max="11280" width="0" style="140" hidden="1" customWidth="1"/>
    <col min="11281" max="11281" width="10.90625" style="140"/>
    <col min="11282" max="11285" width="0" style="140" hidden="1" customWidth="1"/>
    <col min="11286" max="11286" width="10.90625" style="140"/>
    <col min="11287" max="11290" width="0" style="140" hidden="1" customWidth="1"/>
    <col min="11291" max="11291" width="10.90625" style="140"/>
    <col min="11292" max="11295" width="0" style="140" hidden="1" customWidth="1"/>
    <col min="11296" max="11296" width="10.90625" style="140"/>
    <col min="11297" max="11300" width="0" style="140" hidden="1" customWidth="1"/>
    <col min="11301" max="11301" width="10.90625" style="140"/>
    <col min="11302" max="11305" width="0" style="140" hidden="1" customWidth="1"/>
    <col min="11306" max="11306" width="10.90625" style="140"/>
    <col min="11307" max="11310" width="0" style="140" hidden="1" customWidth="1"/>
    <col min="11311" max="11311" width="10.90625" style="140"/>
    <col min="11312" max="11315" width="0" style="140" hidden="1" customWidth="1"/>
    <col min="11316" max="11316" width="10.90625" style="140"/>
    <col min="11317" max="11319" width="0" style="140" hidden="1" customWidth="1"/>
    <col min="11320" max="11320" width="10.90625" style="140"/>
    <col min="11321" max="11322" width="0" style="140" hidden="1" customWidth="1"/>
    <col min="11323" max="11323" width="10.90625" style="140"/>
    <col min="11324" max="11325" width="0" style="140" hidden="1" customWidth="1"/>
    <col min="11326" max="11326" width="16.54296875" style="140" customWidth="1"/>
    <col min="11327" max="11327" width="11.453125" style="140" bestFit="1" customWidth="1"/>
    <col min="11328" max="11525" width="10.90625" style="140"/>
    <col min="11526" max="11526" width="0" style="140" hidden="1" customWidth="1"/>
    <col min="11527" max="11527" width="13" style="140" bestFit="1" customWidth="1"/>
    <col min="11528" max="11531" width="0" style="140" hidden="1" customWidth="1"/>
    <col min="11532" max="11532" width="13" style="140" bestFit="1" customWidth="1"/>
    <col min="11533" max="11536" width="0" style="140" hidden="1" customWidth="1"/>
    <col min="11537" max="11537" width="10.90625" style="140"/>
    <col min="11538" max="11541" width="0" style="140" hidden="1" customWidth="1"/>
    <col min="11542" max="11542" width="10.90625" style="140"/>
    <col min="11543" max="11546" width="0" style="140" hidden="1" customWidth="1"/>
    <col min="11547" max="11547" width="10.90625" style="140"/>
    <col min="11548" max="11551" width="0" style="140" hidden="1" customWidth="1"/>
    <col min="11552" max="11552" width="10.90625" style="140"/>
    <col min="11553" max="11556" width="0" style="140" hidden="1" customWidth="1"/>
    <col min="11557" max="11557" width="10.90625" style="140"/>
    <col min="11558" max="11561" width="0" style="140" hidden="1" customWidth="1"/>
    <col min="11562" max="11562" width="10.90625" style="140"/>
    <col min="11563" max="11566" width="0" style="140" hidden="1" customWidth="1"/>
    <col min="11567" max="11567" width="10.90625" style="140"/>
    <col min="11568" max="11571" width="0" style="140" hidden="1" customWidth="1"/>
    <col min="11572" max="11572" width="10.90625" style="140"/>
    <col min="11573" max="11575" width="0" style="140" hidden="1" customWidth="1"/>
    <col min="11576" max="11576" width="10.90625" style="140"/>
    <col min="11577" max="11578" width="0" style="140" hidden="1" customWidth="1"/>
    <col min="11579" max="11579" width="10.90625" style="140"/>
    <col min="11580" max="11581" width="0" style="140" hidden="1" customWidth="1"/>
    <col min="11582" max="11582" width="16.54296875" style="140" customWidth="1"/>
    <col min="11583" max="11583" width="11.453125" style="140" bestFit="1" customWidth="1"/>
    <col min="11584" max="11781" width="10.90625" style="140"/>
    <col min="11782" max="11782" width="0" style="140" hidden="1" customWidth="1"/>
    <col min="11783" max="11783" width="13" style="140" bestFit="1" customWidth="1"/>
    <col min="11784" max="11787" width="0" style="140" hidden="1" customWidth="1"/>
    <col min="11788" max="11788" width="13" style="140" bestFit="1" customWidth="1"/>
    <col min="11789" max="11792" width="0" style="140" hidden="1" customWidth="1"/>
    <col min="11793" max="11793" width="10.90625" style="140"/>
    <col min="11794" max="11797" width="0" style="140" hidden="1" customWidth="1"/>
    <col min="11798" max="11798" width="10.90625" style="140"/>
    <col min="11799" max="11802" width="0" style="140" hidden="1" customWidth="1"/>
    <col min="11803" max="11803" width="10.90625" style="140"/>
    <col min="11804" max="11807" width="0" style="140" hidden="1" customWidth="1"/>
    <col min="11808" max="11808" width="10.90625" style="140"/>
    <col min="11809" max="11812" width="0" style="140" hidden="1" customWidth="1"/>
    <col min="11813" max="11813" width="10.90625" style="140"/>
    <col min="11814" max="11817" width="0" style="140" hidden="1" customWidth="1"/>
    <col min="11818" max="11818" width="10.90625" style="140"/>
    <col min="11819" max="11822" width="0" style="140" hidden="1" customWidth="1"/>
    <col min="11823" max="11823" width="10.90625" style="140"/>
    <col min="11824" max="11827" width="0" style="140" hidden="1" customWidth="1"/>
    <col min="11828" max="11828" width="10.90625" style="140"/>
    <col min="11829" max="11831" width="0" style="140" hidden="1" customWidth="1"/>
    <col min="11832" max="11832" width="10.90625" style="140"/>
    <col min="11833" max="11834" width="0" style="140" hidden="1" customWidth="1"/>
    <col min="11835" max="11835" width="10.90625" style="140"/>
    <col min="11836" max="11837" width="0" style="140" hidden="1" customWidth="1"/>
    <col min="11838" max="11838" width="16.54296875" style="140" customWidth="1"/>
    <col min="11839" max="11839" width="11.453125" style="140" bestFit="1" customWidth="1"/>
    <col min="11840" max="12037" width="10.90625" style="140"/>
    <col min="12038" max="12038" width="0" style="140" hidden="1" customWidth="1"/>
    <col min="12039" max="12039" width="13" style="140" bestFit="1" customWidth="1"/>
    <col min="12040" max="12043" width="0" style="140" hidden="1" customWidth="1"/>
    <col min="12044" max="12044" width="13" style="140" bestFit="1" customWidth="1"/>
    <col min="12045" max="12048" width="0" style="140" hidden="1" customWidth="1"/>
    <col min="12049" max="12049" width="10.90625" style="140"/>
    <col min="12050" max="12053" width="0" style="140" hidden="1" customWidth="1"/>
    <col min="12054" max="12054" width="10.90625" style="140"/>
    <col min="12055" max="12058" width="0" style="140" hidden="1" customWidth="1"/>
    <col min="12059" max="12059" width="10.90625" style="140"/>
    <col min="12060" max="12063" width="0" style="140" hidden="1" customWidth="1"/>
    <col min="12064" max="12064" width="10.90625" style="140"/>
    <col min="12065" max="12068" width="0" style="140" hidden="1" customWidth="1"/>
    <col min="12069" max="12069" width="10.90625" style="140"/>
    <col min="12070" max="12073" width="0" style="140" hidden="1" customWidth="1"/>
    <col min="12074" max="12074" width="10.90625" style="140"/>
    <col min="12075" max="12078" width="0" style="140" hidden="1" customWidth="1"/>
    <col min="12079" max="12079" width="10.90625" style="140"/>
    <col min="12080" max="12083" width="0" style="140" hidden="1" customWidth="1"/>
    <col min="12084" max="12084" width="10.90625" style="140"/>
    <col min="12085" max="12087" width="0" style="140" hidden="1" customWidth="1"/>
    <col min="12088" max="12088" width="10.90625" style="140"/>
    <col min="12089" max="12090" width="0" style="140" hidden="1" customWidth="1"/>
    <col min="12091" max="12091" width="10.90625" style="140"/>
    <col min="12092" max="12093" width="0" style="140" hidden="1" customWidth="1"/>
    <col min="12094" max="12094" width="16.54296875" style="140" customWidth="1"/>
    <col min="12095" max="12095" width="11.453125" style="140" bestFit="1" customWidth="1"/>
    <col min="12096" max="12293" width="10.90625" style="140"/>
    <col min="12294" max="12294" width="0" style="140" hidden="1" customWidth="1"/>
    <col min="12295" max="12295" width="13" style="140" bestFit="1" customWidth="1"/>
    <col min="12296" max="12299" width="0" style="140" hidden="1" customWidth="1"/>
    <col min="12300" max="12300" width="13" style="140" bestFit="1" customWidth="1"/>
    <col min="12301" max="12304" width="0" style="140" hidden="1" customWidth="1"/>
    <col min="12305" max="12305" width="10.90625" style="140"/>
    <col min="12306" max="12309" width="0" style="140" hidden="1" customWidth="1"/>
    <col min="12310" max="12310" width="10.90625" style="140"/>
    <col min="12311" max="12314" width="0" style="140" hidden="1" customWidth="1"/>
    <col min="12315" max="12315" width="10.90625" style="140"/>
    <col min="12316" max="12319" width="0" style="140" hidden="1" customWidth="1"/>
    <col min="12320" max="12320" width="10.90625" style="140"/>
    <col min="12321" max="12324" width="0" style="140" hidden="1" customWidth="1"/>
    <col min="12325" max="12325" width="10.90625" style="140"/>
    <col min="12326" max="12329" width="0" style="140" hidden="1" customWidth="1"/>
    <col min="12330" max="12330" width="10.90625" style="140"/>
    <col min="12331" max="12334" width="0" style="140" hidden="1" customWidth="1"/>
    <col min="12335" max="12335" width="10.90625" style="140"/>
    <col min="12336" max="12339" width="0" style="140" hidden="1" customWidth="1"/>
    <col min="12340" max="12340" width="10.90625" style="140"/>
    <col min="12341" max="12343" width="0" style="140" hidden="1" customWidth="1"/>
    <col min="12344" max="12344" width="10.90625" style="140"/>
    <col min="12345" max="12346" width="0" style="140" hidden="1" customWidth="1"/>
    <col min="12347" max="12347" width="10.90625" style="140"/>
    <col min="12348" max="12349" width="0" style="140" hidden="1" customWidth="1"/>
    <col min="12350" max="12350" width="16.54296875" style="140" customWidth="1"/>
    <col min="12351" max="12351" width="11.453125" style="140" bestFit="1" customWidth="1"/>
    <col min="12352" max="12549" width="10.90625" style="140"/>
    <col min="12550" max="12550" width="0" style="140" hidden="1" customWidth="1"/>
    <col min="12551" max="12551" width="13" style="140" bestFit="1" customWidth="1"/>
    <col min="12552" max="12555" width="0" style="140" hidden="1" customWidth="1"/>
    <col min="12556" max="12556" width="13" style="140" bestFit="1" customWidth="1"/>
    <col min="12557" max="12560" width="0" style="140" hidden="1" customWidth="1"/>
    <col min="12561" max="12561" width="10.90625" style="140"/>
    <col min="12562" max="12565" width="0" style="140" hidden="1" customWidth="1"/>
    <col min="12566" max="12566" width="10.90625" style="140"/>
    <col min="12567" max="12570" width="0" style="140" hidden="1" customWidth="1"/>
    <col min="12571" max="12571" width="10.90625" style="140"/>
    <col min="12572" max="12575" width="0" style="140" hidden="1" customWidth="1"/>
    <col min="12576" max="12576" width="10.90625" style="140"/>
    <col min="12577" max="12580" width="0" style="140" hidden="1" customWidth="1"/>
    <col min="12581" max="12581" width="10.90625" style="140"/>
    <col min="12582" max="12585" width="0" style="140" hidden="1" customWidth="1"/>
    <col min="12586" max="12586" width="10.90625" style="140"/>
    <col min="12587" max="12590" width="0" style="140" hidden="1" customWidth="1"/>
    <col min="12591" max="12591" width="10.90625" style="140"/>
    <col min="12592" max="12595" width="0" style="140" hidden="1" customWidth="1"/>
    <col min="12596" max="12596" width="10.90625" style="140"/>
    <col min="12597" max="12599" width="0" style="140" hidden="1" customWidth="1"/>
    <col min="12600" max="12600" width="10.90625" style="140"/>
    <col min="12601" max="12602" width="0" style="140" hidden="1" customWidth="1"/>
    <col min="12603" max="12603" width="10.90625" style="140"/>
    <col min="12604" max="12605" width="0" style="140" hidden="1" customWidth="1"/>
    <col min="12606" max="12606" width="16.54296875" style="140" customWidth="1"/>
    <col min="12607" max="12607" width="11.453125" style="140" bestFit="1" customWidth="1"/>
    <col min="12608" max="12805" width="10.90625" style="140"/>
    <col min="12806" max="12806" width="0" style="140" hidden="1" customWidth="1"/>
    <col min="12807" max="12807" width="13" style="140" bestFit="1" customWidth="1"/>
    <col min="12808" max="12811" width="0" style="140" hidden="1" customWidth="1"/>
    <col min="12812" max="12812" width="13" style="140" bestFit="1" customWidth="1"/>
    <col min="12813" max="12816" width="0" style="140" hidden="1" customWidth="1"/>
    <col min="12817" max="12817" width="10.90625" style="140"/>
    <col min="12818" max="12821" width="0" style="140" hidden="1" customWidth="1"/>
    <col min="12822" max="12822" width="10.90625" style="140"/>
    <col min="12823" max="12826" width="0" style="140" hidden="1" customWidth="1"/>
    <col min="12827" max="12827" width="10.90625" style="140"/>
    <col min="12828" max="12831" width="0" style="140" hidden="1" customWidth="1"/>
    <col min="12832" max="12832" width="10.90625" style="140"/>
    <col min="12833" max="12836" width="0" style="140" hidden="1" customWidth="1"/>
    <col min="12837" max="12837" width="10.90625" style="140"/>
    <col min="12838" max="12841" width="0" style="140" hidden="1" customWidth="1"/>
    <col min="12842" max="12842" width="10.90625" style="140"/>
    <col min="12843" max="12846" width="0" style="140" hidden="1" customWidth="1"/>
    <col min="12847" max="12847" width="10.90625" style="140"/>
    <col min="12848" max="12851" width="0" style="140" hidden="1" customWidth="1"/>
    <col min="12852" max="12852" width="10.90625" style="140"/>
    <col min="12853" max="12855" width="0" style="140" hidden="1" customWidth="1"/>
    <col min="12856" max="12856" width="10.90625" style="140"/>
    <col min="12857" max="12858" width="0" style="140" hidden="1" customWidth="1"/>
    <col min="12859" max="12859" width="10.90625" style="140"/>
    <col min="12860" max="12861" width="0" style="140" hidden="1" customWidth="1"/>
    <col min="12862" max="12862" width="16.54296875" style="140" customWidth="1"/>
    <col min="12863" max="12863" width="11.453125" style="140" bestFit="1" customWidth="1"/>
    <col min="12864" max="13061" width="10.90625" style="140"/>
    <col min="13062" max="13062" width="0" style="140" hidden="1" customWidth="1"/>
    <col min="13063" max="13063" width="13" style="140" bestFit="1" customWidth="1"/>
    <col min="13064" max="13067" width="0" style="140" hidden="1" customWidth="1"/>
    <col min="13068" max="13068" width="13" style="140" bestFit="1" customWidth="1"/>
    <col min="13069" max="13072" width="0" style="140" hidden="1" customWidth="1"/>
    <col min="13073" max="13073" width="10.90625" style="140"/>
    <col min="13074" max="13077" width="0" style="140" hidden="1" customWidth="1"/>
    <col min="13078" max="13078" width="10.90625" style="140"/>
    <col min="13079" max="13082" width="0" style="140" hidden="1" customWidth="1"/>
    <col min="13083" max="13083" width="10.90625" style="140"/>
    <col min="13084" max="13087" width="0" style="140" hidden="1" customWidth="1"/>
    <col min="13088" max="13088" width="10.90625" style="140"/>
    <col min="13089" max="13092" width="0" style="140" hidden="1" customWidth="1"/>
    <col min="13093" max="13093" width="10.90625" style="140"/>
    <col min="13094" max="13097" width="0" style="140" hidden="1" customWidth="1"/>
    <col min="13098" max="13098" width="10.90625" style="140"/>
    <col min="13099" max="13102" width="0" style="140" hidden="1" customWidth="1"/>
    <col min="13103" max="13103" width="10.90625" style="140"/>
    <col min="13104" max="13107" width="0" style="140" hidden="1" customWidth="1"/>
    <col min="13108" max="13108" width="10.90625" style="140"/>
    <col min="13109" max="13111" width="0" style="140" hidden="1" customWidth="1"/>
    <col min="13112" max="13112" width="10.90625" style="140"/>
    <col min="13113" max="13114" width="0" style="140" hidden="1" customWidth="1"/>
    <col min="13115" max="13115" width="10.90625" style="140"/>
    <col min="13116" max="13117" width="0" style="140" hidden="1" customWidth="1"/>
    <col min="13118" max="13118" width="16.54296875" style="140" customWidth="1"/>
    <col min="13119" max="13119" width="11.453125" style="140" bestFit="1" customWidth="1"/>
    <col min="13120" max="13317" width="10.90625" style="140"/>
    <col min="13318" max="13318" width="0" style="140" hidden="1" customWidth="1"/>
    <col min="13319" max="13319" width="13" style="140" bestFit="1" customWidth="1"/>
    <col min="13320" max="13323" width="0" style="140" hidden="1" customWidth="1"/>
    <col min="13324" max="13324" width="13" style="140" bestFit="1" customWidth="1"/>
    <col min="13325" max="13328" width="0" style="140" hidden="1" customWidth="1"/>
    <col min="13329" max="13329" width="10.90625" style="140"/>
    <col min="13330" max="13333" width="0" style="140" hidden="1" customWidth="1"/>
    <col min="13334" max="13334" width="10.90625" style="140"/>
    <col min="13335" max="13338" width="0" style="140" hidden="1" customWidth="1"/>
    <col min="13339" max="13339" width="10.90625" style="140"/>
    <col min="13340" max="13343" width="0" style="140" hidden="1" customWidth="1"/>
    <col min="13344" max="13344" width="10.90625" style="140"/>
    <col min="13345" max="13348" width="0" style="140" hidden="1" customWidth="1"/>
    <col min="13349" max="13349" width="10.90625" style="140"/>
    <col min="13350" max="13353" width="0" style="140" hidden="1" customWidth="1"/>
    <col min="13354" max="13354" width="10.90625" style="140"/>
    <col min="13355" max="13358" width="0" style="140" hidden="1" customWidth="1"/>
    <col min="13359" max="13359" width="10.90625" style="140"/>
    <col min="13360" max="13363" width="0" style="140" hidden="1" customWidth="1"/>
    <col min="13364" max="13364" width="10.90625" style="140"/>
    <col min="13365" max="13367" width="0" style="140" hidden="1" customWidth="1"/>
    <col min="13368" max="13368" width="10.90625" style="140"/>
    <col min="13369" max="13370" width="0" style="140" hidden="1" customWidth="1"/>
    <col min="13371" max="13371" width="10.90625" style="140"/>
    <col min="13372" max="13373" width="0" style="140" hidden="1" customWidth="1"/>
    <col min="13374" max="13374" width="16.54296875" style="140" customWidth="1"/>
    <col min="13375" max="13375" width="11.453125" style="140" bestFit="1" customWidth="1"/>
    <col min="13376" max="13573" width="10.90625" style="140"/>
    <col min="13574" max="13574" width="0" style="140" hidden="1" customWidth="1"/>
    <col min="13575" max="13575" width="13" style="140" bestFit="1" customWidth="1"/>
    <col min="13576" max="13579" width="0" style="140" hidden="1" customWidth="1"/>
    <col min="13580" max="13580" width="13" style="140" bestFit="1" customWidth="1"/>
    <col min="13581" max="13584" width="0" style="140" hidden="1" customWidth="1"/>
    <col min="13585" max="13585" width="10.90625" style="140"/>
    <col min="13586" max="13589" width="0" style="140" hidden="1" customWidth="1"/>
    <col min="13590" max="13590" width="10.90625" style="140"/>
    <col min="13591" max="13594" width="0" style="140" hidden="1" customWidth="1"/>
    <col min="13595" max="13595" width="10.90625" style="140"/>
    <col min="13596" max="13599" width="0" style="140" hidden="1" customWidth="1"/>
    <col min="13600" max="13600" width="10.90625" style="140"/>
    <col min="13601" max="13604" width="0" style="140" hidden="1" customWidth="1"/>
    <col min="13605" max="13605" width="10.90625" style="140"/>
    <col min="13606" max="13609" width="0" style="140" hidden="1" customWidth="1"/>
    <col min="13610" max="13610" width="10.90625" style="140"/>
    <col min="13611" max="13614" width="0" style="140" hidden="1" customWidth="1"/>
    <col min="13615" max="13615" width="10.90625" style="140"/>
    <col min="13616" max="13619" width="0" style="140" hidden="1" customWidth="1"/>
    <col min="13620" max="13620" width="10.90625" style="140"/>
    <col min="13621" max="13623" width="0" style="140" hidden="1" customWidth="1"/>
    <col min="13624" max="13624" width="10.90625" style="140"/>
    <col min="13625" max="13626" width="0" style="140" hidden="1" customWidth="1"/>
    <col min="13627" max="13627" width="10.90625" style="140"/>
    <col min="13628" max="13629" width="0" style="140" hidden="1" customWidth="1"/>
    <col min="13630" max="13630" width="16.54296875" style="140" customWidth="1"/>
    <col min="13631" max="13631" width="11.453125" style="140" bestFit="1" customWidth="1"/>
    <col min="13632" max="13829" width="10.90625" style="140"/>
    <col min="13830" max="13830" width="0" style="140" hidden="1" customWidth="1"/>
    <col min="13831" max="13831" width="13" style="140" bestFit="1" customWidth="1"/>
    <col min="13832" max="13835" width="0" style="140" hidden="1" customWidth="1"/>
    <col min="13836" max="13836" width="13" style="140" bestFit="1" customWidth="1"/>
    <col min="13837" max="13840" width="0" style="140" hidden="1" customWidth="1"/>
    <col min="13841" max="13841" width="10.90625" style="140"/>
    <col min="13842" max="13845" width="0" style="140" hidden="1" customWidth="1"/>
    <col min="13846" max="13846" width="10.90625" style="140"/>
    <col min="13847" max="13850" width="0" style="140" hidden="1" customWidth="1"/>
    <col min="13851" max="13851" width="10.90625" style="140"/>
    <col min="13852" max="13855" width="0" style="140" hidden="1" customWidth="1"/>
    <col min="13856" max="13856" width="10.90625" style="140"/>
    <col min="13857" max="13860" width="0" style="140" hidden="1" customWidth="1"/>
    <col min="13861" max="13861" width="10.90625" style="140"/>
    <col min="13862" max="13865" width="0" style="140" hidden="1" customWidth="1"/>
    <col min="13866" max="13866" width="10.90625" style="140"/>
    <col min="13867" max="13870" width="0" style="140" hidden="1" customWidth="1"/>
    <col min="13871" max="13871" width="10.90625" style="140"/>
    <col min="13872" max="13875" width="0" style="140" hidden="1" customWidth="1"/>
    <col min="13876" max="13876" width="10.90625" style="140"/>
    <col min="13877" max="13879" width="0" style="140" hidden="1" customWidth="1"/>
    <col min="13880" max="13880" width="10.90625" style="140"/>
    <col min="13881" max="13882" width="0" style="140" hidden="1" customWidth="1"/>
    <col min="13883" max="13883" width="10.90625" style="140"/>
    <col min="13884" max="13885" width="0" style="140" hidden="1" customWidth="1"/>
    <col min="13886" max="13886" width="16.54296875" style="140" customWidth="1"/>
    <col min="13887" max="13887" width="11.453125" style="140" bestFit="1" customWidth="1"/>
    <col min="13888" max="14085" width="10.90625" style="140"/>
    <col min="14086" max="14086" width="0" style="140" hidden="1" customWidth="1"/>
    <col min="14087" max="14087" width="13" style="140" bestFit="1" customWidth="1"/>
    <col min="14088" max="14091" width="0" style="140" hidden="1" customWidth="1"/>
    <col min="14092" max="14092" width="13" style="140" bestFit="1" customWidth="1"/>
    <col min="14093" max="14096" width="0" style="140" hidden="1" customWidth="1"/>
    <col min="14097" max="14097" width="10.90625" style="140"/>
    <col min="14098" max="14101" width="0" style="140" hidden="1" customWidth="1"/>
    <col min="14102" max="14102" width="10.90625" style="140"/>
    <col min="14103" max="14106" width="0" style="140" hidden="1" customWidth="1"/>
    <col min="14107" max="14107" width="10.90625" style="140"/>
    <col min="14108" max="14111" width="0" style="140" hidden="1" customWidth="1"/>
    <col min="14112" max="14112" width="10.90625" style="140"/>
    <col min="14113" max="14116" width="0" style="140" hidden="1" customWidth="1"/>
    <col min="14117" max="14117" width="10.90625" style="140"/>
    <col min="14118" max="14121" width="0" style="140" hidden="1" customWidth="1"/>
    <col min="14122" max="14122" width="10.90625" style="140"/>
    <col min="14123" max="14126" width="0" style="140" hidden="1" customWidth="1"/>
    <col min="14127" max="14127" width="10.90625" style="140"/>
    <col min="14128" max="14131" width="0" style="140" hidden="1" customWidth="1"/>
    <col min="14132" max="14132" width="10.90625" style="140"/>
    <col min="14133" max="14135" width="0" style="140" hidden="1" customWidth="1"/>
    <col min="14136" max="14136" width="10.90625" style="140"/>
    <col min="14137" max="14138" width="0" style="140" hidden="1" customWidth="1"/>
    <col min="14139" max="14139" width="10.90625" style="140"/>
    <col min="14140" max="14141" width="0" style="140" hidden="1" customWidth="1"/>
    <col min="14142" max="14142" width="16.54296875" style="140" customWidth="1"/>
    <col min="14143" max="14143" width="11.453125" style="140" bestFit="1" customWidth="1"/>
    <col min="14144" max="14341" width="10.90625" style="140"/>
    <col min="14342" max="14342" width="0" style="140" hidden="1" customWidth="1"/>
    <col min="14343" max="14343" width="13" style="140" bestFit="1" customWidth="1"/>
    <col min="14344" max="14347" width="0" style="140" hidden="1" customWidth="1"/>
    <col min="14348" max="14348" width="13" style="140" bestFit="1" customWidth="1"/>
    <col min="14349" max="14352" width="0" style="140" hidden="1" customWidth="1"/>
    <col min="14353" max="14353" width="10.90625" style="140"/>
    <col min="14354" max="14357" width="0" style="140" hidden="1" customWidth="1"/>
    <col min="14358" max="14358" width="10.90625" style="140"/>
    <col min="14359" max="14362" width="0" style="140" hidden="1" customWidth="1"/>
    <col min="14363" max="14363" width="10.90625" style="140"/>
    <col min="14364" max="14367" width="0" style="140" hidden="1" customWidth="1"/>
    <col min="14368" max="14368" width="10.90625" style="140"/>
    <col min="14369" max="14372" width="0" style="140" hidden="1" customWidth="1"/>
    <col min="14373" max="14373" width="10.90625" style="140"/>
    <col min="14374" max="14377" width="0" style="140" hidden="1" customWidth="1"/>
    <col min="14378" max="14378" width="10.90625" style="140"/>
    <col min="14379" max="14382" width="0" style="140" hidden="1" customWidth="1"/>
    <col min="14383" max="14383" width="10.90625" style="140"/>
    <col min="14384" max="14387" width="0" style="140" hidden="1" customWidth="1"/>
    <col min="14388" max="14388" width="10.90625" style="140"/>
    <col min="14389" max="14391" width="0" style="140" hidden="1" customWidth="1"/>
    <col min="14392" max="14392" width="10.90625" style="140"/>
    <col min="14393" max="14394" width="0" style="140" hidden="1" customWidth="1"/>
    <col min="14395" max="14395" width="10.90625" style="140"/>
    <col min="14396" max="14397" width="0" style="140" hidden="1" customWidth="1"/>
    <col min="14398" max="14398" width="16.54296875" style="140" customWidth="1"/>
    <col min="14399" max="14399" width="11.453125" style="140" bestFit="1" customWidth="1"/>
    <col min="14400" max="14597" width="10.90625" style="140"/>
    <col min="14598" max="14598" width="0" style="140" hidden="1" customWidth="1"/>
    <col min="14599" max="14599" width="13" style="140" bestFit="1" customWidth="1"/>
    <col min="14600" max="14603" width="0" style="140" hidden="1" customWidth="1"/>
    <col min="14604" max="14604" width="13" style="140" bestFit="1" customWidth="1"/>
    <col min="14605" max="14608" width="0" style="140" hidden="1" customWidth="1"/>
    <col min="14609" max="14609" width="10.90625" style="140"/>
    <col min="14610" max="14613" width="0" style="140" hidden="1" customWidth="1"/>
    <col min="14614" max="14614" width="10.90625" style="140"/>
    <col min="14615" max="14618" width="0" style="140" hidden="1" customWidth="1"/>
    <col min="14619" max="14619" width="10.90625" style="140"/>
    <col min="14620" max="14623" width="0" style="140" hidden="1" customWidth="1"/>
    <col min="14624" max="14624" width="10.90625" style="140"/>
    <col min="14625" max="14628" width="0" style="140" hidden="1" customWidth="1"/>
    <col min="14629" max="14629" width="10.90625" style="140"/>
    <col min="14630" max="14633" width="0" style="140" hidden="1" customWidth="1"/>
    <col min="14634" max="14634" width="10.90625" style="140"/>
    <col min="14635" max="14638" width="0" style="140" hidden="1" customWidth="1"/>
    <col min="14639" max="14639" width="10.90625" style="140"/>
    <col min="14640" max="14643" width="0" style="140" hidden="1" customWidth="1"/>
    <col min="14644" max="14644" width="10.90625" style="140"/>
    <col min="14645" max="14647" width="0" style="140" hidden="1" customWidth="1"/>
    <col min="14648" max="14648" width="10.90625" style="140"/>
    <col min="14649" max="14650" width="0" style="140" hidden="1" customWidth="1"/>
    <col min="14651" max="14651" width="10.90625" style="140"/>
    <col min="14652" max="14653" width="0" style="140" hidden="1" customWidth="1"/>
    <col min="14654" max="14654" width="16.54296875" style="140" customWidth="1"/>
    <col min="14655" max="14655" width="11.453125" style="140" bestFit="1" customWidth="1"/>
    <col min="14656" max="14853" width="10.90625" style="140"/>
    <col min="14854" max="14854" width="0" style="140" hidden="1" customWidth="1"/>
    <col min="14855" max="14855" width="13" style="140" bestFit="1" customWidth="1"/>
    <col min="14856" max="14859" width="0" style="140" hidden="1" customWidth="1"/>
    <col min="14860" max="14860" width="13" style="140" bestFit="1" customWidth="1"/>
    <col min="14861" max="14864" width="0" style="140" hidden="1" customWidth="1"/>
    <col min="14865" max="14865" width="10.90625" style="140"/>
    <col min="14866" max="14869" width="0" style="140" hidden="1" customWidth="1"/>
    <col min="14870" max="14870" width="10.90625" style="140"/>
    <col min="14871" max="14874" width="0" style="140" hidden="1" customWidth="1"/>
    <col min="14875" max="14875" width="10.90625" style="140"/>
    <col min="14876" max="14879" width="0" style="140" hidden="1" customWidth="1"/>
    <col min="14880" max="14880" width="10.90625" style="140"/>
    <col min="14881" max="14884" width="0" style="140" hidden="1" customWidth="1"/>
    <col min="14885" max="14885" width="10.90625" style="140"/>
    <col min="14886" max="14889" width="0" style="140" hidden="1" customWidth="1"/>
    <col min="14890" max="14890" width="10.90625" style="140"/>
    <col min="14891" max="14894" width="0" style="140" hidden="1" customWidth="1"/>
    <col min="14895" max="14895" width="10.90625" style="140"/>
    <col min="14896" max="14899" width="0" style="140" hidden="1" customWidth="1"/>
    <col min="14900" max="14900" width="10.90625" style="140"/>
    <col min="14901" max="14903" width="0" style="140" hidden="1" customWidth="1"/>
    <col min="14904" max="14904" width="10.90625" style="140"/>
    <col min="14905" max="14906" width="0" style="140" hidden="1" customWidth="1"/>
    <col min="14907" max="14907" width="10.90625" style="140"/>
    <col min="14908" max="14909" width="0" style="140" hidden="1" customWidth="1"/>
    <col min="14910" max="14910" width="16.54296875" style="140" customWidth="1"/>
    <col min="14911" max="14911" width="11.453125" style="140" bestFit="1" customWidth="1"/>
    <col min="14912" max="15109" width="10.90625" style="140"/>
    <col min="15110" max="15110" width="0" style="140" hidden="1" customWidth="1"/>
    <col min="15111" max="15111" width="13" style="140" bestFit="1" customWidth="1"/>
    <col min="15112" max="15115" width="0" style="140" hidden="1" customWidth="1"/>
    <col min="15116" max="15116" width="13" style="140" bestFit="1" customWidth="1"/>
    <col min="15117" max="15120" width="0" style="140" hidden="1" customWidth="1"/>
    <col min="15121" max="15121" width="10.90625" style="140"/>
    <col min="15122" max="15125" width="0" style="140" hidden="1" customWidth="1"/>
    <col min="15126" max="15126" width="10.90625" style="140"/>
    <col min="15127" max="15130" width="0" style="140" hidden="1" customWidth="1"/>
    <col min="15131" max="15131" width="10.90625" style="140"/>
    <col min="15132" max="15135" width="0" style="140" hidden="1" customWidth="1"/>
    <col min="15136" max="15136" width="10.90625" style="140"/>
    <col min="15137" max="15140" width="0" style="140" hidden="1" customWidth="1"/>
    <col min="15141" max="15141" width="10.90625" style="140"/>
    <col min="15142" max="15145" width="0" style="140" hidden="1" customWidth="1"/>
    <col min="15146" max="15146" width="10.90625" style="140"/>
    <col min="15147" max="15150" width="0" style="140" hidden="1" customWidth="1"/>
    <col min="15151" max="15151" width="10.90625" style="140"/>
    <col min="15152" max="15155" width="0" style="140" hidden="1" customWidth="1"/>
    <col min="15156" max="15156" width="10.90625" style="140"/>
    <col min="15157" max="15159" width="0" style="140" hidden="1" customWidth="1"/>
    <col min="15160" max="15160" width="10.90625" style="140"/>
    <col min="15161" max="15162" width="0" style="140" hidden="1" customWidth="1"/>
    <col min="15163" max="15163" width="10.90625" style="140"/>
    <col min="15164" max="15165" width="0" style="140" hidden="1" customWidth="1"/>
    <col min="15166" max="15166" width="16.54296875" style="140" customWidth="1"/>
    <col min="15167" max="15167" width="11.453125" style="140" bestFit="1" customWidth="1"/>
    <col min="15168" max="15365" width="10.90625" style="140"/>
    <col min="15366" max="15366" width="0" style="140" hidden="1" customWidth="1"/>
    <col min="15367" max="15367" width="13" style="140" bestFit="1" customWidth="1"/>
    <col min="15368" max="15371" width="0" style="140" hidden="1" customWidth="1"/>
    <col min="15372" max="15372" width="13" style="140" bestFit="1" customWidth="1"/>
    <col min="15373" max="15376" width="0" style="140" hidden="1" customWidth="1"/>
    <col min="15377" max="15377" width="10.90625" style="140"/>
    <col min="15378" max="15381" width="0" style="140" hidden="1" customWidth="1"/>
    <col min="15382" max="15382" width="10.90625" style="140"/>
    <col min="15383" max="15386" width="0" style="140" hidden="1" customWidth="1"/>
    <col min="15387" max="15387" width="10.90625" style="140"/>
    <col min="15388" max="15391" width="0" style="140" hidden="1" customWidth="1"/>
    <col min="15392" max="15392" width="10.90625" style="140"/>
    <col min="15393" max="15396" width="0" style="140" hidden="1" customWidth="1"/>
    <col min="15397" max="15397" width="10.90625" style="140"/>
    <col min="15398" max="15401" width="0" style="140" hidden="1" customWidth="1"/>
    <col min="15402" max="15402" width="10.90625" style="140"/>
    <col min="15403" max="15406" width="0" style="140" hidden="1" customWidth="1"/>
    <col min="15407" max="15407" width="10.90625" style="140"/>
    <col min="15408" max="15411" width="0" style="140" hidden="1" customWidth="1"/>
    <col min="15412" max="15412" width="10.90625" style="140"/>
    <col min="15413" max="15415" width="0" style="140" hidden="1" customWidth="1"/>
    <col min="15416" max="15416" width="10.90625" style="140"/>
    <col min="15417" max="15418" width="0" style="140" hidden="1" customWidth="1"/>
    <col min="15419" max="15419" width="10.90625" style="140"/>
    <col min="15420" max="15421" width="0" style="140" hidden="1" customWidth="1"/>
    <col min="15422" max="15422" width="16.54296875" style="140" customWidth="1"/>
    <col min="15423" max="15423" width="11.453125" style="140" bestFit="1" customWidth="1"/>
    <col min="15424" max="15621" width="10.90625" style="140"/>
    <col min="15622" max="15622" width="0" style="140" hidden="1" customWidth="1"/>
    <col min="15623" max="15623" width="13" style="140" bestFit="1" customWidth="1"/>
    <col min="15624" max="15627" width="0" style="140" hidden="1" customWidth="1"/>
    <col min="15628" max="15628" width="13" style="140" bestFit="1" customWidth="1"/>
    <col min="15629" max="15632" width="0" style="140" hidden="1" customWidth="1"/>
    <col min="15633" max="15633" width="10.90625" style="140"/>
    <col min="15634" max="15637" width="0" style="140" hidden="1" customWidth="1"/>
    <col min="15638" max="15638" width="10.90625" style="140"/>
    <col min="15639" max="15642" width="0" style="140" hidden="1" customWidth="1"/>
    <col min="15643" max="15643" width="10.90625" style="140"/>
    <col min="15644" max="15647" width="0" style="140" hidden="1" customWidth="1"/>
    <col min="15648" max="15648" width="10.90625" style="140"/>
    <col min="15649" max="15652" width="0" style="140" hidden="1" customWidth="1"/>
    <col min="15653" max="15653" width="10.90625" style="140"/>
    <col min="15654" max="15657" width="0" style="140" hidden="1" customWidth="1"/>
    <col min="15658" max="15658" width="10.90625" style="140"/>
    <col min="15659" max="15662" width="0" style="140" hidden="1" customWidth="1"/>
    <col min="15663" max="15663" width="10.90625" style="140"/>
    <col min="15664" max="15667" width="0" style="140" hidden="1" customWidth="1"/>
    <col min="15668" max="15668" width="10.90625" style="140"/>
    <col min="15669" max="15671" width="0" style="140" hidden="1" customWidth="1"/>
    <col min="15672" max="15672" width="10.90625" style="140"/>
    <col min="15673" max="15674" width="0" style="140" hidden="1" customWidth="1"/>
    <col min="15675" max="15675" width="10.90625" style="140"/>
    <col min="15676" max="15677" width="0" style="140" hidden="1" customWidth="1"/>
    <col min="15678" max="15678" width="16.54296875" style="140" customWidth="1"/>
    <col min="15679" max="15679" width="11.453125" style="140" bestFit="1" customWidth="1"/>
    <col min="15680" max="15877" width="10.90625" style="140"/>
    <col min="15878" max="15878" width="0" style="140" hidden="1" customWidth="1"/>
    <col min="15879" max="15879" width="13" style="140" bestFit="1" customWidth="1"/>
    <col min="15880" max="15883" width="0" style="140" hidden="1" customWidth="1"/>
    <col min="15884" max="15884" width="13" style="140" bestFit="1" customWidth="1"/>
    <col min="15885" max="15888" width="0" style="140" hidden="1" customWidth="1"/>
    <col min="15889" max="15889" width="10.90625" style="140"/>
    <col min="15890" max="15893" width="0" style="140" hidden="1" customWidth="1"/>
    <col min="15894" max="15894" width="10.90625" style="140"/>
    <col min="15895" max="15898" width="0" style="140" hidden="1" customWidth="1"/>
    <col min="15899" max="15899" width="10.90625" style="140"/>
    <col min="15900" max="15903" width="0" style="140" hidden="1" customWidth="1"/>
    <col min="15904" max="15904" width="10.90625" style="140"/>
    <col min="15905" max="15908" width="0" style="140" hidden="1" customWidth="1"/>
    <col min="15909" max="15909" width="10.90625" style="140"/>
    <col min="15910" max="15913" width="0" style="140" hidden="1" customWidth="1"/>
    <col min="15914" max="15914" width="10.90625" style="140"/>
    <col min="15915" max="15918" width="0" style="140" hidden="1" customWidth="1"/>
    <col min="15919" max="15919" width="10.90625" style="140"/>
    <col min="15920" max="15923" width="0" style="140" hidden="1" customWidth="1"/>
    <col min="15924" max="15924" width="10.90625" style="140"/>
    <col min="15925" max="15927" width="0" style="140" hidden="1" customWidth="1"/>
    <col min="15928" max="15928" width="10.90625" style="140"/>
    <col min="15929" max="15930" width="0" style="140" hidden="1" customWidth="1"/>
    <col min="15931" max="15931" width="10.90625" style="140"/>
    <col min="15932" max="15933" width="0" style="140" hidden="1" customWidth="1"/>
    <col min="15934" max="15934" width="16.54296875" style="140" customWidth="1"/>
    <col min="15935" max="15935" width="11.453125" style="140" bestFit="1" customWidth="1"/>
    <col min="15936" max="16133" width="10.90625" style="140"/>
    <col min="16134" max="16134" width="0" style="140" hidden="1" customWidth="1"/>
    <col min="16135" max="16135" width="13" style="140" bestFit="1" customWidth="1"/>
    <col min="16136" max="16139" width="0" style="140" hidden="1" customWidth="1"/>
    <col min="16140" max="16140" width="13" style="140" bestFit="1" customWidth="1"/>
    <col min="16141" max="16144" width="0" style="140" hidden="1" customWidth="1"/>
    <col min="16145" max="16145" width="10.90625" style="140"/>
    <col min="16146" max="16149" width="0" style="140" hidden="1" customWidth="1"/>
    <col min="16150" max="16150" width="10.90625" style="140"/>
    <col min="16151" max="16154" width="0" style="140" hidden="1" customWidth="1"/>
    <col min="16155" max="16155" width="10.90625" style="140"/>
    <col min="16156" max="16159" width="0" style="140" hidden="1" customWidth="1"/>
    <col min="16160" max="16160" width="10.90625" style="140"/>
    <col min="16161" max="16164" width="0" style="140" hidden="1" customWidth="1"/>
    <col min="16165" max="16165" width="10.90625" style="140"/>
    <col min="16166" max="16169" width="0" style="140" hidden="1" customWidth="1"/>
    <col min="16170" max="16170" width="10.90625" style="140"/>
    <col min="16171" max="16174" width="0" style="140" hidden="1" customWidth="1"/>
    <col min="16175" max="16175" width="10.90625" style="140"/>
    <col min="16176" max="16179" width="0" style="140" hidden="1" customWidth="1"/>
    <col min="16180" max="16180" width="10.90625" style="140"/>
    <col min="16181" max="16183" width="0" style="140" hidden="1" customWidth="1"/>
    <col min="16184" max="16184" width="10.90625" style="140"/>
    <col min="16185" max="16186" width="0" style="140" hidden="1" customWidth="1"/>
    <col min="16187" max="16187" width="10.90625" style="140"/>
    <col min="16188" max="16189" width="0" style="140" hidden="1" customWidth="1"/>
    <col min="16190" max="16190" width="16.54296875" style="140" customWidth="1"/>
    <col min="16191" max="16191" width="11.453125" style="140" bestFit="1" customWidth="1"/>
    <col min="16192" max="16384" width="10.90625" style="140"/>
  </cols>
  <sheetData>
    <row r="1" spans="1:87" x14ac:dyDescent="0.3">
      <c r="C1" s="139">
        <v>45992</v>
      </c>
      <c r="H1" s="141">
        <v>45962</v>
      </c>
      <c r="M1" s="139">
        <v>45931</v>
      </c>
      <c r="R1" s="139">
        <v>45901</v>
      </c>
      <c r="W1" s="139">
        <v>45870</v>
      </c>
      <c r="AB1" s="141">
        <v>45839</v>
      </c>
      <c r="AE1" s="139"/>
      <c r="AG1" s="139">
        <v>45809</v>
      </c>
      <c r="AJ1" s="142"/>
      <c r="AK1" s="142"/>
      <c r="AL1" s="143">
        <v>46143</v>
      </c>
      <c r="AM1" s="142"/>
      <c r="AN1" s="142"/>
      <c r="AQ1" s="139">
        <v>46113</v>
      </c>
      <c r="AT1" s="142"/>
      <c r="AU1" s="143"/>
      <c r="AV1" s="143">
        <v>46082</v>
      </c>
      <c r="AW1" s="142"/>
      <c r="AX1" s="142"/>
      <c r="BA1" s="141">
        <v>46054</v>
      </c>
      <c r="BF1" s="141">
        <v>46023</v>
      </c>
      <c r="BJ1" s="325" t="s">
        <v>195</v>
      </c>
      <c r="BK1" s="325"/>
      <c r="BL1" s="325"/>
      <c r="BM1" s="325"/>
      <c r="BN1" s="325"/>
      <c r="BO1" s="325"/>
      <c r="BP1" s="325"/>
      <c r="BQ1" s="325"/>
      <c r="BR1" s="325"/>
      <c r="BS1" s="325"/>
      <c r="BT1" s="325"/>
      <c r="BU1" s="325"/>
      <c r="BV1" s="325"/>
      <c r="BW1" s="325"/>
      <c r="BX1" s="325"/>
      <c r="BY1" s="325"/>
      <c r="BZ1" s="325"/>
      <c r="CA1" s="325"/>
      <c r="CB1" s="325"/>
      <c r="CC1" s="325"/>
      <c r="CD1" s="325"/>
      <c r="CE1" s="325"/>
      <c r="CF1" s="327"/>
      <c r="CG1" s="327"/>
      <c r="CH1" s="327"/>
      <c r="CI1" s="327"/>
    </row>
    <row r="2" spans="1:87" s="229" customFormat="1" x14ac:dyDescent="0.3">
      <c r="A2" s="295" t="s">
        <v>0</v>
      </c>
      <c r="B2" s="296"/>
      <c r="C2" s="296"/>
      <c r="D2" s="296"/>
      <c r="E2" s="297"/>
      <c r="F2" s="298" t="s">
        <v>1</v>
      </c>
      <c r="G2" s="299"/>
      <c r="H2" s="299"/>
      <c r="I2" s="299"/>
      <c r="J2" s="300"/>
      <c r="K2" s="295" t="s">
        <v>2</v>
      </c>
      <c r="L2" s="296"/>
      <c r="M2" s="296"/>
      <c r="N2" s="296"/>
      <c r="O2" s="297"/>
      <c r="P2" s="222"/>
      <c r="Q2" s="293" t="s">
        <v>3</v>
      </c>
      <c r="R2" s="293"/>
      <c r="S2" s="293"/>
      <c r="T2" s="223"/>
      <c r="U2" s="224"/>
      <c r="V2" s="294" t="s">
        <v>4</v>
      </c>
      <c r="W2" s="294"/>
      <c r="X2" s="294"/>
      <c r="Y2" s="225"/>
      <c r="Z2" s="222"/>
      <c r="AA2" s="293" t="s">
        <v>5</v>
      </c>
      <c r="AB2" s="293"/>
      <c r="AC2" s="293"/>
      <c r="AD2" s="223"/>
      <c r="AE2" s="224"/>
      <c r="AF2" s="294" t="s">
        <v>6</v>
      </c>
      <c r="AG2" s="294"/>
      <c r="AH2" s="294"/>
      <c r="AI2" s="225"/>
      <c r="AJ2" s="226"/>
      <c r="AK2" s="292" t="s">
        <v>4</v>
      </c>
      <c r="AL2" s="292"/>
      <c r="AM2" s="292"/>
      <c r="AN2" s="227"/>
      <c r="AO2" s="224"/>
      <c r="AP2" s="294" t="s">
        <v>4</v>
      </c>
      <c r="AQ2" s="294"/>
      <c r="AR2" s="294"/>
      <c r="AS2" s="225"/>
      <c r="AT2" s="226"/>
      <c r="AU2" s="292" t="s">
        <v>4</v>
      </c>
      <c r="AV2" s="292"/>
      <c r="AW2" s="292"/>
      <c r="AX2" s="227"/>
      <c r="AY2" s="228"/>
      <c r="AZ2" s="293" t="s">
        <v>4</v>
      </c>
      <c r="BA2" s="293"/>
      <c r="BB2" s="293"/>
      <c r="BC2" s="223"/>
      <c r="BD2" s="226"/>
      <c r="BE2" s="292" t="s">
        <v>4</v>
      </c>
      <c r="BF2" s="292"/>
      <c r="BG2" s="292"/>
      <c r="BH2" s="227"/>
      <c r="BJ2" s="141"/>
      <c r="BK2" s="141"/>
      <c r="BL2" s="141"/>
      <c r="BM2" s="314"/>
      <c r="BN2" s="318"/>
      <c r="BO2" s="318"/>
      <c r="BP2" s="318"/>
      <c r="BQ2" s="318"/>
      <c r="BR2" s="141"/>
      <c r="BS2" s="141"/>
      <c r="BT2" s="141"/>
      <c r="BU2" s="314"/>
      <c r="BV2" s="318"/>
      <c r="BW2" s="318"/>
      <c r="BX2" s="318"/>
      <c r="BY2" s="318"/>
      <c r="BZ2" s="318"/>
      <c r="CA2" s="141"/>
      <c r="CB2" s="141"/>
      <c r="CC2" s="141"/>
      <c r="CD2" s="314"/>
      <c r="CE2" s="315"/>
    </row>
    <row r="3" spans="1:87" s="229" customFormat="1" x14ac:dyDescent="0.3">
      <c r="A3" s="230" t="s">
        <v>11</v>
      </c>
      <c r="B3" s="230" t="s">
        <v>12</v>
      </c>
      <c r="C3" s="230" t="s">
        <v>13</v>
      </c>
      <c r="D3" s="231" t="s">
        <v>14</v>
      </c>
      <c r="E3" s="230" t="s">
        <v>15</v>
      </c>
      <c r="F3" s="232" t="s">
        <v>11</v>
      </c>
      <c r="G3" s="232" t="s">
        <v>12</v>
      </c>
      <c r="H3" s="232" t="s">
        <v>13</v>
      </c>
      <c r="I3" s="233" t="s">
        <v>14</v>
      </c>
      <c r="J3" s="232" t="s">
        <v>15</v>
      </c>
      <c r="K3" s="230" t="s">
        <v>11</v>
      </c>
      <c r="L3" s="230" t="s">
        <v>12</v>
      </c>
      <c r="M3" s="230" t="s">
        <v>13</v>
      </c>
      <c r="N3" s="231" t="s">
        <v>14</v>
      </c>
      <c r="O3" s="230" t="s">
        <v>15</v>
      </c>
      <c r="P3" s="234" t="s">
        <v>11</v>
      </c>
      <c r="Q3" s="235" t="s">
        <v>12</v>
      </c>
      <c r="R3" s="283" t="s">
        <v>13</v>
      </c>
      <c r="S3" s="236" t="s">
        <v>14</v>
      </c>
      <c r="T3" s="232" t="s">
        <v>15</v>
      </c>
      <c r="U3" s="237" t="s">
        <v>11</v>
      </c>
      <c r="V3" s="238" t="s">
        <v>12</v>
      </c>
      <c r="W3" s="230" t="s">
        <v>13</v>
      </c>
      <c r="X3" s="239" t="s">
        <v>14</v>
      </c>
      <c r="Y3" s="230" t="s">
        <v>15</v>
      </c>
      <c r="Z3" s="234" t="s">
        <v>11</v>
      </c>
      <c r="AA3" s="235" t="s">
        <v>12</v>
      </c>
      <c r="AB3" s="232" t="s">
        <v>13</v>
      </c>
      <c r="AC3" s="236" t="s">
        <v>14</v>
      </c>
      <c r="AD3" s="232" t="s">
        <v>15</v>
      </c>
      <c r="AE3" s="237" t="s">
        <v>11</v>
      </c>
      <c r="AF3" s="238" t="s">
        <v>12</v>
      </c>
      <c r="AG3" s="230" t="s">
        <v>13</v>
      </c>
      <c r="AH3" s="239" t="s">
        <v>14</v>
      </c>
      <c r="AI3" s="230" t="s">
        <v>15</v>
      </c>
      <c r="AJ3" s="240" t="s">
        <v>11</v>
      </c>
      <c r="AK3" s="240" t="s">
        <v>12</v>
      </c>
      <c r="AL3" s="240" t="s">
        <v>13</v>
      </c>
      <c r="AM3" s="241" t="s">
        <v>14</v>
      </c>
      <c r="AN3" s="240" t="s">
        <v>15</v>
      </c>
      <c r="AO3" s="237" t="s">
        <v>11</v>
      </c>
      <c r="AP3" s="238" t="s">
        <v>12</v>
      </c>
      <c r="AQ3" s="230" t="s">
        <v>13</v>
      </c>
      <c r="AR3" s="239" t="s">
        <v>14</v>
      </c>
      <c r="AS3" s="230" t="s">
        <v>15</v>
      </c>
      <c r="AT3" s="240" t="s">
        <v>11</v>
      </c>
      <c r="AU3" s="240" t="s">
        <v>12</v>
      </c>
      <c r="AV3" s="240" t="s">
        <v>13</v>
      </c>
      <c r="AW3" s="241" t="s">
        <v>14</v>
      </c>
      <c r="AX3" s="240" t="s">
        <v>15</v>
      </c>
      <c r="AY3" s="234" t="s">
        <v>11</v>
      </c>
      <c r="AZ3" s="232" t="s">
        <v>12</v>
      </c>
      <c r="BA3" s="232" t="s">
        <v>13</v>
      </c>
      <c r="BB3" s="233" t="s">
        <v>14</v>
      </c>
      <c r="BC3" s="232" t="s">
        <v>15</v>
      </c>
      <c r="BD3" s="240" t="s">
        <v>11</v>
      </c>
      <c r="BE3" s="240" t="s">
        <v>12</v>
      </c>
      <c r="BF3" s="240" t="s">
        <v>13</v>
      </c>
      <c r="BG3" s="241" t="s">
        <v>14</v>
      </c>
      <c r="BH3" s="240" t="s">
        <v>15</v>
      </c>
      <c r="BJ3" s="229" t="s">
        <v>11</v>
      </c>
      <c r="BK3" s="229" t="s">
        <v>196</v>
      </c>
      <c r="BL3" s="229" t="s">
        <v>197</v>
      </c>
      <c r="BM3" s="324">
        <v>46023</v>
      </c>
      <c r="BN3" s="324"/>
      <c r="BO3" s="324"/>
      <c r="BP3" s="324"/>
      <c r="BQ3" s="324">
        <v>46054</v>
      </c>
      <c r="BR3" s="324"/>
      <c r="BS3" s="324"/>
      <c r="BT3" s="324"/>
      <c r="BU3" s="325">
        <v>46082</v>
      </c>
      <c r="BV3" s="325"/>
      <c r="BW3" s="325"/>
      <c r="BX3" s="325"/>
      <c r="BY3" s="320" t="s">
        <v>197</v>
      </c>
      <c r="BZ3" s="324">
        <v>46113</v>
      </c>
      <c r="CA3" s="324"/>
      <c r="CB3" s="324"/>
      <c r="CC3" s="324"/>
      <c r="CD3" s="324"/>
      <c r="CE3" s="326">
        <v>46143</v>
      </c>
      <c r="CF3" s="326"/>
      <c r="CG3" s="326"/>
      <c r="CH3" s="326"/>
      <c r="CI3" s="326"/>
    </row>
    <row r="4" spans="1:87" ht="13" x14ac:dyDescent="0.3">
      <c r="A4" s="147" t="s">
        <v>21</v>
      </c>
      <c r="B4" s="148" t="s">
        <v>22</v>
      </c>
      <c r="C4" s="149">
        <v>2018270</v>
      </c>
      <c r="D4" s="150">
        <v>2018270</v>
      </c>
      <c r="E4" s="151">
        <f t="shared" ref="E4:E31" si="0">+C4-D4</f>
        <v>0</v>
      </c>
      <c r="F4" s="152" t="s">
        <v>21</v>
      </c>
      <c r="G4" s="153" t="s">
        <v>22</v>
      </c>
      <c r="H4" s="154">
        <v>1954500</v>
      </c>
      <c r="I4" s="155">
        <v>1954500</v>
      </c>
      <c r="J4" s="156">
        <f>+H4-I4</f>
        <v>0</v>
      </c>
      <c r="K4" s="147" t="s">
        <v>21</v>
      </c>
      <c r="L4" s="157" t="s">
        <v>23</v>
      </c>
      <c r="M4" s="149">
        <v>3254343</v>
      </c>
      <c r="N4" s="150">
        <v>3254343</v>
      </c>
      <c r="O4" s="151">
        <f>+M4-N4</f>
        <v>0</v>
      </c>
      <c r="P4" s="158" t="s">
        <v>21</v>
      </c>
      <c r="Q4" s="159" t="s">
        <v>24</v>
      </c>
      <c r="R4" s="284">
        <v>3156179</v>
      </c>
      <c r="S4" s="160">
        <v>3156179</v>
      </c>
      <c r="T4" s="161">
        <f>+R4-S4</f>
        <v>0</v>
      </c>
      <c r="U4" s="162" t="s">
        <v>21</v>
      </c>
      <c r="V4" s="163" t="s">
        <v>24</v>
      </c>
      <c r="W4" s="164">
        <v>3065812</v>
      </c>
      <c r="X4" s="164">
        <v>0</v>
      </c>
      <c r="Y4" s="165"/>
      <c r="Z4" s="158" t="s">
        <v>21</v>
      </c>
      <c r="AA4" s="159" t="s">
        <v>24</v>
      </c>
      <c r="AB4" s="166">
        <v>1747986</v>
      </c>
      <c r="AC4" s="167">
        <v>1747986</v>
      </c>
      <c r="AD4" s="161">
        <f>+AB4-AC4</f>
        <v>0</v>
      </c>
      <c r="AE4" s="162" t="s">
        <v>21</v>
      </c>
      <c r="AF4" s="163" t="s">
        <v>24</v>
      </c>
      <c r="AG4" s="149">
        <v>2649758</v>
      </c>
      <c r="AH4" s="149">
        <v>2649758</v>
      </c>
      <c r="AI4" s="165">
        <f>+AG4-AH4</f>
        <v>0</v>
      </c>
      <c r="AJ4" s="168" t="s">
        <v>21</v>
      </c>
      <c r="AK4" s="169" t="s">
        <v>23</v>
      </c>
      <c r="AL4" s="170">
        <v>4126468</v>
      </c>
      <c r="AM4" s="171">
        <f>+AL4</f>
        <v>4126468</v>
      </c>
      <c r="AN4" s="172">
        <f>+AL4-AM4</f>
        <v>0</v>
      </c>
      <c r="AO4" s="162" t="s">
        <v>21</v>
      </c>
      <c r="AP4" s="163" t="s">
        <v>23</v>
      </c>
      <c r="AQ4" s="173">
        <v>3829441</v>
      </c>
      <c r="AR4" s="173">
        <v>3829441</v>
      </c>
      <c r="AS4" s="165">
        <f>+AQ4-AR4</f>
        <v>0</v>
      </c>
      <c r="AT4" s="168" t="s">
        <v>21</v>
      </c>
      <c r="AU4" s="169" t="s">
        <v>23</v>
      </c>
      <c r="AV4" s="172">
        <v>2329655</v>
      </c>
      <c r="AW4" s="172">
        <v>2329655</v>
      </c>
      <c r="AX4" s="172">
        <f>+AV4-AW4</f>
        <v>0</v>
      </c>
      <c r="AY4" s="158" t="s">
        <v>21</v>
      </c>
      <c r="AZ4" s="174" t="s">
        <v>23</v>
      </c>
      <c r="BA4" s="154">
        <v>3245602</v>
      </c>
      <c r="BB4" s="154">
        <f>BA4</f>
        <v>3245602</v>
      </c>
      <c r="BC4" s="154">
        <f>+BA4-BB4</f>
        <v>0</v>
      </c>
      <c r="BD4" s="175" t="s">
        <v>21</v>
      </c>
      <c r="BE4" s="176" t="s">
        <v>22</v>
      </c>
      <c r="BF4" s="172">
        <v>2130922</v>
      </c>
      <c r="BG4" s="177"/>
      <c r="BH4" s="178">
        <f>+BF4-BG4</f>
        <v>2130922</v>
      </c>
      <c r="BJ4" s="140">
        <v>101</v>
      </c>
      <c r="BK4" s="313">
        <v>1076323</v>
      </c>
      <c r="BL4" s="312">
        <f>BF4</f>
        <v>2130922</v>
      </c>
      <c r="BM4" s="314">
        <f>BL4/BK4</f>
        <v>1.9798164677331991</v>
      </c>
      <c r="BN4" s="319" t="s">
        <v>21</v>
      </c>
      <c r="BO4" s="321">
        <v>1076323</v>
      </c>
      <c r="BP4" s="322">
        <f>BA4</f>
        <v>3245602</v>
      </c>
      <c r="BQ4" s="323">
        <f>BP4/BO4</f>
        <v>3.0154535395044051</v>
      </c>
      <c r="BR4" s="140" t="s">
        <v>21</v>
      </c>
      <c r="BS4" s="313">
        <v>1076323</v>
      </c>
      <c r="BT4" s="312">
        <f>AV4</f>
        <v>2329655</v>
      </c>
      <c r="BU4" s="314">
        <f>BT4/BS4</f>
        <v>2.1644571378666071</v>
      </c>
      <c r="BV4" s="319" t="s">
        <v>21</v>
      </c>
      <c r="BW4" s="321">
        <v>1228934</v>
      </c>
      <c r="BX4" s="321">
        <v>228918</v>
      </c>
      <c r="BY4" s="322">
        <f>AQ4</f>
        <v>3829441</v>
      </c>
      <c r="BZ4" s="323">
        <f>BY4/BW4</f>
        <v>3.1160672582905184</v>
      </c>
      <c r="CA4" s="140" t="s">
        <v>21</v>
      </c>
      <c r="CB4" s="313">
        <v>1228934</v>
      </c>
      <c r="CC4" s="312">
        <v>228918</v>
      </c>
      <c r="CD4" s="314">
        <f>AL4</f>
        <v>4126468</v>
      </c>
      <c r="CE4" s="314">
        <f>CD4/CB4</f>
        <v>3.3577620930009262</v>
      </c>
    </row>
    <row r="5" spans="1:87" ht="13" x14ac:dyDescent="0.3">
      <c r="A5" s="162" t="s">
        <v>26</v>
      </c>
      <c r="B5" s="148" t="s">
        <v>188</v>
      </c>
      <c r="C5" s="149">
        <v>0</v>
      </c>
      <c r="D5" s="150">
        <v>0</v>
      </c>
      <c r="E5" s="151">
        <f t="shared" si="0"/>
        <v>0</v>
      </c>
      <c r="F5" s="158" t="s">
        <v>26</v>
      </c>
      <c r="G5" s="153" t="s">
        <v>188</v>
      </c>
      <c r="H5" s="154">
        <v>0</v>
      </c>
      <c r="I5" s="179">
        <v>0</v>
      </c>
      <c r="J5" s="156">
        <f t="shared" ref="J5:J32" si="1">+H5-I5</f>
        <v>0</v>
      </c>
      <c r="K5" s="162" t="s">
        <v>26</v>
      </c>
      <c r="L5" s="157" t="s">
        <v>28</v>
      </c>
      <c r="M5" s="149">
        <v>-919</v>
      </c>
      <c r="N5" s="180">
        <v>-919</v>
      </c>
      <c r="O5" s="151">
        <f t="shared" ref="O5:O35" si="2">+M5-N5</f>
        <v>0</v>
      </c>
      <c r="P5" s="158" t="s">
        <v>26</v>
      </c>
      <c r="Q5" s="159" t="s">
        <v>194</v>
      </c>
      <c r="R5" s="284"/>
      <c r="S5" s="155"/>
      <c r="T5" s="161">
        <f t="shared" ref="T5:T31" si="3">+R5-S5</f>
        <v>0</v>
      </c>
      <c r="U5" s="162" t="s">
        <v>26</v>
      </c>
      <c r="V5" s="163" t="s">
        <v>29</v>
      </c>
      <c r="W5" s="164">
        <v>0</v>
      </c>
      <c r="X5" s="164">
        <v>0</v>
      </c>
      <c r="Y5" s="165"/>
      <c r="Z5" s="158" t="s">
        <v>26</v>
      </c>
      <c r="AA5" s="159" t="s">
        <v>29</v>
      </c>
      <c r="AB5" s="166">
        <v>0</v>
      </c>
      <c r="AC5" s="181">
        <v>0</v>
      </c>
      <c r="AD5" s="161">
        <f t="shared" ref="AD5:AD31" si="4">+AB5-AC5</f>
        <v>0</v>
      </c>
      <c r="AE5" s="162" t="s">
        <v>184</v>
      </c>
      <c r="AF5" s="163" t="s">
        <v>185</v>
      </c>
      <c r="AG5" s="182">
        <v>0</v>
      </c>
      <c r="AH5" s="182">
        <v>0</v>
      </c>
      <c r="AI5" s="165">
        <f t="shared" ref="AI5:AI31" si="5">+AG5-AH5</f>
        <v>0</v>
      </c>
      <c r="AJ5" s="168" t="s">
        <v>26</v>
      </c>
      <c r="AK5" s="169" t="s">
        <v>28</v>
      </c>
      <c r="AL5" s="170">
        <v>0</v>
      </c>
      <c r="AM5" s="183">
        <f t="shared" ref="AM5:AM32" si="6">+AL5</f>
        <v>0</v>
      </c>
      <c r="AN5" s="172">
        <f t="shared" ref="AN5:AN32" si="7">+AL5-AM5</f>
        <v>0</v>
      </c>
      <c r="AO5" s="162" t="s">
        <v>26</v>
      </c>
      <c r="AP5" s="163" t="s">
        <v>28</v>
      </c>
      <c r="AQ5" s="173">
        <v>0</v>
      </c>
      <c r="AR5" s="173">
        <v>0</v>
      </c>
      <c r="AS5" s="165">
        <f t="shared" ref="AS5:AS31" si="8">+AQ5-AR5</f>
        <v>0</v>
      </c>
      <c r="AT5" s="168" t="s">
        <v>26</v>
      </c>
      <c r="AU5" s="169" t="s">
        <v>28</v>
      </c>
      <c r="AV5" s="172">
        <v>0</v>
      </c>
      <c r="AW5" s="172">
        <v>0</v>
      </c>
      <c r="AX5" s="172">
        <f t="shared" ref="AX5:AX30" si="9">+AV5-AW5</f>
        <v>0</v>
      </c>
      <c r="AY5" s="158" t="s">
        <v>26</v>
      </c>
      <c r="AZ5" s="174" t="s">
        <v>28</v>
      </c>
      <c r="BA5" s="154">
        <v>0</v>
      </c>
      <c r="BB5" s="154">
        <f t="shared" ref="BB5:BB28" si="10">BA5</f>
        <v>0</v>
      </c>
      <c r="BC5" s="154">
        <f t="shared" ref="BC5:BC31" si="11">+BA5-BB5</f>
        <v>0</v>
      </c>
      <c r="BD5" s="184" t="s">
        <v>26</v>
      </c>
      <c r="BE5" s="176" t="s">
        <v>27</v>
      </c>
      <c r="BF5" s="172">
        <v>0</v>
      </c>
      <c r="BG5" s="177"/>
      <c r="BH5" s="178">
        <f t="shared" ref="BH5:BH31" si="12">+BF5-BG5</f>
        <v>0</v>
      </c>
      <c r="BJ5" s="140">
        <v>102</v>
      </c>
      <c r="BK5" s="313">
        <v>1006943</v>
      </c>
      <c r="BL5" s="312">
        <f t="shared" ref="BL5:BL32" si="13">BF5</f>
        <v>0</v>
      </c>
      <c r="BM5" s="314">
        <f t="shared" ref="BM5:BM32" si="14">BL5/BK5</f>
        <v>0</v>
      </c>
      <c r="BN5" s="319" t="s">
        <v>26</v>
      </c>
      <c r="BO5" s="321">
        <v>1006943</v>
      </c>
      <c r="BP5" s="322">
        <f t="shared" ref="BP5:BP32" si="15">BA5</f>
        <v>0</v>
      </c>
      <c r="BQ5" s="323">
        <f t="shared" ref="BQ5:BQ32" si="16">BP5/BO5</f>
        <v>0</v>
      </c>
      <c r="BR5" s="140" t="s">
        <v>26</v>
      </c>
      <c r="BS5" s="313">
        <v>1006943</v>
      </c>
      <c r="BT5" s="312">
        <f t="shared" ref="BT5:BT32" si="17">AV5</f>
        <v>0</v>
      </c>
      <c r="BU5" s="314">
        <f t="shared" ref="BU5:BU32" si="18">BT5/BS5</f>
        <v>0</v>
      </c>
      <c r="BV5" s="319" t="s">
        <v>26</v>
      </c>
      <c r="BW5" s="321">
        <v>1149717</v>
      </c>
      <c r="BX5" s="321">
        <v>214162</v>
      </c>
      <c r="BY5" s="322">
        <f t="shared" ref="BY5:BY32" si="19">AQ5</f>
        <v>0</v>
      </c>
      <c r="BZ5" s="323">
        <f t="shared" ref="BZ5:BZ32" si="20">BY5/BW5</f>
        <v>0</v>
      </c>
      <c r="CA5" s="140" t="s">
        <v>26</v>
      </c>
      <c r="CB5" s="313">
        <v>1149717</v>
      </c>
      <c r="CC5" s="312">
        <v>214162</v>
      </c>
      <c r="CD5" s="314">
        <f t="shared" ref="CD5:CD32" si="21">AL5</f>
        <v>0</v>
      </c>
      <c r="CE5" s="314">
        <f t="shared" ref="CE5:CE32" si="22">CD5/CB5</f>
        <v>0</v>
      </c>
    </row>
    <row r="6" spans="1:87" ht="13" x14ac:dyDescent="0.3">
      <c r="A6" s="162" t="s">
        <v>31</v>
      </c>
      <c r="B6" s="148" t="s">
        <v>32</v>
      </c>
      <c r="C6" s="149">
        <v>0</v>
      </c>
      <c r="D6" s="150">
        <v>0</v>
      </c>
      <c r="E6" s="151">
        <f t="shared" si="0"/>
        <v>0</v>
      </c>
      <c r="F6" s="158" t="s">
        <v>31</v>
      </c>
      <c r="G6" s="153" t="s">
        <v>32</v>
      </c>
      <c r="H6" s="154">
        <v>0</v>
      </c>
      <c r="I6" s="179">
        <v>0</v>
      </c>
      <c r="J6" s="156">
        <f t="shared" si="1"/>
        <v>0</v>
      </c>
      <c r="K6" s="162" t="s">
        <v>31</v>
      </c>
      <c r="L6" s="157" t="s">
        <v>33</v>
      </c>
      <c r="M6" s="149">
        <v>0</v>
      </c>
      <c r="N6" s="180">
        <v>0</v>
      </c>
      <c r="O6" s="151">
        <f t="shared" si="2"/>
        <v>0</v>
      </c>
      <c r="P6" s="158" t="s">
        <v>31</v>
      </c>
      <c r="Q6" s="159" t="s">
        <v>34</v>
      </c>
      <c r="R6" s="284"/>
      <c r="S6" s="155"/>
      <c r="T6" s="161">
        <f t="shared" si="3"/>
        <v>0</v>
      </c>
      <c r="U6" s="162" t="s">
        <v>31</v>
      </c>
      <c r="V6" s="163" t="s">
        <v>34</v>
      </c>
      <c r="W6" s="164">
        <v>0</v>
      </c>
      <c r="X6" s="164">
        <v>0</v>
      </c>
      <c r="Y6" s="165"/>
      <c r="Z6" s="158" t="s">
        <v>31</v>
      </c>
      <c r="AA6" s="159" t="s">
        <v>34</v>
      </c>
      <c r="AB6" s="166">
        <v>0</v>
      </c>
      <c r="AC6" s="181">
        <v>0</v>
      </c>
      <c r="AD6" s="161">
        <f t="shared" si="4"/>
        <v>0</v>
      </c>
      <c r="AE6" s="162" t="s">
        <v>31</v>
      </c>
      <c r="AF6" s="163" t="s">
        <v>34</v>
      </c>
      <c r="AG6" s="182">
        <v>0</v>
      </c>
      <c r="AH6" s="182">
        <v>0</v>
      </c>
      <c r="AI6" s="165">
        <f t="shared" si="5"/>
        <v>0</v>
      </c>
      <c r="AJ6" s="168" t="s">
        <v>31</v>
      </c>
      <c r="AK6" s="169" t="s">
        <v>33</v>
      </c>
      <c r="AL6" s="170">
        <v>0</v>
      </c>
      <c r="AM6" s="183">
        <f t="shared" si="6"/>
        <v>0</v>
      </c>
      <c r="AN6" s="172">
        <f t="shared" si="7"/>
        <v>0</v>
      </c>
      <c r="AO6" s="162" t="s">
        <v>31</v>
      </c>
      <c r="AP6" s="163" t="s">
        <v>33</v>
      </c>
      <c r="AQ6" s="173">
        <v>0</v>
      </c>
      <c r="AR6" s="173">
        <v>0</v>
      </c>
      <c r="AS6" s="165">
        <f t="shared" si="8"/>
        <v>0</v>
      </c>
      <c r="AT6" s="168" t="s">
        <v>31</v>
      </c>
      <c r="AU6" s="169" t="s">
        <v>33</v>
      </c>
      <c r="AV6" s="172">
        <v>0</v>
      </c>
      <c r="AW6" s="172">
        <v>0</v>
      </c>
      <c r="AX6" s="172">
        <f t="shared" si="9"/>
        <v>0</v>
      </c>
      <c r="AY6" s="158" t="s">
        <v>31</v>
      </c>
      <c r="AZ6" s="174" t="s">
        <v>33</v>
      </c>
      <c r="BA6" s="154">
        <v>0</v>
      </c>
      <c r="BB6" s="154">
        <f t="shared" si="10"/>
        <v>0</v>
      </c>
      <c r="BC6" s="154">
        <f t="shared" si="11"/>
        <v>0</v>
      </c>
      <c r="BD6" s="184" t="s">
        <v>31</v>
      </c>
      <c r="BE6" s="176" t="s">
        <v>32</v>
      </c>
      <c r="BF6" s="172">
        <v>0</v>
      </c>
      <c r="BG6" s="177"/>
      <c r="BH6" s="178">
        <f t="shared" si="12"/>
        <v>0</v>
      </c>
      <c r="BJ6" s="140">
        <v>103</v>
      </c>
      <c r="BK6" s="313">
        <v>996629</v>
      </c>
      <c r="BL6" s="312">
        <f t="shared" si="13"/>
        <v>0</v>
      </c>
      <c r="BM6" s="314">
        <f t="shared" si="14"/>
        <v>0</v>
      </c>
      <c r="BN6" s="319" t="s">
        <v>31</v>
      </c>
      <c r="BO6" s="321">
        <v>996629</v>
      </c>
      <c r="BP6" s="322">
        <f t="shared" si="15"/>
        <v>0</v>
      </c>
      <c r="BQ6" s="323">
        <f t="shared" si="16"/>
        <v>0</v>
      </c>
      <c r="BR6" s="140" t="s">
        <v>31</v>
      </c>
      <c r="BS6" s="313">
        <v>996629</v>
      </c>
      <c r="BT6" s="312">
        <f t="shared" si="17"/>
        <v>0</v>
      </c>
      <c r="BU6" s="314">
        <f t="shared" si="18"/>
        <v>0</v>
      </c>
      <c r="BV6" s="319" t="s">
        <v>31</v>
      </c>
      <c r="BW6" s="321">
        <v>1137942</v>
      </c>
      <c r="BX6" s="321">
        <v>211968</v>
      </c>
      <c r="BY6" s="322">
        <f t="shared" si="19"/>
        <v>0</v>
      </c>
      <c r="BZ6" s="323">
        <f t="shared" si="20"/>
        <v>0</v>
      </c>
      <c r="CA6" s="140" t="s">
        <v>31</v>
      </c>
      <c r="CB6" s="313">
        <v>1137942</v>
      </c>
      <c r="CC6" s="312">
        <v>211968</v>
      </c>
      <c r="CD6" s="314">
        <f t="shared" si="21"/>
        <v>0</v>
      </c>
      <c r="CE6" s="314">
        <f t="shared" si="22"/>
        <v>0</v>
      </c>
    </row>
    <row r="7" spans="1:87" ht="13" x14ac:dyDescent="0.3">
      <c r="A7" s="162" t="s">
        <v>35</v>
      </c>
      <c r="B7" s="148" t="s">
        <v>36</v>
      </c>
      <c r="C7" s="149">
        <v>0</v>
      </c>
      <c r="D7" s="150">
        <v>0</v>
      </c>
      <c r="E7" s="151">
        <f t="shared" si="0"/>
        <v>0</v>
      </c>
      <c r="F7" s="158" t="s">
        <v>35</v>
      </c>
      <c r="G7" s="153" t="s">
        <v>36</v>
      </c>
      <c r="H7" s="154">
        <v>930123</v>
      </c>
      <c r="I7" s="179">
        <v>930123</v>
      </c>
      <c r="J7" s="156">
        <f t="shared" si="1"/>
        <v>0</v>
      </c>
      <c r="K7" s="162" t="s">
        <v>35</v>
      </c>
      <c r="L7" s="157" t="s">
        <v>37</v>
      </c>
      <c r="M7" s="149">
        <v>-600</v>
      </c>
      <c r="N7" s="180">
        <v>-600</v>
      </c>
      <c r="O7" s="151">
        <f t="shared" si="2"/>
        <v>0</v>
      </c>
      <c r="P7" s="158" t="s">
        <v>35</v>
      </c>
      <c r="Q7" s="159" t="s">
        <v>38</v>
      </c>
      <c r="R7" s="284"/>
      <c r="S7" s="155"/>
      <c r="T7" s="161">
        <f t="shared" si="3"/>
        <v>0</v>
      </c>
      <c r="U7" s="162" t="s">
        <v>35</v>
      </c>
      <c r="V7" s="163" t="s">
        <v>38</v>
      </c>
      <c r="W7" s="164">
        <v>0</v>
      </c>
      <c r="X7" s="164">
        <v>0</v>
      </c>
      <c r="Y7" s="165"/>
      <c r="Z7" s="158" t="s">
        <v>35</v>
      </c>
      <c r="AA7" s="159" t="s">
        <v>38</v>
      </c>
      <c r="AB7" s="166">
        <v>930723</v>
      </c>
      <c r="AC7" s="181">
        <v>930723</v>
      </c>
      <c r="AD7" s="161">
        <f t="shared" si="4"/>
        <v>0</v>
      </c>
      <c r="AE7" s="162" t="s">
        <v>35</v>
      </c>
      <c r="AF7" s="163" t="s">
        <v>38</v>
      </c>
      <c r="AG7" s="182">
        <v>0</v>
      </c>
      <c r="AH7" s="182">
        <v>0</v>
      </c>
      <c r="AI7" s="165">
        <f t="shared" si="5"/>
        <v>0</v>
      </c>
      <c r="AJ7" s="168" t="s">
        <v>35</v>
      </c>
      <c r="AK7" s="169" t="s">
        <v>37</v>
      </c>
      <c r="AL7" s="170">
        <v>0</v>
      </c>
      <c r="AM7" s="183">
        <f t="shared" si="6"/>
        <v>0</v>
      </c>
      <c r="AN7" s="172">
        <f t="shared" si="7"/>
        <v>0</v>
      </c>
      <c r="AO7" s="162" t="s">
        <v>35</v>
      </c>
      <c r="AP7" s="163" t="s">
        <v>37</v>
      </c>
      <c r="AQ7" s="173">
        <v>0</v>
      </c>
      <c r="AR7" s="173">
        <v>0</v>
      </c>
      <c r="AS7" s="165">
        <f t="shared" si="8"/>
        <v>0</v>
      </c>
      <c r="AT7" s="168" t="s">
        <v>35</v>
      </c>
      <c r="AU7" s="169" t="s">
        <v>37</v>
      </c>
      <c r="AV7" s="172">
        <v>978190</v>
      </c>
      <c r="AW7" s="172">
        <v>978190</v>
      </c>
      <c r="AX7" s="172">
        <f t="shared" si="9"/>
        <v>0</v>
      </c>
      <c r="AY7" s="158" t="s">
        <v>35</v>
      </c>
      <c r="AZ7" s="174" t="s">
        <v>37</v>
      </c>
      <c r="BA7" s="154">
        <v>0</v>
      </c>
      <c r="BB7" s="154">
        <f t="shared" si="10"/>
        <v>0</v>
      </c>
      <c r="BC7" s="154">
        <f t="shared" si="11"/>
        <v>0</v>
      </c>
      <c r="BD7" s="184" t="s">
        <v>35</v>
      </c>
      <c r="BE7" s="176" t="s">
        <v>36</v>
      </c>
      <c r="BF7" s="172">
        <v>0</v>
      </c>
      <c r="BG7" s="177"/>
      <c r="BH7" s="178">
        <f t="shared" si="12"/>
        <v>0</v>
      </c>
      <c r="BJ7" s="140">
        <v>104</v>
      </c>
      <c r="BK7" s="313">
        <v>978190</v>
      </c>
      <c r="BL7" s="312">
        <f t="shared" si="13"/>
        <v>0</v>
      </c>
      <c r="BM7" s="314">
        <f t="shared" si="14"/>
        <v>0</v>
      </c>
      <c r="BN7" s="319" t="s">
        <v>35</v>
      </c>
      <c r="BO7" s="321">
        <v>978190</v>
      </c>
      <c r="BP7" s="322">
        <f t="shared" si="15"/>
        <v>0</v>
      </c>
      <c r="BQ7" s="323">
        <f t="shared" si="16"/>
        <v>0</v>
      </c>
      <c r="BR7" s="140" t="s">
        <v>35</v>
      </c>
      <c r="BS7" s="313">
        <v>978190</v>
      </c>
      <c r="BT7" s="312">
        <f t="shared" si="17"/>
        <v>978190</v>
      </c>
      <c r="BU7" s="314">
        <f t="shared" si="18"/>
        <v>1</v>
      </c>
      <c r="BV7" s="319" t="s">
        <v>35</v>
      </c>
      <c r="BW7" s="321">
        <v>1116888</v>
      </c>
      <c r="BX7" s="321">
        <v>208046</v>
      </c>
      <c r="BY7" s="322">
        <f t="shared" si="19"/>
        <v>0</v>
      </c>
      <c r="BZ7" s="323">
        <f t="shared" si="20"/>
        <v>0</v>
      </c>
      <c r="CA7" s="140" t="s">
        <v>35</v>
      </c>
      <c r="CB7" s="313">
        <v>1116888</v>
      </c>
      <c r="CC7" s="312">
        <v>208046</v>
      </c>
      <c r="CD7" s="314">
        <f t="shared" si="21"/>
        <v>0</v>
      </c>
      <c r="CE7" s="314">
        <f t="shared" si="22"/>
        <v>0</v>
      </c>
    </row>
    <row r="8" spans="1:87" ht="13" x14ac:dyDescent="0.3">
      <c r="A8" s="185" t="s">
        <v>40</v>
      </c>
      <c r="B8" s="148" t="s">
        <v>41</v>
      </c>
      <c r="C8" s="149">
        <v>1339193</v>
      </c>
      <c r="D8" s="150">
        <v>1339193</v>
      </c>
      <c r="E8" s="151">
        <f t="shared" si="0"/>
        <v>0</v>
      </c>
      <c r="F8" s="186" t="s">
        <v>40</v>
      </c>
      <c r="G8" s="153" t="s">
        <v>41</v>
      </c>
      <c r="H8" s="154">
        <v>1398807</v>
      </c>
      <c r="I8" s="155">
        <v>1398807</v>
      </c>
      <c r="J8" s="156">
        <f t="shared" si="1"/>
        <v>0</v>
      </c>
      <c r="K8" s="185" t="s">
        <v>40</v>
      </c>
      <c r="L8" s="157" t="s">
        <v>42</v>
      </c>
      <c r="M8" s="149">
        <v>2241517</v>
      </c>
      <c r="N8" s="150">
        <v>2241517</v>
      </c>
      <c r="O8" s="151">
        <f t="shared" si="2"/>
        <v>0</v>
      </c>
      <c r="P8" s="158" t="s">
        <v>40</v>
      </c>
      <c r="Q8" s="159" t="s">
        <v>43</v>
      </c>
      <c r="R8" s="284">
        <v>2234794</v>
      </c>
      <c r="S8" s="160">
        <v>2244794</v>
      </c>
      <c r="T8" s="161">
        <f t="shared" si="3"/>
        <v>-10000</v>
      </c>
      <c r="U8" s="162" t="s">
        <v>40</v>
      </c>
      <c r="V8" s="163" t="s">
        <v>43</v>
      </c>
      <c r="W8" s="164">
        <v>1291585</v>
      </c>
      <c r="X8" s="164">
        <v>5000</v>
      </c>
      <c r="Y8" s="165" t="s">
        <v>191</v>
      </c>
      <c r="Z8" s="158" t="s">
        <v>40</v>
      </c>
      <c r="AA8" s="159" t="s">
        <v>43</v>
      </c>
      <c r="AB8" s="166">
        <v>1033633</v>
      </c>
      <c r="AC8" s="167">
        <v>1033633</v>
      </c>
      <c r="AD8" s="161">
        <f t="shared" si="4"/>
        <v>0</v>
      </c>
      <c r="AE8" s="162" t="s">
        <v>40</v>
      </c>
      <c r="AF8" s="163" t="s">
        <v>43</v>
      </c>
      <c r="AG8" s="182">
        <f>-78357+1200000</f>
        <v>1121643</v>
      </c>
      <c r="AH8" s="182">
        <v>-78357</v>
      </c>
      <c r="AI8" s="165">
        <f t="shared" si="5"/>
        <v>1200000</v>
      </c>
      <c r="AJ8" s="168" t="s">
        <v>40</v>
      </c>
      <c r="AK8" s="169" t="s">
        <v>42</v>
      </c>
      <c r="AL8" s="170">
        <v>1012167</v>
      </c>
      <c r="AM8" s="171">
        <f t="shared" si="6"/>
        <v>1012167</v>
      </c>
      <c r="AN8" s="172">
        <f t="shared" si="7"/>
        <v>0</v>
      </c>
      <c r="AO8" s="162" t="s">
        <v>40</v>
      </c>
      <c r="AP8" s="163" t="s">
        <v>42</v>
      </c>
      <c r="AQ8" s="173">
        <v>1683595</v>
      </c>
      <c r="AR8" s="173">
        <v>1683595</v>
      </c>
      <c r="AS8" s="165">
        <f t="shared" si="8"/>
        <v>0</v>
      </c>
      <c r="AT8" s="168" t="s">
        <v>40</v>
      </c>
      <c r="AU8" s="169" t="s">
        <v>42</v>
      </c>
      <c r="AV8" s="172">
        <v>1164434</v>
      </c>
      <c r="AW8" s="172">
        <v>1164434</v>
      </c>
      <c r="AX8" s="172">
        <f t="shared" si="9"/>
        <v>0</v>
      </c>
      <c r="AY8" s="158" t="s">
        <v>40</v>
      </c>
      <c r="AZ8" s="174" t="s">
        <v>42</v>
      </c>
      <c r="BA8" s="154">
        <v>202292</v>
      </c>
      <c r="BB8" s="154">
        <f t="shared" si="10"/>
        <v>202292</v>
      </c>
      <c r="BC8" s="154">
        <f t="shared" si="11"/>
        <v>0</v>
      </c>
      <c r="BD8" s="168" t="s">
        <v>40</v>
      </c>
      <c r="BE8" s="176" t="s">
        <v>41</v>
      </c>
      <c r="BF8" s="172">
        <v>1221799</v>
      </c>
      <c r="BG8" s="177"/>
      <c r="BH8" s="178">
        <f t="shared" si="12"/>
        <v>1221799</v>
      </c>
      <c r="BJ8" s="140">
        <v>105</v>
      </c>
      <c r="BK8" s="313">
        <v>958501</v>
      </c>
      <c r="BL8" s="312">
        <f t="shared" si="13"/>
        <v>1221799</v>
      </c>
      <c r="BM8" s="314">
        <f t="shared" si="14"/>
        <v>1.2746976789799906</v>
      </c>
      <c r="BN8" s="319" t="s">
        <v>40</v>
      </c>
      <c r="BO8" s="321">
        <v>958501</v>
      </c>
      <c r="BP8" s="322">
        <f t="shared" si="15"/>
        <v>202292</v>
      </c>
      <c r="BQ8" s="323">
        <f t="shared" si="16"/>
        <v>0.21105037970748075</v>
      </c>
      <c r="BR8" s="140" t="s">
        <v>40</v>
      </c>
      <c r="BS8" s="313">
        <v>958501</v>
      </c>
      <c r="BT8" s="312">
        <f t="shared" si="17"/>
        <v>1164434</v>
      </c>
      <c r="BU8" s="314">
        <f t="shared" si="18"/>
        <v>1.2148490194585086</v>
      </c>
      <c r="BV8" s="319" t="s">
        <v>40</v>
      </c>
      <c r="BW8" s="321">
        <v>1094408</v>
      </c>
      <c r="BX8" s="321">
        <v>203859</v>
      </c>
      <c r="BY8" s="322">
        <f t="shared" si="19"/>
        <v>1683595</v>
      </c>
      <c r="BZ8" s="323">
        <f t="shared" si="20"/>
        <v>1.5383613789372885</v>
      </c>
      <c r="CA8" s="140" t="s">
        <v>40</v>
      </c>
      <c r="CB8" s="313">
        <v>1094408</v>
      </c>
      <c r="CC8" s="312">
        <v>203859</v>
      </c>
      <c r="CD8" s="314">
        <f t="shared" si="21"/>
        <v>1012167</v>
      </c>
      <c r="CE8" s="314">
        <f t="shared" si="22"/>
        <v>0.92485343674388343</v>
      </c>
    </row>
    <row r="9" spans="1:87" ht="13" x14ac:dyDescent="0.3">
      <c r="A9" s="162" t="s">
        <v>45</v>
      </c>
      <c r="B9" s="148" t="s">
        <v>46</v>
      </c>
      <c r="C9" s="149">
        <v>0</v>
      </c>
      <c r="D9" s="150">
        <v>0</v>
      </c>
      <c r="E9" s="151">
        <f t="shared" si="0"/>
        <v>0</v>
      </c>
      <c r="F9" s="158" t="s">
        <v>45</v>
      </c>
      <c r="G9" s="153" t="s">
        <v>46</v>
      </c>
      <c r="H9" s="154">
        <v>0</v>
      </c>
      <c r="I9" s="179">
        <v>0</v>
      </c>
      <c r="J9" s="156">
        <f t="shared" si="1"/>
        <v>0</v>
      </c>
      <c r="K9" s="162" t="s">
        <v>45</v>
      </c>
      <c r="L9" s="157" t="s">
        <v>47</v>
      </c>
      <c r="M9" s="149">
        <v>0</v>
      </c>
      <c r="N9" s="180">
        <v>0</v>
      </c>
      <c r="O9" s="151">
        <f t="shared" si="2"/>
        <v>0</v>
      </c>
      <c r="P9" s="158" t="s">
        <v>45</v>
      </c>
      <c r="Q9" s="159" t="s">
        <v>48</v>
      </c>
      <c r="R9" s="284"/>
      <c r="S9" s="155"/>
      <c r="T9" s="161">
        <f t="shared" si="3"/>
        <v>0</v>
      </c>
      <c r="U9" s="162" t="s">
        <v>45</v>
      </c>
      <c r="V9" s="163" t="s">
        <v>48</v>
      </c>
      <c r="W9" s="164">
        <v>0</v>
      </c>
      <c r="X9" s="164">
        <v>0</v>
      </c>
      <c r="Y9" s="165"/>
      <c r="Z9" s="158" t="s">
        <v>45</v>
      </c>
      <c r="AA9" s="159" t="s">
        <v>48</v>
      </c>
      <c r="AB9" s="166">
        <v>0</v>
      </c>
      <c r="AC9" s="181">
        <v>0</v>
      </c>
      <c r="AD9" s="161">
        <f t="shared" si="4"/>
        <v>0</v>
      </c>
      <c r="AE9" s="162" t="s">
        <v>45</v>
      </c>
      <c r="AF9" s="163" t="s">
        <v>48</v>
      </c>
      <c r="AG9" s="182">
        <v>0</v>
      </c>
      <c r="AH9" s="182">
        <v>0</v>
      </c>
      <c r="AI9" s="165">
        <f t="shared" si="5"/>
        <v>0</v>
      </c>
      <c r="AJ9" s="168" t="s">
        <v>45</v>
      </c>
      <c r="AK9" s="169" t="s">
        <v>47</v>
      </c>
      <c r="AL9" s="170">
        <v>0</v>
      </c>
      <c r="AM9" s="183">
        <f t="shared" si="6"/>
        <v>0</v>
      </c>
      <c r="AN9" s="172">
        <f t="shared" si="7"/>
        <v>0</v>
      </c>
      <c r="AO9" s="162" t="s">
        <v>45</v>
      </c>
      <c r="AP9" s="163" t="s">
        <v>47</v>
      </c>
      <c r="AQ9" s="173">
        <v>0</v>
      </c>
      <c r="AR9" s="173">
        <v>0</v>
      </c>
      <c r="AS9" s="165">
        <f t="shared" si="8"/>
        <v>0</v>
      </c>
      <c r="AT9" s="168" t="s">
        <v>45</v>
      </c>
      <c r="AU9" s="169" t="s">
        <v>47</v>
      </c>
      <c r="AV9" s="172">
        <v>0</v>
      </c>
      <c r="AW9" s="172">
        <v>0</v>
      </c>
      <c r="AX9" s="172">
        <f t="shared" si="9"/>
        <v>0</v>
      </c>
      <c r="AY9" s="158" t="s">
        <v>45</v>
      </c>
      <c r="AZ9" s="174" t="s">
        <v>47</v>
      </c>
      <c r="BA9" s="154">
        <v>0</v>
      </c>
      <c r="BB9" s="154">
        <f t="shared" si="10"/>
        <v>0</v>
      </c>
      <c r="BC9" s="154">
        <f t="shared" si="11"/>
        <v>0</v>
      </c>
      <c r="BD9" s="184" t="s">
        <v>45</v>
      </c>
      <c r="BE9" s="176" t="s">
        <v>46</v>
      </c>
      <c r="BF9" s="172">
        <v>0</v>
      </c>
      <c r="BG9" s="177"/>
      <c r="BH9" s="178">
        <f t="shared" si="12"/>
        <v>0</v>
      </c>
      <c r="BJ9" s="140">
        <v>106</v>
      </c>
      <c r="BK9" s="313">
        <v>946001</v>
      </c>
      <c r="BL9" s="312">
        <f t="shared" si="13"/>
        <v>0</v>
      </c>
      <c r="BM9" s="314">
        <f t="shared" si="14"/>
        <v>0</v>
      </c>
      <c r="BN9" s="319" t="s">
        <v>45</v>
      </c>
      <c r="BO9" s="321">
        <v>946001</v>
      </c>
      <c r="BP9" s="322">
        <f t="shared" si="15"/>
        <v>0</v>
      </c>
      <c r="BQ9" s="323">
        <f t="shared" si="16"/>
        <v>0</v>
      </c>
      <c r="BR9" s="140" t="s">
        <v>45</v>
      </c>
      <c r="BS9" s="313">
        <v>946001</v>
      </c>
      <c r="BT9" s="312">
        <f t="shared" si="17"/>
        <v>0</v>
      </c>
      <c r="BU9" s="314">
        <f t="shared" si="18"/>
        <v>0</v>
      </c>
      <c r="BV9" s="319" t="s">
        <v>45</v>
      </c>
      <c r="BW9" s="321">
        <v>1080000</v>
      </c>
      <c r="BX9" s="321">
        <v>201200</v>
      </c>
      <c r="BY9" s="322">
        <f t="shared" si="19"/>
        <v>0</v>
      </c>
      <c r="BZ9" s="323">
        <f t="shared" si="20"/>
        <v>0</v>
      </c>
      <c r="CA9" s="140" t="s">
        <v>45</v>
      </c>
      <c r="CB9" s="313">
        <v>1080000</v>
      </c>
      <c r="CC9" s="312">
        <v>201200</v>
      </c>
      <c r="CD9" s="314">
        <f t="shared" si="21"/>
        <v>0</v>
      </c>
      <c r="CE9" s="314">
        <f t="shared" si="22"/>
        <v>0</v>
      </c>
    </row>
    <row r="10" spans="1:87" ht="13" x14ac:dyDescent="0.3">
      <c r="A10" s="162" t="s">
        <v>50</v>
      </c>
      <c r="B10" s="148" t="s">
        <v>51</v>
      </c>
      <c r="C10" s="149">
        <v>0</v>
      </c>
      <c r="D10" s="150">
        <v>0</v>
      </c>
      <c r="E10" s="151">
        <f t="shared" si="0"/>
        <v>0</v>
      </c>
      <c r="F10" s="158" t="s">
        <v>50</v>
      </c>
      <c r="G10" s="153" t="s">
        <v>51</v>
      </c>
      <c r="H10" s="154">
        <v>0</v>
      </c>
      <c r="I10" s="179">
        <v>0</v>
      </c>
      <c r="J10" s="156">
        <f t="shared" si="1"/>
        <v>0</v>
      </c>
      <c r="K10" s="162" t="s">
        <v>50</v>
      </c>
      <c r="L10" s="157" t="s">
        <v>52</v>
      </c>
      <c r="M10" s="149">
        <v>0</v>
      </c>
      <c r="N10" s="180">
        <v>0</v>
      </c>
      <c r="O10" s="151">
        <f t="shared" si="2"/>
        <v>0</v>
      </c>
      <c r="P10" s="158" t="s">
        <v>50</v>
      </c>
      <c r="Q10" s="159" t="s">
        <v>53</v>
      </c>
      <c r="R10" s="284"/>
      <c r="S10" s="155"/>
      <c r="T10" s="161">
        <f t="shared" si="3"/>
        <v>0</v>
      </c>
      <c r="U10" s="162" t="s">
        <v>50</v>
      </c>
      <c r="V10" s="163" t="s">
        <v>53</v>
      </c>
      <c r="W10" s="164">
        <v>0</v>
      </c>
      <c r="X10" s="164">
        <v>0</v>
      </c>
      <c r="Y10" s="165"/>
      <c r="Z10" s="158" t="s">
        <v>50</v>
      </c>
      <c r="AA10" s="159" t="s">
        <v>53</v>
      </c>
      <c r="AB10" s="166">
        <v>0</v>
      </c>
      <c r="AC10" s="181">
        <v>0</v>
      </c>
      <c r="AD10" s="161">
        <f t="shared" si="4"/>
        <v>0</v>
      </c>
      <c r="AE10" s="162" t="s">
        <v>50</v>
      </c>
      <c r="AF10" s="163" t="s">
        <v>53</v>
      </c>
      <c r="AG10" s="182">
        <v>0</v>
      </c>
      <c r="AH10" s="182">
        <v>0</v>
      </c>
      <c r="AI10" s="165">
        <f t="shared" si="5"/>
        <v>0</v>
      </c>
      <c r="AJ10" s="168" t="s">
        <v>50</v>
      </c>
      <c r="AK10" s="169" t="s">
        <v>52</v>
      </c>
      <c r="AL10" s="170">
        <v>0</v>
      </c>
      <c r="AM10" s="171">
        <f t="shared" si="6"/>
        <v>0</v>
      </c>
      <c r="AN10" s="172">
        <f t="shared" si="7"/>
        <v>0</v>
      </c>
      <c r="AO10" s="162" t="s">
        <v>50</v>
      </c>
      <c r="AP10" s="163" t="s">
        <v>52</v>
      </c>
      <c r="AQ10" s="173">
        <v>0</v>
      </c>
      <c r="AR10" s="173">
        <v>0</v>
      </c>
      <c r="AS10" s="165">
        <f t="shared" si="8"/>
        <v>0</v>
      </c>
      <c r="AT10" s="168" t="s">
        <v>50</v>
      </c>
      <c r="AU10" s="169" t="s">
        <v>52</v>
      </c>
      <c r="AV10" s="172">
        <v>0</v>
      </c>
      <c r="AW10" s="172">
        <v>0</v>
      </c>
      <c r="AX10" s="172">
        <f t="shared" si="9"/>
        <v>0</v>
      </c>
      <c r="AY10" s="158" t="s">
        <v>50</v>
      </c>
      <c r="AZ10" s="174" t="s">
        <v>52</v>
      </c>
      <c r="BA10" s="154">
        <v>0</v>
      </c>
      <c r="BB10" s="154">
        <f t="shared" si="10"/>
        <v>0</v>
      </c>
      <c r="BC10" s="154">
        <f t="shared" si="11"/>
        <v>0</v>
      </c>
      <c r="BD10" s="184" t="s">
        <v>50</v>
      </c>
      <c r="BE10" s="176" t="s">
        <v>51</v>
      </c>
      <c r="BF10" s="172">
        <v>0</v>
      </c>
      <c r="BG10" s="177"/>
      <c r="BH10" s="178">
        <f t="shared" si="12"/>
        <v>0</v>
      </c>
      <c r="BJ10" s="140">
        <v>107</v>
      </c>
      <c r="BK10" s="313">
        <v>876621</v>
      </c>
      <c r="BL10" s="312">
        <f t="shared" si="13"/>
        <v>0</v>
      </c>
      <c r="BM10" s="314">
        <f t="shared" si="14"/>
        <v>0</v>
      </c>
      <c r="BN10" s="319" t="s">
        <v>50</v>
      </c>
      <c r="BO10" s="321">
        <v>876621</v>
      </c>
      <c r="BP10" s="322">
        <f t="shared" si="15"/>
        <v>0</v>
      </c>
      <c r="BQ10" s="323">
        <f t="shared" si="16"/>
        <v>0</v>
      </c>
      <c r="BR10" s="140" t="s">
        <v>50</v>
      </c>
      <c r="BS10" s="313">
        <v>876621</v>
      </c>
      <c r="BT10" s="312">
        <f t="shared" si="17"/>
        <v>0</v>
      </c>
      <c r="BU10" s="314">
        <f t="shared" si="18"/>
        <v>0</v>
      </c>
      <c r="BV10" s="319" t="s">
        <v>50</v>
      </c>
      <c r="BW10" s="321">
        <v>1000918</v>
      </c>
      <c r="BX10" s="321">
        <v>186444</v>
      </c>
      <c r="BY10" s="322">
        <f t="shared" si="19"/>
        <v>0</v>
      </c>
      <c r="BZ10" s="323">
        <f t="shared" si="20"/>
        <v>0</v>
      </c>
      <c r="CA10" s="140" t="s">
        <v>50</v>
      </c>
      <c r="CB10" s="313">
        <v>1000918</v>
      </c>
      <c r="CC10" s="312">
        <v>186444</v>
      </c>
      <c r="CD10" s="314">
        <f t="shared" si="21"/>
        <v>0</v>
      </c>
      <c r="CE10" s="314">
        <f t="shared" si="22"/>
        <v>0</v>
      </c>
    </row>
    <row r="11" spans="1:87" ht="13" x14ac:dyDescent="0.3">
      <c r="A11" s="162" t="s">
        <v>55</v>
      </c>
      <c r="B11" s="148" t="s">
        <v>56</v>
      </c>
      <c r="C11" s="149">
        <v>2367</v>
      </c>
      <c r="D11" s="150">
        <v>2367</v>
      </c>
      <c r="E11" s="151">
        <f t="shared" si="0"/>
        <v>0</v>
      </c>
      <c r="F11" s="158" t="s">
        <v>55</v>
      </c>
      <c r="G11" s="153" t="s">
        <v>56</v>
      </c>
      <c r="H11" s="154">
        <v>0</v>
      </c>
      <c r="I11" s="179">
        <v>0</v>
      </c>
      <c r="J11" s="156">
        <f t="shared" si="1"/>
        <v>0</v>
      </c>
      <c r="K11" s="162" t="s">
        <v>55</v>
      </c>
      <c r="L11" s="157" t="s">
        <v>57</v>
      </c>
      <c r="M11" s="149">
        <v>-2367</v>
      </c>
      <c r="N11" s="180">
        <v>-2367</v>
      </c>
      <c r="O11" s="151">
        <f t="shared" si="2"/>
        <v>0</v>
      </c>
      <c r="P11" s="158" t="s">
        <v>55</v>
      </c>
      <c r="Q11" s="159" t="s">
        <v>58</v>
      </c>
      <c r="R11" s="284">
        <v>-2367</v>
      </c>
      <c r="S11" s="160">
        <v>-2367</v>
      </c>
      <c r="T11" s="161">
        <f t="shared" si="3"/>
        <v>0</v>
      </c>
      <c r="U11" s="162" t="s">
        <v>55</v>
      </c>
      <c r="V11" s="163" t="s">
        <v>58</v>
      </c>
      <c r="W11" s="164">
        <v>-2367</v>
      </c>
      <c r="X11" s="164">
        <v>0</v>
      </c>
      <c r="Y11" s="165"/>
      <c r="Z11" s="158" t="s">
        <v>55</v>
      </c>
      <c r="AA11" s="159" t="s">
        <v>58</v>
      </c>
      <c r="AB11" s="166">
        <v>0</v>
      </c>
      <c r="AC11" s="167">
        <v>0</v>
      </c>
      <c r="AD11" s="161">
        <f t="shared" si="4"/>
        <v>0</v>
      </c>
      <c r="AE11" s="162" t="s">
        <v>55</v>
      </c>
      <c r="AF11" s="163" t="s">
        <v>58</v>
      </c>
      <c r="AG11" s="182">
        <v>-817432</v>
      </c>
      <c r="AH11" s="182">
        <v>-817432</v>
      </c>
      <c r="AI11" s="165">
        <f t="shared" si="5"/>
        <v>0</v>
      </c>
      <c r="AJ11" s="168" t="s">
        <v>55</v>
      </c>
      <c r="AK11" s="169" t="s">
        <v>57</v>
      </c>
      <c r="AL11" s="170">
        <v>0</v>
      </c>
      <c r="AM11" s="171">
        <f t="shared" si="6"/>
        <v>0</v>
      </c>
      <c r="AN11" s="172">
        <f t="shared" si="7"/>
        <v>0</v>
      </c>
      <c r="AO11" s="162" t="s">
        <v>55</v>
      </c>
      <c r="AP11" s="163" t="s">
        <v>57</v>
      </c>
      <c r="AQ11" s="173">
        <v>0</v>
      </c>
      <c r="AR11" s="173">
        <v>0</v>
      </c>
      <c r="AS11" s="165">
        <f t="shared" si="8"/>
        <v>0</v>
      </c>
      <c r="AT11" s="168" t="s">
        <v>55</v>
      </c>
      <c r="AU11" s="169" t="s">
        <v>57</v>
      </c>
      <c r="AV11" s="172">
        <v>-4816</v>
      </c>
      <c r="AW11" s="172">
        <v>-4816</v>
      </c>
      <c r="AX11" s="172">
        <f t="shared" si="9"/>
        <v>0</v>
      </c>
      <c r="AY11" s="158" t="s">
        <v>55</v>
      </c>
      <c r="AZ11" s="174" t="s">
        <v>57</v>
      </c>
      <c r="BA11" s="154">
        <v>-2410</v>
      </c>
      <c r="BB11" s="154">
        <v>-2406</v>
      </c>
      <c r="BC11" s="154">
        <f t="shared" si="11"/>
        <v>-4</v>
      </c>
      <c r="BD11" s="184" t="s">
        <v>55</v>
      </c>
      <c r="BE11" s="176" t="s">
        <v>56</v>
      </c>
      <c r="BF11" s="172">
        <v>0</v>
      </c>
      <c r="BG11" s="177"/>
      <c r="BH11" s="178">
        <f t="shared" si="12"/>
        <v>0</v>
      </c>
      <c r="BJ11" s="140">
        <v>108</v>
      </c>
      <c r="BK11" s="313">
        <v>859121</v>
      </c>
      <c r="BL11" s="312">
        <f t="shared" si="13"/>
        <v>0</v>
      </c>
      <c r="BM11" s="314">
        <f t="shared" si="14"/>
        <v>0</v>
      </c>
      <c r="BN11" s="319" t="s">
        <v>55</v>
      </c>
      <c r="BO11" s="321">
        <v>859121</v>
      </c>
      <c r="BP11" s="322">
        <f t="shared" si="15"/>
        <v>-2410</v>
      </c>
      <c r="BQ11" s="323">
        <f t="shared" si="16"/>
        <v>-2.8051927493333304E-3</v>
      </c>
      <c r="BR11" s="140" t="s">
        <v>55</v>
      </c>
      <c r="BS11" s="313">
        <v>859121</v>
      </c>
      <c r="BT11" s="312">
        <f t="shared" si="17"/>
        <v>-4816</v>
      </c>
      <c r="BU11" s="314">
        <f t="shared" si="18"/>
        <v>-5.6057295770910037E-3</v>
      </c>
      <c r="BV11" s="319" t="s">
        <v>55</v>
      </c>
      <c r="BW11" s="321">
        <v>980935</v>
      </c>
      <c r="BX11" s="321">
        <v>182722</v>
      </c>
      <c r="BY11" s="322">
        <f t="shared" si="19"/>
        <v>0</v>
      </c>
      <c r="BZ11" s="323">
        <f t="shared" si="20"/>
        <v>0</v>
      </c>
      <c r="CA11" s="140" t="s">
        <v>55</v>
      </c>
      <c r="CB11" s="313">
        <v>980935</v>
      </c>
      <c r="CC11" s="312">
        <v>182722</v>
      </c>
      <c r="CD11" s="314">
        <f t="shared" si="21"/>
        <v>0</v>
      </c>
      <c r="CE11" s="314">
        <f t="shared" si="22"/>
        <v>0</v>
      </c>
    </row>
    <row r="12" spans="1:87" ht="13" x14ac:dyDescent="0.3">
      <c r="A12" s="162" t="s">
        <v>60</v>
      </c>
      <c r="B12" s="148" t="s">
        <v>61</v>
      </c>
      <c r="C12" s="149">
        <v>30286</v>
      </c>
      <c r="D12" s="150">
        <v>30286</v>
      </c>
      <c r="E12" s="151">
        <f t="shared" si="0"/>
        <v>0</v>
      </c>
      <c r="F12" s="158" t="s">
        <v>60</v>
      </c>
      <c r="G12" s="153" t="s">
        <v>61</v>
      </c>
      <c r="H12" s="154">
        <v>0</v>
      </c>
      <c r="I12" s="179">
        <v>0</v>
      </c>
      <c r="J12" s="156">
        <f t="shared" si="1"/>
        <v>0</v>
      </c>
      <c r="K12" s="162" t="s">
        <v>60</v>
      </c>
      <c r="L12" s="157" t="s">
        <v>62</v>
      </c>
      <c r="M12" s="149">
        <v>0</v>
      </c>
      <c r="N12" s="180">
        <v>0</v>
      </c>
      <c r="O12" s="151">
        <f t="shared" si="2"/>
        <v>0</v>
      </c>
      <c r="P12" s="158" t="s">
        <v>60</v>
      </c>
      <c r="Q12" s="159" t="s">
        <v>63</v>
      </c>
      <c r="R12" s="284"/>
      <c r="S12" s="155"/>
      <c r="T12" s="161">
        <f t="shared" si="3"/>
        <v>0</v>
      </c>
      <c r="U12" s="162" t="s">
        <v>60</v>
      </c>
      <c r="V12" s="163" t="s">
        <v>63</v>
      </c>
      <c r="W12" s="164">
        <v>0</v>
      </c>
      <c r="X12" s="164">
        <v>0</v>
      </c>
      <c r="Y12" s="165"/>
      <c r="Z12" s="158" t="s">
        <v>60</v>
      </c>
      <c r="AA12" s="159" t="s">
        <v>63</v>
      </c>
      <c r="AB12" s="166">
        <v>-99800</v>
      </c>
      <c r="AC12" s="181">
        <v>-99800</v>
      </c>
      <c r="AD12" s="161">
        <f t="shared" si="4"/>
        <v>0</v>
      </c>
      <c r="AE12" s="162" t="s">
        <v>60</v>
      </c>
      <c r="AF12" s="163" t="s">
        <v>183</v>
      </c>
      <c r="AG12" s="182">
        <v>-99900</v>
      </c>
      <c r="AH12" s="182">
        <v>-99900</v>
      </c>
      <c r="AI12" s="165">
        <f t="shared" si="5"/>
        <v>0</v>
      </c>
      <c r="AJ12" s="168" t="s">
        <v>60</v>
      </c>
      <c r="AK12" s="169" t="s">
        <v>62</v>
      </c>
      <c r="AL12" s="170">
        <v>-915375</v>
      </c>
      <c r="AM12" s="183">
        <f t="shared" si="6"/>
        <v>-915375</v>
      </c>
      <c r="AN12" s="172">
        <f t="shared" si="7"/>
        <v>0</v>
      </c>
      <c r="AO12" s="162" t="s">
        <v>60</v>
      </c>
      <c r="AP12" s="163" t="s">
        <v>62</v>
      </c>
      <c r="AQ12" s="173">
        <v>324477</v>
      </c>
      <c r="AR12" s="173">
        <v>324477</v>
      </c>
      <c r="AS12" s="165">
        <f t="shared" si="8"/>
        <v>0</v>
      </c>
      <c r="AT12" s="168" t="s">
        <v>60</v>
      </c>
      <c r="AU12" s="169" t="s">
        <v>62</v>
      </c>
      <c r="AV12" s="172">
        <v>0</v>
      </c>
      <c r="AW12" s="172">
        <v>0</v>
      </c>
      <c r="AX12" s="172">
        <f t="shared" si="9"/>
        <v>0</v>
      </c>
      <c r="AY12" s="158" t="s">
        <v>60</v>
      </c>
      <c r="AZ12" s="174" t="s">
        <v>62</v>
      </c>
      <c r="BA12" s="154">
        <v>0</v>
      </c>
      <c r="BB12" s="154">
        <f t="shared" si="10"/>
        <v>0</v>
      </c>
      <c r="BC12" s="154">
        <f t="shared" si="11"/>
        <v>0</v>
      </c>
      <c r="BD12" s="184" t="s">
        <v>60</v>
      </c>
      <c r="BE12" s="176" t="s">
        <v>61</v>
      </c>
      <c r="BF12" s="172">
        <v>105536</v>
      </c>
      <c r="BG12" s="177"/>
      <c r="BH12" s="178">
        <f t="shared" si="12"/>
        <v>105536</v>
      </c>
      <c r="BJ12" s="140">
        <v>109</v>
      </c>
      <c r="BK12" s="313">
        <v>859121</v>
      </c>
      <c r="BL12" s="312">
        <f t="shared" si="13"/>
        <v>105536</v>
      </c>
      <c r="BM12" s="314">
        <f t="shared" si="14"/>
        <v>0.12284183485213375</v>
      </c>
      <c r="BN12" s="319" t="s">
        <v>60</v>
      </c>
      <c r="BO12" s="321">
        <v>859121</v>
      </c>
      <c r="BP12" s="322">
        <f t="shared" si="15"/>
        <v>0</v>
      </c>
      <c r="BQ12" s="323">
        <f t="shared" si="16"/>
        <v>0</v>
      </c>
      <c r="BR12" s="140" t="s">
        <v>60</v>
      </c>
      <c r="BS12" s="313">
        <v>859121</v>
      </c>
      <c r="BT12" s="312">
        <f t="shared" si="17"/>
        <v>0</v>
      </c>
      <c r="BU12" s="314">
        <f t="shared" si="18"/>
        <v>0</v>
      </c>
      <c r="BV12" s="319" t="s">
        <v>60</v>
      </c>
      <c r="BW12" s="321">
        <v>1045165</v>
      </c>
      <c r="BX12" s="321">
        <v>194686</v>
      </c>
      <c r="BY12" s="322">
        <f t="shared" si="19"/>
        <v>324477</v>
      </c>
      <c r="BZ12" s="323">
        <f t="shared" si="20"/>
        <v>0.31045528696425922</v>
      </c>
      <c r="CA12" s="140" t="s">
        <v>60</v>
      </c>
      <c r="CB12" s="313">
        <v>1045165</v>
      </c>
      <c r="CC12" s="312">
        <v>194686</v>
      </c>
      <c r="CD12" s="314">
        <f t="shared" si="21"/>
        <v>-915375</v>
      </c>
      <c r="CE12" s="314">
        <f t="shared" si="22"/>
        <v>-0.87581865064367825</v>
      </c>
    </row>
    <row r="13" spans="1:87" ht="13" x14ac:dyDescent="0.3">
      <c r="A13" s="162" t="s">
        <v>64</v>
      </c>
      <c r="B13" s="148" t="s">
        <v>65</v>
      </c>
      <c r="C13" s="149">
        <v>0</v>
      </c>
      <c r="D13" s="150">
        <v>0</v>
      </c>
      <c r="E13" s="151">
        <f t="shared" si="0"/>
        <v>0</v>
      </c>
      <c r="F13" s="158" t="s">
        <v>64</v>
      </c>
      <c r="G13" s="153" t="s">
        <v>65</v>
      </c>
      <c r="H13" s="154">
        <v>0</v>
      </c>
      <c r="I13" s="179">
        <v>0</v>
      </c>
      <c r="J13" s="156">
        <f t="shared" si="1"/>
        <v>0</v>
      </c>
      <c r="K13" s="162" t="s">
        <v>64</v>
      </c>
      <c r="L13" s="157" t="s">
        <v>66</v>
      </c>
      <c r="M13" s="149">
        <v>0</v>
      </c>
      <c r="N13" s="180">
        <v>0</v>
      </c>
      <c r="O13" s="151">
        <f t="shared" si="2"/>
        <v>0</v>
      </c>
      <c r="P13" s="158" t="s">
        <v>64</v>
      </c>
      <c r="Q13" s="159" t="s">
        <v>67</v>
      </c>
      <c r="R13" s="284"/>
      <c r="S13" s="155"/>
      <c r="T13" s="161">
        <f t="shared" si="3"/>
        <v>0</v>
      </c>
      <c r="U13" s="162" t="s">
        <v>64</v>
      </c>
      <c r="V13" s="163" t="s">
        <v>67</v>
      </c>
      <c r="W13" s="164">
        <v>240477</v>
      </c>
      <c r="X13" s="164">
        <v>0</v>
      </c>
      <c r="Y13" s="165"/>
      <c r="Z13" s="158" t="s">
        <v>64</v>
      </c>
      <c r="AA13" s="159" t="s">
        <v>67</v>
      </c>
      <c r="AB13" s="166">
        <v>0</v>
      </c>
      <c r="AC13" s="181">
        <v>0</v>
      </c>
      <c r="AD13" s="161">
        <f t="shared" si="4"/>
        <v>0</v>
      </c>
      <c r="AE13" s="162" t="s">
        <v>64</v>
      </c>
      <c r="AF13" s="163" t="s">
        <v>67</v>
      </c>
      <c r="AG13" s="182">
        <v>0</v>
      </c>
      <c r="AH13" s="182">
        <v>0</v>
      </c>
      <c r="AI13" s="165">
        <f t="shared" si="5"/>
        <v>0</v>
      </c>
      <c r="AJ13" s="168" t="s">
        <v>64</v>
      </c>
      <c r="AK13" s="169" t="s">
        <v>66</v>
      </c>
      <c r="AL13" s="170">
        <v>0</v>
      </c>
      <c r="AM13" s="183">
        <f t="shared" si="6"/>
        <v>0</v>
      </c>
      <c r="AN13" s="172">
        <f t="shared" si="7"/>
        <v>0</v>
      </c>
      <c r="AO13" s="162" t="s">
        <v>64</v>
      </c>
      <c r="AP13" s="163" t="s">
        <v>66</v>
      </c>
      <c r="AQ13" s="173">
        <v>0</v>
      </c>
      <c r="AR13" s="173">
        <v>0</v>
      </c>
      <c r="AS13" s="165">
        <f t="shared" si="8"/>
        <v>0</v>
      </c>
      <c r="AT13" s="168" t="s">
        <v>64</v>
      </c>
      <c r="AU13" s="169" t="s">
        <v>66</v>
      </c>
      <c r="AV13" s="172">
        <v>0</v>
      </c>
      <c r="AW13" s="172">
        <v>0</v>
      </c>
      <c r="AX13" s="172">
        <f t="shared" si="9"/>
        <v>0</v>
      </c>
      <c r="AY13" s="158" t="s">
        <v>64</v>
      </c>
      <c r="AZ13" s="174" t="s">
        <v>66</v>
      </c>
      <c r="BA13" s="154">
        <v>0</v>
      </c>
      <c r="BB13" s="154">
        <f t="shared" si="10"/>
        <v>0</v>
      </c>
      <c r="BC13" s="154">
        <f t="shared" si="11"/>
        <v>0</v>
      </c>
      <c r="BD13" s="184" t="s">
        <v>64</v>
      </c>
      <c r="BE13" s="176" t="s">
        <v>65</v>
      </c>
      <c r="BF13" s="172">
        <v>0</v>
      </c>
      <c r="BG13" s="177"/>
      <c r="BH13" s="178">
        <f t="shared" si="12"/>
        <v>0</v>
      </c>
      <c r="BJ13" s="140">
        <v>110</v>
      </c>
      <c r="BK13" s="313">
        <v>915374</v>
      </c>
      <c r="BL13" s="312">
        <f t="shared" si="13"/>
        <v>0</v>
      </c>
      <c r="BM13" s="314">
        <f t="shared" si="14"/>
        <v>0</v>
      </c>
      <c r="BN13" s="319" t="s">
        <v>64</v>
      </c>
      <c r="BO13" s="321">
        <v>915374</v>
      </c>
      <c r="BP13" s="322">
        <f t="shared" si="15"/>
        <v>0</v>
      </c>
      <c r="BQ13" s="323">
        <f t="shared" si="16"/>
        <v>0</v>
      </c>
      <c r="BR13" s="140" t="s">
        <v>64</v>
      </c>
      <c r="BS13" s="313">
        <v>915374</v>
      </c>
      <c r="BT13" s="312">
        <f t="shared" si="17"/>
        <v>0</v>
      </c>
      <c r="BU13" s="314">
        <f t="shared" si="18"/>
        <v>0</v>
      </c>
      <c r="BV13" s="319" t="s">
        <v>64</v>
      </c>
      <c r="BW13" s="321">
        <v>1144365</v>
      </c>
      <c r="BX13" s="321">
        <v>213165</v>
      </c>
      <c r="BY13" s="322">
        <f t="shared" si="19"/>
        <v>0</v>
      </c>
      <c r="BZ13" s="323">
        <f t="shared" si="20"/>
        <v>0</v>
      </c>
      <c r="CA13" s="140" t="s">
        <v>64</v>
      </c>
      <c r="CB13" s="313">
        <v>1144365</v>
      </c>
      <c r="CC13" s="312">
        <v>213165</v>
      </c>
      <c r="CD13" s="314">
        <f t="shared" si="21"/>
        <v>0</v>
      </c>
      <c r="CE13" s="314">
        <f t="shared" si="22"/>
        <v>0</v>
      </c>
    </row>
    <row r="14" spans="1:87" ht="13" x14ac:dyDescent="0.3">
      <c r="A14" s="147" t="s">
        <v>68</v>
      </c>
      <c r="B14" s="148" t="s">
        <v>69</v>
      </c>
      <c r="C14" s="149">
        <v>852555</v>
      </c>
      <c r="D14" s="150">
        <v>852555</v>
      </c>
      <c r="E14" s="151">
        <f t="shared" si="0"/>
        <v>0</v>
      </c>
      <c r="F14" s="152" t="s">
        <v>68</v>
      </c>
      <c r="G14" s="153" t="s">
        <v>69</v>
      </c>
      <c r="H14" s="154">
        <v>923308</v>
      </c>
      <c r="I14" s="155">
        <v>923308</v>
      </c>
      <c r="J14" s="156">
        <f t="shared" si="1"/>
        <v>0</v>
      </c>
      <c r="K14" s="147" t="s">
        <v>68</v>
      </c>
      <c r="L14" s="157" t="s">
        <v>70</v>
      </c>
      <c r="M14" s="149">
        <v>630799</v>
      </c>
      <c r="N14" s="150">
        <v>630799</v>
      </c>
      <c r="O14" s="151">
        <f t="shared" si="2"/>
        <v>0</v>
      </c>
      <c r="P14" s="158" t="s">
        <v>68</v>
      </c>
      <c r="Q14" s="159" t="s">
        <v>71</v>
      </c>
      <c r="R14" s="284">
        <v>999995</v>
      </c>
      <c r="S14" s="160">
        <v>999995</v>
      </c>
      <c r="T14" s="161">
        <f t="shared" si="3"/>
        <v>0</v>
      </c>
      <c r="U14" s="162" t="s">
        <v>68</v>
      </c>
      <c r="V14" s="163" t="s">
        <v>71</v>
      </c>
      <c r="W14" s="164">
        <v>2160408</v>
      </c>
      <c r="X14" s="164">
        <v>0</v>
      </c>
      <c r="Y14" s="165"/>
      <c r="Z14" s="158" t="s">
        <v>68</v>
      </c>
      <c r="AA14" s="159" t="s">
        <v>71</v>
      </c>
      <c r="AB14" s="166">
        <v>1000000</v>
      </c>
      <c r="AC14" s="167">
        <v>1000000</v>
      </c>
      <c r="AD14" s="161">
        <f t="shared" si="4"/>
        <v>0</v>
      </c>
      <c r="AE14" s="162" t="s">
        <v>68</v>
      </c>
      <c r="AF14" s="163" t="s">
        <v>71</v>
      </c>
      <c r="AG14" s="182">
        <v>1476264</v>
      </c>
      <c r="AH14" s="182">
        <v>1476264</v>
      </c>
      <c r="AI14" s="165">
        <f t="shared" si="5"/>
        <v>0</v>
      </c>
      <c r="AJ14" s="168" t="s">
        <v>68</v>
      </c>
      <c r="AK14" s="169" t="s">
        <v>70</v>
      </c>
      <c r="AL14" s="170">
        <v>1265633</v>
      </c>
      <c r="AM14" s="171">
        <f t="shared" si="6"/>
        <v>1265633</v>
      </c>
      <c r="AN14" s="172">
        <f t="shared" si="7"/>
        <v>0</v>
      </c>
      <c r="AO14" s="162" t="s">
        <v>68</v>
      </c>
      <c r="AP14" s="163" t="s">
        <v>70</v>
      </c>
      <c r="AQ14" s="173">
        <v>1296151</v>
      </c>
      <c r="AR14" s="173">
        <v>1296151</v>
      </c>
      <c r="AS14" s="165">
        <f t="shared" si="8"/>
        <v>0</v>
      </c>
      <c r="AT14" s="168" t="s">
        <v>68</v>
      </c>
      <c r="AU14" s="169" t="s">
        <v>70</v>
      </c>
      <c r="AV14" s="172">
        <v>0</v>
      </c>
      <c r="AW14" s="172">
        <v>0</v>
      </c>
      <c r="AX14" s="172">
        <f t="shared" si="9"/>
        <v>0</v>
      </c>
      <c r="AY14" s="158" t="s">
        <v>68</v>
      </c>
      <c r="AZ14" s="174" t="s">
        <v>70</v>
      </c>
      <c r="BA14" s="154">
        <v>0</v>
      </c>
      <c r="BB14" s="154">
        <f t="shared" si="10"/>
        <v>0</v>
      </c>
      <c r="BC14" s="154">
        <f t="shared" si="11"/>
        <v>0</v>
      </c>
      <c r="BD14" s="175" t="s">
        <v>68</v>
      </c>
      <c r="BE14" s="176" t="s">
        <v>69</v>
      </c>
      <c r="BF14" s="172">
        <v>0</v>
      </c>
      <c r="BG14" s="177"/>
      <c r="BH14" s="178">
        <f t="shared" si="12"/>
        <v>0</v>
      </c>
      <c r="BJ14" s="140">
        <v>111</v>
      </c>
      <c r="BK14" s="313">
        <v>1002255</v>
      </c>
      <c r="BL14" s="312">
        <f t="shared" si="13"/>
        <v>0</v>
      </c>
      <c r="BM14" s="314">
        <f t="shared" si="14"/>
        <v>0</v>
      </c>
      <c r="BN14" s="319" t="s">
        <v>68</v>
      </c>
      <c r="BO14" s="321">
        <v>1002255</v>
      </c>
      <c r="BP14" s="322">
        <f t="shared" si="15"/>
        <v>0</v>
      </c>
      <c r="BQ14" s="323">
        <f t="shared" si="16"/>
        <v>0</v>
      </c>
      <c r="BR14" s="140" t="s">
        <v>68</v>
      </c>
      <c r="BS14" s="313">
        <v>1002255</v>
      </c>
      <c r="BT14" s="312">
        <f t="shared" si="17"/>
        <v>0</v>
      </c>
      <c r="BU14" s="314">
        <f t="shared" si="18"/>
        <v>0</v>
      </c>
      <c r="BV14" s="319" t="s">
        <v>68</v>
      </c>
      <c r="BW14" s="321">
        <v>1092624</v>
      </c>
      <c r="BX14" s="321">
        <v>203527</v>
      </c>
      <c r="BY14" s="322">
        <f t="shared" si="19"/>
        <v>1296151</v>
      </c>
      <c r="BZ14" s="323">
        <f t="shared" si="20"/>
        <v>1.1862735945759932</v>
      </c>
      <c r="CA14" s="140" t="s">
        <v>68</v>
      </c>
      <c r="CB14" s="313">
        <v>1092624</v>
      </c>
      <c r="CC14" s="312">
        <v>203527</v>
      </c>
      <c r="CD14" s="314">
        <f t="shared" si="21"/>
        <v>1265633</v>
      </c>
      <c r="CE14" s="314">
        <f t="shared" si="22"/>
        <v>1.1583426686582026</v>
      </c>
    </row>
    <row r="15" spans="1:87" ht="13" x14ac:dyDescent="0.3">
      <c r="A15" s="162" t="s">
        <v>72</v>
      </c>
      <c r="B15" s="148" t="s">
        <v>73</v>
      </c>
      <c r="C15" s="149">
        <v>-7175</v>
      </c>
      <c r="D15" s="150">
        <v>-7175</v>
      </c>
      <c r="E15" s="151">
        <f t="shared" si="0"/>
        <v>0</v>
      </c>
      <c r="F15" s="158" t="s">
        <v>72</v>
      </c>
      <c r="G15" s="153" t="s">
        <v>73</v>
      </c>
      <c r="H15" s="154">
        <v>161295</v>
      </c>
      <c r="I15" s="155">
        <v>161295</v>
      </c>
      <c r="J15" s="156">
        <f t="shared" si="1"/>
        <v>0</v>
      </c>
      <c r="K15" s="162" t="s">
        <v>72</v>
      </c>
      <c r="L15" s="157" t="s">
        <v>74</v>
      </c>
      <c r="M15" s="149">
        <v>-366961</v>
      </c>
      <c r="N15" s="150">
        <v>-366961</v>
      </c>
      <c r="O15" s="151">
        <f t="shared" si="2"/>
        <v>0</v>
      </c>
      <c r="P15" s="158" t="s">
        <v>72</v>
      </c>
      <c r="Q15" s="159" t="s">
        <v>75</v>
      </c>
      <c r="R15" s="284">
        <v>395217</v>
      </c>
      <c r="S15" s="284">
        <v>395217</v>
      </c>
      <c r="T15" s="161">
        <f t="shared" si="3"/>
        <v>0</v>
      </c>
      <c r="U15" s="162" t="s">
        <v>72</v>
      </c>
      <c r="V15" s="163" t="s">
        <v>75</v>
      </c>
      <c r="W15" s="164">
        <v>-323473</v>
      </c>
      <c r="X15" s="164">
        <v>0</v>
      </c>
      <c r="Y15" s="165"/>
      <c r="Z15" s="158" t="s">
        <v>72</v>
      </c>
      <c r="AA15" s="159" t="s">
        <v>75</v>
      </c>
      <c r="AB15" s="166">
        <v>-411027</v>
      </c>
      <c r="AC15" s="167">
        <v>-411027</v>
      </c>
      <c r="AD15" s="161">
        <f t="shared" si="4"/>
        <v>0</v>
      </c>
      <c r="AE15" s="162" t="s">
        <v>72</v>
      </c>
      <c r="AF15" s="163" t="s">
        <v>75</v>
      </c>
      <c r="AG15" s="182">
        <v>-339283</v>
      </c>
      <c r="AH15" s="182">
        <v>-339283</v>
      </c>
      <c r="AI15" s="165">
        <f t="shared" si="5"/>
        <v>0</v>
      </c>
      <c r="AJ15" s="168" t="s">
        <v>72</v>
      </c>
      <c r="AK15" s="169" t="s">
        <v>74</v>
      </c>
      <c r="AL15" s="170">
        <v>1281795</v>
      </c>
      <c r="AM15" s="171">
        <f t="shared" si="6"/>
        <v>1281795</v>
      </c>
      <c r="AN15" s="172">
        <f t="shared" si="7"/>
        <v>0</v>
      </c>
      <c r="AO15" s="162" t="s">
        <v>72</v>
      </c>
      <c r="AP15" s="163" t="s">
        <v>74</v>
      </c>
      <c r="AQ15" s="173">
        <v>-181983</v>
      </c>
      <c r="AR15" s="173">
        <v>-181983</v>
      </c>
      <c r="AS15" s="165">
        <f t="shared" si="8"/>
        <v>0</v>
      </c>
      <c r="AT15" s="168" t="s">
        <v>72</v>
      </c>
      <c r="AU15" s="169" t="s">
        <v>74</v>
      </c>
      <c r="AV15" s="172">
        <v>-45761</v>
      </c>
      <c r="AW15" s="172">
        <v>-45761</v>
      </c>
      <c r="AX15" s="172">
        <f t="shared" si="9"/>
        <v>0</v>
      </c>
      <c r="AY15" s="158" t="s">
        <v>72</v>
      </c>
      <c r="AZ15" s="174" t="s">
        <v>74</v>
      </c>
      <c r="BA15" s="154">
        <v>-26458</v>
      </c>
      <c r="BB15" s="154">
        <f t="shared" si="10"/>
        <v>-26458</v>
      </c>
      <c r="BC15" s="154">
        <f t="shared" si="11"/>
        <v>0</v>
      </c>
      <c r="BD15" s="184" t="s">
        <v>72</v>
      </c>
      <c r="BE15" s="176" t="s">
        <v>73</v>
      </c>
      <c r="BF15" s="172">
        <v>1073522</v>
      </c>
      <c r="BG15" s="177"/>
      <c r="BH15" s="178">
        <f t="shared" si="12"/>
        <v>1073522</v>
      </c>
      <c r="BJ15" s="140">
        <v>112</v>
      </c>
      <c r="BK15" s="313">
        <v>956940</v>
      </c>
      <c r="BL15" s="312">
        <f t="shared" si="13"/>
        <v>1073522</v>
      </c>
      <c r="BM15" s="314">
        <f t="shared" si="14"/>
        <v>1.1218279097958075</v>
      </c>
      <c r="BN15" s="319" t="s">
        <v>72</v>
      </c>
      <c r="BO15" s="321">
        <v>956940</v>
      </c>
      <c r="BP15" s="322">
        <f t="shared" si="15"/>
        <v>-26458</v>
      </c>
      <c r="BQ15" s="323">
        <f t="shared" si="16"/>
        <v>-2.7648546408343262E-2</v>
      </c>
      <c r="BR15" s="140" t="s">
        <v>72</v>
      </c>
      <c r="BS15" s="313">
        <v>956940</v>
      </c>
      <c r="BT15" s="312">
        <f t="shared" si="17"/>
        <v>-45761</v>
      </c>
      <c r="BU15" s="314">
        <f t="shared" si="18"/>
        <v>-4.7820135013689466E-2</v>
      </c>
      <c r="BV15" s="319" t="s">
        <v>72</v>
      </c>
      <c r="BW15" s="321">
        <v>1233930</v>
      </c>
      <c r="BX15" s="321">
        <v>229848</v>
      </c>
      <c r="BY15" s="322">
        <f t="shared" si="19"/>
        <v>-181983</v>
      </c>
      <c r="BZ15" s="323">
        <f t="shared" si="20"/>
        <v>-0.14748243417373758</v>
      </c>
      <c r="CA15" s="140" t="s">
        <v>72</v>
      </c>
      <c r="CB15" s="313">
        <v>1233930</v>
      </c>
      <c r="CC15" s="312">
        <v>229848</v>
      </c>
      <c r="CD15" s="314">
        <f t="shared" si="21"/>
        <v>1281795</v>
      </c>
      <c r="CE15" s="314">
        <f t="shared" si="22"/>
        <v>1.0387906931511512</v>
      </c>
    </row>
    <row r="16" spans="1:87" ht="13" x14ac:dyDescent="0.3">
      <c r="A16" s="162" t="s">
        <v>77</v>
      </c>
      <c r="B16" s="148" t="s">
        <v>78</v>
      </c>
      <c r="C16" s="149">
        <v>1028256</v>
      </c>
      <c r="D16" s="150">
        <v>1028256</v>
      </c>
      <c r="E16" s="151">
        <f t="shared" si="0"/>
        <v>0</v>
      </c>
      <c r="F16" s="158" t="s">
        <v>77</v>
      </c>
      <c r="G16" s="153" t="s">
        <v>78</v>
      </c>
      <c r="H16" s="154">
        <v>0</v>
      </c>
      <c r="I16" s="179">
        <v>0</v>
      </c>
      <c r="J16" s="156">
        <f t="shared" si="1"/>
        <v>0</v>
      </c>
      <c r="K16" s="162" t="s">
        <v>77</v>
      </c>
      <c r="L16" s="157" t="s">
        <v>79</v>
      </c>
      <c r="M16" s="149">
        <v>0</v>
      </c>
      <c r="N16" s="180">
        <v>0</v>
      </c>
      <c r="O16" s="151">
        <f t="shared" si="2"/>
        <v>0</v>
      </c>
      <c r="P16" s="158" t="s">
        <v>77</v>
      </c>
      <c r="Q16" s="159" t="s">
        <v>80</v>
      </c>
      <c r="R16" s="284"/>
      <c r="S16" s="155"/>
      <c r="T16" s="161">
        <f t="shared" si="3"/>
        <v>0</v>
      </c>
      <c r="U16" s="162" t="s">
        <v>77</v>
      </c>
      <c r="V16" s="163" t="s">
        <v>80</v>
      </c>
      <c r="W16" s="164">
        <v>0</v>
      </c>
      <c r="X16" s="164">
        <v>0</v>
      </c>
      <c r="Y16" s="165"/>
      <c r="Z16" s="158" t="s">
        <v>77</v>
      </c>
      <c r="AA16" s="159" t="s">
        <v>80</v>
      </c>
      <c r="AB16" s="166">
        <v>0</v>
      </c>
      <c r="AC16" s="181">
        <v>0</v>
      </c>
      <c r="AD16" s="161">
        <f t="shared" si="4"/>
        <v>0</v>
      </c>
      <c r="AE16" s="162" t="s">
        <v>77</v>
      </c>
      <c r="AF16" s="163" t="s">
        <v>80</v>
      </c>
      <c r="AG16" s="182">
        <v>0</v>
      </c>
      <c r="AH16" s="182">
        <v>0</v>
      </c>
      <c r="AI16" s="165">
        <f t="shared" si="5"/>
        <v>0</v>
      </c>
      <c r="AJ16" s="168" t="s">
        <v>77</v>
      </c>
      <c r="AK16" s="169" t="s">
        <v>79</v>
      </c>
      <c r="AL16" s="170">
        <v>0</v>
      </c>
      <c r="AM16" s="183">
        <f t="shared" si="6"/>
        <v>0</v>
      </c>
      <c r="AN16" s="172">
        <f t="shared" si="7"/>
        <v>0</v>
      </c>
      <c r="AO16" s="162" t="s">
        <v>77</v>
      </c>
      <c r="AP16" s="163" t="s">
        <v>79</v>
      </c>
      <c r="AQ16" s="173">
        <v>0</v>
      </c>
      <c r="AR16" s="173">
        <v>0</v>
      </c>
      <c r="AS16" s="165">
        <f t="shared" si="8"/>
        <v>0</v>
      </c>
      <c r="AT16" s="168" t="s">
        <v>77</v>
      </c>
      <c r="AU16" s="169" t="s">
        <v>79</v>
      </c>
      <c r="AV16" s="172">
        <v>0</v>
      </c>
      <c r="AW16" s="172">
        <v>0</v>
      </c>
      <c r="AX16" s="172">
        <f t="shared" si="9"/>
        <v>0</v>
      </c>
      <c r="AY16" s="158" t="s">
        <v>77</v>
      </c>
      <c r="AZ16" s="174" t="s">
        <v>79</v>
      </c>
      <c r="BA16" s="154">
        <v>0</v>
      </c>
      <c r="BB16" s="154">
        <f t="shared" si="10"/>
        <v>0</v>
      </c>
      <c r="BC16" s="154">
        <f t="shared" si="11"/>
        <v>0</v>
      </c>
      <c r="BD16" s="184" t="s">
        <v>77</v>
      </c>
      <c r="BE16" s="176" t="s">
        <v>78</v>
      </c>
      <c r="BF16" s="172">
        <v>0</v>
      </c>
      <c r="BG16" s="177"/>
      <c r="BH16" s="178">
        <f t="shared" si="12"/>
        <v>0</v>
      </c>
      <c r="BJ16" s="140">
        <v>113</v>
      </c>
      <c r="BK16" s="313">
        <v>1080697</v>
      </c>
      <c r="BL16" s="312">
        <f t="shared" si="13"/>
        <v>0</v>
      </c>
      <c r="BM16" s="314">
        <f t="shared" si="14"/>
        <v>0</v>
      </c>
      <c r="BN16" s="319" t="s">
        <v>77</v>
      </c>
      <c r="BO16" s="321">
        <v>1080697</v>
      </c>
      <c r="BP16" s="322">
        <f t="shared" si="15"/>
        <v>0</v>
      </c>
      <c r="BQ16" s="323">
        <f t="shared" si="16"/>
        <v>0</v>
      </c>
      <c r="BR16" s="140" t="s">
        <v>77</v>
      </c>
      <c r="BS16" s="313">
        <v>1080697</v>
      </c>
      <c r="BT16" s="312">
        <f t="shared" si="17"/>
        <v>0</v>
      </c>
      <c r="BU16" s="314">
        <f t="shared" si="18"/>
        <v>0</v>
      </c>
      <c r="BV16" s="319" t="s">
        <v>77</v>
      </c>
      <c r="BW16" s="321">
        <v>1233930</v>
      </c>
      <c r="BX16" s="321">
        <v>229848</v>
      </c>
      <c r="BY16" s="322">
        <f t="shared" si="19"/>
        <v>0</v>
      </c>
      <c r="BZ16" s="323">
        <f t="shared" si="20"/>
        <v>0</v>
      </c>
      <c r="CA16" s="140" t="s">
        <v>77</v>
      </c>
      <c r="CB16" s="313">
        <v>1233930</v>
      </c>
      <c r="CC16" s="312">
        <v>229848</v>
      </c>
      <c r="CD16" s="314">
        <f t="shared" si="21"/>
        <v>0</v>
      </c>
      <c r="CE16" s="314">
        <f t="shared" si="22"/>
        <v>0</v>
      </c>
    </row>
    <row r="17" spans="1:83" ht="13" x14ac:dyDescent="0.3">
      <c r="A17" s="162" t="s">
        <v>81</v>
      </c>
      <c r="B17" s="148" t="s">
        <v>82</v>
      </c>
      <c r="C17" s="149">
        <v>0</v>
      </c>
      <c r="D17" s="150">
        <v>0</v>
      </c>
      <c r="E17" s="151">
        <f t="shared" si="0"/>
        <v>0</v>
      </c>
      <c r="F17" s="158" t="s">
        <v>81</v>
      </c>
      <c r="G17" s="153" t="s">
        <v>82</v>
      </c>
      <c r="H17" s="154">
        <v>1028156</v>
      </c>
      <c r="I17" s="179">
        <v>1028256</v>
      </c>
      <c r="J17" s="156">
        <f t="shared" si="1"/>
        <v>-100</v>
      </c>
      <c r="K17" s="162" t="s">
        <v>81</v>
      </c>
      <c r="L17" s="157" t="s">
        <v>83</v>
      </c>
      <c r="M17" s="149">
        <v>-100</v>
      </c>
      <c r="N17" s="180">
        <v>-100</v>
      </c>
      <c r="O17" s="151">
        <f t="shared" si="2"/>
        <v>0</v>
      </c>
      <c r="P17" s="158" t="s">
        <v>81</v>
      </c>
      <c r="Q17" s="159" t="s">
        <v>84</v>
      </c>
      <c r="R17" s="284"/>
      <c r="S17" s="155"/>
      <c r="T17" s="161">
        <f t="shared" si="3"/>
        <v>0</v>
      </c>
      <c r="U17" s="162" t="s">
        <v>81</v>
      </c>
      <c r="V17" s="163" t="s">
        <v>84</v>
      </c>
      <c r="W17" s="164">
        <v>0</v>
      </c>
      <c r="X17" s="164">
        <v>0</v>
      </c>
      <c r="Y17" s="165"/>
      <c r="Z17" s="158" t="s">
        <v>81</v>
      </c>
      <c r="AA17" s="159" t="s">
        <v>84</v>
      </c>
      <c r="AB17" s="166">
        <v>0</v>
      </c>
      <c r="AC17" s="181">
        <v>0</v>
      </c>
      <c r="AD17" s="161">
        <f t="shared" si="4"/>
        <v>0</v>
      </c>
      <c r="AE17" s="162" t="s">
        <v>81</v>
      </c>
      <c r="AF17" s="163" t="s">
        <v>84</v>
      </c>
      <c r="AG17" s="182">
        <v>0</v>
      </c>
      <c r="AH17" s="182">
        <v>0</v>
      </c>
      <c r="AI17" s="165">
        <f t="shared" si="5"/>
        <v>0</v>
      </c>
      <c r="AJ17" s="168" t="s">
        <v>81</v>
      </c>
      <c r="AK17" s="169" t="s">
        <v>83</v>
      </c>
      <c r="AL17" s="170">
        <v>0</v>
      </c>
      <c r="AM17" s="183">
        <f t="shared" si="6"/>
        <v>0</v>
      </c>
      <c r="AN17" s="172">
        <f t="shared" si="7"/>
        <v>0</v>
      </c>
      <c r="AO17" s="162" t="s">
        <v>81</v>
      </c>
      <c r="AP17" s="163" t="s">
        <v>83</v>
      </c>
      <c r="AQ17" s="173">
        <v>0</v>
      </c>
      <c r="AR17" s="173">
        <v>0</v>
      </c>
      <c r="AS17" s="165">
        <f t="shared" si="8"/>
        <v>0</v>
      </c>
      <c r="AT17" s="168" t="s">
        <v>81</v>
      </c>
      <c r="AU17" s="169" t="s">
        <v>83</v>
      </c>
      <c r="AV17" s="172">
        <v>1080697</v>
      </c>
      <c r="AW17" s="172">
        <v>1080697</v>
      </c>
      <c r="AX17" s="172">
        <f t="shared" si="9"/>
        <v>0</v>
      </c>
      <c r="AY17" s="158" t="s">
        <v>81</v>
      </c>
      <c r="AZ17" s="174" t="s">
        <v>83</v>
      </c>
      <c r="BA17" s="154">
        <v>0</v>
      </c>
      <c r="BB17" s="154">
        <f t="shared" si="10"/>
        <v>0</v>
      </c>
      <c r="BC17" s="154">
        <f t="shared" si="11"/>
        <v>0</v>
      </c>
      <c r="BD17" s="184" t="s">
        <v>81</v>
      </c>
      <c r="BE17" s="176" t="s">
        <v>82</v>
      </c>
      <c r="BF17" s="172">
        <v>88197</v>
      </c>
      <c r="BG17" s="177"/>
      <c r="BH17" s="178">
        <f t="shared" si="12"/>
        <v>88197</v>
      </c>
      <c r="BJ17" s="140">
        <v>114</v>
      </c>
      <c r="BK17" s="313">
        <v>1080697</v>
      </c>
      <c r="BL17" s="312">
        <f t="shared" si="13"/>
        <v>88197</v>
      </c>
      <c r="BM17" s="314">
        <f t="shared" si="14"/>
        <v>8.1611219425981568E-2</v>
      </c>
      <c r="BN17" s="319" t="s">
        <v>81</v>
      </c>
      <c r="BO17" s="321">
        <v>1080697</v>
      </c>
      <c r="BP17" s="322">
        <f t="shared" si="15"/>
        <v>0</v>
      </c>
      <c r="BQ17" s="323">
        <f t="shared" si="16"/>
        <v>0</v>
      </c>
      <c r="BR17" s="140" t="s">
        <v>81</v>
      </c>
      <c r="BS17" s="313">
        <v>1080697</v>
      </c>
      <c r="BT17" s="312">
        <f t="shared" si="17"/>
        <v>1080697</v>
      </c>
      <c r="BU17" s="314">
        <f t="shared" si="18"/>
        <v>1</v>
      </c>
      <c r="BV17" s="319" t="s">
        <v>81</v>
      </c>
      <c r="BW17" s="321">
        <v>1233930</v>
      </c>
      <c r="BX17" s="321">
        <v>229848</v>
      </c>
      <c r="BY17" s="322">
        <f t="shared" si="19"/>
        <v>0</v>
      </c>
      <c r="BZ17" s="323">
        <f t="shared" si="20"/>
        <v>0</v>
      </c>
      <c r="CA17" s="140" t="s">
        <v>81</v>
      </c>
      <c r="CB17" s="313">
        <v>1233930</v>
      </c>
      <c r="CC17" s="312">
        <v>229848</v>
      </c>
      <c r="CD17" s="314">
        <f t="shared" si="21"/>
        <v>0</v>
      </c>
      <c r="CE17" s="314">
        <f t="shared" si="22"/>
        <v>0</v>
      </c>
    </row>
    <row r="18" spans="1:83" ht="13" x14ac:dyDescent="0.3">
      <c r="A18" s="162" t="s">
        <v>86</v>
      </c>
      <c r="B18" s="148" t="s">
        <v>87</v>
      </c>
      <c r="C18" s="149">
        <v>-945</v>
      </c>
      <c r="D18" s="150">
        <v>-945</v>
      </c>
      <c r="E18" s="151">
        <f t="shared" si="0"/>
        <v>0</v>
      </c>
      <c r="F18" s="158" t="s">
        <v>86</v>
      </c>
      <c r="G18" s="153" t="s">
        <v>87</v>
      </c>
      <c r="H18" s="154">
        <v>783</v>
      </c>
      <c r="I18" s="179">
        <v>783</v>
      </c>
      <c r="J18" s="156">
        <f t="shared" si="1"/>
        <v>0</v>
      </c>
      <c r="K18" s="162" t="s">
        <v>86</v>
      </c>
      <c r="L18" s="157" t="s">
        <v>88</v>
      </c>
      <c r="M18" s="149">
        <v>517</v>
      </c>
      <c r="N18" s="180">
        <v>517</v>
      </c>
      <c r="O18" s="151">
        <f t="shared" si="2"/>
        <v>0</v>
      </c>
      <c r="P18" s="158" t="s">
        <v>86</v>
      </c>
      <c r="Q18" s="159" t="s">
        <v>89</v>
      </c>
      <c r="R18" s="284">
        <v>256</v>
      </c>
      <c r="S18" s="284">
        <v>256</v>
      </c>
      <c r="T18" s="161">
        <f t="shared" si="3"/>
        <v>0</v>
      </c>
      <c r="U18" s="162" t="s">
        <v>86</v>
      </c>
      <c r="V18" s="163" t="s">
        <v>89</v>
      </c>
      <c r="W18" s="164">
        <v>0</v>
      </c>
      <c r="X18" s="164">
        <v>0</v>
      </c>
      <c r="Y18" s="165"/>
      <c r="Z18" s="158" t="s">
        <v>86</v>
      </c>
      <c r="AA18" s="159" t="s">
        <v>89</v>
      </c>
      <c r="AB18" s="166">
        <v>608316</v>
      </c>
      <c r="AC18" s="167">
        <v>608316</v>
      </c>
      <c r="AD18" s="161">
        <f t="shared" si="4"/>
        <v>0</v>
      </c>
      <c r="AE18" s="162" t="s">
        <v>86</v>
      </c>
      <c r="AF18" s="163" t="s">
        <v>89</v>
      </c>
      <c r="AG18" s="182">
        <v>1548623</v>
      </c>
      <c r="AH18" s="182">
        <v>1548623</v>
      </c>
      <c r="AI18" s="165">
        <f t="shared" si="5"/>
        <v>0</v>
      </c>
      <c r="AJ18" s="168" t="s">
        <v>86</v>
      </c>
      <c r="AK18" s="169" t="s">
        <v>88</v>
      </c>
      <c r="AL18" s="170">
        <v>196853</v>
      </c>
      <c r="AM18" s="171">
        <f t="shared" si="6"/>
        <v>196853</v>
      </c>
      <c r="AN18" s="172">
        <f t="shared" si="7"/>
        <v>0</v>
      </c>
      <c r="AO18" s="162" t="s">
        <v>86</v>
      </c>
      <c r="AP18" s="163" t="s">
        <v>88</v>
      </c>
      <c r="AQ18" s="173">
        <v>71783</v>
      </c>
      <c r="AR18" s="173">
        <v>71783</v>
      </c>
      <c r="AS18" s="165">
        <f t="shared" si="8"/>
        <v>0</v>
      </c>
      <c r="AT18" s="168" t="s">
        <v>86</v>
      </c>
      <c r="AU18" s="169" t="s">
        <v>88</v>
      </c>
      <c r="AV18" s="172">
        <v>-87995</v>
      </c>
      <c r="AW18" s="172">
        <v>-87995</v>
      </c>
      <c r="AX18" s="172">
        <f t="shared" si="9"/>
        <v>0</v>
      </c>
      <c r="AY18" s="158" t="s">
        <v>86</v>
      </c>
      <c r="AZ18" s="174" t="s">
        <v>88</v>
      </c>
      <c r="BA18" s="154">
        <v>-18692</v>
      </c>
      <c r="BB18" s="154">
        <f t="shared" si="10"/>
        <v>-18692</v>
      </c>
      <c r="BC18" s="154">
        <f t="shared" si="11"/>
        <v>0</v>
      </c>
      <c r="BD18" s="184" t="s">
        <v>86</v>
      </c>
      <c r="BE18" s="176" t="s">
        <v>87</v>
      </c>
      <c r="BF18" s="172">
        <v>600</v>
      </c>
      <c r="BG18" s="177"/>
      <c r="BH18" s="178">
        <f t="shared" si="12"/>
        <v>600</v>
      </c>
      <c r="BJ18" s="140">
        <v>115</v>
      </c>
      <c r="BK18" s="313">
        <v>1080697</v>
      </c>
      <c r="BL18" s="312">
        <f t="shared" si="13"/>
        <v>600</v>
      </c>
      <c r="BM18" s="314">
        <f t="shared" si="14"/>
        <v>5.5519724770217735E-4</v>
      </c>
      <c r="BN18" s="319" t="s">
        <v>86</v>
      </c>
      <c r="BO18" s="321">
        <v>1080697</v>
      </c>
      <c r="BP18" s="322">
        <f t="shared" si="15"/>
        <v>-18692</v>
      </c>
      <c r="BQ18" s="323">
        <f t="shared" si="16"/>
        <v>-1.7296244923415166E-2</v>
      </c>
      <c r="BR18" s="140" t="s">
        <v>86</v>
      </c>
      <c r="BS18" s="313">
        <v>1080697</v>
      </c>
      <c r="BT18" s="312">
        <f t="shared" si="17"/>
        <v>-87995</v>
      </c>
      <c r="BU18" s="314">
        <f t="shared" si="18"/>
        <v>-8.142430301925517E-2</v>
      </c>
      <c r="BV18" s="319" t="s">
        <v>86</v>
      </c>
      <c r="BW18" s="321">
        <v>1233930</v>
      </c>
      <c r="BX18" s="321">
        <v>229848</v>
      </c>
      <c r="BY18" s="322">
        <f t="shared" si="19"/>
        <v>71783</v>
      </c>
      <c r="BZ18" s="323">
        <f t="shared" si="20"/>
        <v>5.817428865494801E-2</v>
      </c>
      <c r="CA18" s="140" t="s">
        <v>86</v>
      </c>
      <c r="CB18" s="313">
        <v>1233930</v>
      </c>
      <c r="CC18" s="312">
        <v>229848</v>
      </c>
      <c r="CD18" s="314">
        <f t="shared" si="21"/>
        <v>196853</v>
      </c>
      <c r="CE18" s="314">
        <f t="shared" si="22"/>
        <v>0.15953336088757061</v>
      </c>
    </row>
    <row r="19" spans="1:83" ht="13" x14ac:dyDescent="0.3">
      <c r="A19" s="162" t="s">
        <v>91</v>
      </c>
      <c r="B19" s="148" t="s">
        <v>92</v>
      </c>
      <c r="C19" s="149">
        <v>0</v>
      </c>
      <c r="D19" s="150">
        <v>0</v>
      </c>
      <c r="E19" s="151">
        <f t="shared" si="0"/>
        <v>0</v>
      </c>
      <c r="F19" s="158" t="s">
        <v>91</v>
      </c>
      <c r="G19" s="153" t="s">
        <v>92</v>
      </c>
      <c r="H19" s="154">
        <v>0</v>
      </c>
      <c r="I19" s="179">
        <v>0</v>
      </c>
      <c r="J19" s="156">
        <f t="shared" si="1"/>
        <v>0</v>
      </c>
      <c r="K19" s="162" t="s">
        <v>91</v>
      </c>
      <c r="L19" s="157" t="s">
        <v>93</v>
      </c>
      <c r="M19" s="149">
        <v>0</v>
      </c>
      <c r="N19" s="180">
        <v>0</v>
      </c>
      <c r="O19" s="151">
        <f t="shared" si="2"/>
        <v>0</v>
      </c>
      <c r="P19" s="158" t="s">
        <v>91</v>
      </c>
      <c r="Q19" s="159" t="s">
        <v>94</v>
      </c>
      <c r="R19" s="284"/>
      <c r="S19" s="155"/>
      <c r="T19" s="161">
        <f t="shared" si="3"/>
        <v>0</v>
      </c>
      <c r="U19" s="162" t="s">
        <v>91</v>
      </c>
      <c r="V19" s="163" t="s">
        <v>94</v>
      </c>
      <c r="W19" s="164">
        <v>0</v>
      </c>
      <c r="X19" s="164">
        <v>0</v>
      </c>
      <c r="Y19" s="165"/>
      <c r="Z19" s="158" t="s">
        <v>91</v>
      </c>
      <c r="AA19" s="159" t="s">
        <v>94</v>
      </c>
      <c r="AB19" s="166">
        <v>0</v>
      </c>
      <c r="AC19" s="181">
        <v>0</v>
      </c>
      <c r="AD19" s="161">
        <f t="shared" si="4"/>
        <v>0</v>
      </c>
      <c r="AE19" s="162" t="s">
        <v>91</v>
      </c>
      <c r="AF19" s="163" t="s">
        <v>94</v>
      </c>
      <c r="AG19" s="149">
        <v>0</v>
      </c>
      <c r="AH19" s="149">
        <v>0</v>
      </c>
      <c r="AI19" s="165">
        <f t="shared" si="5"/>
        <v>0</v>
      </c>
      <c r="AJ19" s="168" t="s">
        <v>91</v>
      </c>
      <c r="AK19" s="169" t="s">
        <v>93</v>
      </c>
      <c r="AL19" s="170">
        <v>1463778</v>
      </c>
      <c r="AM19" s="183">
        <f t="shared" si="6"/>
        <v>1463778</v>
      </c>
      <c r="AN19" s="172">
        <f t="shared" si="7"/>
        <v>0</v>
      </c>
      <c r="AO19" s="162" t="s">
        <v>91</v>
      </c>
      <c r="AP19" s="163" t="s">
        <v>93</v>
      </c>
      <c r="AQ19" s="173">
        <v>0</v>
      </c>
      <c r="AR19" s="173">
        <v>0</v>
      </c>
      <c r="AS19" s="165">
        <f t="shared" si="8"/>
        <v>0</v>
      </c>
      <c r="AT19" s="168" t="s">
        <v>91</v>
      </c>
      <c r="AU19" s="169" t="s">
        <v>93</v>
      </c>
      <c r="AV19" s="172">
        <v>0</v>
      </c>
      <c r="AW19" s="172">
        <v>0</v>
      </c>
      <c r="AX19" s="172">
        <f t="shared" si="9"/>
        <v>0</v>
      </c>
      <c r="AY19" s="158" t="s">
        <v>91</v>
      </c>
      <c r="AZ19" s="174" t="s">
        <v>93</v>
      </c>
      <c r="BA19" s="154">
        <v>697</v>
      </c>
      <c r="BB19" s="154">
        <f t="shared" si="10"/>
        <v>697</v>
      </c>
      <c r="BC19" s="154">
        <f t="shared" si="11"/>
        <v>0</v>
      </c>
      <c r="BD19" s="184" t="s">
        <v>91</v>
      </c>
      <c r="BE19" s="176" t="s">
        <v>92</v>
      </c>
      <c r="BF19" s="172">
        <v>0</v>
      </c>
      <c r="BG19" s="177"/>
      <c r="BH19" s="178">
        <f t="shared" si="12"/>
        <v>0</v>
      </c>
      <c r="BJ19" s="140">
        <v>116</v>
      </c>
      <c r="BK19" s="313">
        <v>1080697</v>
      </c>
      <c r="BL19" s="312">
        <f t="shared" si="13"/>
        <v>0</v>
      </c>
      <c r="BM19" s="314">
        <f t="shared" si="14"/>
        <v>0</v>
      </c>
      <c r="BN19" s="319" t="s">
        <v>91</v>
      </c>
      <c r="BO19" s="321">
        <v>1080697</v>
      </c>
      <c r="BP19" s="322">
        <f t="shared" si="15"/>
        <v>697</v>
      </c>
      <c r="BQ19" s="323">
        <f t="shared" si="16"/>
        <v>6.4495413608069607E-4</v>
      </c>
      <c r="BR19" s="140" t="s">
        <v>91</v>
      </c>
      <c r="BS19" s="313">
        <v>1080697</v>
      </c>
      <c r="BT19" s="312">
        <f t="shared" si="17"/>
        <v>0</v>
      </c>
      <c r="BU19" s="314">
        <f t="shared" si="18"/>
        <v>0</v>
      </c>
      <c r="BV19" s="319" t="s">
        <v>91</v>
      </c>
      <c r="BW19" s="321">
        <v>1233930</v>
      </c>
      <c r="BX19" s="321">
        <v>229848</v>
      </c>
      <c r="BY19" s="322">
        <f t="shared" si="19"/>
        <v>0</v>
      </c>
      <c r="BZ19" s="323">
        <f t="shared" si="20"/>
        <v>0</v>
      </c>
      <c r="CA19" s="140" t="s">
        <v>91</v>
      </c>
      <c r="CB19" s="313">
        <v>1233930</v>
      </c>
      <c r="CC19" s="312">
        <v>229848</v>
      </c>
      <c r="CD19" s="314">
        <f t="shared" si="21"/>
        <v>1463778</v>
      </c>
      <c r="CE19" s="314">
        <f t="shared" si="22"/>
        <v>1.1862731273248888</v>
      </c>
    </row>
    <row r="20" spans="1:83" ht="13" x14ac:dyDescent="0.3">
      <c r="A20" s="162" t="s">
        <v>96</v>
      </c>
      <c r="B20" s="148" t="s">
        <v>97</v>
      </c>
      <c r="C20" s="149">
        <v>0</v>
      </c>
      <c r="D20" s="150">
        <v>0</v>
      </c>
      <c r="E20" s="151">
        <f t="shared" si="0"/>
        <v>0</v>
      </c>
      <c r="F20" s="158" t="s">
        <v>96</v>
      </c>
      <c r="G20" s="153" t="s">
        <v>97</v>
      </c>
      <c r="H20" s="154">
        <v>0</v>
      </c>
      <c r="I20" s="179">
        <v>0</v>
      </c>
      <c r="J20" s="156">
        <f t="shared" si="1"/>
        <v>0</v>
      </c>
      <c r="K20" s="162" t="s">
        <v>96</v>
      </c>
      <c r="L20" s="157" t="s">
        <v>98</v>
      </c>
      <c r="M20" s="149">
        <v>0</v>
      </c>
      <c r="N20" s="180">
        <v>0</v>
      </c>
      <c r="O20" s="151">
        <f t="shared" si="2"/>
        <v>0</v>
      </c>
      <c r="P20" s="158" t="s">
        <v>96</v>
      </c>
      <c r="Q20" s="159" t="s">
        <v>99</v>
      </c>
      <c r="R20" s="284"/>
      <c r="S20" s="155"/>
      <c r="T20" s="161">
        <f t="shared" si="3"/>
        <v>0</v>
      </c>
      <c r="U20" s="162" t="s">
        <v>96</v>
      </c>
      <c r="V20" s="163" t="s">
        <v>99</v>
      </c>
      <c r="W20" s="164">
        <v>0</v>
      </c>
      <c r="X20" s="164">
        <v>0</v>
      </c>
      <c r="Y20" s="165"/>
      <c r="Z20" s="158" t="s">
        <v>96</v>
      </c>
      <c r="AA20" s="159" t="s">
        <v>99</v>
      </c>
      <c r="AB20" s="166">
        <v>0</v>
      </c>
      <c r="AC20" s="181">
        <v>0</v>
      </c>
      <c r="AD20" s="161">
        <f t="shared" si="4"/>
        <v>0</v>
      </c>
      <c r="AE20" s="162" t="s">
        <v>96</v>
      </c>
      <c r="AF20" s="163" t="s">
        <v>99</v>
      </c>
      <c r="AG20" s="149">
        <v>0</v>
      </c>
      <c r="AH20" s="149">
        <v>0</v>
      </c>
      <c r="AI20" s="165">
        <f t="shared" si="5"/>
        <v>0</v>
      </c>
      <c r="AJ20" s="168" t="s">
        <v>96</v>
      </c>
      <c r="AK20" s="169" t="s">
        <v>98</v>
      </c>
      <c r="AL20" s="170">
        <v>-68440</v>
      </c>
      <c r="AM20" s="171">
        <f t="shared" si="6"/>
        <v>-68440</v>
      </c>
      <c r="AN20" s="172">
        <f t="shared" si="7"/>
        <v>0</v>
      </c>
      <c r="AO20" s="162" t="s">
        <v>96</v>
      </c>
      <c r="AP20" s="163" t="s">
        <v>98</v>
      </c>
      <c r="AQ20" s="173">
        <v>-38669</v>
      </c>
      <c r="AR20" s="173">
        <v>-38669</v>
      </c>
      <c r="AS20" s="165">
        <f t="shared" si="8"/>
        <v>0</v>
      </c>
      <c r="AT20" s="168" t="s">
        <v>96</v>
      </c>
      <c r="AU20" s="169" t="s">
        <v>98</v>
      </c>
      <c r="AV20" s="172">
        <v>-108898</v>
      </c>
      <c r="AW20" s="172">
        <v>-108898</v>
      </c>
      <c r="AX20" s="172">
        <f t="shared" si="9"/>
        <v>0</v>
      </c>
      <c r="AY20" s="158" t="s">
        <v>96</v>
      </c>
      <c r="AZ20" s="174" t="s">
        <v>98</v>
      </c>
      <c r="BA20" s="154">
        <v>-20529</v>
      </c>
      <c r="BB20" s="154">
        <f t="shared" si="10"/>
        <v>-20529</v>
      </c>
      <c r="BC20" s="154">
        <f t="shared" si="11"/>
        <v>0</v>
      </c>
      <c r="BD20" s="184" t="s">
        <v>96</v>
      </c>
      <c r="BE20" s="176" t="s">
        <v>97</v>
      </c>
      <c r="BF20" s="172">
        <v>1011631</v>
      </c>
      <c r="BG20" s="177"/>
      <c r="BH20" s="178">
        <f t="shared" si="12"/>
        <v>1011631</v>
      </c>
      <c r="BJ20" s="140">
        <v>117</v>
      </c>
      <c r="BK20" s="313">
        <v>1081394</v>
      </c>
      <c r="BL20" s="312">
        <f t="shared" si="13"/>
        <v>1011631</v>
      </c>
      <c r="BM20" s="314">
        <f t="shared" si="14"/>
        <v>0.93548789802791577</v>
      </c>
      <c r="BN20" s="319" t="s">
        <v>96</v>
      </c>
      <c r="BO20" s="321">
        <v>1081394</v>
      </c>
      <c r="BP20" s="322">
        <f t="shared" si="15"/>
        <v>-20529</v>
      </c>
      <c r="BQ20" s="323">
        <f t="shared" si="16"/>
        <v>-1.8983830130368765E-2</v>
      </c>
      <c r="BR20" s="140" t="s">
        <v>96</v>
      </c>
      <c r="BS20" s="313">
        <v>1081394</v>
      </c>
      <c r="BT20" s="312">
        <f t="shared" si="17"/>
        <v>-108898</v>
      </c>
      <c r="BU20" s="314">
        <f t="shared" si="18"/>
        <v>-0.10070150195026049</v>
      </c>
      <c r="BV20" s="319" t="s">
        <v>96</v>
      </c>
      <c r="BW20" s="321">
        <v>1155070</v>
      </c>
      <c r="BX20" s="321">
        <v>215159</v>
      </c>
      <c r="BY20" s="322">
        <f t="shared" si="19"/>
        <v>-38669</v>
      </c>
      <c r="BZ20" s="323">
        <f t="shared" si="20"/>
        <v>-3.3477624732700183E-2</v>
      </c>
      <c r="CA20" s="140" t="s">
        <v>96</v>
      </c>
      <c r="CB20" s="313">
        <v>1155070</v>
      </c>
      <c r="CC20" s="312">
        <v>215159</v>
      </c>
      <c r="CD20" s="314">
        <f t="shared" si="21"/>
        <v>-68440</v>
      </c>
      <c r="CE20" s="314">
        <f t="shared" si="22"/>
        <v>-5.9251820236003012E-2</v>
      </c>
    </row>
    <row r="21" spans="1:83" ht="13" x14ac:dyDescent="0.3">
      <c r="A21" s="162" t="s">
        <v>101</v>
      </c>
      <c r="B21" s="148" t="s">
        <v>102</v>
      </c>
      <c r="C21" s="149">
        <v>-436</v>
      </c>
      <c r="D21" s="150">
        <v>-436</v>
      </c>
      <c r="E21" s="151">
        <f t="shared" si="0"/>
        <v>0</v>
      </c>
      <c r="F21" s="158" t="s">
        <v>101</v>
      </c>
      <c r="G21" s="153" t="s">
        <v>102</v>
      </c>
      <c r="H21" s="154">
        <v>279</v>
      </c>
      <c r="I21" s="155">
        <v>279</v>
      </c>
      <c r="J21" s="156">
        <f t="shared" si="1"/>
        <v>0</v>
      </c>
      <c r="K21" s="162" t="s">
        <v>101</v>
      </c>
      <c r="L21" s="157" t="s">
        <v>103</v>
      </c>
      <c r="M21" s="149">
        <v>0</v>
      </c>
      <c r="N21" s="150">
        <v>0</v>
      </c>
      <c r="O21" s="151">
        <f t="shared" si="2"/>
        <v>0</v>
      </c>
      <c r="P21" s="158" t="s">
        <v>101</v>
      </c>
      <c r="Q21" s="159" t="s">
        <v>104</v>
      </c>
      <c r="R21" s="284">
        <v>3323936</v>
      </c>
      <c r="S21" s="284">
        <v>3323936</v>
      </c>
      <c r="T21" s="187">
        <f t="shared" si="3"/>
        <v>0</v>
      </c>
      <c r="U21" s="162" t="s">
        <v>101</v>
      </c>
      <c r="V21" s="163" t="s">
        <v>104</v>
      </c>
      <c r="W21" s="164">
        <v>2279924</v>
      </c>
      <c r="X21" s="164">
        <v>0</v>
      </c>
      <c r="Y21" s="165"/>
      <c r="Z21" s="158" t="s">
        <v>101</v>
      </c>
      <c r="AA21" s="159" t="s">
        <v>104</v>
      </c>
      <c r="AB21" s="166">
        <v>1003279</v>
      </c>
      <c r="AC21" s="167">
        <v>1003279</v>
      </c>
      <c r="AD21" s="187">
        <f t="shared" si="4"/>
        <v>0</v>
      </c>
      <c r="AE21" s="162" t="s">
        <v>101</v>
      </c>
      <c r="AF21" s="163" t="s">
        <v>104</v>
      </c>
      <c r="AG21" s="149">
        <v>0</v>
      </c>
      <c r="AH21" s="149">
        <v>0</v>
      </c>
      <c r="AI21" s="165">
        <f t="shared" si="5"/>
        <v>0</v>
      </c>
      <c r="AJ21" s="168" t="s">
        <v>101</v>
      </c>
      <c r="AK21" s="169" t="s">
        <v>103</v>
      </c>
      <c r="AL21" s="170">
        <v>-143876</v>
      </c>
      <c r="AM21" s="183">
        <f t="shared" si="6"/>
        <v>-143876</v>
      </c>
      <c r="AN21" s="172">
        <f t="shared" si="7"/>
        <v>0</v>
      </c>
      <c r="AO21" s="162" t="s">
        <v>101</v>
      </c>
      <c r="AP21" s="163" t="s">
        <v>103</v>
      </c>
      <c r="AQ21" s="173">
        <v>-372097</v>
      </c>
      <c r="AR21" s="173">
        <v>-372097</v>
      </c>
      <c r="AS21" s="165">
        <f t="shared" si="8"/>
        <v>0</v>
      </c>
      <c r="AT21" s="168" t="s">
        <v>101</v>
      </c>
      <c r="AU21" s="169" t="s">
        <v>103</v>
      </c>
      <c r="AV21" s="172">
        <v>-318</v>
      </c>
      <c r="AW21" s="172">
        <v>-318</v>
      </c>
      <c r="AX21" s="172">
        <f t="shared" si="9"/>
        <v>0</v>
      </c>
      <c r="AY21" s="158" t="s">
        <v>101</v>
      </c>
      <c r="AZ21" s="174" t="s">
        <v>103</v>
      </c>
      <c r="BA21" s="154">
        <v>1105356</v>
      </c>
      <c r="BB21" s="154">
        <f t="shared" si="10"/>
        <v>1105356</v>
      </c>
      <c r="BC21" s="154">
        <f t="shared" si="11"/>
        <v>0</v>
      </c>
      <c r="BD21" s="184" t="s">
        <v>101</v>
      </c>
      <c r="BE21" s="176" t="s">
        <v>102</v>
      </c>
      <c r="BF21" s="172">
        <v>50010</v>
      </c>
      <c r="BG21" s="177"/>
      <c r="BH21" s="178">
        <f t="shared" si="12"/>
        <v>50010</v>
      </c>
      <c r="BJ21" s="140">
        <v>118</v>
      </c>
      <c r="BK21" s="313">
        <v>1011631</v>
      </c>
      <c r="BL21" s="312">
        <f t="shared" si="13"/>
        <v>50010</v>
      </c>
      <c r="BM21" s="314">
        <f t="shared" si="14"/>
        <v>4.9435021267636124E-2</v>
      </c>
      <c r="BN21" s="319" t="s">
        <v>101</v>
      </c>
      <c r="BO21" s="321">
        <v>1011631</v>
      </c>
      <c r="BP21" s="322">
        <f t="shared" si="15"/>
        <v>1105356</v>
      </c>
      <c r="BQ21" s="323">
        <f t="shared" si="16"/>
        <v>1.0926474178826073</v>
      </c>
      <c r="BR21" s="140" t="s">
        <v>101</v>
      </c>
      <c r="BS21" s="313">
        <v>1011631</v>
      </c>
      <c r="BT21" s="312">
        <f t="shared" si="17"/>
        <v>-318</v>
      </c>
      <c r="BU21" s="314">
        <f t="shared" si="18"/>
        <v>-3.1434386648886798E-4</v>
      </c>
      <c r="BV21" s="319" t="s">
        <v>101</v>
      </c>
      <c r="BW21" s="321">
        <v>1203956</v>
      </c>
      <c r="BX21" s="321">
        <v>224265</v>
      </c>
      <c r="BY21" s="322">
        <f t="shared" si="19"/>
        <v>-372097</v>
      </c>
      <c r="BZ21" s="323">
        <f t="shared" si="20"/>
        <v>-0.30906195907491635</v>
      </c>
      <c r="CA21" s="140" t="s">
        <v>101</v>
      </c>
      <c r="CB21" s="313">
        <v>1203956</v>
      </c>
      <c r="CC21" s="312">
        <v>224265</v>
      </c>
      <c r="CD21" s="314">
        <f t="shared" si="21"/>
        <v>-143876</v>
      </c>
      <c r="CE21" s="314">
        <f t="shared" si="22"/>
        <v>-0.1195027060789597</v>
      </c>
    </row>
    <row r="22" spans="1:83" ht="13" x14ac:dyDescent="0.3">
      <c r="A22" s="162" t="s">
        <v>106</v>
      </c>
      <c r="B22" s="148" t="s">
        <v>107</v>
      </c>
      <c r="C22" s="149">
        <v>0</v>
      </c>
      <c r="D22" s="150">
        <v>0</v>
      </c>
      <c r="E22" s="151">
        <f t="shared" si="0"/>
        <v>0</v>
      </c>
      <c r="F22" s="158" t="s">
        <v>106</v>
      </c>
      <c r="G22" s="153" t="s">
        <v>107</v>
      </c>
      <c r="H22" s="154">
        <v>1415175</v>
      </c>
      <c r="I22" s="179">
        <v>1415175</v>
      </c>
      <c r="J22" s="156">
        <f t="shared" si="1"/>
        <v>0</v>
      </c>
      <c r="K22" s="162" t="s">
        <v>106</v>
      </c>
      <c r="L22" s="157" t="s">
        <v>108</v>
      </c>
      <c r="M22" s="149">
        <v>4419433</v>
      </c>
      <c r="N22" s="180">
        <v>4419433</v>
      </c>
      <c r="O22" s="151">
        <f t="shared" si="2"/>
        <v>0</v>
      </c>
      <c r="P22" s="158" t="s">
        <v>106</v>
      </c>
      <c r="Q22" s="159" t="s">
        <v>109</v>
      </c>
      <c r="R22" s="284">
        <v>3031337</v>
      </c>
      <c r="S22" s="284">
        <v>3031337</v>
      </c>
      <c r="T22" s="161">
        <f t="shared" si="3"/>
        <v>0</v>
      </c>
      <c r="U22" s="162" t="s">
        <v>106</v>
      </c>
      <c r="V22" s="163" t="s">
        <v>109</v>
      </c>
      <c r="W22" s="164">
        <v>1670320</v>
      </c>
      <c r="X22" s="164">
        <v>0</v>
      </c>
      <c r="Y22" s="165"/>
      <c r="Z22" s="158" t="s">
        <v>106</v>
      </c>
      <c r="AA22" s="159" t="s">
        <v>109</v>
      </c>
      <c r="AB22" s="166">
        <v>0</v>
      </c>
      <c r="AC22" s="181">
        <v>0</v>
      </c>
      <c r="AD22" s="161">
        <f t="shared" si="4"/>
        <v>0</v>
      </c>
      <c r="AE22" s="162" t="s">
        <v>106</v>
      </c>
      <c r="AF22" s="163" t="s">
        <v>109</v>
      </c>
      <c r="AG22" s="149">
        <v>2688126</v>
      </c>
      <c r="AH22" s="149">
        <v>2688126</v>
      </c>
      <c r="AI22" s="165">
        <f t="shared" si="5"/>
        <v>0</v>
      </c>
      <c r="AJ22" s="168" t="s">
        <v>106</v>
      </c>
      <c r="AK22" s="169" t="s">
        <v>108</v>
      </c>
      <c r="AL22" s="170">
        <v>1898932</v>
      </c>
      <c r="AM22" s="171">
        <f t="shared" si="6"/>
        <v>1898932</v>
      </c>
      <c r="AN22" s="172">
        <f t="shared" si="7"/>
        <v>0</v>
      </c>
      <c r="AO22" s="162" t="s">
        <v>106</v>
      </c>
      <c r="AP22" s="163" t="s">
        <v>108</v>
      </c>
      <c r="AQ22" s="173">
        <v>0</v>
      </c>
      <c r="AR22" s="173">
        <v>0</v>
      </c>
      <c r="AS22" s="165">
        <f t="shared" si="8"/>
        <v>0</v>
      </c>
      <c r="AT22" s="168" t="s">
        <v>106</v>
      </c>
      <c r="AU22" s="169" t="s">
        <v>108</v>
      </c>
      <c r="AV22" s="172">
        <v>2854831</v>
      </c>
      <c r="AW22" s="172">
        <v>2854831</v>
      </c>
      <c r="AX22" s="172">
        <f t="shared" si="9"/>
        <v>0</v>
      </c>
      <c r="AY22" s="158" t="s">
        <v>106</v>
      </c>
      <c r="AZ22" s="174" t="s">
        <v>108</v>
      </c>
      <c r="BA22" s="154">
        <v>1427173</v>
      </c>
      <c r="BB22" s="154">
        <f t="shared" si="10"/>
        <v>1427173</v>
      </c>
      <c r="BC22" s="154">
        <f t="shared" si="11"/>
        <v>0</v>
      </c>
      <c r="BD22" s="184" t="s">
        <v>106</v>
      </c>
      <c r="BE22" s="176" t="s">
        <v>107</v>
      </c>
      <c r="BF22" s="172">
        <v>1401969</v>
      </c>
      <c r="BG22" s="177"/>
      <c r="BH22" s="178">
        <f t="shared" si="12"/>
        <v>1401969</v>
      </c>
      <c r="BJ22" s="140">
        <v>119</v>
      </c>
      <c r="BK22" s="313">
        <v>1054446</v>
      </c>
      <c r="BL22" s="312">
        <f t="shared" si="13"/>
        <v>1401969</v>
      </c>
      <c r="BM22" s="314">
        <f t="shared" si="14"/>
        <v>1.3295787550998344</v>
      </c>
      <c r="BN22" s="319" t="s">
        <v>106</v>
      </c>
      <c r="BO22" s="321">
        <v>1054446</v>
      </c>
      <c r="BP22" s="322">
        <f t="shared" si="15"/>
        <v>1427173</v>
      </c>
      <c r="BQ22" s="323">
        <f t="shared" si="16"/>
        <v>1.353481354189783</v>
      </c>
      <c r="BR22" s="140" t="s">
        <v>106</v>
      </c>
      <c r="BS22" s="313">
        <v>1054446</v>
      </c>
      <c r="BT22" s="312">
        <f t="shared" si="17"/>
        <v>2854831</v>
      </c>
      <c r="BU22" s="314">
        <f t="shared" si="18"/>
        <v>2.7074226655513889</v>
      </c>
      <c r="BV22" s="319" t="s">
        <v>106</v>
      </c>
      <c r="BW22" s="321">
        <v>1600754</v>
      </c>
      <c r="BX22" s="321">
        <v>298178</v>
      </c>
      <c r="BY22" s="322">
        <f t="shared" si="19"/>
        <v>0</v>
      </c>
      <c r="BZ22" s="323">
        <f t="shared" si="20"/>
        <v>0</v>
      </c>
      <c r="CA22" s="140" t="s">
        <v>106</v>
      </c>
      <c r="CB22" s="313">
        <v>1600754</v>
      </c>
      <c r="CC22" s="312">
        <v>298178</v>
      </c>
      <c r="CD22" s="314">
        <f t="shared" si="21"/>
        <v>1898932</v>
      </c>
      <c r="CE22" s="314">
        <f t="shared" si="22"/>
        <v>1.1862734686279091</v>
      </c>
    </row>
    <row r="23" spans="1:83" ht="13" x14ac:dyDescent="0.3">
      <c r="A23" s="162" t="s">
        <v>111</v>
      </c>
      <c r="B23" s="148" t="s">
        <v>189</v>
      </c>
      <c r="C23" s="149">
        <v>1184963</v>
      </c>
      <c r="D23" s="150">
        <v>1184963</v>
      </c>
      <c r="E23" s="151">
        <f t="shared" si="0"/>
        <v>0</v>
      </c>
      <c r="F23" s="158" t="s">
        <v>111</v>
      </c>
      <c r="G23" s="153" t="s">
        <v>189</v>
      </c>
      <c r="H23" s="154">
        <v>0</v>
      </c>
      <c r="I23" s="179">
        <v>0</v>
      </c>
      <c r="J23" s="156">
        <f t="shared" si="1"/>
        <v>0</v>
      </c>
      <c r="K23" s="162" t="s">
        <v>111</v>
      </c>
      <c r="L23" s="157" t="s">
        <v>113</v>
      </c>
      <c r="M23" s="149">
        <v>0</v>
      </c>
      <c r="N23" s="180">
        <v>0</v>
      </c>
      <c r="O23" s="151">
        <f t="shared" si="2"/>
        <v>0</v>
      </c>
      <c r="P23" s="158" t="s">
        <v>111</v>
      </c>
      <c r="Q23" s="159" t="s">
        <v>114</v>
      </c>
      <c r="R23" s="284"/>
      <c r="S23" s="155"/>
      <c r="T23" s="161">
        <f t="shared" si="3"/>
        <v>0</v>
      </c>
      <c r="U23" s="162" t="s">
        <v>111</v>
      </c>
      <c r="V23" s="163" t="s">
        <v>114</v>
      </c>
      <c r="W23" s="164">
        <v>0</v>
      </c>
      <c r="X23" s="164">
        <v>0</v>
      </c>
      <c r="Y23" s="165"/>
      <c r="Z23" s="158" t="s">
        <v>111</v>
      </c>
      <c r="AA23" s="159" t="s">
        <v>114</v>
      </c>
      <c r="AB23" s="166">
        <v>1184963</v>
      </c>
      <c r="AC23" s="181">
        <v>1184963</v>
      </c>
      <c r="AD23" s="161">
        <f t="shared" si="4"/>
        <v>0</v>
      </c>
      <c r="AE23" s="162" t="s">
        <v>111</v>
      </c>
      <c r="AF23" s="163" t="s">
        <v>186</v>
      </c>
      <c r="AG23" s="149">
        <v>0</v>
      </c>
      <c r="AH23" s="149">
        <v>0</v>
      </c>
      <c r="AI23" s="165">
        <f t="shared" si="5"/>
        <v>0</v>
      </c>
      <c r="AJ23" s="168" t="s">
        <v>111</v>
      </c>
      <c r="AK23" s="169" t="s">
        <v>113</v>
      </c>
      <c r="AL23" s="170">
        <v>4734292</v>
      </c>
      <c r="AM23" s="183">
        <v>4712963</v>
      </c>
      <c r="AN23" s="172">
        <f t="shared" si="7"/>
        <v>21329</v>
      </c>
      <c r="AO23" s="162" t="s">
        <v>111</v>
      </c>
      <c r="AP23" s="163" t="s">
        <v>113</v>
      </c>
      <c r="AQ23" s="173">
        <v>2994329</v>
      </c>
      <c r="AR23" s="173">
        <v>2973000</v>
      </c>
      <c r="AS23" s="165">
        <f t="shared" si="8"/>
        <v>21329</v>
      </c>
      <c r="AT23" s="168" t="s">
        <v>111</v>
      </c>
      <c r="AU23" s="169" t="s">
        <v>113</v>
      </c>
      <c r="AV23" s="172">
        <v>1284730</v>
      </c>
      <c r="AW23" s="172">
        <v>1263401</v>
      </c>
      <c r="AX23" s="172">
        <f t="shared" si="9"/>
        <v>21329</v>
      </c>
      <c r="AY23" s="158" t="s">
        <v>111</v>
      </c>
      <c r="AZ23" s="174" t="s">
        <v>113</v>
      </c>
      <c r="BA23" s="154">
        <v>2534500</v>
      </c>
      <c r="BB23" s="154">
        <v>2513171</v>
      </c>
      <c r="BC23" s="154">
        <f t="shared" si="11"/>
        <v>21329</v>
      </c>
      <c r="BD23" s="184" t="s">
        <v>111</v>
      </c>
      <c r="BE23" s="176" t="s">
        <v>112</v>
      </c>
      <c r="BF23" s="172">
        <v>1266688</v>
      </c>
      <c r="BG23" s="177"/>
      <c r="BH23" s="178">
        <f t="shared" si="12"/>
        <v>1266688</v>
      </c>
      <c r="BJ23" s="140">
        <v>120</v>
      </c>
      <c r="BK23" s="313">
        <v>1401969</v>
      </c>
      <c r="BL23" s="312">
        <f t="shared" si="13"/>
        <v>1266688</v>
      </c>
      <c r="BM23" s="314">
        <f t="shared" si="14"/>
        <v>0.90350642560570171</v>
      </c>
      <c r="BN23" s="319" t="s">
        <v>111</v>
      </c>
      <c r="BO23" s="321">
        <v>1401969</v>
      </c>
      <c r="BP23" s="322">
        <f t="shared" si="15"/>
        <v>2534500</v>
      </c>
      <c r="BQ23" s="323">
        <f t="shared" si="16"/>
        <v>1.8078145807788903</v>
      </c>
      <c r="BR23" s="140" t="s">
        <v>111</v>
      </c>
      <c r="BS23" s="313">
        <v>1401969</v>
      </c>
      <c r="BT23" s="312">
        <f t="shared" si="17"/>
        <v>1284730</v>
      </c>
      <c r="BU23" s="314">
        <f t="shared" si="18"/>
        <v>0.91637546907242595</v>
      </c>
      <c r="BV23" s="319" t="s">
        <v>111</v>
      </c>
      <c r="BW23" s="321">
        <v>1421981</v>
      </c>
      <c r="BX23" s="321">
        <v>264877</v>
      </c>
      <c r="BY23" s="322">
        <f t="shared" si="19"/>
        <v>2994329</v>
      </c>
      <c r="BZ23" s="323">
        <f t="shared" si="20"/>
        <v>2.1057447321729335</v>
      </c>
      <c r="CA23" s="140" t="s">
        <v>111</v>
      </c>
      <c r="CB23" s="313">
        <v>1421981</v>
      </c>
      <c r="CC23" s="312">
        <v>264877</v>
      </c>
      <c r="CD23" s="314">
        <f t="shared" si="21"/>
        <v>4734292</v>
      </c>
      <c r="CE23" s="314">
        <f t="shared" si="22"/>
        <v>3.3293637538054308</v>
      </c>
    </row>
    <row r="24" spans="1:83" ht="13" x14ac:dyDescent="0.3">
      <c r="A24" s="162" t="s">
        <v>116</v>
      </c>
      <c r="B24" s="148" t="s">
        <v>117</v>
      </c>
      <c r="C24" s="149">
        <v>-161145</v>
      </c>
      <c r="D24" s="150">
        <v>-161145</v>
      </c>
      <c r="E24" s="151">
        <f t="shared" si="0"/>
        <v>0</v>
      </c>
      <c r="F24" s="158" t="s">
        <v>116</v>
      </c>
      <c r="G24" s="153" t="s">
        <v>117</v>
      </c>
      <c r="H24" s="154">
        <v>-142745</v>
      </c>
      <c r="I24" s="155">
        <v>-142745</v>
      </c>
      <c r="J24" s="156">
        <f t="shared" si="1"/>
        <v>0</v>
      </c>
      <c r="K24" s="162" t="s">
        <v>116</v>
      </c>
      <c r="L24" s="157" t="s">
        <v>118</v>
      </c>
      <c r="M24" s="149">
        <v>-124345</v>
      </c>
      <c r="N24" s="150">
        <v>-124345</v>
      </c>
      <c r="O24" s="151">
        <f t="shared" si="2"/>
        <v>0</v>
      </c>
      <c r="P24" s="158" t="s">
        <v>116</v>
      </c>
      <c r="Q24" s="159" t="s">
        <v>119</v>
      </c>
      <c r="R24" s="284">
        <v>-105945</v>
      </c>
      <c r="S24" s="284">
        <v>-105945</v>
      </c>
      <c r="T24" s="161">
        <f t="shared" si="3"/>
        <v>0</v>
      </c>
      <c r="U24" s="162" t="s">
        <v>116</v>
      </c>
      <c r="V24" s="163" t="s">
        <v>119</v>
      </c>
      <c r="W24" s="164">
        <v>-87545</v>
      </c>
      <c r="X24" s="164">
        <v>0</v>
      </c>
      <c r="Y24" s="165"/>
      <c r="Z24" s="158" t="s">
        <v>116</v>
      </c>
      <c r="AA24" s="159" t="s">
        <v>119</v>
      </c>
      <c r="AB24" s="166">
        <v>-69145</v>
      </c>
      <c r="AC24" s="167">
        <v>-69145</v>
      </c>
      <c r="AD24" s="161">
        <f t="shared" si="4"/>
        <v>0</v>
      </c>
      <c r="AE24" s="162" t="s">
        <v>116</v>
      </c>
      <c r="AF24" s="163" t="s">
        <v>119</v>
      </c>
      <c r="AG24" s="149">
        <v>-50745</v>
      </c>
      <c r="AH24" s="149">
        <v>-50745</v>
      </c>
      <c r="AI24" s="165">
        <f t="shared" si="5"/>
        <v>0</v>
      </c>
      <c r="AJ24" s="168" t="s">
        <v>116</v>
      </c>
      <c r="AK24" s="169" t="s">
        <v>118</v>
      </c>
      <c r="AL24" s="170">
        <v>513886</v>
      </c>
      <c r="AM24" s="171">
        <f t="shared" si="6"/>
        <v>513886</v>
      </c>
      <c r="AN24" s="172">
        <f t="shared" si="7"/>
        <v>0</v>
      </c>
      <c r="AO24" s="162" t="s">
        <v>116</v>
      </c>
      <c r="AP24" s="163" t="s">
        <v>118</v>
      </c>
      <c r="AQ24" s="173">
        <v>498870</v>
      </c>
      <c r="AR24" s="173">
        <v>498870</v>
      </c>
      <c r="AS24" s="165">
        <f t="shared" si="8"/>
        <v>0</v>
      </c>
      <c r="AT24" s="168" t="s">
        <v>116</v>
      </c>
      <c r="AU24" s="169" t="s">
        <v>118</v>
      </c>
      <c r="AV24" s="172">
        <v>-6036</v>
      </c>
      <c r="AW24" s="172">
        <v>-6036</v>
      </c>
      <c r="AX24" s="172">
        <f t="shared" si="9"/>
        <v>0</v>
      </c>
      <c r="AY24" s="158" t="s">
        <v>116</v>
      </c>
      <c r="AZ24" s="174" t="s">
        <v>118</v>
      </c>
      <c r="BA24" s="154">
        <v>1181991</v>
      </c>
      <c r="BB24" s="154">
        <f t="shared" si="10"/>
        <v>1181991</v>
      </c>
      <c r="BC24" s="154">
        <f t="shared" si="11"/>
        <v>0</v>
      </c>
      <c r="BD24" s="184" t="s">
        <v>116</v>
      </c>
      <c r="BE24" s="176" t="s">
        <v>117</v>
      </c>
      <c r="BF24" s="172">
        <v>-116534</v>
      </c>
      <c r="BG24" s="177"/>
      <c r="BH24" s="178">
        <f t="shared" si="12"/>
        <v>-116534</v>
      </c>
      <c r="BJ24" s="140">
        <v>121</v>
      </c>
      <c r="BK24" s="313">
        <v>1245396</v>
      </c>
      <c r="BL24" s="312">
        <f t="shared" si="13"/>
        <v>-116534</v>
      </c>
      <c r="BM24" s="314">
        <f t="shared" si="14"/>
        <v>-9.357184381513993E-2</v>
      </c>
      <c r="BN24" s="319" t="s">
        <v>116</v>
      </c>
      <c r="BO24" s="321">
        <v>1245396</v>
      </c>
      <c r="BP24" s="322">
        <f t="shared" si="15"/>
        <v>1181991</v>
      </c>
      <c r="BQ24" s="323">
        <f t="shared" si="16"/>
        <v>0.94908848269947876</v>
      </c>
      <c r="BR24" s="140" t="s">
        <v>116</v>
      </c>
      <c r="BS24" s="313">
        <v>1245396</v>
      </c>
      <c r="BT24" s="312">
        <f t="shared" si="17"/>
        <v>-6036</v>
      </c>
      <c r="BU24" s="314">
        <f t="shared" si="18"/>
        <v>-4.8466511856469748E-3</v>
      </c>
      <c r="BV24" s="319" t="s">
        <v>116</v>
      </c>
      <c r="BW24" s="321">
        <v>1482643</v>
      </c>
      <c r="BX24" s="321">
        <v>276177</v>
      </c>
      <c r="BY24" s="322">
        <f t="shared" si="19"/>
        <v>498870</v>
      </c>
      <c r="BZ24" s="323">
        <f t="shared" si="20"/>
        <v>0.33647344640618138</v>
      </c>
      <c r="CA24" s="140" t="s">
        <v>116</v>
      </c>
      <c r="CB24" s="313">
        <v>1482643</v>
      </c>
      <c r="CC24" s="312">
        <v>276177</v>
      </c>
      <c r="CD24" s="314">
        <f t="shared" si="21"/>
        <v>513886</v>
      </c>
      <c r="CE24" s="314">
        <f t="shared" si="22"/>
        <v>0.34660130591113303</v>
      </c>
    </row>
    <row r="25" spans="1:83" ht="13" x14ac:dyDescent="0.3">
      <c r="A25" s="162" t="s">
        <v>121</v>
      </c>
      <c r="B25" s="148" t="s">
        <v>122</v>
      </c>
      <c r="C25" s="149">
        <v>0</v>
      </c>
      <c r="D25" s="150">
        <v>0</v>
      </c>
      <c r="E25" s="151">
        <f t="shared" si="0"/>
        <v>0</v>
      </c>
      <c r="F25" s="158" t="s">
        <v>121</v>
      </c>
      <c r="G25" s="153" t="s">
        <v>122</v>
      </c>
      <c r="H25" s="154">
        <v>1867123</v>
      </c>
      <c r="I25" s="155">
        <v>1867123</v>
      </c>
      <c r="J25" s="156">
        <f t="shared" si="1"/>
        <v>0</v>
      </c>
      <c r="K25" s="162" t="s">
        <v>121</v>
      </c>
      <c r="L25" s="157" t="s">
        <v>123</v>
      </c>
      <c r="M25" s="149">
        <v>2428602</v>
      </c>
      <c r="N25" s="150">
        <v>2428602</v>
      </c>
      <c r="O25" s="151">
        <f t="shared" si="2"/>
        <v>0</v>
      </c>
      <c r="P25" s="158" t="s">
        <v>121</v>
      </c>
      <c r="Q25" s="159" t="s">
        <v>124</v>
      </c>
      <c r="R25" s="284">
        <v>1214232</v>
      </c>
      <c r="S25" s="284">
        <v>1214232</v>
      </c>
      <c r="T25" s="161">
        <f t="shared" si="3"/>
        <v>0</v>
      </c>
      <c r="U25" s="162" t="s">
        <v>121</v>
      </c>
      <c r="V25" s="163" t="s">
        <v>124</v>
      </c>
      <c r="W25" s="164">
        <v>1489736</v>
      </c>
      <c r="X25" s="164">
        <v>0</v>
      </c>
      <c r="Y25" s="165"/>
      <c r="Z25" s="158" t="s">
        <v>121</v>
      </c>
      <c r="AA25" s="159" t="s">
        <v>124</v>
      </c>
      <c r="AB25" s="166">
        <v>0</v>
      </c>
      <c r="AC25" s="181">
        <v>0</v>
      </c>
      <c r="AD25" s="161">
        <f t="shared" si="4"/>
        <v>0</v>
      </c>
      <c r="AE25" s="162" t="s">
        <v>121</v>
      </c>
      <c r="AF25" s="163" t="s">
        <v>124</v>
      </c>
      <c r="AG25" s="149">
        <v>0</v>
      </c>
      <c r="AH25" s="149">
        <v>0</v>
      </c>
      <c r="AI25" s="165">
        <f t="shared" si="5"/>
        <v>0</v>
      </c>
      <c r="AJ25" s="168" t="s">
        <v>121</v>
      </c>
      <c r="AK25" s="169" t="s">
        <v>123</v>
      </c>
      <c r="AL25" s="170">
        <v>0</v>
      </c>
      <c r="AM25" s="183">
        <f t="shared" si="6"/>
        <v>0</v>
      </c>
      <c r="AN25" s="172">
        <f t="shared" si="7"/>
        <v>0</v>
      </c>
      <c r="AO25" s="162" t="s">
        <v>121</v>
      </c>
      <c r="AP25" s="163" t="s">
        <v>123</v>
      </c>
      <c r="AQ25" s="173">
        <v>0</v>
      </c>
      <c r="AR25" s="173">
        <v>0</v>
      </c>
      <c r="AS25" s="165">
        <f t="shared" si="8"/>
        <v>0</v>
      </c>
      <c r="AT25" s="168" t="s">
        <v>121</v>
      </c>
      <c r="AU25" s="169" t="s">
        <v>123</v>
      </c>
      <c r="AV25" s="172">
        <v>0</v>
      </c>
      <c r="AW25" s="172">
        <v>0</v>
      </c>
      <c r="AX25" s="172">
        <f t="shared" si="9"/>
        <v>0</v>
      </c>
      <c r="AY25" s="158" t="s">
        <v>121</v>
      </c>
      <c r="AZ25" s="174" t="s">
        <v>123</v>
      </c>
      <c r="BA25" s="154">
        <v>1408849</v>
      </c>
      <c r="BB25" s="154">
        <f t="shared" si="10"/>
        <v>1408849</v>
      </c>
      <c r="BC25" s="154">
        <f t="shared" si="11"/>
        <v>0</v>
      </c>
      <c r="BD25" s="184" t="s">
        <v>121</v>
      </c>
      <c r="BE25" s="176" t="s">
        <v>122</v>
      </c>
      <c r="BF25" s="172">
        <v>155650</v>
      </c>
      <c r="BG25" s="177"/>
      <c r="BH25" s="178">
        <f t="shared" si="12"/>
        <v>155650</v>
      </c>
      <c r="BJ25" s="140">
        <v>122</v>
      </c>
      <c r="BK25" s="313">
        <v>1298525</v>
      </c>
      <c r="BL25" s="312">
        <f t="shared" si="13"/>
        <v>155650</v>
      </c>
      <c r="BM25" s="314">
        <f t="shared" si="14"/>
        <v>0.11986677191428736</v>
      </c>
      <c r="BN25" s="319" t="s">
        <v>121</v>
      </c>
      <c r="BO25" s="321">
        <v>1298525</v>
      </c>
      <c r="BP25" s="322">
        <f t="shared" si="15"/>
        <v>1408849</v>
      </c>
      <c r="BQ25" s="323">
        <f t="shared" si="16"/>
        <v>1.0849610134575769</v>
      </c>
      <c r="BR25" s="140" t="s">
        <v>121</v>
      </c>
      <c r="BS25" s="313">
        <v>1298525</v>
      </c>
      <c r="BT25" s="312">
        <f t="shared" si="17"/>
        <v>0</v>
      </c>
      <c r="BU25" s="314">
        <f t="shared" si="18"/>
        <v>0</v>
      </c>
      <c r="BV25" s="319" t="s">
        <v>121</v>
      </c>
      <c r="BW25" s="321">
        <v>1427960</v>
      </c>
      <c r="BX25" s="321">
        <v>265941</v>
      </c>
      <c r="BY25" s="322">
        <f t="shared" si="19"/>
        <v>0</v>
      </c>
      <c r="BZ25" s="323">
        <f t="shared" si="20"/>
        <v>0</v>
      </c>
      <c r="CA25" s="140" t="s">
        <v>121</v>
      </c>
      <c r="CB25" s="313">
        <v>1427960</v>
      </c>
      <c r="CC25" s="312">
        <v>265941</v>
      </c>
      <c r="CD25" s="314">
        <f t="shared" si="21"/>
        <v>0</v>
      </c>
      <c r="CE25" s="314">
        <f t="shared" si="22"/>
        <v>0</v>
      </c>
    </row>
    <row r="26" spans="1:83" ht="13" x14ac:dyDescent="0.3">
      <c r="A26" s="162" t="s">
        <v>126</v>
      </c>
      <c r="B26" s="148" t="s">
        <v>127</v>
      </c>
      <c r="C26" s="149">
        <v>0</v>
      </c>
      <c r="D26" s="150">
        <v>0</v>
      </c>
      <c r="E26" s="151">
        <f t="shared" si="0"/>
        <v>0</v>
      </c>
      <c r="F26" s="158" t="s">
        <v>126</v>
      </c>
      <c r="G26" s="153" t="s">
        <v>127</v>
      </c>
      <c r="H26" s="154">
        <v>0</v>
      </c>
      <c r="I26" s="155">
        <v>0</v>
      </c>
      <c r="J26" s="156">
        <f t="shared" si="1"/>
        <v>0</v>
      </c>
      <c r="K26" s="162" t="s">
        <v>126</v>
      </c>
      <c r="L26" s="157" t="s">
        <v>128</v>
      </c>
      <c r="M26" s="149">
        <v>0</v>
      </c>
      <c r="N26" s="150">
        <v>0</v>
      </c>
      <c r="O26" s="151">
        <f t="shared" si="2"/>
        <v>0</v>
      </c>
      <c r="P26" s="158" t="s">
        <v>126</v>
      </c>
      <c r="Q26" s="159" t="s">
        <v>129</v>
      </c>
      <c r="R26" s="284"/>
      <c r="S26" s="155"/>
      <c r="T26" s="161">
        <f t="shared" si="3"/>
        <v>0</v>
      </c>
      <c r="U26" s="162" t="s">
        <v>126</v>
      </c>
      <c r="V26" s="163" t="s">
        <v>129</v>
      </c>
      <c r="W26" s="164">
        <v>0</v>
      </c>
      <c r="X26" s="164">
        <v>0</v>
      </c>
      <c r="Y26" s="165"/>
      <c r="Z26" s="158" t="s">
        <v>126</v>
      </c>
      <c r="AA26" s="159" t="s">
        <v>129</v>
      </c>
      <c r="AB26" s="166">
        <v>0</v>
      </c>
      <c r="AC26" s="181">
        <v>0</v>
      </c>
      <c r="AD26" s="161">
        <f t="shared" si="4"/>
        <v>0</v>
      </c>
      <c r="AE26" s="162" t="s">
        <v>126</v>
      </c>
      <c r="AF26" s="163" t="s">
        <v>129</v>
      </c>
      <c r="AG26" s="149">
        <v>1115679</v>
      </c>
      <c r="AH26" s="149">
        <v>1115679</v>
      </c>
      <c r="AI26" s="165">
        <f t="shared" si="5"/>
        <v>0</v>
      </c>
      <c r="AJ26" s="168" t="s">
        <v>126</v>
      </c>
      <c r="AK26" s="169" t="s">
        <v>128</v>
      </c>
      <c r="AL26" s="170">
        <v>0</v>
      </c>
      <c r="AM26" s="183">
        <f t="shared" si="6"/>
        <v>0</v>
      </c>
      <c r="AN26" s="172">
        <f t="shared" si="7"/>
        <v>0</v>
      </c>
      <c r="AO26" s="162" t="s">
        <v>126</v>
      </c>
      <c r="AP26" s="163" t="s">
        <v>128</v>
      </c>
      <c r="AQ26" s="173">
        <v>0</v>
      </c>
      <c r="AR26" s="173">
        <v>0</v>
      </c>
      <c r="AS26" s="165">
        <f t="shared" si="8"/>
        <v>0</v>
      </c>
      <c r="AT26" s="168" t="s">
        <v>126</v>
      </c>
      <c r="AU26" s="169" t="s">
        <v>128</v>
      </c>
      <c r="AV26" s="172">
        <v>0</v>
      </c>
      <c r="AW26" s="172">
        <v>0</v>
      </c>
      <c r="AX26" s="172">
        <f t="shared" si="9"/>
        <v>0</v>
      </c>
      <c r="AY26" s="158" t="s">
        <v>126</v>
      </c>
      <c r="AZ26" s="174" t="s">
        <v>128</v>
      </c>
      <c r="BA26" s="154">
        <v>0</v>
      </c>
      <c r="BB26" s="154">
        <f t="shared" si="10"/>
        <v>0</v>
      </c>
      <c r="BC26" s="154">
        <f t="shared" si="11"/>
        <v>0</v>
      </c>
      <c r="BD26" s="184" t="s">
        <v>126</v>
      </c>
      <c r="BE26" s="176" t="s">
        <v>127</v>
      </c>
      <c r="BF26" s="172">
        <v>0</v>
      </c>
      <c r="BG26" s="177"/>
      <c r="BH26" s="178">
        <f t="shared" si="12"/>
        <v>0</v>
      </c>
      <c r="BJ26" s="140">
        <v>123</v>
      </c>
      <c r="BK26" s="313">
        <v>120397</v>
      </c>
      <c r="BL26" s="312">
        <f t="shared" si="13"/>
        <v>0</v>
      </c>
      <c r="BM26" s="314">
        <f t="shared" si="14"/>
        <v>0</v>
      </c>
      <c r="BN26" s="319" t="s">
        <v>126</v>
      </c>
      <c r="BO26" s="321">
        <v>120397</v>
      </c>
      <c r="BP26" s="322">
        <f t="shared" si="15"/>
        <v>0</v>
      </c>
      <c r="BQ26" s="323">
        <f t="shared" si="16"/>
        <v>0</v>
      </c>
      <c r="BR26" s="140" t="s">
        <v>126</v>
      </c>
      <c r="BS26" s="313">
        <v>120397</v>
      </c>
      <c r="BT26" s="312">
        <f t="shared" si="17"/>
        <v>0</v>
      </c>
      <c r="BU26" s="314">
        <f t="shared" si="18"/>
        <v>0</v>
      </c>
      <c r="BV26" s="319" t="s">
        <v>126</v>
      </c>
      <c r="BW26" s="321">
        <v>1338839</v>
      </c>
      <c r="BX26" s="321">
        <v>249390</v>
      </c>
      <c r="BY26" s="322">
        <f t="shared" si="19"/>
        <v>0</v>
      </c>
      <c r="BZ26" s="323">
        <f t="shared" si="20"/>
        <v>0</v>
      </c>
      <c r="CA26" s="140" t="s">
        <v>126</v>
      </c>
      <c r="CB26" s="313">
        <v>1338839</v>
      </c>
      <c r="CC26" s="312">
        <v>249390</v>
      </c>
      <c r="CD26" s="314">
        <f t="shared" si="21"/>
        <v>0</v>
      </c>
      <c r="CE26" s="314">
        <f t="shared" si="22"/>
        <v>0</v>
      </c>
    </row>
    <row r="27" spans="1:83" ht="13" x14ac:dyDescent="0.3">
      <c r="A27" s="162" t="s">
        <v>130</v>
      </c>
      <c r="B27" s="148" t="s">
        <v>131</v>
      </c>
      <c r="C27" s="149">
        <v>0</v>
      </c>
      <c r="D27" s="150">
        <v>0</v>
      </c>
      <c r="E27" s="151">
        <f t="shared" si="0"/>
        <v>0</v>
      </c>
      <c r="F27" s="158" t="s">
        <v>130</v>
      </c>
      <c r="G27" s="153" t="s">
        <v>131</v>
      </c>
      <c r="H27" s="154">
        <v>0</v>
      </c>
      <c r="I27" s="179">
        <v>0</v>
      </c>
      <c r="J27" s="156">
        <f t="shared" si="1"/>
        <v>0</v>
      </c>
      <c r="K27" s="162" t="s">
        <v>130</v>
      </c>
      <c r="L27" s="157" t="s">
        <v>132</v>
      </c>
      <c r="M27" s="149">
        <v>0</v>
      </c>
      <c r="N27" s="180">
        <v>0</v>
      </c>
      <c r="O27" s="151">
        <f t="shared" si="2"/>
        <v>0</v>
      </c>
      <c r="P27" s="158" t="s">
        <v>130</v>
      </c>
      <c r="Q27" s="159" t="s">
        <v>133</v>
      </c>
      <c r="R27" s="284"/>
      <c r="S27" s="155"/>
      <c r="T27" s="161">
        <f t="shared" si="3"/>
        <v>0</v>
      </c>
      <c r="U27" s="162" t="s">
        <v>130</v>
      </c>
      <c r="V27" s="163" t="s">
        <v>133</v>
      </c>
      <c r="W27" s="164">
        <v>0</v>
      </c>
      <c r="X27" s="164">
        <v>0</v>
      </c>
      <c r="Y27" s="165"/>
      <c r="Z27" s="158" t="s">
        <v>130</v>
      </c>
      <c r="AA27" s="159" t="s">
        <v>133</v>
      </c>
      <c r="AB27" s="166">
        <v>0</v>
      </c>
      <c r="AC27" s="181">
        <v>0</v>
      </c>
      <c r="AD27" s="161">
        <f t="shared" si="4"/>
        <v>0</v>
      </c>
      <c r="AE27" s="162" t="s">
        <v>130</v>
      </c>
      <c r="AF27" s="163" t="s">
        <v>133</v>
      </c>
      <c r="AG27" s="149">
        <v>0</v>
      </c>
      <c r="AH27" s="149">
        <v>0</v>
      </c>
      <c r="AI27" s="165">
        <f t="shared" si="5"/>
        <v>0</v>
      </c>
      <c r="AJ27" s="168" t="s">
        <v>130</v>
      </c>
      <c r="AK27" s="169" t="s">
        <v>182</v>
      </c>
      <c r="AL27" s="170">
        <v>0</v>
      </c>
      <c r="AM27" s="183">
        <f t="shared" si="6"/>
        <v>0</v>
      </c>
      <c r="AN27" s="172">
        <f t="shared" si="7"/>
        <v>0</v>
      </c>
      <c r="AO27" s="162" t="s">
        <v>130</v>
      </c>
      <c r="AP27" s="163" t="s">
        <v>182</v>
      </c>
      <c r="AQ27" s="173">
        <v>0</v>
      </c>
      <c r="AR27" s="173">
        <v>0</v>
      </c>
      <c r="AS27" s="165">
        <f t="shared" si="8"/>
        <v>0</v>
      </c>
      <c r="AT27" s="168" t="s">
        <v>130</v>
      </c>
      <c r="AU27" s="169" t="s">
        <v>182</v>
      </c>
      <c r="AV27" s="172">
        <v>0</v>
      </c>
      <c r="AW27" s="172">
        <v>0</v>
      </c>
      <c r="AX27" s="172">
        <f t="shared" si="9"/>
        <v>0</v>
      </c>
      <c r="AY27" s="158" t="s">
        <v>130</v>
      </c>
      <c r="AZ27" s="174" t="s">
        <v>182</v>
      </c>
      <c r="BA27" s="154">
        <v>0</v>
      </c>
      <c r="BB27" s="154">
        <f t="shared" si="10"/>
        <v>0</v>
      </c>
      <c r="BC27" s="154">
        <f t="shared" si="11"/>
        <v>0</v>
      </c>
      <c r="BD27" s="184" t="s">
        <v>130</v>
      </c>
      <c r="BE27" s="176" t="s">
        <v>131</v>
      </c>
      <c r="BF27" s="172">
        <v>0</v>
      </c>
      <c r="BG27" s="177"/>
      <c r="BH27" s="178">
        <f t="shared" si="12"/>
        <v>0</v>
      </c>
      <c r="BJ27" s="140">
        <v>124</v>
      </c>
      <c r="BK27" s="313">
        <v>1172579</v>
      </c>
      <c r="BL27" s="312">
        <f t="shared" si="13"/>
        <v>0</v>
      </c>
      <c r="BM27" s="314">
        <f t="shared" si="14"/>
        <v>0</v>
      </c>
      <c r="BN27" s="319" t="s">
        <v>130</v>
      </c>
      <c r="BO27" s="321">
        <v>1172579</v>
      </c>
      <c r="BP27" s="322">
        <f t="shared" si="15"/>
        <v>0</v>
      </c>
      <c r="BQ27" s="323">
        <f t="shared" si="16"/>
        <v>0</v>
      </c>
      <c r="BR27" s="140" t="s">
        <v>130</v>
      </c>
      <c r="BS27" s="313">
        <v>1172579</v>
      </c>
      <c r="BT27" s="312">
        <f t="shared" si="17"/>
        <v>0</v>
      </c>
      <c r="BU27" s="314">
        <f t="shared" si="18"/>
        <v>0</v>
      </c>
      <c r="BV27" s="319" t="s">
        <v>130</v>
      </c>
      <c r="BW27" s="321">
        <v>1377734</v>
      </c>
      <c r="BX27" s="321">
        <v>256635</v>
      </c>
      <c r="BY27" s="322">
        <f t="shared" si="19"/>
        <v>0</v>
      </c>
      <c r="BZ27" s="323">
        <f t="shared" si="20"/>
        <v>0</v>
      </c>
      <c r="CA27" s="140" t="s">
        <v>130</v>
      </c>
      <c r="CB27" s="313">
        <v>1377734</v>
      </c>
      <c r="CC27" s="312">
        <v>256635</v>
      </c>
      <c r="CD27" s="314">
        <f t="shared" si="21"/>
        <v>0</v>
      </c>
      <c r="CE27" s="314">
        <f t="shared" si="22"/>
        <v>0</v>
      </c>
    </row>
    <row r="28" spans="1:83" ht="13" x14ac:dyDescent="0.3">
      <c r="A28" s="162" t="s">
        <v>135</v>
      </c>
      <c r="B28" s="148" t="s">
        <v>136</v>
      </c>
      <c r="C28" s="149">
        <v>326305</v>
      </c>
      <c r="D28" s="150">
        <v>326305</v>
      </c>
      <c r="E28" s="151">
        <f t="shared" si="0"/>
        <v>0</v>
      </c>
      <c r="F28" s="158" t="s">
        <v>135</v>
      </c>
      <c r="G28" s="153" t="s">
        <v>136</v>
      </c>
      <c r="H28" s="154">
        <v>294018</v>
      </c>
      <c r="I28" s="155">
        <v>294018</v>
      </c>
      <c r="J28" s="156">
        <f t="shared" si="1"/>
        <v>0</v>
      </c>
      <c r="K28" s="162" t="s">
        <v>135</v>
      </c>
      <c r="L28" s="157" t="s">
        <v>137</v>
      </c>
      <c r="M28" s="149">
        <v>-300</v>
      </c>
      <c r="N28" s="150">
        <v>-300</v>
      </c>
      <c r="O28" s="151">
        <f t="shared" si="2"/>
        <v>0</v>
      </c>
      <c r="P28" s="158" t="s">
        <v>135</v>
      </c>
      <c r="Q28" s="159" t="s">
        <v>138</v>
      </c>
      <c r="R28" s="284">
        <v>-294618</v>
      </c>
      <c r="S28" s="284">
        <v>-294618</v>
      </c>
      <c r="T28" s="161">
        <f t="shared" si="3"/>
        <v>0</v>
      </c>
      <c r="U28" s="162" t="s">
        <v>135</v>
      </c>
      <c r="V28" s="163" t="s">
        <v>138</v>
      </c>
      <c r="W28" s="164">
        <v>630524</v>
      </c>
      <c r="X28" s="164">
        <v>-260</v>
      </c>
      <c r="Y28" s="165" t="s">
        <v>192</v>
      </c>
      <c r="Z28" s="158" t="s">
        <v>135</v>
      </c>
      <c r="AA28" s="159" t="s">
        <v>138</v>
      </c>
      <c r="AB28" s="166">
        <v>470260</v>
      </c>
      <c r="AC28" s="167">
        <v>470260</v>
      </c>
      <c r="AD28" s="161">
        <f t="shared" si="4"/>
        <v>0</v>
      </c>
      <c r="AE28" s="162" t="s">
        <v>135</v>
      </c>
      <c r="AF28" s="163" t="s">
        <v>138</v>
      </c>
      <c r="AG28" s="149">
        <v>2176048</v>
      </c>
      <c r="AH28" s="149">
        <v>2176048</v>
      </c>
      <c r="AI28" s="165">
        <f t="shared" si="5"/>
        <v>0</v>
      </c>
      <c r="AJ28" s="168" t="s">
        <v>135</v>
      </c>
      <c r="AK28" s="169" t="s">
        <v>137</v>
      </c>
      <c r="AL28" s="170">
        <v>136102</v>
      </c>
      <c r="AM28" s="171">
        <v>107532</v>
      </c>
      <c r="AN28" s="172">
        <f t="shared" si="7"/>
        <v>28570</v>
      </c>
      <c r="AO28" s="162" t="s">
        <v>135</v>
      </c>
      <c r="AP28" s="163" t="s">
        <v>137</v>
      </c>
      <c r="AQ28" s="173">
        <v>25942</v>
      </c>
      <c r="AR28" s="173">
        <v>-2628</v>
      </c>
      <c r="AS28" s="165">
        <f t="shared" si="8"/>
        <v>28570</v>
      </c>
      <c r="AT28" s="168" t="s">
        <v>135</v>
      </c>
      <c r="AU28" s="169" t="s">
        <v>137</v>
      </c>
      <c r="AV28" s="172">
        <f>-1650000+1637212</f>
        <v>-12788</v>
      </c>
      <c r="AW28" s="172">
        <v>-12788</v>
      </c>
      <c r="AX28" s="172">
        <f t="shared" si="9"/>
        <v>0</v>
      </c>
      <c r="AY28" s="158" t="s">
        <v>135</v>
      </c>
      <c r="AZ28" s="174" t="s">
        <v>137</v>
      </c>
      <c r="BA28" s="154">
        <v>1649632</v>
      </c>
      <c r="BB28" s="154">
        <f t="shared" si="10"/>
        <v>1649632</v>
      </c>
      <c r="BC28" s="154">
        <f t="shared" si="11"/>
        <v>0</v>
      </c>
      <c r="BD28" s="184" t="s">
        <v>135</v>
      </c>
      <c r="BE28" s="176" t="s">
        <v>136</v>
      </c>
      <c r="BF28" s="172">
        <v>90094</v>
      </c>
      <c r="BG28" s="177"/>
      <c r="BH28" s="178">
        <f t="shared" si="12"/>
        <v>90094</v>
      </c>
      <c r="BJ28" s="140">
        <v>125</v>
      </c>
      <c r="BK28" s="313">
        <v>1206644</v>
      </c>
      <c r="BL28" s="312">
        <f t="shared" si="13"/>
        <v>90094</v>
      </c>
      <c r="BM28" s="314">
        <f t="shared" si="14"/>
        <v>7.4664938457407487E-2</v>
      </c>
      <c r="BN28" s="319" t="s">
        <v>135</v>
      </c>
      <c r="BO28" s="321">
        <v>1206644</v>
      </c>
      <c r="BP28" s="322">
        <f t="shared" si="15"/>
        <v>1649632</v>
      </c>
      <c r="BQ28" s="323">
        <f t="shared" si="16"/>
        <v>1.367124023324195</v>
      </c>
      <c r="BR28" s="140" t="s">
        <v>135</v>
      </c>
      <c r="BS28" s="313">
        <v>1206644</v>
      </c>
      <c r="BT28" s="312">
        <f t="shared" si="17"/>
        <v>-12788</v>
      </c>
      <c r="BU28" s="314">
        <f t="shared" si="18"/>
        <v>-1.0597989133497535E-2</v>
      </c>
      <c r="BV28" s="319" t="s">
        <v>135</v>
      </c>
      <c r="BW28" s="321">
        <v>1778814</v>
      </c>
      <c r="BX28" s="321">
        <v>331346</v>
      </c>
      <c r="BY28" s="322">
        <f t="shared" si="19"/>
        <v>25942</v>
      </c>
      <c r="BZ28" s="323">
        <f t="shared" si="20"/>
        <v>1.4583874424194997E-2</v>
      </c>
      <c r="CA28" s="140" t="s">
        <v>135</v>
      </c>
      <c r="CB28" s="313">
        <v>1778814</v>
      </c>
      <c r="CC28" s="312">
        <v>331346</v>
      </c>
      <c r="CD28" s="314">
        <f t="shared" si="21"/>
        <v>136102</v>
      </c>
      <c r="CE28" s="314">
        <f t="shared" si="22"/>
        <v>7.6512777614747798E-2</v>
      </c>
    </row>
    <row r="29" spans="1:83" ht="13" x14ac:dyDescent="0.3">
      <c r="A29" s="162" t="s">
        <v>140</v>
      </c>
      <c r="B29" s="148" t="s">
        <v>190</v>
      </c>
      <c r="C29" s="149">
        <v>0</v>
      </c>
      <c r="D29" s="150">
        <v>0</v>
      </c>
      <c r="E29" s="151">
        <f t="shared" si="0"/>
        <v>0</v>
      </c>
      <c r="F29" s="158" t="s">
        <v>140</v>
      </c>
      <c r="G29" s="153" t="s">
        <v>190</v>
      </c>
      <c r="H29" s="154">
        <v>1073790</v>
      </c>
      <c r="I29" s="155">
        <v>1074050</v>
      </c>
      <c r="J29" s="156">
        <f t="shared" si="1"/>
        <v>-260</v>
      </c>
      <c r="K29" s="162" t="s">
        <v>140</v>
      </c>
      <c r="L29" s="157" t="s">
        <v>142</v>
      </c>
      <c r="M29" s="149">
        <v>-260</v>
      </c>
      <c r="N29" s="150">
        <v>-260</v>
      </c>
      <c r="O29" s="151">
        <f t="shared" si="2"/>
        <v>0</v>
      </c>
      <c r="P29" s="158" t="s">
        <v>140</v>
      </c>
      <c r="Q29" s="159" t="s">
        <v>143</v>
      </c>
      <c r="R29" s="284"/>
      <c r="S29" s="155"/>
      <c r="T29" s="187">
        <f t="shared" si="3"/>
        <v>0</v>
      </c>
      <c r="U29" s="162" t="s">
        <v>140</v>
      </c>
      <c r="V29" s="163" t="s">
        <v>143</v>
      </c>
      <c r="W29" s="164">
        <v>860984</v>
      </c>
      <c r="X29" s="164">
        <v>0</v>
      </c>
      <c r="Y29" s="165"/>
      <c r="Z29" s="158" t="s">
        <v>140</v>
      </c>
      <c r="AA29" s="159" t="s">
        <v>143</v>
      </c>
      <c r="AB29" s="166">
        <v>1289903</v>
      </c>
      <c r="AC29" s="167">
        <v>1289903</v>
      </c>
      <c r="AD29" s="187">
        <f t="shared" si="4"/>
        <v>0</v>
      </c>
      <c r="AE29" s="162" t="s">
        <v>140</v>
      </c>
      <c r="AF29" s="163" t="s">
        <v>187</v>
      </c>
      <c r="AG29" s="149">
        <v>1074050</v>
      </c>
      <c r="AH29" s="149">
        <v>1074050</v>
      </c>
      <c r="AI29" s="165">
        <f t="shared" si="5"/>
        <v>0</v>
      </c>
      <c r="AJ29" s="168" t="s">
        <v>140</v>
      </c>
      <c r="AK29" s="169" t="s">
        <v>142</v>
      </c>
      <c r="AL29" s="170">
        <v>263029</v>
      </c>
      <c r="AM29" s="183">
        <f t="shared" si="6"/>
        <v>263029</v>
      </c>
      <c r="AN29" s="172">
        <f t="shared" si="7"/>
        <v>0</v>
      </c>
      <c r="AO29" s="162" t="s">
        <v>140</v>
      </c>
      <c r="AP29" s="163" t="s">
        <v>142</v>
      </c>
      <c r="AQ29" s="173">
        <v>229924</v>
      </c>
      <c r="AR29" s="173">
        <v>229924</v>
      </c>
      <c r="AS29" s="165">
        <f t="shared" si="8"/>
        <v>0</v>
      </c>
      <c r="AT29" s="168" t="s">
        <v>140</v>
      </c>
      <c r="AU29" s="169" t="s">
        <v>142</v>
      </c>
      <c r="AV29" s="172">
        <v>-10160</v>
      </c>
      <c r="AW29" s="172">
        <v>-10160</v>
      </c>
      <c r="AX29" s="172">
        <f t="shared" si="9"/>
        <v>0</v>
      </c>
      <c r="AY29" s="158" t="s">
        <v>140</v>
      </c>
      <c r="AZ29" s="174" t="s">
        <v>142</v>
      </c>
      <c r="BA29" s="154">
        <v>0</v>
      </c>
      <c r="BB29" s="154">
        <v>0</v>
      </c>
      <c r="BC29" s="154">
        <f t="shared" si="11"/>
        <v>0</v>
      </c>
      <c r="BD29" s="184" t="s">
        <v>140</v>
      </c>
      <c r="BE29" s="176" t="s">
        <v>141</v>
      </c>
      <c r="BF29" s="172">
        <v>1128827</v>
      </c>
      <c r="BG29" s="177">
        <v>229924</v>
      </c>
      <c r="BH29" s="178">
        <f t="shared" si="12"/>
        <v>898903</v>
      </c>
      <c r="BJ29" s="140">
        <v>126</v>
      </c>
      <c r="BK29" s="313">
        <v>1557916</v>
      </c>
      <c r="BL29" s="312">
        <f t="shared" si="13"/>
        <v>1128827</v>
      </c>
      <c r="BM29" s="314">
        <f t="shared" si="14"/>
        <v>0.72457500917892881</v>
      </c>
      <c r="BN29" s="319" t="s">
        <v>140</v>
      </c>
      <c r="BO29" s="321">
        <v>1557916</v>
      </c>
      <c r="BP29" s="322">
        <f t="shared" si="15"/>
        <v>0</v>
      </c>
      <c r="BQ29" s="323">
        <f t="shared" si="16"/>
        <v>0</v>
      </c>
      <c r="BR29" s="140" t="s">
        <v>140</v>
      </c>
      <c r="BS29" s="313">
        <v>1557916</v>
      </c>
      <c r="BT29" s="312">
        <f t="shared" si="17"/>
        <v>-10160</v>
      </c>
      <c r="BU29" s="314">
        <f t="shared" si="18"/>
        <v>-6.5215326115143565E-3</v>
      </c>
      <c r="BV29" s="319" t="s">
        <v>140</v>
      </c>
      <c r="BW29" s="321">
        <v>1288882</v>
      </c>
      <c r="BX29" s="321">
        <v>240084</v>
      </c>
      <c r="BY29" s="322">
        <f t="shared" si="19"/>
        <v>229924</v>
      </c>
      <c r="BZ29" s="323">
        <f t="shared" si="20"/>
        <v>0.1783902638100307</v>
      </c>
      <c r="CA29" s="140" t="s">
        <v>140</v>
      </c>
      <c r="CB29" s="313">
        <v>1288882</v>
      </c>
      <c r="CC29" s="312">
        <v>240084</v>
      </c>
      <c r="CD29" s="314">
        <f t="shared" si="21"/>
        <v>263029</v>
      </c>
      <c r="CE29" s="314">
        <f t="shared" si="22"/>
        <v>0.2040753148853037</v>
      </c>
    </row>
    <row r="30" spans="1:83" ht="13" x14ac:dyDescent="0.3">
      <c r="A30" s="162" t="s">
        <v>145</v>
      </c>
      <c r="B30" s="148" t="s">
        <v>146</v>
      </c>
      <c r="C30" s="149">
        <v>0</v>
      </c>
      <c r="D30" s="150">
        <v>0</v>
      </c>
      <c r="E30" s="151">
        <f t="shared" si="0"/>
        <v>0</v>
      </c>
      <c r="F30" s="158" t="s">
        <v>145</v>
      </c>
      <c r="G30" s="153" t="s">
        <v>146</v>
      </c>
      <c r="H30" s="154">
        <v>-406</v>
      </c>
      <c r="I30" s="179">
        <v>-406</v>
      </c>
      <c r="J30" s="156">
        <f t="shared" si="1"/>
        <v>0</v>
      </c>
      <c r="K30" s="162" t="s">
        <v>145</v>
      </c>
      <c r="L30" s="157" t="s">
        <v>147</v>
      </c>
      <c r="M30" s="149">
        <v>911099</v>
      </c>
      <c r="N30" s="180">
        <v>911099</v>
      </c>
      <c r="O30" s="151">
        <f t="shared" si="2"/>
        <v>0</v>
      </c>
      <c r="P30" s="158" t="s">
        <v>145</v>
      </c>
      <c r="Q30" s="159" t="s">
        <v>148</v>
      </c>
      <c r="R30" s="284"/>
      <c r="S30" s="155"/>
      <c r="T30" s="161">
        <f t="shared" si="3"/>
        <v>0</v>
      </c>
      <c r="U30" s="162" t="s">
        <v>145</v>
      </c>
      <c r="V30" s="163" t="s">
        <v>148</v>
      </c>
      <c r="W30" s="164">
        <v>0</v>
      </c>
      <c r="X30" s="164">
        <v>0</v>
      </c>
      <c r="Y30" s="165"/>
      <c r="Z30" s="158" t="s">
        <v>145</v>
      </c>
      <c r="AA30" s="159" t="s">
        <v>148</v>
      </c>
      <c r="AB30" s="166">
        <v>0</v>
      </c>
      <c r="AC30" s="181">
        <v>0</v>
      </c>
      <c r="AD30" s="161">
        <f t="shared" si="4"/>
        <v>0</v>
      </c>
      <c r="AE30" s="162" t="s">
        <v>145</v>
      </c>
      <c r="AF30" s="163" t="s">
        <v>148</v>
      </c>
      <c r="AG30" s="149">
        <v>0</v>
      </c>
      <c r="AH30" s="149">
        <v>0</v>
      </c>
      <c r="AI30" s="165">
        <f t="shared" si="5"/>
        <v>0</v>
      </c>
      <c r="AJ30" s="168" t="s">
        <v>145</v>
      </c>
      <c r="AK30" s="169" t="s">
        <v>147</v>
      </c>
      <c r="AL30" s="170">
        <v>0</v>
      </c>
      <c r="AM30" s="183">
        <f t="shared" si="6"/>
        <v>0</v>
      </c>
      <c r="AN30" s="172">
        <f t="shared" si="7"/>
        <v>0</v>
      </c>
      <c r="AO30" s="162" t="s">
        <v>145</v>
      </c>
      <c r="AP30" s="163" t="s">
        <v>147</v>
      </c>
      <c r="AQ30" s="173">
        <v>0</v>
      </c>
      <c r="AR30" s="173">
        <v>0</v>
      </c>
      <c r="AS30" s="165">
        <f t="shared" si="8"/>
        <v>0</v>
      </c>
      <c r="AT30" s="168" t="s">
        <v>145</v>
      </c>
      <c r="AU30" s="169" t="s">
        <v>147</v>
      </c>
      <c r="AV30" s="172">
        <v>0</v>
      </c>
      <c r="AW30" s="172">
        <v>0</v>
      </c>
      <c r="AX30" s="172">
        <f t="shared" si="9"/>
        <v>0</v>
      </c>
      <c r="AY30" s="158" t="s">
        <v>145</v>
      </c>
      <c r="AZ30" s="174" t="s">
        <v>147</v>
      </c>
      <c r="BA30" s="154">
        <v>0</v>
      </c>
      <c r="BB30" s="154">
        <v>0</v>
      </c>
      <c r="BC30" s="154">
        <f t="shared" si="11"/>
        <v>0</v>
      </c>
      <c r="BD30" s="184" t="s">
        <v>145</v>
      </c>
      <c r="BE30" s="176" t="s">
        <v>146</v>
      </c>
      <c r="BF30" s="172">
        <v>0</v>
      </c>
      <c r="BG30" s="177">
        <v>0</v>
      </c>
      <c r="BH30" s="178">
        <f t="shared" si="12"/>
        <v>0</v>
      </c>
      <c r="BJ30" s="140">
        <v>127</v>
      </c>
      <c r="BK30" s="313">
        <v>1128827</v>
      </c>
      <c r="BL30" s="312">
        <f t="shared" si="13"/>
        <v>0</v>
      </c>
      <c r="BM30" s="314">
        <f t="shared" si="14"/>
        <v>0</v>
      </c>
      <c r="BN30" s="319" t="s">
        <v>145</v>
      </c>
      <c r="BO30" s="321">
        <v>1128827</v>
      </c>
      <c r="BP30" s="322">
        <f t="shared" si="15"/>
        <v>0</v>
      </c>
      <c r="BQ30" s="323">
        <f t="shared" si="16"/>
        <v>0</v>
      </c>
      <c r="BR30" s="140" t="s">
        <v>145</v>
      </c>
      <c r="BS30" s="313">
        <v>1128827</v>
      </c>
      <c r="BT30" s="312">
        <f t="shared" si="17"/>
        <v>0</v>
      </c>
      <c r="BU30" s="314">
        <f t="shared" si="18"/>
        <v>0</v>
      </c>
      <c r="BV30" s="319" t="s">
        <v>145</v>
      </c>
      <c r="BW30" s="321">
        <v>1093337</v>
      </c>
      <c r="BX30" s="321">
        <v>203660</v>
      </c>
      <c r="BY30" s="322">
        <f t="shared" si="19"/>
        <v>0</v>
      </c>
      <c r="BZ30" s="323">
        <f t="shared" si="20"/>
        <v>0</v>
      </c>
      <c r="CA30" s="140" t="s">
        <v>145</v>
      </c>
      <c r="CB30" s="313">
        <v>1093337</v>
      </c>
      <c r="CC30" s="312">
        <v>203660</v>
      </c>
      <c r="CD30" s="314">
        <f t="shared" si="21"/>
        <v>0</v>
      </c>
      <c r="CE30" s="314">
        <f t="shared" si="22"/>
        <v>0</v>
      </c>
    </row>
    <row r="31" spans="1:83" ht="13" x14ac:dyDescent="0.3">
      <c r="A31" s="162" t="s">
        <v>150</v>
      </c>
      <c r="B31" s="148" t="s">
        <v>151</v>
      </c>
      <c r="C31" s="149">
        <v>0</v>
      </c>
      <c r="D31" s="150">
        <v>0</v>
      </c>
      <c r="E31" s="151">
        <f t="shared" si="0"/>
        <v>0</v>
      </c>
      <c r="F31" s="158" t="s">
        <v>150</v>
      </c>
      <c r="G31" s="153" t="s">
        <v>151</v>
      </c>
      <c r="H31" s="154">
        <v>916154</v>
      </c>
      <c r="I31" s="179">
        <v>916154</v>
      </c>
      <c r="J31" s="156">
        <f t="shared" si="1"/>
        <v>0</v>
      </c>
      <c r="K31" s="162" t="s">
        <v>150</v>
      </c>
      <c r="L31" s="157" t="s">
        <v>152</v>
      </c>
      <c r="M31" s="149">
        <v>0</v>
      </c>
      <c r="N31" s="180">
        <v>0</v>
      </c>
      <c r="O31" s="151">
        <f t="shared" si="2"/>
        <v>0</v>
      </c>
      <c r="P31" s="158" t="s">
        <v>150</v>
      </c>
      <c r="Q31" s="159" t="s">
        <v>153</v>
      </c>
      <c r="R31" s="284">
        <v>935</v>
      </c>
      <c r="S31" s="284">
        <v>935</v>
      </c>
      <c r="T31" s="161">
        <f t="shared" si="3"/>
        <v>0</v>
      </c>
      <c r="U31" s="162" t="s">
        <v>150</v>
      </c>
      <c r="V31" s="163" t="s">
        <v>153</v>
      </c>
      <c r="W31" s="164">
        <v>1147183</v>
      </c>
      <c r="X31" s="164">
        <v>0</v>
      </c>
      <c r="Y31" s="165"/>
      <c r="Z31" s="158" t="s">
        <v>150</v>
      </c>
      <c r="AA31" s="159" t="s">
        <v>153</v>
      </c>
      <c r="AB31" s="166">
        <v>0</v>
      </c>
      <c r="AC31" s="167">
        <v>0</v>
      </c>
      <c r="AD31" s="161">
        <f t="shared" si="4"/>
        <v>0</v>
      </c>
      <c r="AE31" s="162" t="s">
        <v>150</v>
      </c>
      <c r="AF31" s="163" t="s">
        <v>153</v>
      </c>
      <c r="AG31" s="149">
        <v>-846</v>
      </c>
      <c r="AH31" s="149">
        <v>-846</v>
      </c>
      <c r="AI31" s="165">
        <f t="shared" si="5"/>
        <v>0</v>
      </c>
      <c r="AJ31" s="168" t="s">
        <v>150</v>
      </c>
      <c r="AK31" s="169" t="s">
        <v>152</v>
      </c>
      <c r="AL31" s="170">
        <v>665264</v>
      </c>
      <c r="AM31" s="183">
        <f t="shared" si="6"/>
        <v>665264</v>
      </c>
      <c r="AN31" s="172">
        <f t="shared" si="7"/>
        <v>0</v>
      </c>
      <c r="AO31" s="162" t="s">
        <v>150</v>
      </c>
      <c r="AP31" s="163" t="s">
        <v>152</v>
      </c>
      <c r="AQ31" s="173">
        <v>-638929</v>
      </c>
      <c r="AR31" s="173">
        <v>-638929</v>
      </c>
      <c r="AS31" s="165">
        <f t="shared" si="8"/>
        <v>0</v>
      </c>
      <c r="AT31" s="168" t="s">
        <v>150</v>
      </c>
      <c r="AU31" s="169" t="s">
        <v>152</v>
      </c>
      <c r="AV31" s="172">
        <v>-1943122</v>
      </c>
      <c r="AW31" s="172">
        <v>-1943122</v>
      </c>
      <c r="AX31" s="172">
        <f>+AV31-AW31</f>
        <v>0</v>
      </c>
      <c r="AY31" s="158" t="s">
        <v>150</v>
      </c>
      <c r="AZ31" s="174" t="s">
        <v>152</v>
      </c>
      <c r="BA31" s="154">
        <v>0</v>
      </c>
      <c r="BB31" s="154">
        <v>0</v>
      </c>
      <c r="BC31" s="154">
        <f t="shared" si="11"/>
        <v>0</v>
      </c>
      <c r="BD31" s="184" t="s">
        <v>150</v>
      </c>
      <c r="BE31" s="176" t="s">
        <v>151</v>
      </c>
      <c r="BF31" s="172">
        <v>962878</v>
      </c>
      <c r="BG31" s="177">
        <v>-638929</v>
      </c>
      <c r="BH31" s="178">
        <f t="shared" si="12"/>
        <v>1601807</v>
      </c>
      <c r="BJ31" s="140">
        <v>128</v>
      </c>
      <c r="BK31" s="313">
        <v>957565</v>
      </c>
      <c r="BL31" s="312">
        <f t="shared" si="13"/>
        <v>962878</v>
      </c>
      <c r="BM31" s="314">
        <f t="shared" si="14"/>
        <v>1.005548448408202</v>
      </c>
      <c r="BN31" s="319" t="s">
        <v>150</v>
      </c>
      <c r="BO31" s="321">
        <v>957565</v>
      </c>
      <c r="BP31" s="322">
        <f t="shared" si="15"/>
        <v>0</v>
      </c>
      <c r="BQ31" s="323">
        <f t="shared" si="16"/>
        <v>0</v>
      </c>
      <c r="BR31" s="140" t="s">
        <v>150</v>
      </c>
      <c r="BS31" s="313">
        <v>957565</v>
      </c>
      <c r="BT31" s="312">
        <f t="shared" si="17"/>
        <v>-1943122</v>
      </c>
      <c r="BU31" s="314">
        <f t="shared" si="18"/>
        <v>-2.0292324803015984</v>
      </c>
      <c r="BV31" s="319" t="s">
        <v>150</v>
      </c>
      <c r="BW31" s="321">
        <v>1099404</v>
      </c>
      <c r="BX31" s="321">
        <v>204789</v>
      </c>
      <c r="BY31" s="322">
        <f t="shared" si="19"/>
        <v>-638929</v>
      </c>
      <c r="BZ31" s="323">
        <f t="shared" si="20"/>
        <v>-0.5811594281992789</v>
      </c>
      <c r="CA31" s="140" t="s">
        <v>150</v>
      </c>
      <c r="CB31" s="313">
        <v>1099404</v>
      </c>
      <c r="CC31" s="312">
        <v>204789</v>
      </c>
      <c r="CD31" s="314">
        <f t="shared" si="21"/>
        <v>665264</v>
      </c>
      <c r="CE31" s="314">
        <f t="shared" si="22"/>
        <v>0.60511331594209228</v>
      </c>
    </row>
    <row r="32" spans="1:83" ht="13" x14ac:dyDescent="0.3">
      <c r="A32" s="162" t="s">
        <v>154</v>
      </c>
      <c r="B32" s="148" t="s">
        <v>155</v>
      </c>
      <c r="C32" s="149">
        <v>0</v>
      </c>
      <c r="D32" s="150">
        <v>0</v>
      </c>
      <c r="E32" s="151"/>
      <c r="F32" s="158" t="s">
        <v>154</v>
      </c>
      <c r="G32" s="153" t="s">
        <v>155</v>
      </c>
      <c r="H32" s="154">
        <v>0</v>
      </c>
      <c r="I32" s="179">
        <v>0</v>
      </c>
      <c r="J32" s="156">
        <f t="shared" si="1"/>
        <v>0</v>
      </c>
      <c r="K32" s="162" t="s">
        <v>154</v>
      </c>
      <c r="L32" s="157" t="s">
        <v>156</v>
      </c>
      <c r="M32" s="149">
        <v>0</v>
      </c>
      <c r="N32" s="180">
        <v>0</v>
      </c>
      <c r="O32" s="151">
        <f t="shared" si="2"/>
        <v>0</v>
      </c>
      <c r="P32" s="158" t="s">
        <v>154</v>
      </c>
      <c r="Q32" s="159" t="s">
        <v>157</v>
      </c>
      <c r="R32" s="155"/>
      <c r="S32" s="179"/>
      <c r="T32" s="144">
        <v>0</v>
      </c>
      <c r="U32" s="162" t="s">
        <v>154</v>
      </c>
      <c r="V32" s="188" t="s">
        <v>157</v>
      </c>
      <c r="W32" s="164">
        <v>0</v>
      </c>
      <c r="X32" s="189"/>
      <c r="Y32" s="145"/>
      <c r="Z32" s="158" t="s">
        <v>154</v>
      </c>
      <c r="AA32" s="190" t="s">
        <v>157</v>
      </c>
      <c r="AB32" s="166">
        <v>0</v>
      </c>
      <c r="AC32" s="181">
        <v>0</v>
      </c>
      <c r="AD32" s="144">
        <v>0</v>
      </c>
      <c r="AE32" s="162" t="s">
        <v>154</v>
      </c>
      <c r="AF32" s="163" t="s">
        <v>157</v>
      </c>
      <c r="AG32" s="191">
        <v>0</v>
      </c>
      <c r="AH32" s="191">
        <v>0</v>
      </c>
      <c r="AI32" s="192">
        <v>0</v>
      </c>
      <c r="AJ32" s="168" t="s">
        <v>154</v>
      </c>
      <c r="AK32" s="169" t="s">
        <v>156</v>
      </c>
      <c r="AL32" s="170">
        <v>0</v>
      </c>
      <c r="AM32" s="183">
        <f t="shared" si="6"/>
        <v>0</v>
      </c>
      <c r="AN32" s="172">
        <f t="shared" si="7"/>
        <v>0</v>
      </c>
      <c r="AO32" s="162" t="s">
        <v>154</v>
      </c>
      <c r="AP32" s="163" t="s">
        <v>156</v>
      </c>
      <c r="AQ32" s="173">
        <v>0</v>
      </c>
      <c r="AR32" s="173">
        <v>0</v>
      </c>
      <c r="AS32" s="192">
        <f>+AQ32-AR32</f>
        <v>0</v>
      </c>
      <c r="AT32" s="168" t="s">
        <v>154</v>
      </c>
      <c r="AU32" s="169" t="s">
        <v>156</v>
      </c>
      <c r="AV32" s="172">
        <v>0</v>
      </c>
      <c r="AW32" s="172">
        <v>0</v>
      </c>
      <c r="AX32" s="172">
        <f>+AV32-AW32</f>
        <v>0</v>
      </c>
      <c r="AY32" s="158" t="s">
        <v>154</v>
      </c>
      <c r="AZ32" s="174" t="s">
        <v>156</v>
      </c>
      <c r="BA32" s="154">
        <v>0</v>
      </c>
      <c r="BB32" s="154">
        <v>0</v>
      </c>
      <c r="BC32" s="154">
        <f>+BA32-BB32</f>
        <v>0</v>
      </c>
      <c r="BD32" s="184" t="s">
        <v>154</v>
      </c>
      <c r="BE32" s="176" t="s">
        <v>155</v>
      </c>
      <c r="BF32" s="172">
        <v>49833</v>
      </c>
      <c r="BG32" s="177">
        <v>0</v>
      </c>
      <c r="BH32" s="178">
        <f>+BF32-BG32</f>
        <v>49833</v>
      </c>
      <c r="BJ32" s="140">
        <v>129</v>
      </c>
      <c r="BK32" s="313">
        <v>1026945</v>
      </c>
      <c r="BL32" s="312">
        <f t="shared" si="13"/>
        <v>49833</v>
      </c>
      <c r="BM32" s="314">
        <f t="shared" si="14"/>
        <v>4.8525480916699532E-2</v>
      </c>
      <c r="BN32" s="319" t="s">
        <v>154</v>
      </c>
      <c r="BO32" s="321">
        <v>1026945</v>
      </c>
      <c r="BP32" s="322">
        <f t="shared" si="15"/>
        <v>0</v>
      </c>
      <c r="BQ32" s="323">
        <f t="shared" si="16"/>
        <v>0</v>
      </c>
      <c r="BR32" s="140" t="s">
        <v>154</v>
      </c>
      <c r="BS32" s="313">
        <v>1026945</v>
      </c>
      <c r="BT32" s="312">
        <f t="shared" si="17"/>
        <v>0</v>
      </c>
      <c r="BU32" s="314">
        <f t="shared" si="18"/>
        <v>0</v>
      </c>
      <c r="BV32" s="319" t="s">
        <v>154</v>
      </c>
      <c r="BW32" s="321">
        <v>1172554</v>
      </c>
      <c r="BX32" s="321">
        <v>218416</v>
      </c>
      <c r="BY32" s="322">
        <f t="shared" si="19"/>
        <v>0</v>
      </c>
      <c r="BZ32" s="323">
        <f t="shared" si="20"/>
        <v>0</v>
      </c>
      <c r="CA32" s="140" t="s">
        <v>154</v>
      </c>
      <c r="CB32" s="313">
        <v>1172554</v>
      </c>
      <c r="CC32" s="312">
        <v>218416</v>
      </c>
      <c r="CD32" s="314">
        <f t="shared" si="21"/>
        <v>0</v>
      </c>
      <c r="CE32" s="314">
        <f t="shared" si="22"/>
        <v>0</v>
      </c>
    </row>
    <row r="33" spans="1:83" ht="12.5" thickBot="1" x14ac:dyDescent="0.35">
      <c r="A33" s="193"/>
      <c r="B33" s="194"/>
      <c r="C33" s="195"/>
      <c r="D33" s="196"/>
      <c r="E33" s="197"/>
      <c r="F33" s="198"/>
      <c r="G33" s="199"/>
      <c r="H33" s="200"/>
      <c r="I33" s="201"/>
      <c r="J33" s="202"/>
      <c r="K33" s="193"/>
      <c r="L33" s="203"/>
      <c r="M33" s="195"/>
      <c r="N33" s="204"/>
      <c r="O33" s="197"/>
      <c r="P33" s="198"/>
      <c r="Q33" s="190"/>
      <c r="R33" s="205"/>
      <c r="S33" s="201"/>
      <c r="T33" s="144"/>
      <c r="U33" s="193"/>
      <c r="V33" s="206" t="s">
        <v>158</v>
      </c>
      <c r="W33" s="164">
        <f>SUM(W4:W32)</f>
        <v>14423568</v>
      </c>
      <c r="X33" s="164">
        <f>SUM(X4:X32)</f>
        <v>4740</v>
      </c>
      <c r="Y33" s="145"/>
      <c r="Z33" s="198"/>
      <c r="AA33" s="206" t="s">
        <v>158</v>
      </c>
      <c r="AB33" s="166">
        <f>SUM(AB4:AB32)</f>
        <v>8689091</v>
      </c>
      <c r="AC33" s="166">
        <f t="shared" ref="AC33:AD33" si="23">SUM(AC4:AC32)</f>
        <v>8689091</v>
      </c>
      <c r="AD33" s="166">
        <f t="shared" si="23"/>
        <v>0</v>
      </c>
      <c r="AE33" s="145"/>
      <c r="AF33" s="206" t="s">
        <v>158</v>
      </c>
      <c r="AG33" s="207">
        <f>SUM(AG4:AG32)</f>
        <v>12541985</v>
      </c>
      <c r="AH33" s="207">
        <f t="shared" ref="AH33:AI33" si="24">SUM(AH4:AH32)</f>
        <v>11341985</v>
      </c>
      <c r="AI33" s="207">
        <f t="shared" si="24"/>
        <v>1200000</v>
      </c>
      <c r="AJ33" s="146"/>
      <c r="AK33" s="246" t="s">
        <v>158</v>
      </c>
      <c r="AL33" s="247">
        <f>SUM(AL4:AL32)</f>
        <v>16430508</v>
      </c>
      <c r="AM33" s="171">
        <f>SUM(AM4:AM32)</f>
        <v>16380609</v>
      </c>
      <c r="AN33" s="247">
        <f>SUM(AN4:AN32)</f>
        <v>49899</v>
      </c>
      <c r="AO33" s="145"/>
      <c r="AP33" s="206" t="s">
        <v>158</v>
      </c>
      <c r="AQ33" s="207">
        <f>SUM(AQ4:AQ32)</f>
        <v>9722834</v>
      </c>
      <c r="AR33" s="207">
        <f>SUM(AR4:AR32)</f>
        <v>9672935</v>
      </c>
      <c r="AS33" s="208">
        <f>SUM(AS4:AS32)</f>
        <v>49899</v>
      </c>
      <c r="AT33" s="146"/>
      <c r="AU33" s="246" t="s">
        <v>158</v>
      </c>
      <c r="AV33" s="247">
        <f>SUM(AV4:AV32)</f>
        <v>7472643</v>
      </c>
      <c r="AW33" s="247">
        <f>SUM(AW4:AW32)</f>
        <v>7451314</v>
      </c>
      <c r="AX33" s="247">
        <f>SUM(AX4:AX32)</f>
        <v>21329</v>
      </c>
      <c r="AY33" s="144"/>
      <c r="AZ33" s="248" t="s">
        <v>158</v>
      </c>
      <c r="BA33" s="249">
        <f>SUM(BA4:BA32)</f>
        <v>12688003</v>
      </c>
      <c r="BB33" s="249">
        <f t="shared" ref="BB33:BF33" si="25">SUM(BB4:BB32)</f>
        <v>12666678</v>
      </c>
      <c r="BC33" s="249">
        <f t="shared" si="25"/>
        <v>21325</v>
      </c>
      <c r="BD33" s="249">
        <f t="shared" si="25"/>
        <v>0</v>
      </c>
      <c r="BE33" s="249">
        <f t="shared" si="25"/>
        <v>0</v>
      </c>
      <c r="BF33" s="249">
        <f t="shared" si="25"/>
        <v>10621622</v>
      </c>
      <c r="BG33" s="172">
        <f>SUM(BG4:BG32)</f>
        <v>-409005</v>
      </c>
      <c r="BH33" s="172">
        <f>SUM(BH4:BH32)</f>
        <v>11030627</v>
      </c>
    </row>
    <row r="34" spans="1:83" ht="12.5" thickTop="1" x14ac:dyDescent="0.3">
      <c r="A34" s="270"/>
      <c r="B34" s="270"/>
      <c r="C34" s="271">
        <v>45992</v>
      </c>
      <c r="D34" s="270"/>
      <c r="E34" s="270"/>
      <c r="F34" s="270"/>
      <c r="G34" s="270"/>
      <c r="H34" s="271">
        <v>45962</v>
      </c>
      <c r="I34" s="270"/>
      <c r="J34" s="270"/>
      <c r="K34" s="270"/>
      <c r="L34" s="270"/>
      <c r="M34" s="271">
        <v>45931</v>
      </c>
      <c r="N34" s="270"/>
      <c r="O34" s="270"/>
      <c r="P34" s="270"/>
      <c r="Q34" s="270"/>
      <c r="R34" s="271">
        <v>45901</v>
      </c>
      <c r="S34" s="270"/>
      <c r="T34" s="270"/>
      <c r="U34" s="270"/>
      <c r="V34" s="270"/>
      <c r="W34" s="271">
        <v>45870</v>
      </c>
      <c r="X34" s="270"/>
      <c r="Y34" s="270"/>
      <c r="Z34" s="270"/>
      <c r="AA34" s="270"/>
      <c r="AB34" s="271">
        <v>45839</v>
      </c>
      <c r="AC34" s="272"/>
      <c r="AD34" s="273"/>
      <c r="AE34" s="274"/>
      <c r="AF34" s="275"/>
      <c r="AG34" s="276">
        <v>45809</v>
      </c>
      <c r="AH34" s="275"/>
      <c r="AI34" s="277"/>
      <c r="AJ34" s="278"/>
      <c r="AK34" s="279"/>
      <c r="AL34" s="280">
        <v>46143</v>
      </c>
      <c r="AM34" s="281"/>
      <c r="AN34" s="281"/>
      <c r="AO34" s="281"/>
      <c r="AP34" s="281"/>
      <c r="AQ34" s="280">
        <v>46113</v>
      </c>
      <c r="AR34" s="281"/>
      <c r="AS34" s="281"/>
      <c r="AT34" s="281"/>
      <c r="AU34" s="280"/>
      <c r="AV34" s="280">
        <v>46082</v>
      </c>
      <c r="AW34" s="281"/>
      <c r="AX34" s="281"/>
      <c r="AY34" s="281"/>
      <c r="AZ34" s="281"/>
      <c r="BA34" s="280">
        <v>46054</v>
      </c>
      <c r="BB34" s="281"/>
      <c r="BC34" s="281"/>
      <c r="BD34" s="281"/>
      <c r="BE34" s="281"/>
      <c r="BF34" s="280">
        <v>46023</v>
      </c>
      <c r="BG34" s="244"/>
      <c r="BH34" s="245"/>
    </row>
    <row r="35" spans="1:83" s="291" customFormat="1" x14ac:dyDescent="0.3">
      <c r="A35" s="254" t="s">
        <v>160</v>
      </c>
      <c r="B35" s="288" t="s">
        <v>158</v>
      </c>
      <c r="C35" s="289">
        <f>SUM(C4:C32)</f>
        <v>6612494</v>
      </c>
      <c r="D35" s="289">
        <f>SUM(D4:D32)</f>
        <v>6612494</v>
      </c>
      <c r="E35" s="289">
        <f>SUM(E4:E32)</f>
        <v>0</v>
      </c>
      <c r="F35" s="254" t="s">
        <v>160</v>
      </c>
      <c r="G35" s="288"/>
      <c r="H35" s="289">
        <f>SUM(H4:H32)</f>
        <v>11820360</v>
      </c>
      <c r="I35" s="289">
        <f>SUM(I4:I32)</f>
        <v>11820720</v>
      </c>
      <c r="J35" s="289">
        <f>SUM(J4:J32)</f>
        <v>-360</v>
      </c>
      <c r="K35" s="242"/>
      <c r="L35" s="288" t="s">
        <v>158</v>
      </c>
      <c r="M35" s="289">
        <f>SUM(M4:M32)</f>
        <v>13390458</v>
      </c>
      <c r="N35" s="289">
        <f>SUM(N4:N32)</f>
        <v>13390458</v>
      </c>
      <c r="O35" s="242">
        <f t="shared" si="2"/>
        <v>0</v>
      </c>
      <c r="P35" s="242"/>
      <c r="Q35" s="288" t="s">
        <v>158</v>
      </c>
      <c r="R35" s="254">
        <f>SUM(R4:R32)</f>
        <v>13953951</v>
      </c>
      <c r="S35" s="254">
        <f>SUM(S4:S32)</f>
        <v>13963951</v>
      </c>
      <c r="T35" s="254">
        <f t="shared" ref="T35:AF35" si="26">SUM(T4:T31)</f>
        <v>-10000</v>
      </c>
      <c r="U35" s="254">
        <f t="shared" si="26"/>
        <v>0</v>
      </c>
      <c r="V35" s="254">
        <f t="shared" si="26"/>
        <v>0</v>
      </c>
      <c r="W35" s="254">
        <f t="shared" si="26"/>
        <v>14423568</v>
      </c>
      <c r="X35" s="254">
        <f t="shared" si="26"/>
        <v>4740</v>
      </c>
      <c r="Y35" s="254">
        <f t="shared" si="26"/>
        <v>0</v>
      </c>
      <c r="Z35" s="254">
        <f t="shared" si="26"/>
        <v>0</v>
      </c>
      <c r="AA35" s="254">
        <f t="shared" si="26"/>
        <v>0</v>
      </c>
      <c r="AB35" s="254">
        <f t="shared" si="26"/>
        <v>8689091</v>
      </c>
      <c r="AC35" s="254">
        <f t="shared" si="26"/>
        <v>8689091</v>
      </c>
      <c r="AD35" s="254">
        <f t="shared" si="26"/>
        <v>0</v>
      </c>
      <c r="AE35" s="254">
        <f t="shared" si="26"/>
        <v>0</v>
      </c>
      <c r="AF35" s="254">
        <f t="shared" si="26"/>
        <v>0</v>
      </c>
      <c r="AG35" s="254">
        <f>AG33</f>
        <v>12541985</v>
      </c>
      <c r="AH35" s="254">
        <f>SUM(AH4:AH31)</f>
        <v>11341985</v>
      </c>
      <c r="AI35" s="254">
        <f>SUM(AI4:AI31)</f>
        <v>1200000</v>
      </c>
      <c r="AJ35" s="255"/>
      <c r="AK35" s="256" t="s">
        <v>162</v>
      </c>
      <c r="AL35" s="257">
        <f>AL33</f>
        <v>16430508</v>
      </c>
      <c r="AM35" s="257">
        <v>0</v>
      </c>
      <c r="AN35" s="243"/>
      <c r="AO35" s="254">
        <f>SUM(AO4:AO31)</f>
        <v>0</v>
      </c>
      <c r="AP35" s="254">
        <f>SUM(AP4:AP31)</f>
        <v>0</v>
      </c>
      <c r="AQ35" s="257">
        <v>9722834</v>
      </c>
      <c r="AR35" s="254">
        <f>SUM(AR4:AR31)</f>
        <v>9672935</v>
      </c>
      <c r="AS35" s="254">
        <f>SUM(AS4:AS31)</f>
        <v>49899</v>
      </c>
      <c r="AT35" s="258"/>
      <c r="AU35" s="256"/>
      <c r="AV35" s="259">
        <v>7472643</v>
      </c>
      <c r="AW35" s="259"/>
      <c r="AX35" s="260"/>
      <c r="AY35" s="254">
        <f t="shared" ref="AY35" si="27">SUM(AY4:AY31)</f>
        <v>0</v>
      </c>
      <c r="AZ35" s="256"/>
      <c r="BA35" s="259">
        <v>12688003</v>
      </c>
      <c r="BB35" s="259"/>
      <c r="BC35" s="260"/>
      <c r="BD35" s="255"/>
      <c r="BE35" s="256" t="s">
        <v>162</v>
      </c>
      <c r="BF35" s="257">
        <v>10621622</v>
      </c>
      <c r="BG35" s="290">
        <v>0</v>
      </c>
      <c r="BH35" s="210"/>
      <c r="BM35" s="316"/>
      <c r="CE35" s="316"/>
    </row>
    <row r="36" spans="1:83" x14ac:dyDescent="0.3">
      <c r="A36" s="211" t="s">
        <v>161</v>
      </c>
      <c r="B36" s="212"/>
      <c r="C36" s="213">
        <v>37511649</v>
      </c>
      <c r="D36" s="213">
        <v>0</v>
      </c>
      <c r="E36" s="214"/>
      <c r="F36" s="211" t="s">
        <v>161</v>
      </c>
      <c r="G36" s="212"/>
      <c r="H36" s="213">
        <v>43399112</v>
      </c>
      <c r="I36" s="213"/>
      <c r="J36" s="214"/>
      <c r="K36" s="215"/>
      <c r="L36" s="212"/>
      <c r="M36" s="216">
        <v>43158407</v>
      </c>
      <c r="N36" s="216"/>
      <c r="O36" s="161"/>
      <c r="P36" s="215"/>
      <c r="Q36" s="212"/>
      <c r="R36" s="156">
        <v>44426148</v>
      </c>
      <c r="S36" s="216"/>
      <c r="T36" s="161"/>
      <c r="U36" s="215"/>
      <c r="V36" s="212"/>
      <c r="W36" s="216">
        <v>46112831</v>
      </c>
      <c r="X36" s="216"/>
      <c r="Y36" s="161"/>
      <c r="Z36" s="215"/>
      <c r="AA36" s="212"/>
      <c r="AB36" s="216">
        <v>33838463</v>
      </c>
      <c r="AC36" s="216"/>
      <c r="AD36" s="161"/>
      <c r="AE36" s="161"/>
      <c r="AF36" s="261"/>
      <c r="AG36" s="156">
        <v>33785820</v>
      </c>
      <c r="AH36" s="156"/>
      <c r="AI36" s="161"/>
      <c r="AJ36" s="262"/>
      <c r="AK36" s="263"/>
      <c r="AL36" s="264">
        <v>42175564</v>
      </c>
      <c r="AM36" s="264"/>
      <c r="AN36" s="217"/>
      <c r="AO36" s="161"/>
      <c r="AP36" s="161"/>
      <c r="AQ36" s="161">
        <v>41856469</v>
      </c>
      <c r="AR36" s="161"/>
      <c r="AS36" s="161"/>
      <c r="AT36" s="265"/>
      <c r="AU36" s="266" t="s">
        <v>162</v>
      </c>
      <c r="AV36" s="267">
        <v>44146815</v>
      </c>
      <c r="AW36" s="267">
        <v>0</v>
      </c>
      <c r="AX36" s="209"/>
      <c r="AY36" s="218"/>
      <c r="AZ36" s="266" t="s">
        <v>162</v>
      </c>
      <c r="BA36" s="267">
        <v>42045301</v>
      </c>
      <c r="BB36" s="267">
        <v>0</v>
      </c>
      <c r="BC36" s="209"/>
      <c r="BD36" s="178">
        <f>SUM(BD5:BD32)</f>
        <v>0</v>
      </c>
      <c r="BE36" s="268"/>
      <c r="BF36" s="268">
        <v>37965345</v>
      </c>
      <c r="BG36" s="219">
        <f>(C35+H35+M35+R35+W35+AB35+AG35+AL35+AQ35+AU35+BA35+BD36)/12</f>
        <v>10022771</v>
      </c>
    </row>
    <row r="37" spans="1:83" s="282" customFormat="1" x14ac:dyDescent="0.3">
      <c r="A37" s="254" t="s">
        <v>163</v>
      </c>
      <c r="B37" s="242"/>
      <c r="C37" s="254">
        <f>C36-C35</f>
        <v>30899155</v>
      </c>
      <c r="D37" s="254">
        <f t="shared" ref="D37:BC37" si="28">D36-D35</f>
        <v>-6612494</v>
      </c>
      <c r="E37" s="254">
        <f t="shared" si="28"/>
        <v>0</v>
      </c>
      <c r="F37" s="254" t="s">
        <v>163</v>
      </c>
      <c r="G37" s="254"/>
      <c r="H37" s="254">
        <f t="shared" si="28"/>
        <v>31578752</v>
      </c>
      <c r="I37" s="254"/>
      <c r="J37" s="254">
        <f t="shared" si="28"/>
        <v>360</v>
      </c>
      <c r="K37" s="254">
        <f t="shared" si="28"/>
        <v>0</v>
      </c>
      <c r="L37" s="254" t="e">
        <f t="shared" si="28"/>
        <v>#VALUE!</v>
      </c>
      <c r="M37" s="254">
        <f t="shared" si="28"/>
        <v>29767949</v>
      </c>
      <c r="N37" s="254">
        <f t="shared" si="28"/>
        <v>-13390458</v>
      </c>
      <c r="O37" s="254">
        <f t="shared" si="28"/>
        <v>0</v>
      </c>
      <c r="P37" s="254">
        <f t="shared" si="28"/>
        <v>0</v>
      </c>
      <c r="Q37" s="254" t="e">
        <f t="shared" si="28"/>
        <v>#VALUE!</v>
      </c>
      <c r="R37" s="254">
        <f t="shared" si="28"/>
        <v>30472197</v>
      </c>
      <c r="S37" s="254"/>
      <c r="T37" s="254">
        <f t="shared" si="28"/>
        <v>10000</v>
      </c>
      <c r="U37" s="254">
        <f t="shared" si="28"/>
        <v>0</v>
      </c>
      <c r="V37" s="254">
        <f t="shared" si="28"/>
        <v>0</v>
      </c>
      <c r="W37" s="254">
        <f>W36-W35</f>
        <v>31689263</v>
      </c>
      <c r="X37" s="254">
        <f t="shared" si="28"/>
        <v>-4740</v>
      </c>
      <c r="Y37" s="254">
        <f t="shared" si="28"/>
        <v>0</v>
      </c>
      <c r="Z37" s="254">
        <f t="shared" si="28"/>
        <v>0</v>
      </c>
      <c r="AA37" s="254">
        <f t="shared" si="28"/>
        <v>0</v>
      </c>
      <c r="AB37" s="254">
        <f t="shared" si="28"/>
        <v>25149372</v>
      </c>
      <c r="AC37" s="254">
        <f t="shared" si="28"/>
        <v>-8689091</v>
      </c>
      <c r="AD37" s="254">
        <f t="shared" si="28"/>
        <v>0</v>
      </c>
      <c r="AE37" s="254">
        <f t="shared" si="28"/>
        <v>0</v>
      </c>
      <c r="AF37" s="254"/>
      <c r="AG37" s="254">
        <f>AG36-AG35</f>
        <v>21243835</v>
      </c>
      <c r="AH37" s="254"/>
      <c r="AI37" s="254">
        <f t="shared" si="28"/>
        <v>-1200000</v>
      </c>
      <c r="AJ37" s="254">
        <f t="shared" si="28"/>
        <v>0</v>
      </c>
      <c r="AK37" s="254" t="e">
        <f t="shared" si="28"/>
        <v>#VALUE!</v>
      </c>
      <c r="AL37" s="254">
        <v>35817687</v>
      </c>
      <c r="AM37" s="254">
        <f t="shared" si="28"/>
        <v>0</v>
      </c>
      <c r="AN37" s="254">
        <f t="shared" si="28"/>
        <v>0</v>
      </c>
      <c r="AO37" s="254">
        <f t="shared" si="28"/>
        <v>0</v>
      </c>
      <c r="AP37" s="254">
        <f t="shared" si="28"/>
        <v>0</v>
      </c>
      <c r="AQ37" s="254">
        <v>40282126</v>
      </c>
      <c r="AR37" s="254">
        <f t="shared" si="28"/>
        <v>-9672935</v>
      </c>
      <c r="AS37" s="254">
        <f t="shared" si="28"/>
        <v>-49899</v>
      </c>
      <c r="AT37" s="254">
        <f t="shared" si="28"/>
        <v>0</v>
      </c>
      <c r="AU37" s="254" t="e">
        <f t="shared" si="28"/>
        <v>#VALUE!</v>
      </c>
      <c r="AV37" s="254">
        <v>35095501</v>
      </c>
      <c r="AW37" s="254">
        <f t="shared" si="28"/>
        <v>0</v>
      </c>
      <c r="AX37" s="254">
        <f t="shared" si="28"/>
        <v>0</v>
      </c>
      <c r="AY37" s="254"/>
      <c r="AZ37" s="254"/>
      <c r="BA37" s="254">
        <f t="shared" si="28"/>
        <v>29357298</v>
      </c>
      <c r="BB37" s="254">
        <f t="shared" si="28"/>
        <v>0</v>
      </c>
      <c r="BC37" s="254">
        <f t="shared" si="28"/>
        <v>0</v>
      </c>
      <c r="BD37" s="254" t="e">
        <f>#REF!-BD36</f>
        <v>#REF!</v>
      </c>
      <c r="BE37" s="254" t="e">
        <f>#REF!-BE36</f>
        <v>#REF!</v>
      </c>
      <c r="BF37" s="254">
        <v>27365040</v>
      </c>
      <c r="BG37" s="268"/>
      <c r="BH37" s="268"/>
      <c r="BM37" s="314"/>
      <c r="CE37" s="314"/>
    </row>
    <row r="38" spans="1:83" ht="12.5" thickBot="1" x14ac:dyDescent="0.35">
      <c r="A38" s="251" t="s">
        <v>164</v>
      </c>
      <c r="B38" s="252"/>
      <c r="C38" s="253">
        <f>C35/C36</f>
        <v>0.17627841420674414</v>
      </c>
      <c r="D38" s="253" t="e">
        <f t="shared" ref="D38:BC38" si="29">D35/D36</f>
        <v>#DIV/0!</v>
      </c>
      <c r="E38" s="253" t="e">
        <f t="shared" si="29"/>
        <v>#DIV/0!</v>
      </c>
      <c r="F38" s="251" t="s">
        <v>164</v>
      </c>
      <c r="G38" s="253" t="e">
        <f t="shared" si="29"/>
        <v>#DIV/0!</v>
      </c>
      <c r="H38" s="253">
        <f t="shared" si="29"/>
        <v>0.27236409814099422</v>
      </c>
      <c r="I38" s="253"/>
      <c r="J38" s="253" t="e">
        <f t="shared" si="29"/>
        <v>#DIV/0!</v>
      </c>
      <c r="K38" s="253" t="e">
        <f t="shared" si="29"/>
        <v>#DIV/0!</v>
      </c>
      <c r="L38" s="253" t="e">
        <f t="shared" si="29"/>
        <v>#VALUE!</v>
      </c>
      <c r="M38" s="253">
        <f t="shared" si="29"/>
        <v>0.31026302708531389</v>
      </c>
      <c r="N38" s="253" t="e">
        <f t="shared" si="29"/>
        <v>#DIV/0!</v>
      </c>
      <c r="O38" s="253" t="e">
        <f t="shared" si="29"/>
        <v>#DIV/0!</v>
      </c>
      <c r="P38" s="253" t="e">
        <f>P35/P36</f>
        <v>#DIV/0!</v>
      </c>
      <c r="Q38" s="253" t="e">
        <f t="shared" si="29"/>
        <v>#VALUE!</v>
      </c>
      <c r="R38" s="253">
        <f>R35/R36</f>
        <v>0.31409320024774601</v>
      </c>
      <c r="S38" s="253" t="e">
        <f t="shared" si="29"/>
        <v>#DIV/0!</v>
      </c>
      <c r="T38" s="253" t="e">
        <f t="shared" si="29"/>
        <v>#DIV/0!</v>
      </c>
      <c r="U38" s="253" t="e">
        <f t="shared" si="29"/>
        <v>#DIV/0!</v>
      </c>
      <c r="V38" s="253" t="e">
        <f t="shared" si="29"/>
        <v>#DIV/0!</v>
      </c>
      <c r="W38" s="253">
        <f t="shared" si="29"/>
        <v>0.3127886032414709</v>
      </c>
      <c r="X38" s="253" t="e">
        <f t="shared" si="29"/>
        <v>#DIV/0!</v>
      </c>
      <c r="Y38" s="253" t="e">
        <f t="shared" si="29"/>
        <v>#DIV/0!</v>
      </c>
      <c r="Z38" s="253" t="e">
        <f t="shared" si="29"/>
        <v>#DIV/0!</v>
      </c>
      <c r="AA38" s="253" t="e">
        <f t="shared" si="29"/>
        <v>#DIV/0!</v>
      </c>
      <c r="AB38" s="253">
        <f t="shared" si="29"/>
        <v>0.25678149152341817</v>
      </c>
      <c r="AC38" s="253" t="e">
        <f t="shared" si="29"/>
        <v>#DIV/0!</v>
      </c>
      <c r="AD38" s="253" t="e">
        <f t="shared" si="29"/>
        <v>#DIV/0!</v>
      </c>
      <c r="AE38" s="253" t="e">
        <f t="shared" si="29"/>
        <v>#DIV/0!</v>
      </c>
      <c r="AF38" s="253" t="e">
        <f t="shared" si="29"/>
        <v>#DIV/0!</v>
      </c>
      <c r="AG38" s="253">
        <f t="shared" si="29"/>
        <v>0.37122038180514783</v>
      </c>
      <c r="AH38" s="253" t="e">
        <f t="shared" si="29"/>
        <v>#DIV/0!</v>
      </c>
      <c r="AI38" s="253" t="e">
        <f t="shared" si="29"/>
        <v>#DIV/0!</v>
      </c>
      <c r="AJ38" s="253" t="e">
        <f t="shared" si="29"/>
        <v>#DIV/0!</v>
      </c>
      <c r="AK38" s="253" t="e">
        <f t="shared" si="29"/>
        <v>#VALUE!</v>
      </c>
      <c r="AL38" s="253">
        <f t="shared" si="29"/>
        <v>0.38957411452754964</v>
      </c>
      <c r="AM38" s="253" t="e">
        <f t="shared" si="29"/>
        <v>#DIV/0!</v>
      </c>
      <c r="AN38" s="253" t="e">
        <f t="shared" si="29"/>
        <v>#DIV/0!</v>
      </c>
      <c r="AO38" s="253" t="e">
        <f t="shared" si="29"/>
        <v>#DIV/0!</v>
      </c>
      <c r="AP38" s="253" t="e">
        <f t="shared" si="29"/>
        <v>#DIV/0!</v>
      </c>
      <c r="AQ38" s="253">
        <f t="shared" si="29"/>
        <v>0.23228987614793786</v>
      </c>
      <c r="AR38" s="253" t="e">
        <f t="shared" si="29"/>
        <v>#DIV/0!</v>
      </c>
      <c r="AS38" s="253" t="e">
        <f t="shared" si="29"/>
        <v>#DIV/0!</v>
      </c>
      <c r="AT38" s="253" t="e">
        <f t="shared" si="29"/>
        <v>#DIV/0!</v>
      </c>
      <c r="AU38" s="253" t="e">
        <f t="shared" si="29"/>
        <v>#VALUE!</v>
      </c>
      <c r="AV38" s="253">
        <f t="shared" si="29"/>
        <v>0.16926799815569935</v>
      </c>
      <c r="AW38" s="253" t="e">
        <f t="shared" si="29"/>
        <v>#DIV/0!</v>
      </c>
      <c r="AX38" s="253" t="e">
        <f t="shared" si="29"/>
        <v>#DIV/0!</v>
      </c>
      <c r="AY38" s="253"/>
      <c r="AZ38" s="253"/>
      <c r="BA38" s="253">
        <f t="shared" si="29"/>
        <v>0.3017698220307663</v>
      </c>
      <c r="BB38" s="253" t="e">
        <f t="shared" si="29"/>
        <v>#DIV/0!</v>
      </c>
      <c r="BC38" s="253" t="e">
        <f t="shared" si="29"/>
        <v>#DIV/0!</v>
      </c>
      <c r="BD38" s="253" t="e">
        <f>BD36/#REF!</f>
        <v>#REF!</v>
      </c>
      <c r="BE38" s="269"/>
      <c r="BF38" s="269">
        <f t="shared" ref="BF38" si="30">BF35/BF36</f>
        <v>0.27977151267820694</v>
      </c>
      <c r="BG38" s="220"/>
    </row>
    <row r="39" spans="1:83" s="287" customFormat="1" ht="12.5" thickTop="1" x14ac:dyDescent="0.3">
      <c r="A39" s="286" t="s">
        <v>193</v>
      </c>
      <c r="C39" s="285">
        <v>408000</v>
      </c>
      <c r="D39" s="285"/>
      <c r="E39" s="285"/>
      <c r="F39" s="286" t="s">
        <v>193</v>
      </c>
      <c r="G39" s="285"/>
      <c r="H39" s="285">
        <v>408000</v>
      </c>
      <c r="I39" s="285"/>
      <c r="J39" s="285"/>
      <c r="K39" s="285"/>
      <c r="L39" s="285"/>
      <c r="M39" s="285">
        <v>408000</v>
      </c>
      <c r="N39" s="285"/>
      <c r="O39" s="285"/>
      <c r="P39" s="285"/>
      <c r="Q39" s="285"/>
      <c r="R39" s="285">
        <v>408000</v>
      </c>
      <c r="S39" s="285"/>
      <c r="T39" s="285"/>
      <c r="U39" s="285"/>
      <c r="V39" s="285"/>
      <c r="W39" s="285">
        <v>408000</v>
      </c>
      <c r="X39" s="285"/>
      <c r="Y39" s="285"/>
      <c r="Z39" s="285"/>
      <c r="AA39" s="285"/>
      <c r="AB39" s="285">
        <v>408000</v>
      </c>
      <c r="AC39" s="285"/>
      <c r="AD39" s="285"/>
      <c r="AE39" s="285"/>
      <c r="AF39" s="285"/>
      <c r="AG39" s="285"/>
      <c r="AH39" s="285"/>
      <c r="AI39" s="285"/>
      <c r="AJ39" s="285"/>
      <c r="AK39" s="285"/>
      <c r="AL39" s="285"/>
      <c r="AM39" s="285"/>
      <c r="AN39" s="285"/>
      <c r="AO39" s="285"/>
      <c r="AP39" s="285"/>
      <c r="AQ39" s="285"/>
      <c r="AR39" s="285"/>
      <c r="AS39" s="285"/>
      <c r="AT39" s="285"/>
      <c r="AU39" s="285"/>
      <c r="AV39" s="285"/>
      <c r="AW39" s="285"/>
      <c r="AX39" s="285"/>
      <c r="AY39" s="285"/>
      <c r="AZ39" s="285"/>
      <c r="BA39" s="285"/>
      <c r="BB39" s="285"/>
      <c r="BC39" s="285"/>
      <c r="BD39" s="285"/>
      <c r="BM39" s="317"/>
      <c r="CE39" s="317"/>
    </row>
    <row r="42" spans="1:83" x14ac:dyDescent="0.3">
      <c r="BG42" s="221" t="e">
        <f>BG36/#REF!</f>
        <v>#REF!</v>
      </c>
    </row>
  </sheetData>
  <mergeCells count="17">
    <mergeCell ref="BM3:BP3"/>
    <mergeCell ref="BJ1:CE1"/>
    <mergeCell ref="BQ3:BT3"/>
    <mergeCell ref="BU3:BX3"/>
    <mergeCell ref="BZ3:CD3"/>
    <mergeCell ref="AF2:AH2"/>
    <mergeCell ref="AK2:AM2"/>
    <mergeCell ref="AP2:AR2"/>
    <mergeCell ref="AU2:AW2"/>
    <mergeCell ref="AZ2:BB2"/>
    <mergeCell ref="BE2:BG2"/>
    <mergeCell ref="A2:E2"/>
    <mergeCell ref="F2:J2"/>
    <mergeCell ref="K2:O2"/>
    <mergeCell ref="Q2:S2"/>
    <mergeCell ref="V2:X2"/>
    <mergeCell ref="AA2:AC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B5113-7FD9-4AA2-B3DF-70B3AA702AF4}">
  <dimension ref="A1:BH42"/>
  <sheetViews>
    <sheetView topLeftCell="C43" workbookViewId="0">
      <selection sqref="A1:XFD1048576"/>
    </sheetView>
  </sheetViews>
  <sheetFormatPr baseColWidth="10" defaultRowHeight="12" x14ac:dyDescent="0.3"/>
  <cols>
    <col min="1" max="1" width="10.90625" style="138"/>
    <col min="2" max="2" width="10.90625" style="138" customWidth="1"/>
    <col min="3" max="3" width="13.1796875" style="138" customWidth="1"/>
    <col min="4" max="4" width="12.1796875" style="138" customWidth="1"/>
    <col min="5" max="5" width="10.90625" style="138" customWidth="1"/>
    <col min="6" max="7" width="10.90625" style="140" customWidth="1"/>
    <col min="8" max="8" width="13" style="140" customWidth="1"/>
    <col min="9" max="9" width="12.54296875" style="140" customWidth="1"/>
    <col min="10" max="10" width="10.90625" style="140" customWidth="1"/>
    <col min="11" max="11" width="10.90625" style="138" customWidth="1"/>
    <col min="12" max="12" width="36.1796875" style="138" customWidth="1"/>
    <col min="13" max="13" width="11.90625" style="138" customWidth="1"/>
    <col min="14" max="15" width="10.90625" style="138" customWidth="1"/>
    <col min="16" max="17" width="10.90625" style="140" customWidth="1"/>
    <col min="18" max="18" width="12.26953125" style="282" customWidth="1"/>
    <col min="19" max="20" width="10.90625" style="140" customWidth="1"/>
    <col min="21" max="22" width="10.90625" style="138" customWidth="1"/>
    <col min="23" max="23" width="11.6328125" style="138" customWidth="1"/>
    <col min="24" max="25" width="10.90625" style="138" customWidth="1"/>
    <col min="26" max="27" width="10.90625" style="140" customWidth="1"/>
    <col min="28" max="28" width="12" style="140" customWidth="1"/>
    <col min="29" max="30" width="12" style="140" hidden="1" customWidth="1"/>
    <col min="31" max="32" width="12" style="138" hidden="1" customWidth="1"/>
    <col min="33" max="33" width="12" style="138" customWidth="1"/>
    <col min="34" max="35" width="12" style="138" hidden="1" customWidth="1"/>
    <col min="36" max="37" width="12" style="140" hidden="1" customWidth="1"/>
    <col min="38" max="38" width="12" style="140" customWidth="1"/>
    <col min="39" max="40" width="10.90625" style="140" hidden="1" customWidth="1"/>
    <col min="41" max="42" width="10.90625" style="138" hidden="1" customWidth="1"/>
    <col min="43" max="43" width="12.81640625" style="138" bestFit="1" customWidth="1"/>
    <col min="44" max="45" width="10.90625" style="138" hidden="1" customWidth="1"/>
    <col min="46" max="46" width="10.90625" style="140" hidden="1" customWidth="1"/>
    <col min="47" max="47" width="11" style="140" hidden="1" customWidth="1"/>
    <col min="48" max="48" width="10.90625" style="140" customWidth="1"/>
    <col min="49" max="52" width="10.90625" style="140" hidden="1" customWidth="1"/>
    <col min="53" max="53" width="11.08984375" style="140" bestFit="1" customWidth="1"/>
    <col min="54" max="55" width="10.90625" style="140" hidden="1" customWidth="1"/>
    <col min="56" max="56" width="11.81640625" style="142" hidden="1" customWidth="1"/>
    <col min="57" max="57" width="10.90625" style="142" hidden="1" customWidth="1"/>
    <col min="58" max="58" width="10.90625" style="142" customWidth="1"/>
    <col min="59" max="59" width="16.54296875" style="142" hidden="1" customWidth="1"/>
    <col min="60" max="60" width="11.6328125" style="142" hidden="1" customWidth="1"/>
    <col min="61" max="258" width="10.90625" style="140"/>
    <col min="259" max="259" width="0" style="140" hidden="1" customWidth="1"/>
    <col min="260" max="260" width="13" style="140" bestFit="1" customWidth="1"/>
    <col min="261" max="264" width="0" style="140" hidden="1" customWidth="1"/>
    <col min="265" max="265" width="13" style="140" bestFit="1" customWidth="1"/>
    <col min="266" max="269" width="0" style="140" hidden="1" customWidth="1"/>
    <col min="270" max="270" width="10.90625" style="140"/>
    <col min="271" max="274" width="0" style="140" hidden="1" customWidth="1"/>
    <col min="275" max="275" width="10.90625" style="140"/>
    <col min="276" max="279" width="0" style="140" hidden="1" customWidth="1"/>
    <col min="280" max="280" width="10.90625" style="140"/>
    <col min="281" max="284" width="0" style="140" hidden="1" customWidth="1"/>
    <col min="285" max="285" width="10.90625" style="140"/>
    <col min="286" max="289" width="0" style="140" hidden="1" customWidth="1"/>
    <col min="290" max="290" width="10.90625" style="140"/>
    <col min="291" max="294" width="0" style="140" hidden="1" customWidth="1"/>
    <col min="295" max="295" width="10.90625" style="140"/>
    <col min="296" max="299" width="0" style="140" hidden="1" customWidth="1"/>
    <col min="300" max="300" width="10.90625" style="140"/>
    <col min="301" max="304" width="0" style="140" hidden="1" customWidth="1"/>
    <col min="305" max="305" width="10.90625" style="140"/>
    <col min="306" max="308" width="0" style="140" hidden="1" customWidth="1"/>
    <col min="309" max="309" width="10.90625" style="140"/>
    <col min="310" max="311" width="0" style="140" hidden="1" customWidth="1"/>
    <col min="312" max="312" width="10.90625" style="140"/>
    <col min="313" max="314" width="0" style="140" hidden="1" customWidth="1"/>
    <col min="315" max="315" width="16.54296875" style="140" customWidth="1"/>
    <col min="316" max="316" width="11.453125" style="140" bestFit="1" customWidth="1"/>
    <col min="317" max="514" width="10.90625" style="140"/>
    <col min="515" max="515" width="0" style="140" hidden="1" customWidth="1"/>
    <col min="516" max="516" width="13" style="140" bestFit="1" customWidth="1"/>
    <col min="517" max="520" width="0" style="140" hidden="1" customWidth="1"/>
    <col min="521" max="521" width="13" style="140" bestFit="1" customWidth="1"/>
    <col min="522" max="525" width="0" style="140" hidden="1" customWidth="1"/>
    <col min="526" max="526" width="10.90625" style="140"/>
    <col min="527" max="530" width="0" style="140" hidden="1" customWidth="1"/>
    <col min="531" max="531" width="10.90625" style="140"/>
    <col min="532" max="535" width="0" style="140" hidden="1" customWidth="1"/>
    <col min="536" max="536" width="10.90625" style="140"/>
    <col min="537" max="540" width="0" style="140" hidden="1" customWidth="1"/>
    <col min="541" max="541" width="10.90625" style="140"/>
    <col min="542" max="545" width="0" style="140" hidden="1" customWidth="1"/>
    <col min="546" max="546" width="10.90625" style="140"/>
    <col min="547" max="550" width="0" style="140" hidden="1" customWidth="1"/>
    <col min="551" max="551" width="10.90625" style="140"/>
    <col min="552" max="555" width="0" style="140" hidden="1" customWidth="1"/>
    <col min="556" max="556" width="10.90625" style="140"/>
    <col min="557" max="560" width="0" style="140" hidden="1" customWidth="1"/>
    <col min="561" max="561" width="10.90625" style="140"/>
    <col min="562" max="564" width="0" style="140" hidden="1" customWidth="1"/>
    <col min="565" max="565" width="10.90625" style="140"/>
    <col min="566" max="567" width="0" style="140" hidden="1" customWidth="1"/>
    <col min="568" max="568" width="10.90625" style="140"/>
    <col min="569" max="570" width="0" style="140" hidden="1" customWidth="1"/>
    <col min="571" max="571" width="16.54296875" style="140" customWidth="1"/>
    <col min="572" max="572" width="11.453125" style="140" bestFit="1" customWidth="1"/>
    <col min="573" max="770" width="10.90625" style="140"/>
    <col min="771" max="771" width="0" style="140" hidden="1" customWidth="1"/>
    <col min="772" max="772" width="13" style="140" bestFit="1" customWidth="1"/>
    <col min="773" max="776" width="0" style="140" hidden="1" customWidth="1"/>
    <col min="777" max="777" width="13" style="140" bestFit="1" customWidth="1"/>
    <col min="778" max="781" width="0" style="140" hidden="1" customWidth="1"/>
    <col min="782" max="782" width="10.90625" style="140"/>
    <col min="783" max="786" width="0" style="140" hidden="1" customWidth="1"/>
    <col min="787" max="787" width="10.90625" style="140"/>
    <col min="788" max="791" width="0" style="140" hidden="1" customWidth="1"/>
    <col min="792" max="792" width="10.90625" style="140"/>
    <col min="793" max="796" width="0" style="140" hidden="1" customWidth="1"/>
    <col min="797" max="797" width="10.90625" style="140"/>
    <col min="798" max="801" width="0" style="140" hidden="1" customWidth="1"/>
    <col min="802" max="802" width="10.90625" style="140"/>
    <col min="803" max="806" width="0" style="140" hidden="1" customWidth="1"/>
    <col min="807" max="807" width="10.90625" style="140"/>
    <col min="808" max="811" width="0" style="140" hidden="1" customWidth="1"/>
    <col min="812" max="812" width="10.90625" style="140"/>
    <col min="813" max="816" width="0" style="140" hidden="1" customWidth="1"/>
    <col min="817" max="817" width="10.90625" style="140"/>
    <col min="818" max="820" width="0" style="140" hidden="1" customWidth="1"/>
    <col min="821" max="821" width="10.90625" style="140"/>
    <col min="822" max="823" width="0" style="140" hidden="1" customWidth="1"/>
    <col min="824" max="824" width="10.90625" style="140"/>
    <col min="825" max="826" width="0" style="140" hidden="1" customWidth="1"/>
    <col min="827" max="827" width="16.54296875" style="140" customWidth="1"/>
    <col min="828" max="828" width="11.453125" style="140" bestFit="1" customWidth="1"/>
    <col min="829" max="1026" width="10.90625" style="140"/>
    <col min="1027" max="1027" width="0" style="140" hidden="1" customWidth="1"/>
    <col min="1028" max="1028" width="13" style="140" bestFit="1" customWidth="1"/>
    <col min="1029" max="1032" width="0" style="140" hidden="1" customWidth="1"/>
    <col min="1033" max="1033" width="13" style="140" bestFit="1" customWidth="1"/>
    <col min="1034" max="1037" width="0" style="140" hidden="1" customWidth="1"/>
    <col min="1038" max="1038" width="10.90625" style="140"/>
    <col min="1039" max="1042" width="0" style="140" hidden="1" customWidth="1"/>
    <col min="1043" max="1043" width="10.90625" style="140"/>
    <col min="1044" max="1047" width="0" style="140" hidden="1" customWidth="1"/>
    <col min="1048" max="1048" width="10.90625" style="140"/>
    <col min="1049" max="1052" width="0" style="140" hidden="1" customWidth="1"/>
    <col min="1053" max="1053" width="10.90625" style="140"/>
    <col min="1054" max="1057" width="0" style="140" hidden="1" customWidth="1"/>
    <col min="1058" max="1058" width="10.90625" style="140"/>
    <col min="1059" max="1062" width="0" style="140" hidden="1" customWidth="1"/>
    <col min="1063" max="1063" width="10.90625" style="140"/>
    <col min="1064" max="1067" width="0" style="140" hidden="1" customWidth="1"/>
    <col min="1068" max="1068" width="10.90625" style="140"/>
    <col min="1069" max="1072" width="0" style="140" hidden="1" customWidth="1"/>
    <col min="1073" max="1073" width="10.90625" style="140"/>
    <col min="1074" max="1076" width="0" style="140" hidden="1" customWidth="1"/>
    <col min="1077" max="1077" width="10.90625" style="140"/>
    <col min="1078" max="1079" width="0" style="140" hidden="1" customWidth="1"/>
    <col min="1080" max="1080" width="10.90625" style="140"/>
    <col min="1081" max="1082" width="0" style="140" hidden="1" customWidth="1"/>
    <col min="1083" max="1083" width="16.54296875" style="140" customWidth="1"/>
    <col min="1084" max="1084" width="11.453125" style="140" bestFit="1" customWidth="1"/>
    <col min="1085" max="1282" width="10.90625" style="140"/>
    <col min="1283" max="1283" width="0" style="140" hidden="1" customWidth="1"/>
    <col min="1284" max="1284" width="13" style="140" bestFit="1" customWidth="1"/>
    <col min="1285" max="1288" width="0" style="140" hidden="1" customWidth="1"/>
    <col min="1289" max="1289" width="13" style="140" bestFit="1" customWidth="1"/>
    <col min="1290" max="1293" width="0" style="140" hidden="1" customWidth="1"/>
    <col min="1294" max="1294" width="10.90625" style="140"/>
    <col min="1295" max="1298" width="0" style="140" hidden="1" customWidth="1"/>
    <col min="1299" max="1299" width="10.90625" style="140"/>
    <col min="1300" max="1303" width="0" style="140" hidden="1" customWidth="1"/>
    <col min="1304" max="1304" width="10.90625" style="140"/>
    <col min="1305" max="1308" width="0" style="140" hidden="1" customWidth="1"/>
    <col min="1309" max="1309" width="10.90625" style="140"/>
    <col min="1310" max="1313" width="0" style="140" hidden="1" customWidth="1"/>
    <col min="1314" max="1314" width="10.90625" style="140"/>
    <col min="1315" max="1318" width="0" style="140" hidden="1" customWidth="1"/>
    <col min="1319" max="1319" width="10.90625" style="140"/>
    <col min="1320" max="1323" width="0" style="140" hidden="1" customWidth="1"/>
    <col min="1324" max="1324" width="10.90625" style="140"/>
    <col min="1325" max="1328" width="0" style="140" hidden="1" customWidth="1"/>
    <col min="1329" max="1329" width="10.90625" style="140"/>
    <col min="1330" max="1332" width="0" style="140" hidden="1" customWidth="1"/>
    <col min="1333" max="1333" width="10.90625" style="140"/>
    <col min="1334" max="1335" width="0" style="140" hidden="1" customWidth="1"/>
    <col min="1336" max="1336" width="10.90625" style="140"/>
    <col min="1337" max="1338" width="0" style="140" hidden="1" customWidth="1"/>
    <col min="1339" max="1339" width="16.54296875" style="140" customWidth="1"/>
    <col min="1340" max="1340" width="11.453125" style="140" bestFit="1" customWidth="1"/>
    <col min="1341" max="1538" width="10.90625" style="140"/>
    <col min="1539" max="1539" width="0" style="140" hidden="1" customWidth="1"/>
    <col min="1540" max="1540" width="13" style="140" bestFit="1" customWidth="1"/>
    <col min="1541" max="1544" width="0" style="140" hidden="1" customWidth="1"/>
    <col min="1545" max="1545" width="13" style="140" bestFit="1" customWidth="1"/>
    <col min="1546" max="1549" width="0" style="140" hidden="1" customWidth="1"/>
    <col min="1550" max="1550" width="10.90625" style="140"/>
    <col min="1551" max="1554" width="0" style="140" hidden="1" customWidth="1"/>
    <col min="1555" max="1555" width="10.90625" style="140"/>
    <col min="1556" max="1559" width="0" style="140" hidden="1" customWidth="1"/>
    <col min="1560" max="1560" width="10.90625" style="140"/>
    <col min="1561" max="1564" width="0" style="140" hidden="1" customWidth="1"/>
    <col min="1565" max="1565" width="10.90625" style="140"/>
    <col min="1566" max="1569" width="0" style="140" hidden="1" customWidth="1"/>
    <col min="1570" max="1570" width="10.90625" style="140"/>
    <col min="1571" max="1574" width="0" style="140" hidden="1" customWidth="1"/>
    <col min="1575" max="1575" width="10.90625" style="140"/>
    <col min="1576" max="1579" width="0" style="140" hidden="1" customWidth="1"/>
    <col min="1580" max="1580" width="10.90625" style="140"/>
    <col min="1581" max="1584" width="0" style="140" hidden="1" customWidth="1"/>
    <col min="1585" max="1585" width="10.90625" style="140"/>
    <col min="1586" max="1588" width="0" style="140" hidden="1" customWidth="1"/>
    <col min="1589" max="1589" width="10.90625" style="140"/>
    <col min="1590" max="1591" width="0" style="140" hidden="1" customWidth="1"/>
    <col min="1592" max="1592" width="10.90625" style="140"/>
    <col min="1593" max="1594" width="0" style="140" hidden="1" customWidth="1"/>
    <col min="1595" max="1595" width="16.54296875" style="140" customWidth="1"/>
    <col min="1596" max="1596" width="11.453125" style="140" bestFit="1" customWidth="1"/>
    <col min="1597" max="1794" width="10.90625" style="140"/>
    <col min="1795" max="1795" width="0" style="140" hidden="1" customWidth="1"/>
    <col min="1796" max="1796" width="13" style="140" bestFit="1" customWidth="1"/>
    <col min="1797" max="1800" width="0" style="140" hidden="1" customWidth="1"/>
    <col min="1801" max="1801" width="13" style="140" bestFit="1" customWidth="1"/>
    <col min="1802" max="1805" width="0" style="140" hidden="1" customWidth="1"/>
    <col min="1806" max="1806" width="10.90625" style="140"/>
    <col min="1807" max="1810" width="0" style="140" hidden="1" customWidth="1"/>
    <col min="1811" max="1811" width="10.90625" style="140"/>
    <col min="1812" max="1815" width="0" style="140" hidden="1" customWidth="1"/>
    <col min="1816" max="1816" width="10.90625" style="140"/>
    <col min="1817" max="1820" width="0" style="140" hidden="1" customWidth="1"/>
    <col min="1821" max="1821" width="10.90625" style="140"/>
    <col min="1822" max="1825" width="0" style="140" hidden="1" customWidth="1"/>
    <col min="1826" max="1826" width="10.90625" style="140"/>
    <col min="1827" max="1830" width="0" style="140" hidden="1" customWidth="1"/>
    <col min="1831" max="1831" width="10.90625" style="140"/>
    <col min="1832" max="1835" width="0" style="140" hidden="1" customWidth="1"/>
    <col min="1836" max="1836" width="10.90625" style="140"/>
    <col min="1837" max="1840" width="0" style="140" hidden="1" customWidth="1"/>
    <col min="1841" max="1841" width="10.90625" style="140"/>
    <col min="1842" max="1844" width="0" style="140" hidden="1" customWidth="1"/>
    <col min="1845" max="1845" width="10.90625" style="140"/>
    <col min="1846" max="1847" width="0" style="140" hidden="1" customWidth="1"/>
    <col min="1848" max="1848" width="10.90625" style="140"/>
    <col min="1849" max="1850" width="0" style="140" hidden="1" customWidth="1"/>
    <col min="1851" max="1851" width="16.54296875" style="140" customWidth="1"/>
    <col min="1852" max="1852" width="11.453125" style="140" bestFit="1" customWidth="1"/>
    <col min="1853" max="2050" width="10.90625" style="140"/>
    <col min="2051" max="2051" width="0" style="140" hidden="1" customWidth="1"/>
    <col min="2052" max="2052" width="13" style="140" bestFit="1" customWidth="1"/>
    <col min="2053" max="2056" width="0" style="140" hidden="1" customWidth="1"/>
    <col min="2057" max="2057" width="13" style="140" bestFit="1" customWidth="1"/>
    <col min="2058" max="2061" width="0" style="140" hidden="1" customWidth="1"/>
    <col min="2062" max="2062" width="10.90625" style="140"/>
    <col min="2063" max="2066" width="0" style="140" hidden="1" customWidth="1"/>
    <col min="2067" max="2067" width="10.90625" style="140"/>
    <col min="2068" max="2071" width="0" style="140" hidden="1" customWidth="1"/>
    <col min="2072" max="2072" width="10.90625" style="140"/>
    <col min="2073" max="2076" width="0" style="140" hidden="1" customWidth="1"/>
    <col min="2077" max="2077" width="10.90625" style="140"/>
    <col min="2078" max="2081" width="0" style="140" hidden="1" customWidth="1"/>
    <col min="2082" max="2082" width="10.90625" style="140"/>
    <col min="2083" max="2086" width="0" style="140" hidden="1" customWidth="1"/>
    <col min="2087" max="2087" width="10.90625" style="140"/>
    <col min="2088" max="2091" width="0" style="140" hidden="1" customWidth="1"/>
    <col min="2092" max="2092" width="10.90625" style="140"/>
    <col min="2093" max="2096" width="0" style="140" hidden="1" customWidth="1"/>
    <col min="2097" max="2097" width="10.90625" style="140"/>
    <col min="2098" max="2100" width="0" style="140" hidden="1" customWidth="1"/>
    <col min="2101" max="2101" width="10.90625" style="140"/>
    <col min="2102" max="2103" width="0" style="140" hidden="1" customWidth="1"/>
    <col min="2104" max="2104" width="10.90625" style="140"/>
    <col min="2105" max="2106" width="0" style="140" hidden="1" customWidth="1"/>
    <col min="2107" max="2107" width="16.54296875" style="140" customWidth="1"/>
    <col min="2108" max="2108" width="11.453125" style="140" bestFit="1" customWidth="1"/>
    <col min="2109" max="2306" width="10.90625" style="140"/>
    <col min="2307" max="2307" width="0" style="140" hidden="1" customWidth="1"/>
    <col min="2308" max="2308" width="13" style="140" bestFit="1" customWidth="1"/>
    <col min="2309" max="2312" width="0" style="140" hidden="1" customWidth="1"/>
    <col min="2313" max="2313" width="13" style="140" bestFit="1" customWidth="1"/>
    <col min="2314" max="2317" width="0" style="140" hidden="1" customWidth="1"/>
    <col min="2318" max="2318" width="10.90625" style="140"/>
    <col min="2319" max="2322" width="0" style="140" hidden="1" customWidth="1"/>
    <col min="2323" max="2323" width="10.90625" style="140"/>
    <col min="2324" max="2327" width="0" style="140" hidden="1" customWidth="1"/>
    <col min="2328" max="2328" width="10.90625" style="140"/>
    <col min="2329" max="2332" width="0" style="140" hidden="1" customWidth="1"/>
    <col min="2333" max="2333" width="10.90625" style="140"/>
    <col min="2334" max="2337" width="0" style="140" hidden="1" customWidth="1"/>
    <col min="2338" max="2338" width="10.90625" style="140"/>
    <col min="2339" max="2342" width="0" style="140" hidden="1" customWidth="1"/>
    <col min="2343" max="2343" width="10.90625" style="140"/>
    <col min="2344" max="2347" width="0" style="140" hidden="1" customWidth="1"/>
    <col min="2348" max="2348" width="10.90625" style="140"/>
    <col min="2349" max="2352" width="0" style="140" hidden="1" customWidth="1"/>
    <col min="2353" max="2353" width="10.90625" style="140"/>
    <col min="2354" max="2356" width="0" style="140" hidden="1" customWidth="1"/>
    <col min="2357" max="2357" width="10.90625" style="140"/>
    <col min="2358" max="2359" width="0" style="140" hidden="1" customWidth="1"/>
    <col min="2360" max="2360" width="10.90625" style="140"/>
    <col min="2361" max="2362" width="0" style="140" hidden="1" customWidth="1"/>
    <col min="2363" max="2363" width="16.54296875" style="140" customWidth="1"/>
    <col min="2364" max="2364" width="11.453125" style="140" bestFit="1" customWidth="1"/>
    <col min="2365" max="2562" width="10.90625" style="140"/>
    <col min="2563" max="2563" width="0" style="140" hidden="1" customWidth="1"/>
    <col min="2564" max="2564" width="13" style="140" bestFit="1" customWidth="1"/>
    <col min="2565" max="2568" width="0" style="140" hidden="1" customWidth="1"/>
    <col min="2569" max="2569" width="13" style="140" bestFit="1" customWidth="1"/>
    <col min="2570" max="2573" width="0" style="140" hidden="1" customWidth="1"/>
    <col min="2574" max="2574" width="10.90625" style="140"/>
    <col min="2575" max="2578" width="0" style="140" hidden="1" customWidth="1"/>
    <col min="2579" max="2579" width="10.90625" style="140"/>
    <col min="2580" max="2583" width="0" style="140" hidden="1" customWidth="1"/>
    <col min="2584" max="2584" width="10.90625" style="140"/>
    <col min="2585" max="2588" width="0" style="140" hidden="1" customWidth="1"/>
    <col min="2589" max="2589" width="10.90625" style="140"/>
    <col min="2590" max="2593" width="0" style="140" hidden="1" customWidth="1"/>
    <col min="2594" max="2594" width="10.90625" style="140"/>
    <col min="2595" max="2598" width="0" style="140" hidden="1" customWidth="1"/>
    <col min="2599" max="2599" width="10.90625" style="140"/>
    <col min="2600" max="2603" width="0" style="140" hidden="1" customWidth="1"/>
    <col min="2604" max="2604" width="10.90625" style="140"/>
    <col min="2605" max="2608" width="0" style="140" hidden="1" customWidth="1"/>
    <col min="2609" max="2609" width="10.90625" style="140"/>
    <col min="2610" max="2612" width="0" style="140" hidden="1" customWidth="1"/>
    <col min="2613" max="2613" width="10.90625" style="140"/>
    <col min="2614" max="2615" width="0" style="140" hidden="1" customWidth="1"/>
    <col min="2616" max="2616" width="10.90625" style="140"/>
    <col min="2617" max="2618" width="0" style="140" hidden="1" customWidth="1"/>
    <col min="2619" max="2619" width="16.54296875" style="140" customWidth="1"/>
    <col min="2620" max="2620" width="11.453125" style="140" bestFit="1" customWidth="1"/>
    <col min="2621" max="2818" width="10.90625" style="140"/>
    <col min="2819" max="2819" width="0" style="140" hidden="1" customWidth="1"/>
    <col min="2820" max="2820" width="13" style="140" bestFit="1" customWidth="1"/>
    <col min="2821" max="2824" width="0" style="140" hidden="1" customWidth="1"/>
    <col min="2825" max="2825" width="13" style="140" bestFit="1" customWidth="1"/>
    <col min="2826" max="2829" width="0" style="140" hidden="1" customWidth="1"/>
    <col min="2830" max="2830" width="10.90625" style="140"/>
    <col min="2831" max="2834" width="0" style="140" hidden="1" customWidth="1"/>
    <col min="2835" max="2835" width="10.90625" style="140"/>
    <col min="2836" max="2839" width="0" style="140" hidden="1" customWidth="1"/>
    <col min="2840" max="2840" width="10.90625" style="140"/>
    <col min="2841" max="2844" width="0" style="140" hidden="1" customWidth="1"/>
    <col min="2845" max="2845" width="10.90625" style="140"/>
    <col min="2846" max="2849" width="0" style="140" hidden="1" customWidth="1"/>
    <col min="2850" max="2850" width="10.90625" style="140"/>
    <col min="2851" max="2854" width="0" style="140" hidden="1" customWidth="1"/>
    <col min="2855" max="2855" width="10.90625" style="140"/>
    <col min="2856" max="2859" width="0" style="140" hidden="1" customWidth="1"/>
    <col min="2860" max="2860" width="10.90625" style="140"/>
    <col min="2861" max="2864" width="0" style="140" hidden="1" customWidth="1"/>
    <col min="2865" max="2865" width="10.90625" style="140"/>
    <col min="2866" max="2868" width="0" style="140" hidden="1" customWidth="1"/>
    <col min="2869" max="2869" width="10.90625" style="140"/>
    <col min="2870" max="2871" width="0" style="140" hidden="1" customWidth="1"/>
    <col min="2872" max="2872" width="10.90625" style="140"/>
    <col min="2873" max="2874" width="0" style="140" hidden="1" customWidth="1"/>
    <col min="2875" max="2875" width="16.54296875" style="140" customWidth="1"/>
    <col min="2876" max="2876" width="11.453125" style="140" bestFit="1" customWidth="1"/>
    <col min="2877" max="3074" width="10.90625" style="140"/>
    <col min="3075" max="3075" width="0" style="140" hidden="1" customWidth="1"/>
    <col min="3076" max="3076" width="13" style="140" bestFit="1" customWidth="1"/>
    <col min="3077" max="3080" width="0" style="140" hidden="1" customWidth="1"/>
    <col min="3081" max="3081" width="13" style="140" bestFit="1" customWidth="1"/>
    <col min="3082" max="3085" width="0" style="140" hidden="1" customWidth="1"/>
    <col min="3086" max="3086" width="10.90625" style="140"/>
    <col min="3087" max="3090" width="0" style="140" hidden="1" customWidth="1"/>
    <col min="3091" max="3091" width="10.90625" style="140"/>
    <col min="3092" max="3095" width="0" style="140" hidden="1" customWidth="1"/>
    <col min="3096" max="3096" width="10.90625" style="140"/>
    <col min="3097" max="3100" width="0" style="140" hidden="1" customWidth="1"/>
    <col min="3101" max="3101" width="10.90625" style="140"/>
    <col min="3102" max="3105" width="0" style="140" hidden="1" customWidth="1"/>
    <col min="3106" max="3106" width="10.90625" style="140"/>
    <col min="3107" max="3110" width="0" style="140" hidden="1" customWidth="1"/>
    <col min="3111" max="3111" width="10.90625" style="140"/>
    <col min="3112" max="3115" width="0" style="140" hidden="1" customWidth="1"/>
    <col min="3116" max="3116" width="10.90625" style="140"/>
    <col min="3117" max="3120" width="0" style="140" hidden="1" customWidth="1"/>
    <col min="3121" max="3121" width="10.90625" style="140"/>
    <col min="3122" max="3124" width="0" style="140" hidden="1" customWidth="1"/>
    <col min="3125" max="3125" width="10.90625" style="140"/>
    <col min="3126" max="3127" width="0" style="140" hidden="1" customWidth="1"/>
    <col min="3128" max="3128" width="10.90625" style="140"/>
    <col min="3129" max="3130" width="0" style="140" hidden="1" customWidth="1"/>
    <col min="3131" max="3131" width="16.54296875" style="140" customWidth="1"/>
    <col min="3132" max="3132" width="11.453125" style="140" bestFit="1" customWidth="1"/>
    <col min="3133" max="3330" width="10.90625" style="140"/>
    <col min="3331" max="3331" width="0" style="140" hidden="1" customWidth="1"/>
    <col min="3332" max="3332" width="13" style="140" bestFit="1" customWidth="1"/>
    <col min="3333" max="3336" width="0" style="140" hidden="1" customWidth="1"/>
    <col min="3337" max="3337" width="13" style="140" bestFit="1" customWidth="1"/>
    <col min="3338" max="3341" width="0" style="140" hidden="1" customWidth="1"/>
    <col min="3342" max="3342" width="10.90625" style="140"/>
    <col min="3343" max="3346" width="0" style="140" hidden="1" customWidth="1"/>
    <col min="3347" max="3347" width="10.90625" style="140"/>
    <col min="3348" max="3351" width="0" style="140" hidden="1" customWidth="1"/>
    <col min="3352" max="3352" width="10.90625" style="140"/>
    <col min="3353" max="3356" width="0" style="140" hidden="1" customWidth="1"/>
    <col min="3357" max="3357" width="10.90625" style="140"/>
    <col min="3358" max="3361" width="0" style="140" hidden="1" customWidth="1"/>
    <col min="3362" max="3362" width="10.90625" style="140"/>
    <col min="3363" max="3366" width="0" style="140" hidden="1" customWidth="1"/>
    <col min="3367" max="3367" width="10.90625" style="140"/>
    <col min="3368" max="3371" width="0" style="140" hidden="1" customWidth="1"/>
    <col min="3372" max="3372" width="10.90625" style="140"/>
    <col min="3373" max="3376" width="0" style="140" hidden="1" customWidth="1"/>
    <col min="3377" max="3377" width="10.90625" style="140"/>
    <col min="3378" max="3380" width="0" style="140" hidden="1" customWidth="1"/>
    <col min="3381" max="3381" width="10.90625" style="140"/>
    <col min="3382" max="3383" width="0" style="140" hidden="1" customWidth="1"/>
    <col min="3384" max="3384" width="10.90625" style="140"/>
    <col min="3385" max="3386" width="0" style="140" hidden="1" customWidth="1"/>
    <col min="3387" max="3387" width="16.54296875" style="140" customWidth="1"/>
    <col min="3388" max="3388" width="11.453125" style="140" bestFit="1" customWidth="1"/>
    <col min="3389" max="3586" width="10.90625" style="140"/>
    <col min="3587" max="3587" width="0" style="140" hidden="1" customWidth="1"/>
    <col min="3588" max="3588" width="13" style="140" bestFit="1" customWidth="1"/>
    <col min="3589" max="3592" width="0" style="140" hidden="1" customWidth="1"/>
    <col min="3593" max="3593" width="13" style="140" bestFit="1" customWidth="1"/>
    <col min="3594" max="3597" width="0" style="140" hidden="1" customWidth="1"/>
    <col min="3598" max="3598" width="10.90625" style="140"/>
    <col min="3599" max="3602" width="0" style="140" hidden="1" customWidth="1"/>
    <col min="3603" max="3603" width="10.90625" style="140"/>
    <col min="3604" max="3607" width="0" style="140" hidden="1" customWidth="1"/>
    <col min="3608" max="3608" width="10.90625" style="140"/>
    <col min="3609" max="3612" width="0" style="140" hidden="1" customWidth="1"/>
    <col min="3613" max="3613" width="10.90625" style="140"/>
    <col min="3614" max="3617" width="0" style="140" hidden="1" customWidth="1"/>
    <col min="3618" max="3618" width="10.90625" style="140"/>
    <col min="3619" max="3622" width="0" style="140" hidden="1" customWidth="1"/>
    <col min="3623" max="3623" width="10.90625" style="140"/>
    <col min="3624" max="3627" width="0" style="140" hidden="1" customWidth="1"/>
    <col min="3628" max="3628" width="10.90625" style="140"/>
    <col min="3629" max="3632" width="0" style="140" hidden="1" customWidth="1"/>
    <col min="3633" max="3633" width="10.90625" style="140"/>
    <col min="3634" max="3636" width="0" style="140" hidden="1" customWidth="1"/>
    <col min="3637" max="3637" width="10.90625" style="140"/>
    <col min="3638" max="3639" width="0" style="140" hidden="1" customWidth="1"/>
    <col min="3640" max="3640" width="10.90625" style="140"/>
    <col min="3641" max="3642" width="0" style="140" hidden="1" customWidth="1"/>
    <col min="3643" max="3643" width="16.54296875" style="140" customWidth="1"/>
    <col min="3644" max="3644" width="11.453125" style="140" bestFit="1" customWidth="1"/>
    <col min="3645" max="3842" width="10.90625" style="140"/>
    <col min="3843" max="3843" width="0" style="140" hidden="1" customWidth="1"/>
    <col min="3844" max="3844" width="13" style="140" bestFit="1" customWidth="1"/>
    <col min="3845" max="3848" width="0" style="140" hidden="1" customWidth="1"/>
    <col min="3849" max="3849" width="13" style="140" bestFit="1" customWidth="1"/>
    <col min="3850" max="3853" width="0" style="140" hidden="1" customWidth="1"/>
    <col min="3854" max="3854" width="10.90625" style="140"/>
    <col min="3855" max="3858" width="0" style="140" hidden="1" customWidth="1"/>
    <col min="3859" max="3859" width="10.90625" style="140"/>
    <col min="3860" max="3863" width="0" style="140" hidden="1" customWidth="1"/>
    <col min="3864" max="3864" width="10.90625" style="140"/>
    <col min="3865" max="3868" width="0" style="140" hidden="1" customWidth="1"/>
    <col min="3869" max="3869" width="10.90625" style="140"/>
    <col min="3870" max="3873" width="0" style="140" hidden="1" customWidth="1"/>
    <col min="3874" max="3874" width="10.90625" style="140"/>
    <col min="3875" max="3878" width="0" style="140" hidden="1" customWidth="1"/>
    <col min="3879" max="3879" width="10.90625" style="140"/>
    <col min="3880" max="3883" width="0" style="140" hidden="1" customWidth="1"/>
    <col min="3884" max="3884" width="10.90625" style="140"/>
    <col min="3885" max="3888" width="0" style="140" hidden="1" customWidth="1"/>
    <col min="3889" max="3889" width="10.90625" style="140"/>
    <col min="3890" max="3892" width="0" style="140" hidden="1" customWidth="1"/>
    <col min="3893" max="3893" width="10.90625" style="140"/>
    <col min="3894" max="3895" width="0" style="140" hidden="1" customWidth="1"/>
    <col min="3896" max="3896" width="10.90625" style="140"/>
    <col min="3897" max="3898" width="0" style="140" hidden="1" customWidth="1"/>
    <col min="3899" max="3899" width="16.54296875" style="140" customWidth="1"/>
    <col min="3900" max="3900" width="11.453125" style="140" bestFit="1" customWidth="1"/>
    <col min="3901" max="4098" width="10.90625" style="140"/>
    <col min="4099" max="4099" width="0" style="140" hidden="1" customWidth="1"/>
    <col min="4100" max="4100" width="13" style="140" bestFit="1" customWidth="1"/>
    <col min="4101" max="4104" width="0" style="140" hidden="1" customWidth="1"/>
    <col min="4105" max="4105" width="13" style="140" bestFit="1" customWidth="1"/>
    <col min="4106" max="4109" width="0" style="140" hidden="1" customWidth="1"/>
    <col min="4110" max="4110" width="10.90625" style="140"/>
    <col min="4111" max="4114" width="0" style="140" hidden="1" customWidth="1"/>
    <col min="4115" max="4115" width="10.90625" style="140"/>
    <col min="4116" max="4119" width="0" style="140" hidden="1" customWidth="1"/>
    <col min="4120" max="4120" width="10.90625" style="140"/>
    <col min="4121" max="4124" width="0" style="140" hidden="1" customWidth="1"/>
    <col min="4125" max="4125" width="10.90625" style="140"/>
    <col min="4126" max="4129" width="0" style="140" hidden="1" customWidth="1"/>
    <col min="4130" max="4130" width="10.90625" style="140"/>
    <col min="4131" max="4134" width="0" style="140" hidden="1" customWidth="1"/>
    <col min="4135" max="4135" width="10.90625" style="140"/>
    <col min="4136" max="4139" width="0" style="140" hidden="1" customWidth="1"/>
    <col min="4140" max="4140" width="10.90625" style="140"/>
    <col min="4141" max="4144" width="0" style="140" hidden="1" customWidth="1"/>
    <col min="4145" max="4145" width="10.90625" style="140"/>
    <col min="4146" max="4148" width="0" style="140" hidden="1" customWidth="1"/>
    <col min="4149" max="4149" width="10.90625" style="140"/>
    <col min="4150" max="4151" width="0" style="140" hidden="1" customWidth="1"/>
    <col min="4152" max="4152" width="10.90625" style="140"/>
    <col min="4153" max="4154" width="0" style="140" hidden="1" customWidth="1"/>
    <col min="4155" max="4155" width="16.54296875" style="140" customWidth="1"/>
    <col min="4156" max="4156" width="11.453125" style="140" bestFit="1" customWidth="1"/>
    <col min="4157" max="4354" width="10.90625" style="140"/>
    <col min="4355" max="4355" width="0" style="140" hidden="1" customWidth="1"/>
    <col min="4356" max="4356" width="13" style="140" bestFit="1" customWidth="1"/>
    <col min="4357" max="4360" width="0" style="140" hidden="1" customWidth="1"/>
    <col min="4361" max="4361" width="13" style="140" bestFit="1" customWidth="1"/>
    <col min="4362" max="4365" width="0" style="140" hidden="1" customWidth="1"/>
    <col min="4366" max="4366" width="10.90625" style="140"/>
    <col min="4367" max="4370" width="0" style="140" hidden="1" customWidth="1"/>
    <col min="4371" max="4371" width="10.90625" style="140"/>
    <col min="4372" max="4375" width="0" style="140" hidden="1" customWidth="1"/>
    <col min="4376" max="4376" width="10.90625" style="140"/>
    <col min="4377" max="4380" width="0" style="140" hidden="1" customWidth="1"/>
    <col min="4381" max="4381" width="10.90625" style="140"/>
    <col min="4382" max="4385" width="0" style="140" hidden="1" customWidth="1"/>
    <col min="4386" max="4386" width="10.90625" style="140"/>
    <col min="4387" max="4390" width="0" style="140" hidden="1" customWidth="1"/>
    <col min="4391" max="4391" width="10.90625" style="140"/>
    <col min="4392" max="4395" width="0" style="140" hidden="1" customWidth="1"/>
    <col min="4396" max="4396" width="10.90625" style="140"/>
    <col min="4397" max="4400" width="0" style="140" hidden="1" customWidth="1"/>
    <col min="4401" max="4401" width="10.90625" style="140"/>
    <col min="4402" max="4404" width="0" style="140" hidden="1" customWidth="1"/>
    <col min="4405" max="4405" width="10.90625" style="140"/>
    <col min="4406" max="4407" width="0" style="140" hidden="1" customWidth="1"/>
    <col min="4408" max="4408" width="10.90625" style="140"/>
    <col min="4409" max="4410" width="0" style="140" hidden="1" customWidth="1"/>
    <col min="4411" max="4411" width="16.54296875" style="140" customWidth="1"/>
    <col min="4412" max="4412" width="11.453125" style="140" bestFit="1" customWidth="1"/>
    <col min="4413" max="4610" width="10.90625" style="140"/>
    <col min="4611" max="4611" width="0" style="140" hidden="1" customWidth="1"/>
    <col min="4612" max="4612" width="13" style="140" bestFit="1" customWidth="1"/>
    <col min="4613" max="4616" width="0" style="140" hidden="1" customWidth="1"/>
    <col min="4617" max="4617" width="13" style="140" bestFit="1" customWidth="1"/>
    <col min="4618" max="4621" width="0" style="140" hidden="1" customWidth="1"/>
    <col min="4622" max="4622" width="10.90625" style="140"/>
    <col min="4623" max="4626" width="0" style="140" hidden="1" customWidth="1"/>
    <col min="4627" max="4627" width="10.90625" style="140"/>
    <col min="4628" max="4631" width="0" style="140" hidden="1" customWidth="1"/>
    <col min="4632" max="4632" width="10.90625" style="140"/>
    <col min="4633" max="4636" width="0" style="140" hidden="1" customWidth="1"/>
    <col min="4637" max="4637" width="10.90625" style="140"/>
    <col min="4638" max="4641" width="0" style="140" hidden="1" customWidth="1"/>
    <col min="4642" max="4642" width="10.90625" style="140"/>
    <col min="4643" max="4646" width="0" style="140" hidden="1" customWidth="1"/>
    <col min="4647" max="4647" width="10.90625" style="140"/>
    <col min="4648" max="4651" width="0" style="140" hidden="1" customWidth="1"/>
    <col min="4652" max="4652" width="10.90625" style="140"/>
    <col min="4653" max="4656" width="0" style="140" hidden="1" customWidth="1"/>
    <col min="4657" max="4657" width="10.90625" style="140"/>
    <col min="4658" max="4660" width="0" style="140" hidden="1" customWidth="1"/>
    <col min="4661" max="4661" width="10.90625" style="140"/>
    <col min="4662" max="4663" width="0" style="140" hidden="1" customWidth="1"/>
    <col min="4664" max="4664" width="10.90625" style="140"/>
    <col min="4665" max="4666" width="0" style="140" hidden="1" customWidth="1"/>
    <col min="4667" max="4667" width="16.54296875" style="140" customWidth="1"/>
    <col min="4668" max="4668" width="11.453125" style="140" bestFit="1" customWidth="1"/>
    <col min="4669" max="4866" width="10.90625" style="140"/>
    <col min="4867" max="4867" width="0" style="140" hidden="1" customWidth="1"/>
    <col min="4868" max="4868" width="13" style="140" bestFit="1" customWidth="1"/>
    <col min="4869" max="4872" width="0" style="140" hidden="1" customWidth="1"/>
    <col min="4873" max="4873" width="13" style="140" bestFit="1" customWidth="1"/>
    <col min="4874" max="4877" width="0" style="140" hidden="1" customWidth="1"/>
    <col min="4878" max="4878" width="10.90625" style="140"/>
    <col min="4879" max="4882" width="0" style="140" hidden="1" customWidth="1"/>
    <col min="4883" max="4883" width="10.90625" style="140"/>
    <col min="4884" max="4887" width="0" style="140" hidden="1" customWidth="1"/>
    <col min="4888" max="4888" width="10.90625" style="140"/>
    <col min="4889" max="4892" width="0" style="140" hidden="1" customWidth="1"/>
    <col min="4893" max="4893" width="10.90625" style="140"/>
    <col min="4894" max="4897" width="0" style="140" hidden="1" customWidth="1"/>
    <col min="4898" max="4898" width="10.90625" style="140"/>
    <col min="4899" max="4902" width="0" style="140" hidden="1" customWidth="1"/>
    <col min="4903" max="4903" width="10.90625" style="140"/>
    <col min="4904" max="4907" width="0" style="140" hidden="1" customWidth="1"/>
    <col min="4908" max="4908" width="10.90625" style="140"/>
    <col min="4909" max="4912" width="0" style="140" hidden="1" customWidth="1"/>
    <col min="4913" max="4913" width="10.90625" style="140"/>
    <col min="4914" max="4916" width="0" style="140" hidden="1" customWidth="1"/>
    <col min="4917" max="4917" width="10.90625" style="140"/>
    <col min="4918" max="4919" width="0" style="140" hidden="1" customWidth="1"/>
    <col min="4920" max="4920" width="10.90625" style="140"/>
    <col min="4921" max="4922" width="0" style="140" hidden="1" customWidth="1"/>
    <col min="4923" max="4923" width="16.54296875" style="140" customWidth="1"/>
    <col min="4924" max="4924" width="11.453125" style="140" bestFit="1" customWidth="1"/>
    <col min="4925" max="5122" width="10.90625" style="140"/>
    <col min="5123" max="5123" width="0" style="140" hidden="1" customWidth="1"/>
    <col min="5124" max="5124" width="13" style="140" bestFit="1" customWidth="1"/>
    <col min="5125" max="5128" width="0" style="140" hidden="1" customWidth="1"/>
    <col min="5129" max="5129" width="13" style="140" bestFit="1" customWidth="1"/>
    <col min="5130" max="5133" width="0" style="140" hidden="1" customWidth="1"/>
    <col min="5134" max="5134" width="10.90625" style="140"/>
    <col min="5135" max="5138" width="0" style="140" hidden="1" customWidth="1"/>
    <col min="5139" max="5139" width="10.90625" style="140"/>
    <col min="5140" max="5143" width="0" style="140" hidden="1" customWidth="1"/>
    <col min="5144" max="5144" width="10.90625" style="140"/>
    <col min="5145" max="5148" width="0" style="140" hidden="1" customWidth="1"/>
    <col min="5149" max="5149" width="10.90625" style="140"/>
    <col min="5150" max="5153" width="0" style="140" hidden="1" customWidth="1"/>
    <col min="5154" max="5154" width="10.90625" style="140"/>
    <col min="5155" max="5158" width="0" style="140" hidden="1" customWidth="1"/>
    <col min="5159" max="5159" width="10.90625" style="140"/>
    <col min="5160" max="5163" width="0" style="140" hidden="1" customWidth="1"/>
    <col min="5164" max="5164" width="10.90625" style="140"/>
    <col min="5165" max="5168" width="0" style="140" hidden="1" customWidth="1"/>
    <col min="5169" max="5169" width="10.90625" style="140"/>
    <col min="5170" max="5172" width="0" style="140" hidden="1" customWidth="1"/>
    <col min="5173" max="5173" width="10.90625" style="140"/>
    <col min="5174" max="5175" width="0" style="140" hidden="1" customWidth="1"/>
    <col min="5176" max="5176" width="10.90625" style="140"/>
    <col min="5177" max="5178" width="0" style="140" hidden="1" customWidth="1"/>
    <col min="5179" max="5179" width="16.54296875" style="140" customWidth="1"/>
    <col min="5180" max="5180" width="11.453125" style="140" bestFit="1" customWidth="1"/>
    <col min="5181" max="5378" width="10.90625" style="140"/>
    <col min="5379" max="5379" width="0" style="140" hidden="1" customWidth="1"/>
    <col min="5380" max="5380" width="13" style="140" bestFit="1" customWidth="1"/>
    <col min="5381" max="5384" width="0" style="140" hidden="1" customWidth="1"/>
    <col min="5385" max="5385" width="13" style="140" bestFit="1" customWidth="1"/>
    <col min="5386" max="5389" width="0" style="140" hidden="1" customWidth="1"/>
    <col min="5390" max="5390" width="10.90625" style="140"/>
    <col min="5391" max="5394" width="0" style="140" hidden="1" customWidth="1"/>
    <col min="5395" max="5395" width="10.90625" style="140"/>
    <col min="5396" max="5399" width="0" style="140" hidden="1" customWidth="1"/>
    <col min="5400" max="5400" width="10.90625" style="140"/>
    <col min="5401" max="5404" width="0" style="140" hidden="1" customWidth="1"/>
    <col min="5405" max="5405" width="10.90625" style="140"/>
    <col min="5406" max="5409" width="0" style="140" hidden="1" customWidth="1"/>
    <col min="5410" max="5410" width="10.90625" style="140"/>
    <col min="5411" max="5414" width="0" style="140" hidden="1" customWidth="1"/>
    <col min="5415" max="5415" width="10.90625" style="140"/>
    <col min="5416" max="5419" width="0" style="140" hidden="1" customWidth="1"/>
    <col min="5420" max="5420" width="10.90625" style="140"/>
    <col min="5421" max="5424" width="0" style="140" hidden="1" customWidth="1"/>
    <col min="5425" max="5425" width="10.90625" style="140"/>
    <col min="5426" max="5428" width="0" style="140" hidden="1" customWidth="1"/>
    <col min="5429" max="5429" width="10.90625" style="140"/>
    <col min="5430" max="5431" width="0" style="140" hidden="1" customWidth="1"/>
    <col min="5432" max="5432" width="10.90625" style="140"/>
    <col min="5433" max="5434" width="0" style="140" hidden="1" customWidth="1"/>
    <col min="5435" max="5435" width="16.54296875" style="140" customWidth="1"/>
    <col min="5436" max="5436" width="11.453125" style="140" bestFit="1" customWidth="1"/>
    <col min="5437" max="5634" width="10.90625" style="140"/>
    <col min="5635" max="5635" width="0" style="140" hidden="1" customWidth="1"/>
    <col min="5636" max="5636" width="13" style="140" bestFit="1" customWidth="1"/>
    <col min="5637" max="5640" width="0" style="140" hidden="1" customWidth="1"/>
    <col min="5641" max="5641" width="13" style="140" bestFit="1" customWidth="1"/>
    <col min="5642" max="5645" width="0" style="140" hidden="1" customWidth="1"/>
    <col min="5646" max="5646" width="10.90625" style="140"/>
    <col min="5647" max="5650" width="0" style="140" hidden="1" customWidth="1"/>
    <col min="5651" max="5651" width="10.90625" style="140"/>
    <col min="5652" max="5655" width="0" style="140" hidden="1" customWidth="1"/>
    <col min="5656" max="5656" width="10.90625" style="140"/>
    <col min="5657" max="5660" width="0" style="140" hidden="1" customWidth="1"/>
    <col min="5661" max="5661" width="10.90625" style="140"/>
    <col min="5662" max="5665" width="0" style="140" hidden="1" customWidth="1"/>
    <col min="5666" max="5666" width="10.90625" style="140"/>
    <col min="5667" max="5670" width="0" style="140" hidden="1" customWidth="1"/>
    <col min="5671" max="5671" width="10.90625" style="140"/>
    <col min="5672" max="5675" width="0" style="140" hidden="1" customWidth="1"/>
    <col min="5676" max="5676" width="10.90625" style="140"/>
    <col min="5677" max="5680" width="0" style="140" hidden="1" customWidth="1"/>
    <col min="5681" max="5681" width="10.90625" style="140"/>
    <col min="5682" max="5684" width="0" style="140" hidden="1" customWidth="1"/>
    <col min="5685" max="5685" width="10.90625" style="140"/>
    <col min="5686" max="5687" width="0" style="140" hidden="1" customWidth="1"/>
    <col min="5688" max="5688" width="10.90625" style="140"/>
    <col min="5689" max="5690" width="0" style="140" hidden="1" customWidth="1"/>
    <col min="5691" max="5691" width="16.54296875" style="140" customWidth="1"/>
    <col min="5692" max="5692" width="11.453125" style="140" bestFit="1" customWidth="1"/>
    <col min="5693" max="5890" width="10.90625" style="140"/>
    <col min="5891" max="5891" width="0" style="140" hidden="1" customWidth="1"/>
    <col min="5892" max="5892" width="13" style="140" bestFit="1" customWidth="1"/>
    <col min="5893" max="5896" width="0" style="140" hidden="1" customWidth="1"/>
    <col min="5897" max="5897" width="13" style="140" bestFit="1" customWidth="1"/>
    <col min="5898" max="5901" width="0" style="140" hidden="1" customWidth="1"/>
    <col min="5902" max="5902" width="10.90625" style="140"/>
    <col min="5903" max="5906" width="0" style="140" hidden="1" customWidth="1"/>
    <col min="5907" max="5907" width="10.90625" style="140"/>
    <col min="5908" max="5911" width="0" style="140" hidden="1" customWidth="1"/>
    <col min="5912" max="5912" width="10.90625" style="140"/>
    <col min="5913" max="5916" width="0" style="140" hidden="1" customWidth="1"/>
    <col min="5917" max="5917" width="10.90625" style="140"/>
    <col min="5918" max="5921" width="0" style="140" hidden="1" customWidth="1"/>
    <col min="5922" max="5922" width="10.90625" style="140"/>
    <col min="5923" max="5926" width="0" style="140" hidden="1" customWidth="1"/>
    <col min="5927" max="5927" width="10.90625" style="140"/>
    <col min="5928" max="5931" width="0" style="140" hidden="1" customWidth="1"/>
    <col min="5932" max="5932" width="10.90625" style="140"/>
    <col min="5933" max="5936" width="0" style="140" hidden="1" customWidth="1"/>
    <col min="5937" max="5937" width="10.90625" style="140"/>
    <col min="5938" max="5940" width="0" style="140" hidden="1" customWidth="1"/>
    <col min="5941" max="5941" width="10.90625" style="140"/>
    <col min="5942" max="5943" width="0" style="140" hidden="1" customWidth="1"/>
    <col min="5944" max="5944" width="10.90625" style="140"/>
    <col min="5945" max="5946" width="0" style="140" hidden="1" customWidth="1"/>
    <col min="5947" max="5947" width="16.54296875" style="140" customWidth="1"/>
    <col min="5948" max="5948" width="11.453125" style="140" bestFit="1" customWidth="1"/>
    <col min="5949" max="6146" width="10.90625" style="140"/>
    <col min="6147" max="6147" width="0" style="140" hidden="1" customWidth="1"/>
    <col min="6148" max="6148" width="13" style="140" bestFit="1" customWidth="1"/>
    <col min="6149" max="6152" width="0" style="140" hidden="1" customWidth="1"/>
    <col min="6153" max="6153" width="13" style="140" bestFit="1" customWidth="1"/>
    <col min="6154" max="6157" width="0" style="140" hidden="1" customWidth="1"/>
    <col min="6158" max="6158" width="10.90625" style="140"/>
    <col min="6159" max="6162" width="0" style="140" hidden="1" customWidth="1"/>
    <col min="6163" max="6163" width="10.90625" style="140"/>
    <col min="6164" max="6167" width="0" style="140" hidden="1" customWidth="1"/>
    <col min="6168" max="6168" width="10.90625" style="140"/>
    <col min="6169" max="6172" width="0" style="140" hidden="1" customWidth="1"/>
    <col min="6173" max="6173" width="10.90625" style="140"/>
    <col min="6174" max="6177" width="0" style="140" hidden="1" customWidth="1"/>
    <col min="6178" max="6178" width="10.90625" style="140"/>
    <col min="6179" max="6182" width="0" style="140" hidden="1" customWidth="1"/>
    <col min="6183" max="6183" width="10.90625" style="140"/>
    <col min="6184" max="6187" width="0" style="140" hidden="1" customWidth="1"/>
    <col min="6188" max="6188" width="10.90625" style="140"/>
    <col min="6189" max="6192" width="0" style="140" hidden="1" customWidth="1"/>
    <col min="6193" max="6193" width="10.90625" style="140"/>
    <col min="6194" max="6196" width="0" style="140" hidden="1" customWidth="1"/>
    <col min="6197" max="6197" width="10.90625" style="140"/>
    <col min="6198" max="6199" width="0" style="140" hidden="1" customWidth="1"/>
    <col min="6200" max="6200" width="10.90625" style="140"/>
    <col min="6201" max="6202" width="0" style="140" hidden="1" customWidth="1"/>
    <col min="6203" max="6203" width="16.54296875" style="140" customWidth="1"/>
    <col min="6204" max="6204" width="11.453125" style="140" bestFit="1" customWidth="1"/>
    <col min="6205" max="6402" width="10.90625" style="140"/>
    <col min="6403" max="6403" width="0" style="140" hidden="1" customWidth="1"/>
    <col min="6404" max="6404" width="13" style="140" bestFit="1" customWidth="1"/>
    <col min="6405" max="6408" width="0" style="140" hidden="1" customWidth="1"/>
    <col min="6409" max="6409" width="13" style="140" bestFit="1" customWidth="1"/>
    <col min="6410" max="6413" width="0" style="140" hidden="1" customWidth="1"/>
    <col min="6414" max="6414" width="10.90625" style="140"/>
    <col min="6415" max="6418" width="0" style="140" hidden="1" customWidth="1"/>
    <col min="6419" max="6419" width="10.90625" style="140"/>
    <col min="6420" max="6423" width="0" style="140" hidden="1" customWidth="1"/>
    <col min="6424" max="6424" width="10.90625" style="140"/>
    <col min="6425" max="6428" width="0" style="140" hidden="1" customWidth="1"/>
    <col min="6429" max="6429" width="10.90625" style="140"/>
    <col min="6430" max="6433" width="0" style="140" hidden="1" customWidth="1"/>
    <col min="6434" max="6434" width="10.90625" style="140"/>
    <col min="6435" max="6438" width="0" style="140" hidden="1" customWidth="1"/>
    <col min="6439" max="6439" width="10.90625" style="140"/>
    <col min="6440" max="6443" width="0" style="140" hidden="1" customWidth="1"/>
    <col min="6444" max="6444" width="10.90625" style="140"/>
    <col min="6445" max="6448" width="0" style="140" hidden="1" customWidth="1"/>
    <col min="6449" max="6449" width="10.90625" style="140"/>
    <col min="6450" max="6452" width="0" style="140" hidden="1" customWidth="1"/>
    <col min="6453" max="6453" width="10.90625" style="140"/>
    <col min="6454" max="6455" width="0" style="140" hidden="1" customWidth="1"/>
    <col min="6456" max="6456" width="10.90625" style="140"/>
    <col min="6457" max="6458" width="0" style="140" hidden="1" customWidth="1"/>
    <col min="6459" max="6459" width="16.54296875" style="140" customWidth="1"/>
    <col min="6460" max="6460" width="11.453125" style="140" bestFit="1" customWidth="1"/>
    <col min="6461" max="6658" width="10.90625" style="140"/>
    <col min="6659" max="6659" width="0" style="140" hidden="1" customWidth="1"/>
    <col min="6660" max="6660" width="13" style="140" bestFit="1" customWidth="1"/>
    <col min="6661" max="6664" width="0" style="140" hidden="1" customWidth="1"/>
    <col min="6665" max="6665" width="13" style="140" bestFit="1" customWidth="1"/>
    <col min="6666" max="6669" width="0" style="140" hidden="1" customWidth="1"/>
    <col min="6670" max="6670" width="10.90625" style="140"/>
    <col min="6671" max="6674" width="0" style="140" hidden="1" customWidth="1"/>
    <col min="6675" max="6675" width="10.90625" style="140"/>
    <col min="6676" max="6679" width="0" style="140" hidden="1" customWidth="1"/>
    <col min="6680" max="6680" width="10.90625" style="140"/>
    <col min="6681" max="6684" width="0" style="140" hidden="1" customWidth="1"/>
    <col min="6685" max="6685" width="10.90625" style="140"/>
    <col min="6686" max="6689" width="0" style="140" hidden="1" customWidth="1"/>
    <col min="6690" max="6690" width="10.90625" style="140"/>
    <col min="6691" max="6694" width="0" style="140" hidden="1" customWidth="1"/>
    <col min="6695" max="6695" width="10.90625" style="140"/>
    <col min="6696" max="6699" width="0" style="140" hidden="1" customWidth="1"/>
    <col min="6700" max="6700" width="10.90625" style="140"/>
    <col min="6701" max="6704" width="0" style="140" hidden="1" customWidth="1"/>
    <col min="6705" max="6705" width="10.90625" style="140"/>
    <col min="6706" max="6708" width="0" style="140" hidden="1" customWidth="1"/>
    <col min="6709" max="6709" width="10.90625" style="140"/>
    <col min="6710" max="6711" width="0" style="140" hidden="1" customWidth="1"/>
    <col min="6712" max="6712" width="10.90625" style="140"/>
    <col min="6713" max="6714" width="0" style="140" hidden="1" customWidth="1"/>
    <col min="6715" max="6715" width="16.54296875" style="140" customWidth="1"/>
    <col min="6716" max="6716" width="11.453125" style="140" bestFit="1" customWidth="1"/>
    <col min="6717" max="6914" width="10.90625" style="140"/>
    <col min="6915" max="6915" width="0" style="140" hidden="1" customWidth="1"/>
    <col min="6916" max="6916" width="13" style="140" bestFit="1" customWidth="1"/>
    <col min="6917" max="6920" width="0" style="140" hidden="1" customWidth="1"/>
    <col min="6921" max="6921" width="13" style="140" bestFit="1" customWidth="1"/>
    <col min="6922" max="6925" width="0" style="140" hidden="1" customWidth="1"/>
    <col min="6926" max="6926" width="10.90625" style="140"/>
    <col min="6927" max="6930" width="0" style="140" hidden="1" customWidth="1"/>
    <col min="6931" max="6931" width="10.90625" style="140"/>
    <col min="6932" max="6935" width="0" style="140" hidden="1" customWidth="1"/>
    <col min="6936" max="6936" width="10.90625" style="140"/>
    <col min="6937" max="6940" width="0" style="140" hidden="1" customWidth="1"/>
    <col min="6941" max="6941" width="10.90625" style="140"/>
    <col min="6942" max="6945" width="0" style="140" hidden="1" customWidth="1"/>
    <col min="6946" max="6946" width="10.90625" style="140"/>
    <col min="6947" max="6950" width="0" style="140" hidden="1" customWidth="1"/>
    <col min="6951" max="6951" width="10.90625" style="140"/>
    <col min="6952" max="6955" width="0" style="140" hidden="1" customWidth="1"/>
    <col min="6956" max="6956" width="10.90625" style="140"/>
    <col min="6957" max="6960" width="0" style="140" hidden="1" customWidth="1"/>
    <col min="6961" max="6961" width="10.90625" style="140"/>
    <col min="6962" max="6964" width="0" style="140" hidden="1" customWidth="1"/>
    <col min="6965" max="6965" width="10.90625" style="140"/>
    <col min="6966" max="6967" width="0" style="140" hidden="1" customWidth="1"/>
    <col min="6968" max="6968" width="10.90625" style="140"/>
    <col min="6969" max="6970" width="0" style="140" hidden="1" customWidth="1"/>
    <col min="6971" max="6971" width="16.54296875" style="140" customWidth="1"/>
    <col min="6972" max="6972" width="11.453125" style="140" bestFit="1" customWidth="1"/>
    <col min="6973" max="7170" width="10.90625" style="140"/>
    <col min="7171" max="7171" width="0" style="140" hidden="1" customWidth="1"/>
    <col min="7172" max="7172" width="13" style="140" bestFit="1" customWidth="1"/>
    <col min="7173" max="7176" width="0" style="140" hidden="1" customWidth="1"/>
    <col min="7177" max="7177" width="13" style="140" bestFit="1" customWidth="1"/>
    <col min="7178" max="7181" width="0" style="140" hidden="1" customWidth="1"/>
    <col min="7182" max="7182" width="10.90625" style="140"/>
    <col min="7183" max="7186" width="0" style="140" hidden="1" customWidth="1"/>
    <col min="7187" max="7187" width="10.90625" style="140"/>
    <col min="7188" max="7191" width="0" style="140" hidden="1" customWidth="1"/>
    <col min="7192" max="7192" width="10.90625" style="140"/>
    <col min="7193" max="7196" width="0" style="140" hidden="1" customWidth="1"/>
    <col min="7197" max="7197" width="10.90625" style="140"/>
    <col min="7198" max="7201" width="0" style="140" hidden="1" customWidth="1"/>
    <col min="7202" max="7202" width="10.90625" style="140"/>
    <col min="7203" max="7206" width="0" style="140" hidden="1" customWidth="1"/>
    <col min="7207" max="7207" width="10.90625" style="140"/>
    <col min="7208" max="7211" width="0" style="140" hidden="1" customWidth="1"/>
    <col min="7212" max="7212" width="10.90625" style="140"/>
    <col min="7213" max="7216" width="0" style="140" hidden="1" customWidth="1"/>
    <col min="7217" max="7217" width="10.90625" style="140"/>
    <col min="7218" max="7220" width="0" style="140" hidden="1" customWidth="1"/>
    <col min="7221" max="7221" width="10.90625" style="140"/>
    <col min="7222" max="7223" width="0" style="140" hidden="1" customWidth="1"/>
    <col min="7224" max="7224" width="10.90625" style="140"/>
    <col min="7225" max="7226" width="0" style="140" hidden="1" customWidth="1"/>
    <col min="7227" max="7227" width="16.54296875" style="140" customWidth="1"/>
    <col min="7228" max="7228" width="11.453125" style="140" bestFit="1" customWidth="1"/>
    <col min="7229" max="7426" width="10.90625" style="140"/>
    <col min="7427" max="7427" width="0" style="140" hidden="1" customWidth="1"/>
    <col min="7428" max="7428" width="13" style="140" bestFit="1" customWidth="1"/>
    <col min="7429" max="7432" width="0" style="140" hidden="1" customWidth="1"/>
    <col min="7433" max="7433" width="13" style="140" bestFit="1" customWidth="1"/>
    <col min="7434" max="7437" width="0" style="140" hidden="1" customWidth="1"/>
    <col min="7438" max="7438" width="10.90625" style="140"/>
    <col min="7439" max="7442" width="0" style="140" hidden="1" customWidth="1"/>
    <col min="7443" max="7443" width="10.90625" style="140"/>
    <col min="7444" max="7447" width="0" style="140" hidden="1" customWidth="1"/>
    <col min="7448" max="7448" width="10.90625" style="140"/>
    <col min="7449" max="7452" width="0" style="140" hidden="1" customWidth="1"/>
    <col min="7453" max="7453" width="10.90625" style="140"/>
    <col min="7454" max="7457" width="0" style="140" hidden="1" customWidth="1"/>
    <col min="7458" max="7458" width="10.90625" style="140"/>
    <col min="7459" max="7462" width="0" style="140" hidden="1" customWidth="1"/>
    <col min="7463" max="7463" width="10.90625" style="140"/>
    <col min="7464" max="7467" width="0" style="140" hidden="1" customWidth="1"/>
    <col min="7468" max="7468" width="10.90625" style="140"/>
    <col min="7469" max="7472" width="0" style="140" hidden="1" customWidth="1"/>
    <col min="7473" max="7473" width="10.90625" style="140"/>
    <col min="7474" max="7476" width="0" style="140" hidden="1" customWidth="1"/>
    <col min="7477" max="7477" width="10.90625" style="140"/>
    <col min="7478" max="7479" width="0" style="140" hidden="1" customWidth="1"/>
    <col min="7480" max="7480" width="10.90625" style="140"/>
    <col min="7481" max="7482" width="0" style="140" hidden="1" customWidth="1"/>
    <col min="7483" max="7483" width="16.54296875" style="140" customWidth="1"/>
    <col min="7484" max="7484" width="11.453125" style="140" bestFit="1" customWidth="1"/>
    <col min="7485" max="7682" width="10.90625" style="140"/>
    <col min="7683" max="7683" width="0" style="140" hidden="1" customWidth="1"/>
    <col min="7684" max="7684" width="13" style="140" bestFit="1" customWidth="1"/>
    <col min="7685" max="7688" width="0" style="140" hidden="1" customWidth="1"/>
    <col min="7689" max="7689" width="13" style="140" bestFit="1" customWidth="1"/>
    <col min="7690" max="7693" width="0" style="140" hidden="1" customWidth="1"/>
    <col min="7694" max="7694" width="10.90625" style="140"/>
    <col min="7695" max="7698" width="0" style="140" hidden="1" customWidth="1"/>
    <col min="7699" max="7699" width="10.90625" style="140"/>
    <col min="7700" max="7703" width="0" style="140" hidden="1" customWidth="1"/>
    <col min="7704" max="7704" width="10.90625" style="140"/>
    <col min="7705" max="7708" width="0" style="140" hidden="1" customWidth="1"/>
    <col min="7709" max="7709" width="10.90625" style="140"/>
    <col min="7710" max="7713" width="0" style="140" hidden="1" customWidth="1"/>
    <col min="7714" max="7714" width="10.90625" style="140"/>
    <col min="7715" max="7718" width="0" style="140" hidden="1" customWidth="1"/>
    <col min="7719" max="7719" width="10.90625" style="140"/>
    <col min="7720" max="7723" width="0" style="140" hidden="1" customWidth="1"/>
    <col min="7724" max="7724" width="10.90625" style="140"/>
    <col min="7725" max="7728" width="0" style="140" hidden="1" customWidth="1"/>
    <col min="7729" max="7729" width="10.90625" style="140"/>
    <col min="7730" max="7732" width="0" style="140" hidden="1" customWidth="1"/>
    <col min="7733" max="7733" width="10.90625" style="140"/>
    <col min="7734" max="7735" width="0" style="140" hidden="1" customWidth="1"/>
    <col min="7736" max="7736" width="10.90625" style="140"/>
    <col min="7737" max="7738" width="0" style="140" hidden="1" customWidth="1"/>
    <col min="7739" max="7739" width="16.54296875" style="140" customWidth="1"/>
    <col min="7740" max="7740" width="11.453125" style="140" bestFit="1" customWidth="1"/>
    <col min="7741" max="7938" width="10.90625" style="140"/>
    <col min="7939" max="7939" width="0" style="140" hidden="1" customWidth="1"/>
    <col min="7940" max="7940" width="13" style="140" bestFit="1" customWidth="1"/>
    <col min="7941" max="7944" width="0" style="140" hidden="1" customWidth="1"/>
    <col min="7945" max="7945" width="13" style="140" bestFit="1" customWidth="1"/>
    <col min="7946" max="7949" width="0" style="140" hidden="1" customWidth="1"/>
    <col min="7950" max="7950" width="10.90625" style="140"/>
    <col min="7951" max="7954" width="0" style="140" hidden="1" customWidth="1"/>
    <col min="7955" max="7955" width="10.90625" style="140"/>
    <col min="7956" max="7959" width="0" style="140" hidden="1" customWidth="1"/>
    <col min="7960" max="7960" width="10.90625" style="140"/>
    <col min="7961" max="7964" width="0" style="140" hidden="1" customWidth="1"/>
    <col min="7965" max="7965" width="10.90625" style="140"/>
    <col min="7966" max="7969" width="0" style="140" hidden="1" customWidth="1"/>
    <col min="7970" max="7970" width="10.90625" style="140"/>
    <col min="7971" max="7974" width="0" style="140" hidden="1" customWidth="1"/>
    <col min="7975" max="7975" width="10.90625" style="140"/>
    <col min="7976" max="7979" width="0" style="140" hidden="1" customWidth="1"/>
    <col min="7980" max="7980" width="10.90625" style="140"/>
    <col min="7981" max="7984" width="0" style="140" hidden="1" customWidth="1"/>
    <col min="7985" max="7985" width="10.90625" style="140"/>
    <col min="7986" max="7988" width="0" style="140" hidden="1" customWidth="1"/>
    <col min="7989" max="7989" width="10.90625" style="140"/>
    <col min="7990" max="7991" width="0" style="140" hidden="1" customWidth="1"/>
    <col min="7992" max="7992" width="10.90625" style="140"/>
    <col min="7993" max="7994" width="0" style="140" hidden="1" customWidth="1"/>
    <col min="7995" max="7995" width="16.54296875" style="140" customWidth="1"/>
    <col min="7996" max="7996" width="11.453125" style="140" bestFit="1" customWidth="1"/>
    <col min="7997" max="8194" width="10.90625" style="140"/>
    <col min="8195" max="8195" width="0" style="140" hidden="1" customWidth="1"/>
    <col min="8196" max="8196" width="13" style="140" bestFit="1" customWidth="1"/>
    <col min="8197" max="8200" width="0" style="140" hidden="1" customWidth="1"/>
    <col min="8201" max="8201" width="13" style="140" bestFit="1" customWidth="1"/>
    <col min="8202" max="8205" width="0" style="140" hidden="1" customWidth="1"/>
    <col min="8206" max="8206" width="10.90625" style="140"/>
    <col min="8207" max="8210" width="0" style="140" hidden="1" customWidth="1"/>
    <col min="8211" max="8211" width="10.90625" style="140"/>
    <col min="8212" max="8215" width="0" style="140" hidden="1" customWidth="1"/>
    <col min="8216" max="8216" width="10.90625" style="140"/>
    <col min="8217" max="8220" width="0" style="140" hidden="1" customWidth="1"/>
    <col min="8221" max="8221" width="10.90625" style="140"/>
    <col min="8222" max="8225" width="0" style="140" hidden="1" customWidth="1"/>
    <col min="8226" max="8226" width="10.90625" style="140"/>
    <col min="8227" max="8230" width="0" style="140" hidden="1" customWidth="1"/>
    <col min="8231" max="8231" width="10.90625" style="140"/>
    <col min="8232" max="8235" width="0" style="140" hidden="1" customWidth="1"/>
    <col min="8236" max="8236" width="10.90625" style="140"/>
    <col min="8237" max="8240" width="0" style="140" hidden="1" customWidth="1"/>
    <col min="8241" max="8241" width="10.90625" style="140"/>
    <col min="8242" max="8244" width="0" style="140" hidden="1" customWidth="1"/>
    <col min="8245" max="8245" width="10.90625" style="140"/>
    <col min="8246" max="8247" width="0" style="140" hidden="1" customWidth="1"/>
    <col min="8248" max="8248" width="10.90625" style="140"/>
    <col min="8249" max="8250" width="0" style="140" hidden="1" customWidth="1"/>
    <col min="8251" max="8251" width="16.54296875" style="140" customWidth="1"/>
    <col min="8252" max="8252" width="11.453125" style="140" bestFit="1" customWidth="1"/>
    <col min="8253" max="8450" width="10.90625" style="140"/>
    <col min="8451" max="8451" width="0" style="140" hidden="1" customWidth="1"/>
    <col min="8452" max="8452" width="13" style="140" bestFit="1" customWidth="1"/>
    <col min="8453" max="8456" width="0" style="140" hidden="1" customWidth="1"/>
    <col min="8457" max="8457" width="13" style="140" bestFit="1" customWidth="1"/>
    <col min="8458" max="8461" width="0" style="140" hidden="1" customWidth="1"/>
    <col min="8462" max="8462" width="10.90625" style="140"/>
    <col min="8463" max="8466" width="0" style="140" hidden="1" customWidth="1"/>
    <col min="8467" max="8467" width="10.90625" style="140"/>
    <col min="8468" max="8471" width="0" style="140" hidden="1" customWidth="1"/>
    <col min="8472" max="8472" width="10.90625" style="140"/>
    <col min="8473" max="8476" width="0" style="140" hidden="1" customWidth="1"/>
    <col min="8477" max="8477" width="10.90625" style="140"/>
    <col min="8478" max="8481" width="0" style="140" hidden="1" customWidth="1"/>
    <col min="8482" max="8482" width="10.90625" style="140"/>
    <col min="8483" max="8486" width="0" style="140" hidden="1" customWidth="1"/>
    <col min="8487" max="8487" width="10.90625" style="140"/>
    <col min="8488" max="8491" width="0" style="140" hidden="1" customWidth="1"/>
    <col min="8492" max="8492" width="10.90625" style="140"/>
    <col min="8493" max="8496" width="0" style="140" hidden="1" customWidth="1"/>
    <col min="8497" max="8497" width="10.90625" style="140"/>
    <col min="8498" max="8500" width="0" style="140" hidden="1" customWidth="1"/>
    <col min="8501" max="8501" width="10.90625" style="140"/>
    <col min="8502" max="8503" width="0" style="140" hidden="1" customWidth="1"/>
    <col min="8504" max="8504" width="10.90625" style="140"/>
    <col min="8505" max="8506" width="0" style="140" hidden="1" customWidth="1"/>
    <col min="8507" max="8507" width="16.54296875" style="140" customWidth="1"/>
    <col min="8508" max="8508" width="11.453125" style="140" bestFit="1" customWidth="1"/>
    <col min="8509" max="8706" width="10.90625" style="140"/>
    <col min="8707" max="8707" width="0" style="140" hidden="1" customWidth="1"/>
    <col min="8708" max="8708" width="13" style="140" bestFit="1" customWidth="1"/>
    <col min="8709" max="8712" width="0" style="140" hidden="1" customWidth="1"/>
    <col min="8713" max="8713" width="13" style="140" bestFit="1" customWidth="1"/>
    <col min="8714" max="8717" width="0" style="140" hidden="1" customWidth="1"/>
    <col min="8718" max="8718" width="10.90625" style="140"/>
    <col min="8719" max="8722" width="0" style="140" hidden="1" customWidth="1"/>
    <col min="8723" max="8723" width="10.90625" style="140"/>
    <col min="8724" max="8727" width="0" style="140" hidden="1" customWidth="1"/>
    <col min="8728" max="8728" width="10.90625" style="140"/>
    <col min="8729" max="8732" width="0" style="140" hidden="1" customWidth="1"/>
    <col min="8733" max="8733" width="10.90625" style="140"/>
    <col min="8734" max="8737" width="0" style="140" hidden="1" customWidth="1"/>
    <col min="8738" max="8738" width="10.90625" style="140"/>
    <col min="8739" max="8742" width="0" style="140" hidden="1" customWidth="1"/>
    <col min="8743" max="8743" width="10.90625" style="140"/>
    <col min="8744" max="8747" width="0" style="140" hidden="1" customWidth="1"/>
    <col min="8748" max="8748" width="10.90625" style="140"/>
    <col min="8749" max="8752" width="0" style="140" hidden="1" customWidth="1"/>
    <col min="8753" max="8753" width="10.90625" style="140"/>
    <col min="8754" max="8756" width="0" style="140" hidden="1" customWidth="1"/>
    <col min="8757" max="8757" width="10.90625" style="140"/>
    <col min="8758" max="8759" width="0" style="140" hidden="1" customWidth="1"/>
    <col min="8760" max="8760" width="10.90625" style="140"/>
    <col min="8761" max="8762" width="0" style="140" hidden="1" customWidth="1"/>
    <col min="8763" max="8763" width="16.54296875" style="140" customWidth="1"/>
    <col min="8764" max="8764" width="11.453125" style="140" bestFit="1" customWidth="1"/>
    <col min="8765" max="8962" width="10.90625" style="140"/>
    <col min="8963" max="8963" width="0" style="140" hidden="1" customWidth="1"/>
    <col min="8964" max="8964" width="13" style="140" bestFit="1" customWidth="1"/>
    <col min="8965" max="8968" width="0" style="140" hidden="1" customWidth="1"/>
    <col min="8969" max="8969" width="13" style="140" bestFit="1" customWidth="1"/>
    <col min="8970" max="8973" width="0" style="140" hidden="1" customWidth="1"/>
    <col min="8974" max="8974" width="10.90625" style="140"/>
    <col min="8975" max="8978" width="0" style="140" hidden="1" customWidth="1"/>
    <col min="8979" max="8979" width="10.90625" style="140"/>
    <col min="8980" max="8983" width="0" style="140" hidden="1" customWidth="1"/>
    <col min="8984" max="8984" width="10.90625" style="140"/>
    <col min="8985" max="8988" width="0" style="140" hidden="1" customWidth="1"/>
    <col min="8989" max="8989" width="10.90625" style="140"/>
    <col min="8990" max="8993" width="0" style="140" hidden="1" customWidth="1"/>
    <col min="8994" max="8994" width="10.90625" style="140"/>
    <col min="8995" max="8998" width="0" style="140" hidden="1" customWidth="1"/>
    <col min="8999" max="8999" width="10.90625" style="140"/>
    <col min="9000" max="9003" width="0" style="140" hidden="1" customWidth="1"/>
    <col min="9004" max="9004" width="10.90625" style="140"/>
    <col min="9005" max="9008" width="0" style="140" hidden="1" customWidth="1"/>
    <col min="9009" max="9009" width="10.90625" style="140"/>
    <col min="9010" max="9012" width="0" style="140" hidden="1" customWidth="1"/>
    <col min="9013" max="9013" width="10.90625" style="140"/>
    <col min="9014" max="9015" width="0" style="140" hidden="1" customWidth="1"/>
    <col min="9016" max="9016" width="10.90625" style="140"/>
    <col min="9017" max="9018" width="0" style="140" hidden="1" customWidth="1"/>
    <col min="9019" max="9019" width="16.54296875" style="140" customWidth="1"/>
    <col min="9020" max="9020" width="11.453125" style="140" bestFit="1" customWidth="1"/>
    <col min="9021" max="9218" width="10.90625" style="140"/>
    <col min="9219" max="9219" width="0" style="140" hidden="1" customWidth="1"/>
    <col min="9220" max="9220" width="13" style="140" bestFit="1" customWidth="1"/>
    <col min="9221" max="9224" width="0" style="140" hidden="1" customWidth="1"/>
    <col min="9225" max="9225" width="13" style="140" bestFit="1" customWidth="1"/>
    <col min="9226" max="9229" width="0" style="140" hidden="1" customWidth="1"/>
    <col min="9230" max="9230" width="10.90625" style="140"/>
    <col min="9231" max="9234" width="0" style="140" hidden="1" customWidth="1"/>
    <col min="9235" max="9235" width="10.90625" style="140"/>
    <col min="9236" max="9239" width="0" style="140" hidden="1" customWidth="1"/>
    <col min="9240" max="9240" width="10.90625" style="140"/>
    <col min="9241" max="9244" width="0" style="140" hidden="1" customWidth="1"/>
    <col min="9245" max="9245" width="10.90625" style="140"/>
    <col min="9246" max="9249" width="0" style="140" hidden="1" customWidth="1"/>
    <col min="9250" max="9250" width="10.90625" style="140"/>
    <col min="9251" max="9254" width="0" style="140" hidden="1" customWidth="1"/>
    <col min="9255" max="9255" width="10.90625" style="140"/>
    <col min="9256" max="9259" width="0" style="140" hidden="1" customWidth="1"/>
    <col min="9260" max="9260" width="10.90625" style="140"/>
    <col min="9261" max="9264" width="0" style="140" hidden="1" customWidth="1"/>
    <col min="9265" max="9265" width="10.90625" style="140"/>
    <col min="9266" max="9268" width="0" style="140" hidden="1" customWidth="1"/>
    <col min="9269" max="9269" width="10.90625" style="140"/>
    <col min="9270" max="9271" width="0" style="140" hidden="1" customWidth="1"/>
    <col min="9272" max="9272" width="10.90625" style="140"/>
    <col min="9273" max="9274" width="0" style="140" hidden="1" customWidth="1"/>
    <col min="9275" max="9275" width="16.54296875" style="140" customWidth="1"/>
    <col min="9276" max="9276" width="11.453125" style="140" bestFit="1" customWidth="1"/>
    <col min="9277" max="9474" width="10.90625" style="140"/>
    <col min="9475" max="9475" width="0" style="140" hidden="1" customWidth="1"/>
    <col min="9476" max="9476" width="13" style="140" bestFit="1" customWidth="1"/>
    <col min="9477" max="9480" width="0" style="140" hidden="1" customWidth="1"/>
    <col min="9481" max="9481" width="13" style="140" bestFit="1" customWidth="1"/>
    <col min="9482" max="9485" width="0" style="140" hidden="1" customWidth="1"/>
    <col min="9486" max="9486" width="10.90625" style="140"/>
    <col min="9487" max="9490" width="0" style="140" hidden="1" customWidth="1"/>
    <col min="9491" max="9491" width="10.90625" style="140"/>
    <col min="9492" max="9495" width="0" style="140" hidden="1" customWidth="1"/>
    <col min="9496" max="9496" width="10.90625" style="140"/>
    <col min="9497" max="9500" width="0" style="140" hidden="1" customWidth="1"/>
    <col min="9501" max="9501" width="10.90625" style="140"/>
    <col min="9502" max="9505" width="0" style="140" hidden="1" customWidth="1"/>
    <col min="9506" max="9506" width="10.90625" style="140"/>
    <col min="9507" max="9510" width="0" style="140" hidden="1" customWidth="1"/>
    <col min="9511" max="9511" width="10.90625" style="140"/>
    <col min="9512" max="9515" width="0" style="140" hidden="1" customWidth="1"/>
    <col min="9516" max="9516" width="10.90625" style="140"/>
    <col min="9517" max="9520" width="0" style="140" hidden="1" customWidth="1"/>
    <col min="9521" max="9521" width="10.90625" style="140"/>
    <col min="9522" max="9524" width="0" style="140" hidden="1" customWidth="1"/>
    <col min="9525" max="9525" width="10.90625" style="140"/>
    <col min="9526" max="9527" width="0" style="140" hidden="1" customWidth="1"/>
    <col min="9528" max="9528" width="10.90625" style="140"/>
    <col min="9529" max="9530" width="0" style="140" hidden="1" customWidth="1"/>
    <col min="9531" max="9531" width="16.54296875" style="140" customWidth="1"/>
    <col min="9532" max="9532" width="11.453125" style="140" bestFit="1" customWidth="1"/>
    <col min="9533" max="9730" width="10.90625" style="140"/>
    <col min="9731" max="9731" width="0" style="140" hidden="1" customWidth="1"/>
    <col min="9732" max="9732" width="13" style="140" bestFit="1" customWidth="1"/>
    <col min="9733" max="9736" width="0" style="140" hidden="1" customWidth="1"/>
    <col min="9737" max="9737" width="13" style="140" bestFit="1" customWidth="1"/>
    <col min="9738" max="9741" width="0" style="140" hidden="1" customWidth="1"/>
    <col min="9742" max="9742" width="10.90625" style="140"/>
    <col min="9743" max="9746" width="0" style="140" hidden="1" customWidth="1"/>
    <col min="9747" max="9747" width="10.90625" style="140"/>
    <col min="9748" max="9751" width="0" style="140" hidden="1" customWidth="1"/>
    <col min="9752" max="9752" width="10.90625" style="140"/>
    <col min="9753" max="9756" width="0" style="140" hidden="1" customWidth="1"/>
    <col min="9757" max="9757" width="10.90625" style="140"/>
    <col min="9758" max="9761" width="0" style="140" hidden="1" customWidth="1"/>
    <col min="9762" max="9762" width="10.90625" style="140"/>
    <col min="9763" max="9766" width="0" style="140" hidden="1" customWidth="1"/>
    <col min="9767" max="9767" width="10.90625" style="140"/>
    <col min="9768" max="9771" width="0" style="140" hidden="1" customWidth="1"/>
    <col min="9772" max="9772" width="10.90625" style="140"/>
    <col min="9773" max="9776" width="0" style="140" hidden="1" customWidth="1"/>
    <col min="9777" max="9777" width="10.90625" style="140"/>
    <col min="9778" max="9780" width="0" style="140" hidden="1" customWidth="1"/>
    <col min="9781" max="9781" width="10.90625" style="140"/>
    <col min="9782" max="9783" width="0" style="140" hidden="1" customWidth="1"/>
    <col min="9784" max="9784" width="10.90625" style="140"/>
    <col min="9785" max="9786" width="0" style="140" hidden="1" customWidth="1"/>
    <col min="9787" max="9787" width="16.54296875" style="140" customWidth="1"/>
    <col min="9788" max="9788" width="11.453125" style="140" bestFit="1" customWidth="1"/>
    <col min="9789" max="9986" width="10.90625" style="140"/>
    <col min="9987" max="9987" width="0" style="140" hidden="1" customWidth="1"/>
    <col min="9988" max="9988" width="13" style="140" bestFit="1" customWidth="1"/>
    <col min="9989" max="9992" width="0" style="140" hidden="1" customWidth="1"/>
    <col min="9993" max="9993" width="13" style="140" bestFit="1" customWidth="1"/>
    <col min="9994" max="9997" width="0" style="140" hidden="1" customWidth="1"/>
    <col min="9998" max="9998" width="10.90625" style="140"/>
    <col min="9999" max="10002" width="0" style="140" hidden="1" customWidth="1"/>
    <col min="10003" max="10003" width="10.90625" style="140"/>
    <col min="10004" max="10007" width="0" style="140" hidden="1" customWidth="1"/>
    <col min="10008" max="10008" width="10.90625" style="140"/>
    <col min="10009" max="10012" width="0" style="140" hidden="1" customWidth="1"/>
    <col min="10013" max="10013" width="10.90625" style="140"/>
    <col min="10014" max="10017" width="0" style="140" hidden="1" customWidth="1"/>
    <col min="10018" max="10018" width="10.90625" style="140"/>
    <col min="10019" max="10022" width="0" style="140" hidden="1" customWidth="1"/>
    <col min="10023" max="10023" width="10.90625" style="140"/>
    <col min="10024" max="10027" width="0" style="140" hidden="1" customWidth="1"/>
    <col min="10028" max="10028" width="10.90625" style="140"/>
    <col min="10029" max="10032" width="0" style="140" hidden="1" customWidth="1"/>
    <col min="10033" max="10033" width="10.90625" style="140"/>
    <col min="10034" max="10036" width="0" style="140" hidden="1" customWidth="1"/>
    <col min="10037" max="10037" width="10.90625" style="140"/>
    <col min="10038" max="10039" width="0" style="140" hidden="1" customWidth="1"/>
    <col min="10040" max="10040" width="10.90625" style="140"/>
    <col min="10041" max="10042" width="0" style="140" hidden="1" customWidth="1"/>
    <col min="10043" max="10043" width="16.54296875" style="140" customWidth="1"/>
    <col min="10044" max="10044" width="11.453125" style="140" bestFit="1" customWidth="1"/>
    <col min="10045" max="10242" width="10.90625" style="140"/>
    <col min="10243" max="10243" width="0" style="140" hidden="1" customWidth="1"/>
    <col min="10244" max="10244" width="13" style="140" bestFit="1" customWidth="1"/>
    <col min="10245" max="10248" width="0" style="140" hidden="1" customWidth="1"/>
    <col min="10249" max="10249" width="13" style="140" bestFit="1" customWidth="1"/>
    <col min="10250" max="10253" width="0" style="140" hidden="1" customWidth="1"/>
    <col min="10254" max="10254" width="10.90625" style="140"/>
    <col min="10255" max="10258" width="0" style="140" hidden="1" customWidth="1"/>
    <col min="10259" max="10259" width="10.90625" style="140"/>
    <col min="10260" max="10263" width="0" style="140" hidden="1" customWidth="1"/>
    <col min="10264" max="10264" width="10.90625" style="140"/>
    <col min="10265" max="10268" width="0" style="140" hidden="1" customWidth="1"/>
    <col min="10269" max="10269" width="10.90625" style="140"/>
    <col min="10270" max="10273" width="0" style="140" hidden="1" customWidth="1"/>
    <col min="10274" max="10274" width="10.90625" style="140"/>
    <col min="10275" max="10278" width="0" style="140" hidden="1" customWidth="1"/>
    <col min="10279" max="10279" width="10.90625" style="140"/>
    <col min="10280" max="10283" width="0" style="140" hidden="1" customWidth="1"/>
    <col min="10284" max="10284" width="10.90625" style="140"/>
    <col min="10285" max="10288" width="0" style="140" hidden="1" customWidth="1"/>
    <col min="10289" max="10289" width="10.90625" style="140"/>
    <col min="10290" max="10292" width="0" style="140" hidden="1" customWidth="1"/>
    <col min="10293" max="10293" width="10.90625" style="140"/>
    <col min="10294" max="10295" width="0" style="140" hidden="1" customWidth="1"/>
    <col min="10296" max="10296" width="10.90625" style="140"/>
    <col min="10297" max="10298" width="0" style="140" hidden="1" customWidth="1"/>
    <col min="10299" max="10299" width="16.54296875" style="140" customWidth="1"/>
    <col min="10300" max="10300" width="11.453125" style="140" bestFit="1" customWidth="1"/>
    <col min="10301" max="10498" width="10.90625" style="140"/>
    <col min="10499" max="10499" width="0" style="140" hidden="1" customWidth="1"/>
    <col min="10500" max="10500" width="13" style="140" bestFit="1" customWidth="1"/>
    <col min="10501" max="10504" width="0" style="140" hidden="1" customWidth="1"/>
    <col min="10505" max="10505" width="13" style="140" bestFit="1" customWidth="1"/>
    <col min="10506" max="10509" width="0" style="140" hidden="1" customWidth="1"/>
    <col min="10510" max="10510" width="10.90625" style="140"/>
    <col min="10511" max="10514" width="0" style="140" hidden="1" customWidth="1"/>
    <col min="10515" max="10515" width="10.90625" style="140"/>
    <col min="10516" max="10519" width="0" style="140" hidden="1" customWidth="1"/>
    <col min="10520" max="10520" width="10.90625" style="140"/>
    <col min="10521" max="10524" width="0" style="140" hidden="1" customWidth="1"/>
    <col min="10525" max="10525" width="10.90625" style="140"/>
    <col min="10526" max="10529" width="0" style="140" hidden="1" customWidth="1"/>
    <col min="10530" max="10530" width="10.90625" style="140"/>
    <col min="10531" max="10534" width="0" style="140" hidden="1" customWidth="1"/>
    <col min="10535" max="10535" width="10.90625" style="140"/>
    <col min="10536" max="10539" width="0" style="140" hidden="1" customWidth="1"/>
    <col min="10540" max="10540" width="10.90625" style="140"/>
    <col min="10541" max="10544" width="0" style="140" hidden="1" customWidth="1"/>
    <col min="10545" max="10545" width="10.90625" style="140"/>
    <col min="10546" max="10548" width="0" style="140" hidden="1" customWidth="1"/>
    <col min="10549" max="10549" width="10.90625" style="140"/>
    <col min="10550" max="10551" width="0" style="140" hidden="1" customWidth="1"/>
    <col min="10552" max="10552" width="10.90625" style="140"/>
    <col min="10553" max="10554" width="0" style="140" hidden="1" customWidth="1"/>
    <col min="10555" max="10555" width="16.54296875" style="140" customWidth="1"/>
    <col min="10556" max="10556" width="11.453125" style="140" bestFit="1" customWidth="1"/>
    <col min="10557" max="10754" width="10.90625" style="140"/>
    <col min="10755" max="10755" width="0" style="140" hidden="1" customWidth="1"/>
    <col min="10756" max="10756" width="13" style="140" bestFit="1" customWidth="1"/>
    <col min="10757" max="10760" width="0" style="140" hidden="1" customWidth="1"/>
    <col min="10761" max="10761" width="13" style="140" bestFit="1" customWidth="1"/>
    <col min="10762" max="10765" width="0" style="140" hidden="1" customWidth="1"/>
    <col min="10766" max="10766" width="10.90625" style="140"/>
    <col min="10767" max="10770" width="0" style="140" hidden="1" customWidth="1"/>
    <col min="10771" max="10771" width="10.90625" style="140"/>
    <col min="10772" max="10775" width="0" style="140" hidden="1" customWidth="1"/>
    <col min="10776" max="10776" width="10.90625" style="140"/>
    <col min="10777" max="10780" width="0" style="140" hidden="1" customWidth="1"/>
    <col min="10781" max="10781" width="10.90625" style="140"/>
    <col min="10782" max="10785" width="0" style="140" hidden="1" customWidth="1"/>
    <col min="10786" max="10786" width="10.90625" style="140"/>
    <col min="10787" max="10790" width="0" style="140" hidden="1" customWidth="1"/>
    <col min="10791" max="10791" width="10.90625" style="140"/>
    <col min="10792" max="10795" width="0" style="140" hidden="1" customWidth="1"/>
    <col min="10796" max="10796" width="10.90625" style="140"/>
    <col min="10797" max="10800" width="0" style="140" hidden="1" customWidth="1"/>
    <col min="10801" max="10801" width="10.90625" style="140"/>
    <col min="10802" max="10804" width="0" style="140" hidden="1" customWidth="1"/>
    <col min="10805" max="10805" width="10.90625" style="140"/>
    <col min="10806" max="10807" width="0" style="140" hidden="1" customWidth="1"/>
    <col min="10808" max="10808" width="10.90625" style="140"/>
    <col min="10809" max="10810" width="0" style="140" hidden="1" customWidth="1"/>
    <col min="10811" max="10811" width="16.54296875" style="140" customWidth="1"/>
    <col min="10812" max="10812" width="11.453125" style="140" bestFit="1" customWidth="1"/>
    <col min="10813" max="11010" width="10.90625" style="140"/>
    <col min="11011" max="11011" width="0" style="140" hidden="1" customWidth="1"/>
    <col min="11012" max="11012" width="13" style="140" bestFit="1" customWidth="1"/>
    <col min="11013" max="11016" width="0" style="140" hidden="1" customWidth="1"/>
    <col min="11017" max="11017" width="13" style="140" bestFit="1" customWidth="1"/>
    <col min="11018" max="11021" width="0" style="140" hidden="1" customWidth="1"/>
    <col min="11022" max="11022" width="10.90625" style="140"/>
    <col min="11023" max="11026" width="0" style="140" hidden="1" customWidth="1"/>
    <col min="11027" max="11027" width="10.90625" style="140"/>
    <col min="11028" max="11031" width="0" style="140" hidden="1" customWidth="1"/>
    <col min="11032" max="11032" width="10.90625" style="140"/>
    <col min="11033" max="11036" width="0" style="140" hidden="1" customWidth="1"/>
    <col min="11037" max="11037" width="10.90625" style="140"/>
    <col min="11038" max="11041" width="0" style="140" hidden="1" customWidth="1"/>
    <col min="11042" max="11042" width="10.90625" style="140"/>
    <col min="11043" max="11046" width="0" style="140" hidden="1" customWidth="1"/>
    <col min="11047" max="11047" width="10.90625" style="140"/>
    <col min="11048" max="11051" width="0" style="140" hidden="1" customWidth="1"/>
    <col min="11052" max="11052" width="10.90625" style="140"/>
    <col min="11053" max="11056" width="0" style="140" hidden="1" customWidth="1"/>
    <col min="11057" max="11057" width="10.90625" style="140"/>
    <col min="11058" max="11060" width="0" style="140" hidden="1" customWidth="1"/>
    <col min="11061" max="11061" width="10.90625" style="140"/>
    <col min="11062" max="11063" width="0" style="140" hidden="1" customWidth="1"/>
    <col min="11064" max="11064" width="10.90625" style="140"/>
    <col min="11065" max="11066" width="0" style="140" hidden="1" customWidth="1"/>
    <col min="11067" max="11067" width="16.54296875" style="140" customWidth="1"/>
    <col min="11068" max="11068" width="11.453125" style="140" bestFit="1" customWidth="1"/>
    <col min="11069" max="11266" width="10.90625" style="140"/>
    <col min="11267" max="11267" width="0" style="140" hidden="1" customWidth="1"/>
    <col min="11268" max="11268" width="13" style="140" bestFit="1" customWidth="1"/>
    <col min="11269" max="11272" width="0" style="140" hidden="1" customWidth="1"/>
    <col min="11273" max="11273" width="13" style="140" bestFit="1" customWidth="1"/>
    <col min="11274" max="11277" width="0" style="140" hidden="1" customWidth="1"/>
    <col min="11278" max="11278" width="10.90625" style="140"/>
    <col min="11279" max="11282" width="0" style="140" hidden="1" customWidth="1"/>
    <col min="11283" max="11283" width="10.90625" style="140"/>
    <col min="11284" max="11287" width="0" style="140" hidden="1" customWidth="1"/>
    <col min="11288" max="11288" width="10.90625" style="140"/>
    <col min="11289" max="11292" width="0" style="140" hidden="1" customWidth="1"/>
    <col min="11293" max="11293" width="10.90625" style="140"/>
    <col min="11294" max="11297" width="0" style="140" hidden="1" customWidth="1"/>
    <col min="11298" max="11298" width="10.90625" style="140"/>
    <col min="11299" max="11302" width="0" style="140" hidden="1" customWidth="1"/>
    <col min="11303" max="11303" width="10.90625" style="140"/>
    <col min="11304" max="11307" width="0" style="140" hidden="1" customWidth="1"/>
    <col min="11308" max="11308" width="10.90625" style="140"/>
    <col min="11309" max="11312" width="0" style="140" hidden="1" customWidth="1"/>
    <col min="11313" max="11313" width="10.90625" style="140"/>
    <col min="11314" max="11316" width="0" style="140" hidden="1" customWidth="1"/>
    <col min="11317" max="11317" width="10.90625" style="140"/>
    <col min="11318" max="11319" width="0" style="140" hidden="1" customWidth="1"/>
    <col min="11320" max="11320" width="10.90625" style="140"/>
    <col min="11321" max="11322" width="0" style="140" hidden="1" customWidth="1"/>
    <col min="11323" max="11323" width="16.54296875" style="140" customWidth="1"/>
    <col min="11324" max="11324" width="11.453125" style="140" bestFit="1" customWidth="1"/>
    <col min="11325" max="11522" width="10.90625" style="140"/>
    <col min="11523" max="11523" width="0" style="140" hidden="1" customWidth="1"/>
    <col min="11524" max="11524" width="13" style="140" bestFit="1" customWidth="1"/>
    <col min="11525" max="11528" width="0" style="140" hidden="1" customWidth="1"/>
    <col min="11529" max="11529" width="13" style="140" bestFit="1" customWidth="1"/>
    <col min="11530" max="11533" width="0" style="140" hidden="1" customWidth="1"/>
    <col min="11534" max="11534" width="10.90625" style="140"/>
    <col min="11535" max="11538" width="0" style="140" hidden="1" customWidth="1"/>
    <col min="11539" max="11539" width="10.90625" style="140"/>
    <col min="11540" max="11543" width="0" style="140" hidden="1" customWidth="1"/>
    <col min="11544" max="11544" width="10.90625" style="140"/>
    <col min="11545" max="11548" width="0" style="140" hidden="1" customWidth="1"/>
    <col min="11549" max="11549" width="10.90625" style="140"/>
    <col min="11550" max="11553" width="0" style="140" hidden="1" customWidth="1"/>
    <col min="11554" max="11554" width="10.90625" style="140"/>
    <col min="11555" max="11558" width="0" style="140" hidden="1" customWidth="1"/>
    <col min="11559" max="11559" width="10.90625" style="140"/>
    <col min="11560" max="11563" width="0" style="140" hidden="1" customWidth="1"/>
    <col min="11564" max="11564" width="10.90625" style="140"/>
    <col min="11565" max="11568" width="0" style="140" hidden="1" customWidth="1"/>
    <col min="11569" max="11569" width="10.90625" style="140"/>
    <col min="11570" max="11572" width="0" style="140" hidden="1" customWidth="1"/>
    <col min="11573" max="11573" width="10.90625" style="140"/>
    <col min="11574" max="11575" width="0" style="140" hidden="1" customWidth="1"/>
    <col min="11576" max="11576" width="10.90625" style="140"/>
    <col min="11577" max="11578" width="0" style="140" hidden="1" customWidth="1"/>
    <col min="11579" max="11579" width="16.54296875" style="140" customWidth="1"/>
    <col min="11580" max="11580" width="11.453125" style="140" bestFit="1" customWidth="1"/>
    <col min="11581" max="11778" width="10.90625" style="140"/>
    <col min="11779" max="11779" width="0" style="140" hidden="1" customWidth="1"/>
    <col min="11780" max="11780" width="13" style="140" bestFit="1" customWidth="1"/>
    <col min="11781" max="11784" width="0" style="140" hidden="1" customWidth="1"/>
    <col min="11785" max="11785" width="13" style="140" bestFit="1" customWidth="1"/>
    <col min="11786" max="11789" width="0" style="140" hidden="1" customWidth="1"/>
    <col min="11790" max="11790" width="10.90625" style="140"/>
    <col min="11791" max="11794" width="0" style="140" hidden="1" customWidth="1"/>
    <col min="11795" max="11795" width="10.90625" style="140"/>
    <col min="11796" max="11799" width="0" style="140" hidden="1" customWidth="1"/>
    <col min="11800" max="11800" width="10.90625" style="140"/>
    <col min="11801" max="11804" width="0" style="140" hidden="1" customWidth="1"/>
    <col min="11805" max="11805" width="10.90625" style="140"/>
    <col min="11806" max="11809" width="0" style="140" hidden="1" customWidth="1"/>
    <col min="11810" max="11810" width="10.90625" style="140"/>
    <col min="11811" max="11814" width="0" style="140" hidden="1" customWidth="1"/>
    <col min="11815" max="11815" width="10.90625" style="140"/>
    <col min="11816" max="11819" width="0" style="140" hidden="1" customWidth="1"/>
    <col min="11820" max="11820" width="10.90625" style="140"/>
    <col min="11821" max="11824" width="0" style="140" hidden="1" customWidth="1"/>
    <col min="11825" max="11825" width="10.90625" style="140"/>
    <col min="11826" max="11828" width="0" style="140" hidden="1" customWidth="1"/>
    <col min="11829" max="11829" width="10.90625" style="140"/>
    <col min="11830" max="11831" width="0" style="140" hidden="1" customWidth="1"/>
    <col min="11832" max="11832" width="10.90625" style="140"/>
    <col min="11833" max="11834" width="0" style="140" hidden="1" customWidth="1"/>
    <col min="11835" max="11835" width="16.54296875" style="140" customWidth="1"/>
    <col min="11836" max="11836" width="11.453125" style="140" bestFit="1" customWidth="1"/>
    <col min="11837" max="12034" width="10.90625" style="140"/>
    <col min="12035" max="12035" width="0" style="140" hidden="1" customWidth="1"/>
    <col min="12036" max="12036" width="13" style="140" bestFit="1" customWidth="1"/>
    <col min="12037" max="12040" width="0" style="140" hidden="1" customWidth="1"/>
    <col min="12041" max="12041" width="13" style="140" bestFit="1" customWidth="1"/>
    <col min="12042" max="12045" width="0" style="140" hidden="1" customWidth="1"/>
    <col min="12046" max="12046" width="10.90625" style="140"/>
    <col min="12047" max="12050" width="0" style="140" hidden="1" customWidth="1"/>
    <col min="12051" max="12051" width="10.90625" style="140"/>
    <col min="12052" max="12055" width="0" style="140" hidden="1" customWidth="1"/>
    <col min="12056" max="12056" width="10.90625" style="140"/>
    <col min="12057" max="12060" width="0" style="140" hidden="1" customWidth="1"/>
    <col min="12061" max="12061" width="10.90625" style="140"/>
    <col min="12062" max="12065" width="0" style="140" hidden="1" customWidth="1"/>
    <col min="12066" max="12066" width="10.90625" style="140"/>
    <col min="12067" max="12070" width="0" style="140" hidden="1" customWidth="1"/>
    <col min="12071" max="12071" width="10.90625" style="140"/>
    <col min="12072" max="12075" width="0" style="140" hidden="1" customWidth="1"/>
    <col min="12076" max="12076" width="10.90625" style="140"/>
    <col min="12077" max="12080" width="0" style="140" hidden="1" customWidth="1"/>
    <col min="12081" max="12081" width="10.90625" style="140"/>
    <col min="12082" max="12084" width="0" style="140" hidden="1" customWidth="1"/>
    <col min="12085" max="12085" width="10.90625" style="140"/>
    <col min="12086" max="12087" width="0" style="140" hidden="1" customWidth="1"/>
    <col min="12088" max="12088" width="10.90625" style="140"/>
    <col min="12089" max="12090" width="0" style="140" hidden="1" customWidth="1"/>
    <col min="12091" max="12091" width="16.54296875" style="140" customWidth="1"/>
    <col min="12092" max="12092" width="11.453125" style="140" bestFit="1" customWidth="1"/>
    <col min="12093" max="12290" width="10.90625" style="140"/>
    <col min="12291" max="12291" width="0" style="140" hidden="1" customWidth="1"/>
    <col min="12292" max="12292" width="13" style="140" bestFit="1" customWidth="1"/>
    <col min="12293" max="12296" width="0" style="140" hidden="1" customWidth="1"/>
    <col min="12297" max="12297" width="13" style="140" bestFit="1" customWidth="1"/>
    <col min="12298" max="12301" width="0" style="140" hidden="1" customWidth="1"/>
    <col min="12302" max="12302" width="10.90625" style="140"/>
    <col min="12303" max="12306" width="0" style="140" hidden="1" customWidth="1"/>
    <col min="12307" max="12307" width="10.90625" style="140"/>
    <col min="12308" max="12311" width="0" style="140" hidden="1" customWidth="1"/>
    <col min="12312" max="12312" width="10.90625" style="140"/>
    <col min="12313" max="12316" width="0" style="140" hidden="1" customWidth="1"/>
    <col min="12317" max="12317" width="10.90625" style="140"/>
    <col min="12318" max="12321" width="0" style="140" hidden="1" customWidth="1"/>
    <col min="12322" max="12322" width="10.90625" style="140"/>
    <col min="12323" max="12326" width="0" style="140" hidden="1" customWidth="1"/>
    <col min="12327" max="12327" width="10.90625" style="140"/>
    <col min="12328" max="12331" width="0" style="140" hidden="1" customWidth="1"/>
    <col min="12332" max="12332" width="10.90625" style="140"/>
    <col min="12333" max="12336" width="0" style="140" hidden="1" customWidth="1"/>
    <col min="12337" max="12337" width="10.90625" style="140"/>
    <col min="12338" max="12340" width="0" style="140" hidden="1" customWidth="1"/>
    <col min="12341" max="12341" width="10.90625" style="140"/>
    <col min="12342" max="12343" width="0" style="140" hidden="1" customWidth="1"/>
    <col min="12344" max="12344" width="10.90625" style="140"/>
    <col min="12345" max="12346" width="0" style="140" hidden="1" customWidth="1"/>
    <col min="12347" max="12347" width="16.54296875" style="140" customWidth="1"/>
    <col min="12348" max="12348" width="11.453125" style="140" bestFit="1" customWidth="1"/>
    <col min="12349" max="12546" width="10.90625" style="140"/>
    <col min="12547" max="12547" width="0" style="140" hidden="1" customWidth="1"/>
    <col min="12548" max="12548" width="13" style="140" bestFit="1" customWidth="1"/>
    <col min="12549" max="12552" width="0" style="140" hidden="1" customWidth="1"/>
    <col min="12553" max="12553" width="13" style="140" bestFit="1" customWidth="1"/>
    <col min="12554" max="12557" width="0" style="140" hidden="1" customWidth="1"/>
    <col min="12558" max="12558" width="10.90625" style="140"/>
    <col min="12559" max="12562" width="0" style="140" hidden="1" customWidth="1"/>
    <col min="12563" max="12563" width="10.90625" style="140"/>
    <col min="12564" max="12567" width="0" style="140" hidden="1" customWidth="1"/>
    <col min="12568" max="12568" width="10.90625" style="140"/>
    <col min="12569" max="12572" width="0" style="140" hidden="1" customWidth="1"/>
    <col min="12573" max="12573" width="10.90625" style="140"/>
    <col min="12574" max="12577" width="0" style="140" hidden="1" customWidth="1"/>
    <col min="12578" max="12578" width="10.90625" style="140"/>
    <col min="12579" max="12582" width="0" style="140" hidden="1" customWidth="1"/>
    <col min="12583" max="12583" width="10.90625" style="140"/>
    <col min="12584" max="12587" width="0" style="140" hidden="1" customWidth="1"/>
    <col min="12588" max="12588" width="10.90625" style="140"/>
    <col min="12589" max="12592" width="0" style="140" hidden="1" customWidth="1"/>
    <col min="12593" max="12593" width="10.90625" style="140"/>
    <col min="12594" max="12596" width="0" style="140" hidden="1" customWidth="1"/>
    <col min="12597" max="12597" width="10.90625" style="140"/>
    <col min="12598" max="12599" width="0" style="140" hidden="1" customWidth="1"/>
    <col min="12600" max="12600" width="10.90625" style="140"/>
    <col min="12601" max="12602" width="0" style="140" hidden="1" customWidth="1"/>
    <col min="12603" max="12603" width="16.54296875" style="140" customWidth="1"/>
    <col min="12604" max="12604" width="11.453125" style="140" bestFit="1" customWidth="1"/>
    <col min="12605" max="12802" width="10.90625" style="140"/>
    <col min="12803" max="12803" width="0" style="140" hidden="1" customWidth="1"/>
    <col min="12804" max="12804" width="13" style="140" bestFit="1" customWidth="1"/>
    <col min="12805" max="12808" width="0" style="140" hidden="1" customWidth="1"/>
    <col min="12809" max="12809" width="13" style="140" bestFit="1" customWidth="1"/>
    <col min="12810" max="12813" width="0" style="140" hidden="1" customWidth="1"/>
    <col min="12814" max="12814" width="10.90625" style="140"/>
    <col min="12815" max="12818" width="0" style="140" hidden="1" customWidth="1"/>
    <col min="12819" max="12819" width="10.90625" style="140"/>
    <col min="12820" max="12823" width="0" style="140" hidden="1" customWidth="1"/>
    <col min="12824" max="12824" width="10.90625" style="140"/>
    <col min="12825" max="12828" width="0" style="140" hidden="1" customWidth="1"/>
    <col min="12829" max="12829" width="10.90625" style="140"/>
    <col min="12830" max="12833" width="0" style="140" hidden="1" customWidth="1"/>
    <col min="12834" max="12834" width="10.90625" style="140"/>
    <col min="12835" max="12838" width="0" style="140" hidden="1" customWidth="1"/>
    <col min="12839" max="12839" width="10.90625" style="140"/>
    <col min="12840" max="12843" width="0" style="140" hidden="1" customWidth="1"/>
    <col min="12844" max="12844" width="10.90625" style="140"/>
    <col min="12845" max="12848" width="0" style="140" hidden="1" customWidth="1"/>
    <col min="12849" max="12849" width="10.90625" style="140"/>
    <col min="12850" max="12852" width="0" style="140" hidden="1" customWidth="1"/>
    <col min="12853" max="12853" width="10.90625" style="140"/>
    <col min="12854" max="12855" width="0" style="140" hidden="1" customWidth="1"/>
    <col min="12856" max="12856" width="10.90625" style="140"/>
    <col min="12857" max="12858" width="0" style="140" hidden="1" customWidth="1"/>
    <col min="12859" max="12859" width="16.54296875" style="140" customWidth="1"/>
    <col min="12860" max="12860" width="11.453125" style="140" bestFit="1" customWidth="1"/>
    <col min="12861" max="13058" width="10.90625" style="140"/>
    <col min="13059" max="13059" width="0" style="140" hidden="1" customWidth="1"/>
    <col min="13060" max="13060" width="13" style="140" bestFit="1" customWidth="1"/>
    <col min="13061" max="13064" width="0" style="140" hidden="1" customWidth="1"/>
    <col min="13065" max="13065" width="13" style="140" bestFit="1" customWidth="1"/>
    <col min="13066" max="13069" width="0" style="140" hidden="1" customWidth="1"/>
    <col min="13070" max="13070" width="10.90625" style="140"/>
    <col min="13071" max="13074" width="0" style="140" hidden="1" customWidth="1"/>
    <col min="13075" max="13075" width="10.90625" style="140"/>
    <col min="13076" max="13079" width="0" style="140" hidden="1" customWidth="1"/>
    <col min="13080" max="13080" width="10.90625" style="140"/>
    <col min="13081" max="13084" width="0" style="140" hidden="1" customWidth="1"/>
    <col min="13085" max="13085" width="10.90625" style="140"/>
    <col min="13086" max="13089" width="0" style="140" hidden="1" customWidth="1"/>
    <col min="13090" max="13090" width="10.90625" style="140"/>
    <col min="13091" max="13094" width="0" style="140" hidden="1" customWidth="1"/>
    <col min="13095" max="13095" width="10.90625" style="140"/>
    <col min="13096" max="13099" width="0" style="140" hidden="1" customWidth="1"/>
    <col min="13100" max="13100" width="10.90625" style="140"/>
    <col min="13101" max="13104" width="0" style="140" hidden="1" customWidth="1"/>
    <col min="13105" max="13105" width="10.90625" style="140"/>
    <col min="13106" max="13108" width="0" style="140" hidden="1" customWidth="1"/>
    <col min="13109" max="13109" width="10.90625" style="140"/>
    <col min="13110" max="13111" width="0" style="140" hidden="1" customWidth="1"/>
    <col min="13112" max="13112" width="10.90625" style="140"/>
    <col min="13113" max="13114" width="0" style="140" hidden="1" customWidth="1"/>
    <col min="13115" max="13115" width="16.54296875" style="140" customWidth="1"/>
    <col min="13116" max="13116" width="11.453125" style="140" bestFit="1" customWidth="1"/>
    <col min="13117" max="13314" width="10.90625" style="140"/>
    <col min="13315" max="13315" width="0" style="140" hidden="1" customWidth="1"/>
    <col min="13316" max="13316" width="13" style="140" bestFit="1" customWidth="1"/>
    <col min="13317" max="13320" width="0" style="140" hidden="1" customWidth="1"/>
    <col min="13321" max="13321" width="13" style="140" bestFit="1" customWidth="1"/>
    <col min="13322" max="13325" width="0" style="140" hidden="1" customWidth="1"/>
    <col min="13326" max="13326" width="10.90625" style="140"/>
    <col min="13327" max="13330" width="0" style="140" hidden="1" customWidth="1"/>
    <col min="13331" max="13331" width="10.90625" style="140"/>
    <col min="13332" max="13335" width="0" style="140" hidden="1" customWidth="1"/>
    <col min="13336" max="13336" width="10.90625" style="140"/>
    <col min="13337" max="13340" width="0" style="140" hidden="1" customWidth="1"/>
    <col min="13341" max="13341" width="10.90625" style="140"/>
    <col min="13342" max="13345" width="0" style="140" hidden="1" customWidth="1"/>
    <col min="13346" max="13346" width="10.90625" style="140"/>
    <col min="13347" max="13350" width="0" style="140" hidden="1" customWidth="1"/>
    <col min="13351" max="13351" width="10.90625" style="140"/>
    <col min="13352" max="13355" width="0" style="140" hidden="1" customWidth="1"/>
    <col min="13356" max="13356" width="10.90625" style="140"/>
    <col min="13357" max="13360" width="0" style="140" hidden="1" customWidth="1"/>
    <col min="13361" max="13361" width="10.90625" style="140"/>
    <col min="13362" max="13364" width="0" style="140" hidden="1" customWidth="1"/>
    <col min="13365" max="13365" width="10.90625" style="140"/>
    <col min="13366" max="13367" width="0" style="140" hidden="1" customWidth="1"/>
    <col min="13368" max="13368" width="10.90625" style="140"/>
    <col min="13369" max="13370" width="0" style="140" hidden="1" customWidth="1"/>
    <col min="13371" max="13371" width="16.54296875" style="140" customWidth="1"/>
    <col min="13372" max="13372" width="11.453125" style="140" bestFit="1" customWidth="1"/>
    <col min="13373" max="13570" width="10.90625" style="140"/>
    <col min="13571" max="13571" width="0" style="140" hidden="1" customWidth="1"/>
    <col min="13572" max="13572" width="13" style="140" bestFit="1" customWidth="1"/>
    <col min="13573" max="13576" width="0" style="140" hidden="1" customWidth="1"/>
    <col min="13577" max="13577" width="13" style="140" bestFit="1" customWidth="1"/>
    <col min="13578" max="13581" width="0" style="140" hidden="1" customWidth="1"/>
    <col min="13582" max="13582" width="10.90625" style="140"/>
    <col min="13583" max="13586" width="0" style="140" hidden="1" customWidth="1"/>
    <col min="13587" max="13587" width="10.90625" style="140"/>
    <col min="13588" max="13591" width="0" style="140" hidden="1" customWidth="1"/>
    <col min="13592" max="13592" width="10.90625" style="140"/>
    <col min="13593" max="13596" width="0" style="140" hidden="1" customWidth="1"/>
    <col min="13597" max="13597" width="10.90625" style="140"/>
    <col min="13598" max="13601" width="0" style="140" hidden="1" customWidth="1"/>
    <col min="13602" max="13602" width="10.90625" style="140"/>
    <col min="13603" max="13606" width="0" style="140" hidden="1" customWidth="1"/>
    <col min="13607" max="13607" width="10.90625" style="140"/>
    <col min="13608" max="13611" width="0" style="140" hidden="1" customWidth="1"/>
    <col min="13612" max="13612" width="10.90625" style="140"/>
    <col min="13613" max="13616" width="0" style="140" hidden="1" customWidth="1"/>
    <col min="13617" max="13617" width="10.90625" style="140"/>
    <col min="13618" max="13620" width="0" style="140" hidden="1" customWidth="1"/>
    <col min="13621" max="13621" width="10.90625" style="140"/>
    <col min="13622" max="13623" width="0" style="140" hidden="1" customWidth="1"/>
    <col min="13624" max="13624" width="10.90625" style="140"/>
    <col min="13625" max="13626" width="0" style="140" hidden="1" customWidth="1"/>
    <col min="13627" max="13627" width="16.54296875" style="140" customWidth="1"/>
    <col min="13628" max="13628" width="11.453125" style="140" bestFit="1" customWidth="1"/>
    <col min="13629" max="13826" width="10.90625" style="140"/>
    <col min="13827" max="13827" width="0" style="140" hidden="1" customWidth="1"/>
    <col min="13828" max="13828" width="13" style="140" bestFit="1" customWidth="1"/>
    <col min="13829" max="13832" width="0" style="140" hidden="1" customWidth="1"/>
    <col min="13833" max="13833" width="13" style="140" bestFit="1" customWidth="1"/>
    <col min="13834" max="13837" width="0" style="140" hidden="1" customWidth="1"/>
    <col min="13838" max="13838" width="10.90625" style="140"/>
    <col min="13839" max="13842" width="0" style="140" hidden="1" customWidth="1"/>
    <col min="13843" max="13843" width="10.90625" style="140"/>
    <col min="13844" max="13847" width="0" style="140" hidden="1" customWidth="1"/>
    <col min="13848" max="13848" width="10.90625" style="140"/>
    <col min="13849" max="13852" width="0" style="140" hidden="1" customWidth="1"/>
    <col min="13853" max="13853" width="10.90625" style="140"/>
    <col min="13854" max="13857" width="0" style="140" hidden="1" customWidth="1"/>
    <col min="13858" max="13858" width="10.90625" style="140"/>
    <col min="13859" max="13862" width="0" style="140" hidden="1" customWidth="1"/>
    <col min="13863" max="13863" width="10.90625" style="140"/>
    <col min="13864" max="13867" width="0" style="140" hidden="1" customWidth="1"/>
    <col min="13868" max="13868" width="10.90625" style="140"/>
    <col min="13869" max="13872" width="0" style="140" hidden="1" customWidth="1"/>
    <col min="13873" max="13873" width="10.90625" style="140"/>
    <col min="13874" max="13876" width="0" style="140" hidden="1" customWidth="1"/>
    <col min="13877" max="13877" width="10.90625" style="140"/>
    <col min="13878" max="13879" width="0" style="140" hidden="1" customWidth="1"/>
    <col min="13880" max="13880" width="10.90625" style="140"/>
    <col min="13881" max="13882" width="0" style="140" hidden="1" customWidth="1"/>
    <col min="13883" max="13883" width="16.54296875" style="140" customWidth="1"/>
    <col min="13884" max="13884" width="11.453125" style="140" bestFit="1" customWidth="1"/>
    <col min="13885" max="14082" width="10.90625" style="140"/>
    <col min="14083" max="14083" width="0" style="140" hidden="1" customWidth="1"/>
    <col min="14084" max="14084" width="13" style="140" bestFit="1" customWidth="1"/>
    <col min="14085" max="14088" width="0" style="140" hidden="1" customWidth="1"/>
    <col min="14089" max="14089" width="13" style="140" bestFit="1" customWidth="1"/>
    <col min="14090" max="14093" width="0" style="140" hidden="1" customWidth="1"/>
    <col min="14094" max="14094" width="10.90625" style="140"/>
    <col min="14095" max="14098" width="0" style="140" hidden="1" customWidth="1"/>
    <col min="14099" max="14099" width="10.90625" style="140"/>
    <col min="14100" max="14103" width="0" style="140" hidden="1" customWidth="1"/>
    <col min="14104" max="14104" width="10.90625" style="140"/>
    <col min="14105" max="14108" width="0" style="140" hidden="1" customWidth="1"/>
    <col min="14109" max="14109" width="10.90625" style="140"/>
    <col min="14110" max="14113" width="0" style="140" hidden="1" customWidth="1"/>
    <col min="14114" max="14114" width="10.90625" style="140"/>
    <col min="14115" max="14118" width="0" style="140" hidden="1" customWidth="1"/>
    <col min="14119" max="14119" width="10.90625" style="140"/>
    <col min="14120" max="14123" width="0" style="140" hidden="1" customWidth="1"/>
    <col min="14124" max="14124" width="10.90625" style="140"/>
    <col min="14125" max="14128" width="0" style="140" hidden="1" customWidth="1"/>
    <col min="14129" max="14129" width="10.90625" style="140"/>
    <col min="14130" max="14132" width="0" style="140" hidden="1" customWidth="1"/>
    <col min="14133" max="14133" width="10.90625" style="140"/>
    <col min="14134" max="14135" width="0" style="140" hidden="1" customWidth="1"/>
    <col min="14136" max="14136" width="10.90625" style="140"/>
    <col min="14137" max="14138" width="0" style="140" hidden="1" customWidth="1"/>
    <col min="14139" max="14139" width="16.54296875" style="140" customWidth="1"/>
    <col min="14140" max="14140" width="11.453125" style="140" bestFit="1" customWidth="1"/>
    <col min="14141" max="14338" width="10.90625" style="140"/>
    <col min="14339" max="14339" width="0" style="140" hidden="1" customWidth="1"/>
    <col min="14340" max="14340" width="13" style="140" bestFit="1" customWidth="1"/>
    <col min="14341" max="14344" width="0" style="140" hidden="1" customWidth="1"/>
    <col min="14345" max="14345" width="13" style="140" bestFit="1" customWidth="1"/>
    <col min="14346" max="14349" width="0" style="140" hidden="1" customWidth="1"/>
    <col min="14350" max="14350" width="10.90625" style="140"/>
    <col min="14351" max="14354" width="0" style="140" hidden="1" customWidth="1"/>
    <col min="14355" max="14355" width="10.90625" style="140"/>
    <col min="14356" max="14359" width="0" style="140" hidden="1" customWidth="1"/>
    <col min="14360" max="14360" width="10.90625" style="140"/>
    <col min="14361" max="14364" width="0" style="140" hidden="1" customWidth="1"/>
    <col min="14365" max="14365" width="10.90625" style="140"/>
    <col min="14366" max="14369" width="0" style="140" hidden="1" customWidth="1"/>
    <col min="14370" max="14370" width="10.90625" style="140"/>
    <col min="14371" max="14374" width="0" style="140" hidden="1" customWidth="1"/>
    <col min="14375" max="14375" width="10.90625" style="140"/>
    <col min="14376" max="14379" width="0" style="140" hidden="1" customWidth="1"/>
    <col min="14380" max="14380" width="10.90625" style="140"/>
    <col min="14381" max="14384" width="0" style="140" hidden="1" customWidth="1"/>
    <col min="14385" max="14385" width="10.90625" style="140"/>
    <col min="14386" max="14388" width="0" style="140" hidden="1" customWidth="1"/>
    <col min="14389" max="14389" width="10.90625" style="140"/>
    <col min="14390" max="14391" width="0" style="140" hidden="1" customWidth="1"/>
    <col min="14392" max="14392" width="10.90625" style="140"/>
    <col min="14393" max="14394" width="0" style="140" hidden="1" customWidth="1"/>
    <col min="14395" max="14395" width="16.54296875" style="140" customWidth="1"/>
    <col min="14396" max="14396" width="11.453125" style="140" bestFit="1" customWidth="1"/>
    <col min="14397" max="14594" width="10.90625" style="140"/>
    <col min="14595" max="14595" width="0" style="140" hidden="1" customWidth="1"/>
    <col min="14596" max="14596" width="13" style="140" bestFit="1" customWidth="1"/>
    <col min="14597" max="14600" width="0" style="140" hidden="1" customWidth="1"/>
    <col min="14601" max="14601" width="13" style="140" bestFit="1" customWidth="1"/>
    <col min="14602" max="14605" width="0" style="140" hidden="1" customWidth="1"/>
    <col min="14606" max="14606" width="10.90625" style="140"/>
    <col min="14607" max="14610" width="0" style="140" hidden="1" customWidth="1"/>
    <col min="14611" max="14611" width="10.90625" style="140"/>
    <col min="14612" max="14615" width="0" style="140" hidden="1" customWidth="1"/>
    <col min="14616" max="14616" width="10.90625" style="140"/>
    <col min="14617" max="14620" width="0" style="140" hidden="1" customWidth="1"/>
    <col min="14621" max="14621" width="10.90625" style="140"/>
    <col min="14622" max="14625" width="0" style="140" hidden="1" customWidth="1"/>
    <col min="14626" max="14626" width="10.90625" style="140"/>
    <col min="14627" max="14630" width="0" style="140" hidden="1" customWidth="1"/>
    <col min="14631" max="14631" width="10.90625" style="140"/>
    <col min="14632" max="14635" width="0" style="140" hidden="1" customWidth="1"/>
    <col min="14636" max="14636" width="10.90625" style="140"/>
    <col min="14637" max="14640" width="0" style="140" hidden="1" customWidth="1"/>
    <col min="14641" max="14641" width="10.90625" style="140"/>
    <col min="14642" max="14644" width="0" style="140" hidden="1" customWidth="1"/>
    <col min="14645" max="14645" width="10.90625" style="140"/>
    <col min="14646" max="14647" width="0" style="140" hidden="1" customWidth="1"/>
    <col min="14648" max="14648" width="10.90625" style="140"/>
    <col min="14649" max="14650" width="0" style="140" hidden="1" customWidth="1"/>
    <col min="14651" max="14651" width="16.54296875" style="140" customWidth="1"/>
    <col min="14652" max="14652" width="11.453125" style="140" bestFit="1" customWidth="1"/>
    <col min="14653" max="14850" width="10.90625" style="140"/>
    <col min="14851" max="14851" width="0" style="140" hidden="1" customWidth="1"/>
    <col min="14852" max="14852" width="13" style="140" bestFit="1" customWidth="1"/>
    <col min="14853" max="14856" width="0" style="140" hidden="1" customWidth="1"/>
    <col min="14857" max="14857" width="13" style="140" bestFit="1" customWidth="1"/>
    <col min="14858" max="14861" width="0" style="140" hidden="1" customWidth="1"/>
    <col min="14862" max="14862" width="10.90625" style="140"/>
    <col min="14863" max="14866" width="0" style="140" hidden="1" customWidth="1"/>
    <col min="14867" max="14867" width="10.90625" style="140"/>
    <col min="14868" max="14871" width="0" style="140" hidden="1" customWidth="1"/>
    <col min="14872" max="14872" width="10.90625" style="140"/>
    <col min="14873" max="14876" width="0" style="140" hidden="1" customWidth="1"/>
    <col min="14877" max="14877" width="10.90625" style="140"/>
    <col min="14878" max="14881" width="0" style="140" hidden="1" customWidth="1"/>
    <col min="14882" max="14882" width="10.90625" style="140"/>
    <col min="14883" max="14886" width="0" style="140" hidden="1" customWidth="1"/>
    <col min="14887" max="14887" width="10.90625" style="140"/>
    <col min="14888" max="14891" width="0" style="140" hidden="1" customWidth="1"/>
    <col min="14892" max="14892" width="10.90625" style="140"/>
    <col min="14893" max="14896" width="0" style="140" hidden="1" customWidth="1"/>
    <col min="14897" max="14897" width="10.90625" style="140"/>
    <col min="14898" max="14900" width="0" style="140" hidden="1" customWidth="1"/>
    <col min="14901" max="14901" width="10.90625" style="140"/>
    <col min="14902" max="14903" width="0" style="140" hidden="1" customWidth="1"/>
    <col min="14904" max="14904" width="10.90625" style="140"/>
    <col min="14905" max="14906" width="0" style="140" hidden="1" customWidth="1"/>
    <col min="14907" max="14907" width="16.54296875" style="140" customWidth="1"/>
    <col min="14908" max="14908" width="11.453125" style="140" bestFit="1" customWidth="1"/>
    <col min="14909" max="15106" width="10.90625" style="140"/>
    <col min="15107" max="15107" width="0" style="140" hidden="1" customWidth="1"/>
    <col min="15108" max="15108" width="13" style="140" bestFit="1" customWidth="1"/>
    <col min="15109" max="15112" width="0" style="140" hidden="1" customWidth="1"/>
    <col min="15113" max="15113" width="13" style="140" bestFit="1" customWidth="1"/>
    <col min="15114" max="15117" width="0" style="140" hidden="1" customWidth="1"/>
    <col min="15118" max="15118" width="10.90625" style="140"/>
    <col min="15119" max="15122" width="0" style="140" hidden="1" customWidth="1"/>
    <col min="15123" max="15123" width="10.90625" style="140"/>
    <col min="15124" max="15127" width="0" style="140" hidden="1" customWidth="1"/>
    <col min="15128" max="15128" width="10.90625" style="140"/>
    <col min="15129" max="15132" width="0" style="140" hidden="1" customWidth="1"/>
    <col min="15133" max="15133" width="10.90625" style="140"/>
    <col min="15134" max="15137" width="0" style="140" hidden="1" customWidth="1"/>
    <col min="15138" max="15138" width="10.90625" style="140"/>
    <col min="15139" max="15142" width="0" style="140" hidden="1" customWidth="1"/>
    <col min="15143" max="15143" width="10.90625" style="140"/>
    <col min="15144" max="15147" width="0" style="140" hidden="1" customWidth="1"/>
    <col min="15148" max="15148" width="10.90625" style="140"/>
    <col min="15149" max="15152" width="0" style="140" hidden="1" customWidth="1"/>
    <col min="15153" max="15153" width="10.90625" style="140"/>
    <col min="15154" max="15156" width="0" style="140" hidden="1" customWidth="1"/>
    <col min="15157" max="15157" width="10.90625" style="140"/>
    <col min="15158" max="15159" width="0" style="140" hidden="1" customWidth="1"/>
    <col min="15160" max="15160" width="10.90625" style="140"/>
    <col min="15161" max="15162" width="0" style="140" hidden="1" customWidth="1"/>
    <col min="15163" max="15163" width="16.54296875" style="140" customWidth="1"/>
    <col min="15164" max="15164" width="11.453125" style="140" bestFit="1" customWidth="1"/>
    <col min="15165" max="15362" width="10.90625" style="140"/>
    <col min="15363" max="15363" width="0" style="140" hidden="1" customWidth="1"/>
    <col min="15364" max="15364" width="13" style="140" bestFit="1" customWidth="1"/>
    <col min="15365" max="15368" width="0" style="140" hidden="1" customWidth="1"/>
    <col min="15369" max="15369" width="13" style="140" bestFit="1" customWidth="1"/>
    <col min="15370" max="15373" width="0" style="140" hidden="1" customWidth="1"/>
    <col min="15374" max="15374" width="10.90625" style="140"/>
    <col min="15375" max="15378" width="0" style="140" hidden="1" customWidth="1"/>
    <col min="15379" max="15379" width="10.90625" style="140"/>
    <col min="15380" max="15383" width="0" style="140" hidden="1" customWidth="1"/>
    <col min="15384" max="15384" width="10.90625" style="140"/>
    <col min="15385" max="15388" width="0" style="140" hidden="1" customWidth="1"/>
    <col min="15389" max="15389" width="10.90625" style="140"/>
    <col min="15390" max="15393" width="0" style="140" hidden="1" customWidth="1"/>
    <col min="15394" max="15394" width="10.90625" style="140"/>
    <col min="15395" max="15398" width="0" style="140" hidden="1" customWidth="1"/>
    <col min="15399" max="15399" width="10.90625" style="140"/>
    <col min="15400" max="15403" width="0" style="140" hidden="1" customWidth="1"/>
    <col min="15404" max="15404" width="10.90625" style="140"/>
    <col min="15405" max="15408" width="0" style="140" hidden="1" customWidth="1"/>
    <col min="15409" max="15409" width="10.90625" style="140"/>
    <col min="15410" max="15412" width="0" style="140" hidden="1" customWidth="1"/>
    <col min="15413" max="15413" width="10.90625" style="140"/>
    <col min="15414" max="15415" width="0" style="140" hidden="1" customWidth="1"/>
    <col min="15416" max="15416" width="10.90625" style="140"/>
    <col min="15417" max="15418" width="0" style="140" hidden="1" customWidth="1"/>
    <col min="15419" max="15419" width="16.54296875" style="140" customWidth="1"/>
    <col min="15420" max="15420" width="11.453125" style="140" bestFit="1" customWidth="1"/>
    <col min="15421" max="15618" width="10.90625" style="140"/>
    <col min="15619" max="15619" width="0" style="140" hidden="1" customWidth="1"/>
    <col min="15620" max="15620" width="13" style="140" bestFit="1" customWidth="1"/>
    <col min="15621" max="15624" width="0" style="140" hidden="1" customWidth="1"/>
    <col min="15625" max="15625" width="13" style="140" bestFit="1" customWidth="1"/>
    <col min="15626" max="15629" width="0" style="140" hidden="1" customWidth="1"/>
    <col min="15630" max="15630" width="10.90625" style="140"/>
    <col min="15631" max="15634" width="0" style="140" hidden="1" customWidth="1"/>
    <col min="15635" max="15635" width="10.90625" style="140"/>
    <col min="15636" max="15639" width="0" style="140" hidden="1" customWidth="1"/>
    <col min="15640" max="15640" width="10.90625" style="140"/>
    <col min="15641" max="15644" width="0" style="140" hidden="1" customWidth="1"/>
    <col min="15645" max="15645" width="10.90625" style="140"/>
    <col min="15646" max="15649" width="0" style="140" hidden="1" customWidth="1"/>
    <col min="15650" max="15650" width="10.90625" style="140"/>
    <col min="15651" max="15654" width="0" style="140" hidden="1" customWidth="1"/>
    <col min="15655" max="15655" width="10.90625" style="140"/>
    <col min="15656" max="15659" width="0" style="140" hidden="1" customWidth="1"/>
    <col min="15660" max="15660" width="10.90625" style="140"/>
    <col min="15661" max="15664" width="0" style="140" hidden="1" customWidth="1"/>
    <col min="15665" max="15665" width="10.90625" style="140"/>
    <col min="15666" max="15668" width="0" style="140" hidden="1" customWidth="1"/>
    <col min="15669" max="15669" width="10.90625" style="140"/>
    <col min="15670" max="15671" width="0" style="140" hidden="1" customWidth="1"/>
    <col min="15672" max="15672" width="10.90625" style="140"/>
    <col min="15673" max="15674" width="0" style="140" hidden="1" customWidth="1"/>
    <col min="15675" max="15675" width="16.54296875" style="140" customWidth="1"/>
    <col min="15676" max="15676" width="11.453125" style="140" bestFit="1" customWidth="1"/>
    <col min="15677" max="15874" width="10.90625" style="140"/>
    <col min="15875" max="15875" width="0" style="140" hidden="1" customWidth="1"/>
    <col min="15876" max="15876" width="13" style="140" bestFit="1" customWidth="1"/>
    <col min="15877" max="15880" width="0" style="140" hidden="1" customWidth="1"/>
    <col min="15881" max="15881" width="13" style="140" bestFit="1" customWidth="1"/>
    <col min="15882" max="15885" width="0" style="140" hidden="1" customWidth="1"/>
    <col min="15886" max="15886" width="10.90625" style="140"/>
    <col min="15887" max="15890" width="0" style="140" hidden="1" customWidth="1"/>
    <col min="15891" max="15891" width="10.90625" style="140"/>
    <col min="15892" max="15895" width="0" style="140" hidden="1" customWidth="1"/>
    <col min="15896" max="15896" width="10.90625" style="140"/>
    <col min="15897" max="15900" width="0" style="140" hidden="1" customWidth="1"/>
    <col min="15901" max="15901" width="10.90625" style="140"/>
    <col min="15902" max="15905" width="0" style="140" hidden="1" customWidth="1"/>
    <col min="15906" max="15906" width="10.90625" style="140"/>
    <col min="15907" max="15910" width="0" style="140" hidden="1" customWidth="1"/>
    <col min="15911" max="15911" width="10.90625" style="140"/>
    <col min="15912" max="15915" width="0" style="140" hidden="1" customWidth="1"/>
    <col min="15916" max="15916" width="10.90625" style="140"/>
    <col min="15917" max="15920" width="0" style="140" hidden="1" customWidth="1"/>
    <col min="15921" max="15921" width="10.90625" style="140"/>
    <col min="15922" max="15924" width="0" style="140" hidden="1" customWidth="1"/>
    <col min="15925" max="15925" width="10.90625" style="140"/>
    <col min="15926" max="15927" width="0" style="140" hidden="1" customWidth="1"/>
    <col min="15928" max="15928" width="10.90625" style="140"/>
    <col min="15929" max="15930" width="0" style="140" hidden="1" customWidth="1"/>
    <col min="15931" max="15931" width="16.54296875" style="140" customWidth="1"/>
    <col min="15932" max="15932" width="11.453125" style="140" bestFit="1" customWidth="1"/>
    <col min="15933" max="16130" width="10.90625" style="140"/>
    <col min="16131" max="16131" width="0" style="140" hidden="1" customWidth="1"/>
    <col min="16132" max="16132" width="13" style="140" bestFit="1" customWidth="1"/>
    <col min="16133" max="16136" width="0" style="140" hidden="1" customWidth="1"/>
    <col min="16137" max="16137" width="13" style="140" bestFit="1" customWidth="1"/>
    <col min="16138" max="16141" width="0" style="140" hidden="1" customWidth="1"/>
    <col min="16142" max="16142" width="10.90625" style="140"/>
    <col min="16143" max="16146" width="0" style="140" hidden="1" customWidth="1"/>
    <col min="16147" max="16147" width="10.90625" style="140"/>
    <col min="16148" max="16151" width="0" style="140" hidden="1" customWidth="1"/>
    <col min="16152" max="16152" width="10.90625" style="140"/>
    <col min="16153" max="16156" width="0" style="140" hidden="1" customWidth="1"/>
    <col min="16157" max="16157" width="10.90625" style="140"/>
    <col min="16158" max="16161" width="0" style="140" hidden="1" customWidth="1"/>
    <col min="16162" max="16162" width="10.90625" style="140"/>
    <col min="16163" max="16166" width="0" style="140" hidden="1" customWidth="1"/>
    <col min="16167" max="16167" width="10.90625" style="140"/>
    <col min="16168" max="16171" width="0" style="140" hidden="1" customWidth="1"/>
    <col min="16172" max="16172" width="10.90625" style="140"/>
    <col min="16173" max="16176" width="0" style="140" hidden="1" customWidth="1"/>
    <col min="16177" max="16177" width="10.90625" style="140"/>
    <col min="16178" max="16180" width="0" style="140" hidden="1" customWidth="1"/>
    <col min="16181" max="16181" width="10.90625" style="140"/>
    <col min="16182" max="16183" width="0" style="140" hidden="1" customWidth="1"/>
    <col min="16184" max="16184" width="10.90625" style="140"/>
    <col min="16185" max="16186" width="0" style="140" hidden="1" customWidth="1"/>
    <col min="16187" max="16187" width="16.54296875" style="140" customWidth="1"/>
    <col min="16188" max="16188" width="11.453125" style="140" bestFit="1" customWidth="1"/>
    <col min="16189" max="16384" width="10.90625" style="140"/>
  </cols>
  <sheetData>
    <row r="1" spans="1:60" x14ac:dyDescent="0.3">
      <c r="C1" s="139">
        <v>45992</v>
      </c>
      <c r="H1" s="141">
        <v>45962</v>
      </c>
      <c r="M1" s="139">
        <v>45931</v>
      </c>
      <c r="R1" s="139">
        <v>45901</v>
      </c>
      <c r="W1" s="139">
        <v>45870</v>
      </c>
      <c r="AB1" s="141">
        <v>45839</v>
      </c>
      <c r="AE1" s="139"/>
      <c r="AG1" s="139">
        <v>45809</v>
      </c>
      <c r="AJ1" s="142"/>
      <c r="AK1" s="142"/>
      <c r="AL1" s="143">
        <v>45778</v>
      </c>
      <c r="AM1" s="142"/>
      <c r="AN1" s="142"/>
      <c r="AQ1" s="139">
        <v>45748</v>
      </c>
      <c r="AT1" s="142"/>
      <c r="AU1" s="143">
        <v>45717</v>
      </c>
      <c r="AV1" s="143">
        <v>45717</v>
      </c>
      <c r="AW1" s="142"/>
      <c r="AX1" s="142"/>
      <c r="BA1" s="141">
        <v>45689</v>
      </c>
      <c r="BF1" s="141">
        <v>45658</v>
      </c>
    </row>
    <row r="2" spans="1:60" s="229" customFormat="1" ht="10.5" x14ac:dyDescent="0.25">
      <c r="A2" s="295" t="s">
        <v>0</v>
      </c>
      <c r="B2" s="296"/>
      <c r="C2" s="296"/>
      <c r="D2" s="296"/>
      <c r="E2" s="297"/>
      <c r="F2" s="298" t="s">
        <v>1</v>
      </c>
      <c r="G2" s="299"/>
      <c r="H2" s="299"/>
      <c r="I2" s="299"/>
      <c r="J2" s="300"/>
      <c r="K2" s="295" t="s">
        <v>2</v>
      </c>
      <c r="L2" s="296"/>
      <c r="M2" s="296"/>
      <c r="N2" s="296"/>
      <c r="O2" s="297"/>
      <c r="P2" s="222"/>
      <c r="Q2" s="293" t="s">
        <v>3</v>
      </c>
      <c r="R2" s="293"/>
      <c r="S2" s="293"/>
      <c r="T2" s="223"/>
      <c r="U2" s="224"/>
      <c r="V2" s="294" t="s">
        <v>4</v>
      </c>
      <c r="W2" s="294"/>
      <c r="X2" s="294"/>
      <c r="Y2" s="225"/>
      <c r="Z2" s="222"/>
      <c r="AA2" s="293" t="s">
        <v>5</v>
      </c>
      <c r="AB2" s="293"/>
      <c r="AC2" s="293"/>
      <c r="AD2" s="223"/>
      <c r="AE2" s="224"/>
      <c r="AF2" s="294" t="s">
        <v>6</v>
      </c>
      <c r="AG2" s="294"/>
      <c r="AH2" s="294"/>
      <c r="AI2" s="225"/>
      <c r="AJ2" s="226"/>
      <c r="AK2" s="292" t="s">
        <v>4</v>
      </c>
      <c r="AL2" s="292"/>
      <c r="AM2" s="292"/>
      <c r="AN2" s="227"/>
      <c r="AO2" s="224"/>
      <c r="AP2" s="294" t="s">
        <v>4</v>
      </c>
      <c r="AQ2" s="294"/>
      <c r="AR2" s="294"/>
      <c r="AS2" s="225"/>
      <c r="AT2" s="226"/>
      <c r="AU2" s="292" t="s">
        <v>4</v>
      </c>
      <c r="AV2" s="292"/>
      <c r="AW2" s="292"/>
      <c r="AX2" s="227"/>
      <c r="AY2" s="228"/>
      <c r="AZ2" s="293" t="s">
        <v>4</v>
      </c>
      <c r="BA2" s="293"/>
      <c r="BB2" s="293"/>
      <c r="BC2" s="223"/>
      <c r="BD2" s="226"/>
      <c r="BE2" s="292" t="s">
        <v>4</v>
      </c>
      <c r="BF2" s="292"/>
      <c r="BG2" s="292"/>
      <c r="BH2" s="227"/>
    </row>
    <row r="3" spans="1:60" s="229" customFormat="1" ht="10.5" x14ac:dyDescent="0.25">
      <c r="A3" s="230" t="s">
        <v>11</v>
      </c>
      <c r="B3" s="230" t="s">
        <v>12</v>
      </c>
      <c r="C3" s="230" t="s">
        <v>13</v>
      </c>
      <c r="D3" s="231" t="s">
        <v>14</v>
      </c>
      <c r="E3" s="230" t="s">
        <v>15</v>
      </c>
      <c r="F3" s="232" t="s">
        <v>11</v>
      </c>
      <c r="G3" s="232" t="s">
        <v>12</v>
      </c>
      <c r="H3" s="232" t="s">
        <v>13</v>
      </c>
      <c r="I3" s="233" t="s">
        <v>14</v>
      </c>
      <c r="J3" s="232" t="s">
        <v>15</v>
      </c>
      <c r="K3" s="230" t="s">
        <v>11</v>
      </c>
      <c r="L3" s="230" t="s">
        <v>12</v>
      </c>
      <c r="M3" s="230" t="s">
        <v>13</v>
      </c>
      <c r="N3" s="231" t="s">
        <v>14</v>
      </c>
      <c r="O3" s="230" t="s">
        <v>15</v>
      </c>
      <c r="P3" s="234" t="s">
        <v>11</v>
      </c>
      <c r="Q3" s="235" t="s">
        <v>12</v>
      </c>
      <c r="R3" s="283" t="s">
        <v>13</v>
      </c>
      <c r="S3" s="236" t="s">
        <v>14</v>
      </c>
      <c r="T3" s="232" t="s">
        <v>15</v>
      </c>
      <c r="U3" s="237" t="s">
        <v>11</v>
      </c>
      <c r="V3" s="238" t="s">
        <v>12</v>
      </c>
      <c r="W3" s="230" t="s">
        <v>13</v>
      </c>
      <c r="X3" s="239" t="s">
        <v>14</v>
      </c>
      <c r="Y3" s="230" t="s">
        <v>15</v>
      </c>
      <c r="Z3" s="234" t="s">
        <v>11</v>
      </c>
      <c r="AA3" s="235" t="s">
        <v>12</v>
      </c>
      <c r="AB3" s="232" t="s">
        <v>13</v>
      </c>
      <c r="AC3" s="236" t="s">
        <v>14</v>
      </c>
      <c r="AD3" s="232" t="s">
        <v>15</v>
      </c>
      <c r="AE3" s="237" t="s">
        <v>11</v>
      </c>
      <c r="AF3" s="238" t="s">
        <v>12</v>
      </c>
      <c r="AG3" s="230" t="s">
        <v>13</v>
      </c>
      <c r="AH3" s="239" t="s">
        <v>14</v>
      </c>
      <c r="AI3" s="230" t="s">
        <v>15</v>
      </c>
      <c r="AJ3" s="240" t="s">
        <v>11</v>
      </c>
      <c r="AK3" s="240" t="s">
        <v>12</v>
      </c>
      <c r="AL3" s="240" t="s">
        <v>13</v>
      </c>
      <c r="AM3" s="241" t="s">
        <v>14</v>
      </c>
      <c r="AN3" s="240" t="s">
        <v>15</v>
      </c>
      <c r="AO3" s="237" t="s">
        <v>11</v>
      </c>
      <c r="AP3" s="238" t="s">
        <v>12</v>
      </c>
      <c r="AQ3" s="230" t="s">
        <v>13</v>
      </c>
      <c r="AR3" s="239" t="s">
        <v>14</v>
      </c>
      <c r="AS3" s="230" t="s">
        <v>15</v>
      </c>
      <c r="AT3" s="240" t="s">
        <v>11</v>
      </c>
      <c r="AU3" s="240" t="s">
        <v>12</v>
      </c>
      <c r="AV3" s="240" t="s">
        <v>13</v>
      </c>
      <c r="AW3" s="241" t="s">
        <v>14</v>
      </c>
      <c r="AX3" s="240" t="s">
        <v>15</v>
      </c>
      <c r="AY3" s="234" t="s">
        <v>11</v>
      </c>
      <c r="AZ3" s="232" t="s">
        <v>12</v>
      </c>
      <c r="BA3" s="232" t="s">
        <v>13</v>
      </c>
      <c r="BB3" s="233" t="s">
        <v>14</v>
      </c>
      <c r="BC3" s="232" t="s">
        <v>15</v>
      </c>
      <c r="BD3" s="240" t="s">
        <v>11</v>
      </c>
      <c r="BE3" s="240" t="s">
        <v>12</v>
      </c>
      <c r="BF3" s="240" t="s">
        <v>13</v>
      </c>
      <c r="BG3" s="241" t="s">
        <v>14</v>
      </c>
      <c r="BH3" s="240" t="s">
        <v>15</v>
      </c>
    </row>
    <row r="4" spans="1:60" x14ac:dyDescent="0.3">
      <c r="A4" s="147" t="s">
        <v>21</v>
      </c>
      <c r="B4" s="148" t="s">
        <v>22</v>
      </c>
      <c r="C4" s="149">
        <v>2018270</v>
      </c>
      <c r="D4" s="150">
        <v>2018270</v>
      </c>
      <c r="E4" s="151">
        <f t="shared" ref="E4:E31" si="0">+C4-D4</f>
        <v>0</v>
      </c>
      <c r="F4" s="152" t="s">
        <v>21</v>
      </c>
      <c r="G4" s="153" t="s">
        <v>22</v>
      </c>
      <c r="H4" s="154">
        <v>1954500</v>
      </c>
      <c r="I4" s="155">
        <v>1954500</v>
      </c>
      <c r="J4" s="156">
        <f>+H4-I4</f>
        <v>0</v>
      </c>
      <c r="K4" s="147" t="s">
        <v>21</v>
      </c>
      <c r="L4" s="157" t="s">
        <v>23</v>
      </c>
      <c r="M4" s="149">
        <v>3254343</v>
      </c>
      <c r="N4" s="150">
        <v>3254343</v>
      </c>
      <c r="O4" s="151">
        <f>+M4-N4</f>
        <v>0</v>
      </c>
      <c r="P4" s="158" t="s">
        <v>21</v>
      </c>
      <c r="Q4" s="159" t="s">
        <v>24</v>
      </c>
      <c r="R4" s="284">
        <v>3156179</v>
      </c>
      <c r="S4" s="160">
        <v>3156179</v>
      </c>
      <c r="T4" s="161">
        <f>+R4-S4</f>
        <v>0</v>
      </c>
      <c r="U4" s="162" t="s">
        <v>21</v>
      </c>
      <c r="V4" s="163" t="s">
        <v>24</v>
      </c>
      <c r="W4" s="164">
        <v>3065812</v>
      </c>
      <c r="X4" s="164">
        <v>0</v>
      </c>
      <c r="Y4" s="165"/>
      <c r="Z4" s="158" t="s">
        <v>21</v>
      </c>
      <c r="AA4" s="159" t="s">
        <v>24</v>
      </c>
      <c r="AB4" s="166">
        <v>1747986</v>
      </c>
      <c r="AC4" s="167">
        <v>1747986</v>
      </c>
      <c r="AD4" s="161">
        <f>+AB4-AC4</f>
        <v>0</v>
      </c>
      <c r="AE4" s="162" t="s">
        <v>21</v>
      </c>
      <c r="AF4" s="163" t="s">
        <v>24</v>
      </c>
      <c r="AG4" s="149">
        <v>2649758</v>
      </c>
      <c r="AH4" s="149">
        <v>2649758</v>
      </c>
      <c r="AI4" s="165">
        <f>+AG4-AH4</f>
        <v>0</v>
      </c>
      <c r="AJ4" s="168" t="s">
        <v>21</v>
      </c>
      <c r="AK4" s="169" t="s">
        <v>23</v>
      </c>
      <c r="AL4" s="170">
        <v>1593320</v>
      </c>
      <c r="AM4" s="171">
        <v>1593320</v>
      </c>
      <c r="AN4" s="172">
        <f>+AL4-AM4</f>
        <v>0</v>
      </c>
      <c r="AO4" s="162" t="s">
        <v>21</v>
      </c>
      <c r="AP4" s="163" t="s">
        <v>23</v>
      </c>
      <c r="AQ4" s="173">
        <v>1274603</v>
      </c>
      <c r="AR4" s="173">
        <v>1274603</v>
      </c>
      <c r="AS4" s="165">
        <f>+AQ4-AR4</f>
        <v>0</v>
      </c>
      <c r="AT4" s="168" t="s">
        <v>21</v>
      </c>
      <c r="AU4" s="169" t="s">
        <v>23</v>
      </c>
      <c r="AV4" s="172">
        <v>1110627</v>
      </c>
      <c r="AW4" s="172">
        <v>1110627</v>
      </c>
      <c r="AX4" s="172">
        <f>+AV4-AW4</f>
        <v>0</v>
      </c>
      <c r="AY4" s="158" t="s">
        <v>21</v>
      </c>
      <c r="AZ4" s="174" t="s">
        <v>23</v>
      </c>
      <c r="BA4" s="154">
        <v>2069141</v>
      </c>
      <c r="BB4" s="154">
        <v>2069141</v>
      </c>
      <c r="BC4" s="154">
        <f>+BA4-BB4</f>
        <v>0</v>
      </c>
      <c r="BD4" s="175" t="s">
        <v>21</v>
      </c>
      <c r="BE4" s="176" t="s">
        <v>22</v>
      </c>
      <c r="BF4" s="172">
        <v>2028481</v>
      </c>
      <c r="BG4" s="177">
        <v>2028481</v>
      </c>
      <c r="BH4" s="178">
        <f t="shared" ref="BH4:BH31" si="1">+BF4-BG4</f>
        <v>0</v>
      </c>
    </row>
    <row r="5" spans="1:60" x14ac:dyDescent="0.3">
      <c r="A5" s="162" t="s">
        <v>26</v>
      </c>
      <c r="B5" s="148" t="s">
        <v>188</v>
      </c>
      <c r="C5" s="149">
        <v>0</v>
      </c>
      <c r="D5" s="150">
        <v>0</v>
      </c>
      <c r="E5" s="151">
        <f t="shared" si="0"/>
        <v>0</v>
      </c>
      <c r="F5" s="158" t="s">
        <v>26</v>
      </c>
      <c r="G5" s="153" t="s">
        <v>188</v>
      </c>
      <c r="H5" s="154">
        <v>0</v>
      </c>
      <c r="I5" s="179">
        <v>0</v>
      </c>
      <c r="J5" s="156">
        <f t="shared" ref="J5:J32" si="2">+H5-I5</f>
        <v>0</v>
      </c>
      <c r="K5" s="162" t="s">
        <v>26</v>
      </c>
      <c r="L5" s="157" t="s">
        <v>28</v>
      </c>
      <c r="M5" s="149">
        <v>-919</v>
      </c>
      <c r="N5" s="180">
        <v>-919</v>
      </c>
      <c r="O5" s="151">
        <f t="shared" ref="O5:O35" si="3">+M5-N5</f>
        <v>0</v>
      </c>
      <c r="P5" s="158" t="s">
        <v>26</v>
      </c>
      <c r="Q5" s="159" t="s">
        <v>194</v>
      </c>
      <c r="R5" s="284"/>
      <c r="S5" s="155"/>
      <c r="T5" s="161">
        <f t="shared" ref="T5:T31" si="4">+R5-S5</f>
        <v>0</v>
      </c>
      <c r="U5" s="162" t="s">
        <v>26</v>
      </c>
      <c r="V5" s="163" t="s">
        <v>29</v>
      </c>
      <c r="W5" s="164">
        <v>0</v>
      </c>
      <c r="X5" s="164">
        <v>0</v>
      </c>
      <c r="Y5" s="165"/>
      <c r="Z5" s="158" t="s">
        <v>26</v>
      </c>
      <c r="AA5" s="159" t="s">
        <v>29</v>
      </c>
      <c r="AB5" s="166">
        <v>0</v>
      </c>
      <c r="AC5" s="181">
        <v>0</v>
      </c>
      <c r="AD5" s="161">
        <f t="shared" ref="AD5:AD31" si="5">+AB5-AC5</f>
        <v>0</v>
      </c>
      <c r="AE5" s="162" t="s">
        <v>184</v>
      </c>
      <c r="AF5" s="163" t="s">
        <v>185</v>
      </c>
      <c r="AG5" s="182">
        <v>0</v>
      </c>
      <c r="AH5" s="182">
        <v>0</v>
      </c>
      <c r="AI5" s="165">
        <f t="shared" ref="AI5:AI31" si="6">+AG5-AH5</f>
        <v>0</v>
      </c>
      <c r="AJ5" s="168" t="s">
        <v>26</v>
      </c>
      <c r="AK5" s="169" t="s">
        <v>28</v>
      </c>
      <c r="AL5" s="170">
        <v>0</v>
      </c>
      <c r="AM5" s="183">
        <v>0</v>
      </c>
      <c r="AN5" s="172">
        <f t="shared" ref="AN5:AN32" si="7">+AL5-AM5</f>
        <v>0</v>
      </c>
      <c r="AO5" s="162" t="s">
        <v>26</v>
      </c>
      <c r="AP5" s="163" t="s">
        <v>28</v>
      </c>
      <c r="AQ5" s="173">
        <v>0</v>
      </c>
      <c r="AR5" s="173"/>
      <c r="AS5" s="165">
        <f t="shared" ref="AS5:AS32" si="8">+AQ5-AR5</f>
        <v>0</v>
      </c>
      <c r="AT5" s="168" t="s">
        <v>26</v>
      </c>
      <c r="AU5" s="169" t="s">
        <v>28</v>
      </c>
      <c r="AV5" s="172">
        <v>0</v>
      </c>
      <c r="AW5" s="172"/>
      <c r="AX5" s="172">
        <f t="shared" ref="AX5:AX30" si="9">+AV5-AW5</f>
        <v>0</v>
      </c>
      <c r="AY5" s="158" t="s">
        <v>26</v>
      </c>
      <c r="AZ5" s="174" t="s">
        <v>28</v>
      </c>
      <c r="BA5" s="154">
        <v>0</v>
      </c>
      <c r="BB5" s="154"/>
      <c r="BC5" s="154">
        <f t="shared" ref="BC5:BC32" si="10">+BA5-BB5</f>
        <v>0</v>
      </c>
      <c r="BD5" s="184" t="s">
        <v>26</v>
      </c>
      <c r="BE5" s="176" t="s">
        <v>27</v>
      </c>
      <c r="BF5" s="172">
        <v>924765</v>
      </c>
      <c r="BG5" s="177">
        <v>924765</v>
      </c>
      <c r="BH5" s="178">
        <f t="shared" si="1"/>
        <v>0</v>
      </c>
    </row>
    <row r="6" spans="1:60" x14ac:dyDescent="0.3">
      <c r="A6" s="162" t="s">
        <v>31</v>
      </c>
      <c r="B6" s="148" t="s">
        <v>32</v>
      </c>
      <c r="C6" s="149">
        <v>0</v>
      </c>
      <c r="D6" s="150">
        <v>0</v>
      </c>
      <c r="E6" s="151">
        <f t="shared" si="0"/>
        <v>0</v>
      </c>
      <c r="F6" s="158" t="s">
        <v>31</v>
      </c>
      <c r="G6" s="153" t="s">
        <v>32</v>
      </c>
      <c r="H6" s="154">
        <v>0</v>
      </c>
      <c r="I6" s="179">
        <v>0</v>
      </c>
      <c r="J6" s="156">
        <f t="shared" si="2"/>
        <v>0</v>
      </c>
      <c r="K6" s="162" t="s">
        <v>31</v>
      </c>
      <c r="L6" s="157" t="s">
        <v>33</v>
      </c>
      <c r="M6" s="149">
        <v>0</v>
      </c>
      <c r="N6" s="180">
        <v>0</v>
      </c>
      <c r="O6" s="151">
        <f t="shared" si="3"/>
        <v>0</v>
      </c>
      <c r="P6" s="158" t="s">
        <v>31</v>
      </c>
      <c r="Q6" s="159" t="s">
        <v>34</v>
      </c>
      <c r="R6" s="284"/>
      <c r="S6" s="155"/>
      <c r="T6" s="161">
        <f t="shared" si="4"/>
        <v>0</v>
      </c>
      <c r="U6" s="162" t="s">
        <v>31</v>
      </c>
      <c r="V6" s="163" t="s">
        <v>34</v>
      </c>
      <c r="W6" s="164">
        <v>0</v>
      </c>
      <c r="X6" s="164">
        <v>0</v>
      </c>
      <c r="Y6" s="165"/>
      <c r="Z6" s="158" t="s">
        <v>31</v>
      </c>
      <c r="AA6" s="159" t="s">
        <v>34</v>
      </c>
      <c r="AB6" s="166">
        <v>0</v>
      </c>
      <c r="AC6" s="181">
        <v>0</v>
      </c>
      <c r="AD6" s="161">
        <f t="shared" si="5"/>
        <v>0</v>
      </c>
      <c r="AE6" s="162" t="s">
        <v>31</v>
      </c>
      <c r="AF6" s="163" t="s">
        <v>34</v>
      </c>
      <c r="AG6" s="182">
        <v>0</v>
      </c>
      <c r="AH6" s="182">
        <v>0</v>
      </c>
      <c r="AI6" s="165">
        <f t="shared" si="6"/>
        <v>0</v>
      </c>
      <c r="AJ6" s="168" t="s">
        <v>31</v>
      </c>
      <c r="AK6" s="169" t="s">
        <v>33</v>
      </c>
      <c r="AL6" s="170">
        <v>0</v>
      </c>
      <c r="AM6" s="183">
        <v>0</v>
      </c>
      <c r="AN6" s="172">
        <f t="shared" si="7"/>
        <v>0</v>
      </c>
      <c r="AO6" s="162" t="s">
        <v>31</v>
      </c>
      <c r="AP6" s="163" t="s">
        <v>33</v>
      </c>
      <c r="AQ6" s="173">
        <v>0</v>
      </c>
      <c r="AR6" s="173"/>
      <c r="AS6" s="165">
        <f t="shared" si="8"/>
        <v>0</v>
      </c>
      <c r="AT6" s="168" t="s">
        <v>31</v>
      </c>
      <c r="AU6" s="169" t="s">
        <v>33</v>
      </c>
      <c r="AV6" s="172">
        <v>0</v>
      </c>
      <c r="AW6" s="172"/>
      <c r="AX6" s="172">
        <f t="shared" si="9"/>
        <v>0</v>
      </c>
      <c r="AY6" s="158" t="s">
        <v>31</v>
      </c>
      <c r="AZ6" s="174" t="s">
        <v>33</v>
      </c>
      <c r="BA6" s="154">
        <v>0</v>
      </c>
      <c r="BB6" s="154"/>
      <c r="BC6" s="154">
        <f t="shared" si="10"/>
        <v>0</v>
      </c>
      <c r="BD6" s="184" t="s">
        <v>31</v>
      </c>
      <c r="BE6" s="176" t="s">
        <v>32</v>
      </c>
      <c r="BF6" s="172">
        <v>0</v>
      </c>
      <c r="BG6" s="177">
        <v>0</v>
      </c>
      <c r="BH6" s="178">
        <f t="shared" si="1"/>
        <v>0</v>
      </c>
    </row>
    <row r="7" spans="1:60" x14ac:dyDescent="0.3">
      <c r="A7" s="162" t="s">
        <v>35</v>
      </c>
      <c r="B7" s="148" t="s">
        <v>36</v>
      </c>
      <c r="C7" s="149">
        <v>0</v>
      </c>
      <c r="D7" s="150">
        <v>0</v>
      </c>
      <c r="E7" s="151">
        <f t="shared" si="0"/>
        <v>0</v>
      </c>
      <c r="F7" s="158" t="s">
        <v>35</v>
      </c>
      <c r="G7" s="153" t="s">
        <v>36</v>
      </c>
      <c r="H7" s="154">
        <v>930123</v>
      </c>
      <c r="I7" s="179">
        <v>930123</v>
      </c>
      <c r="J7" s="156">
        <f t="shared" si="2"/>
        <v>0</v>
      </c>
      <c r="K7" s="162" t="s">
        <v>35</v>
      </c>
      <c r="L7" s="157" t="s">
        <v>37</v>
      </c>
      <c r="M7" s="149">
        <v>-600</v>
      </c>
      <c r="N7" s="180">
        <v>-600</v>
      </c>
      <c r="O7" s="151">
        <f t="shared" si="3"/>
        <v>0</v>
      </c>
      <c r="P7" s="158" t="s">
        <v>35</v>
      </c>
      <c r="Q7" s="159" t="s">
        <v>38</v>
      </c>
      <c r="R7" s="284"/>
      <c r="S7" s="155"/>
      <c r="T7" s="161">
        <f t="shared" si="4"/>
        <v>0</v>
      </c>
      <c r="U7" s="162" t="s">
        <v>35</v>
      </c>
      <c r="V7" s="163" t="s">
        <v>38</v>
      </c>
      <c r="W7" s="164">
        <v>0</v>
      </c>
      <c r="X7" s="164">
        <v>0</v>
      </c>
      <c r="Y7" s="165"/>
      <c r="Z7" s="158" t="s">
        <v>35</v>
      </c>
      <c r="AA7" s="159" t="s">
        <v>38</v>
      </c>
      <c r="AB7" s="166">
        <v>930723</v>
      </c>
      <c r="AC7" s="181">
        <v>930723</v>
      </c>
      <c r="AD7" s="161">
        <f t="shared" si="5"/>
        <v>0</v>
      </c>
      <c r="AE7" s="162" t="s">
        <v>35</v>
      </c>
      <c r="AF7" s="163" t="s">
        <v>38</v>
      </c>
      <c r="AG7" s="182">
        <v>0</v>
      </c>
      <c r="AH7" s="182">
        <v>0</v>
      </c>
      <c r="AI7" s="165">
        <f t="shared" si="6"/>
        <v>0</v>
      </c>
      <c r="AJ7" s="168" t="s">
        <v>35</v>
      </c>
      <c r="AK7" s="169" t="s">
        <v>37</v>
      </c>
      <c r="AL7" s="170">
        <v>0</v>
      </c>
      <c r="AM7" s="183">
        <v>0</v>
      </c>
      <c r="AN7" s="172">
        <f t="shared" si="7"/>
        <v>0</v>
      </c>
      <c r="AO7" s="162" t="s">
        <v>35</v>
      </c>
      <c r="AP7" s="163" t="s">
        <v>37</v>
      </c>
      <c r="AQ7" s="173">
        <v>1027815</v>
      </c>
      <c r="AR7" s="173">
        <v>1027815</v>
      </c>
      <c r="AS7" s="165">
        <f t="shared" si="8"/>
        <v>0</v>
      </c>
      <c r="AT7" s="168" t="s">
        <v>35</v>
      </c>
      <c r="AU7" s="169" t="s">
        <v>37</v>
      </c>
      <c r="AV7" s="172">
        <v>0</v>
      </c>
      <c r="AW7" s="172"/>
      <c r="AX7" s="172">
        <f t="shared" si="9"/>
        <v>0</v>
      </c>
      <c r="AY7" s="158" t="s">
        <v>35</v>
      </c>
      <c r="AZ7" s="174" t="s">
        <v>37</v>
      </c>
      <c r="BA7" s="154">
        <v>0</v>
      </c>
      <c r="BB7" s="154"/>
      <c r="BC7" s="154">
        <f t="shared" si="10"/>
        <v>0</v>
      </c>
      <c r="BD7" s="184" t="s">
        <v>35</v>
      </c>
      <c r="BE7" s="176" t="s">
        <v>36</v>
      </c>
      <c r="BF7" s="172">
        <v>0</v>
      </c>
      <c r="BG7" s="177">
        <v>0</v>
      </c>
      <c r="BH7" s="178">
        <f t="shared" si="1"/>
        <v>0</v>
      </c>
    </row>
    <row r="8" spans="1:60" x14ac:dyDescent="0.3">
      <c r="A8" s="185" t="s">
        <v>40</v>
      </c>
      <c r="B8" s="148" t="s">
        <v>41</v>
      </c>
      <c r="C8" s="149">
        <v>1339193</v>
      </c>
      <c r="D8" s="150">
        <v>1339193</v>
      </c>
      <c r="E8" s="151">
        <f t="shared" si="0"/>
        <v>0</v>
      </c>
      <c r="F8" s="186" t="s">
        <v>40</v>
      </c>
      <c r="G8" s="153" t="s">
        <v>41</v>
      </c>
      <c r="H8" s="154">
        <v>1398807</v>
      </c>
      <c r="I8" s="155">
        <v>1398807</v>
      </c>
      <c r="J8" s="156">
        <f t="shared" si="2"/>
        <v>0</v>
      </c>
      <c r="K8" s="185" t="s">
        <v>40</v>
      </c>
      <c r="L8" s="157" t="s">
        <v>42</v>
      </c>
      <c r="M8" s="149">
        <v>2241517</v>
      </c>
      <c r="N8" s="150">
        <v>2241517</v>
      </c>
      <c r="O8" s="151">
        <f t="shared" si="3"/>
        <v>0</v>
      </c>
      <c r="P8" s="158" t="s">
        <v>40</v>
      </c>
      <c r="Q8" s="159" t="s">
        <v>43</v>
      </c>
      <c r="R8" s="284">
        <v>2234794</v>
      </c>
      <c r="S8" s="160">
        <v>2244794</v>
      </c>
      <c r="T8" s="161">
        <f t="shared" si="4"/>
        <v>-10000</v>
      </c>
      <c r="U8" s="162" t="s">
        <v>40</v>
      </c>
      <c r="V8" s="163" t="s">
        <v>43</v>
      </c>
      <c r="W8" s="164">
        <v>1291585</v>
      </c>
      <c r="X8" s="164">
        <v>5000</v>
      </c>
      <c r="Y8" s="165" t="s">
        <v>191</v>
      </c>
      <c r="Z8" s="158" t="s">
        <v>40</v>
      </c>
      <c r="AA8" s="159" t="s">
        <v>43</v>
      </c>
      <c r="AB8" s="166">
        <v>1033633</v>
      </c>
      <c r="AC8" s="167">
        <v>1033633</v>
      </c>
      <c r="AD8" s="161">
        <f t="shared" si="5"/>
        <v>0</v>
      </c>
      <c r="AE8" s="162" t="s">
        <v>40</v>
      </c>
      <c r="AF8" s="163" t="s">
        <v>43</v>
      </c>
      <c r="AG8" s="182">
        <f>-78357+1200000</f>
        <v>1121643</v>
      </c>
      <c r="AH8" s="182">
        <v>-78357</v>
      </c>
      <c r="AI8" s="165">
        <f t="shared" si="6"/>
        <v>1200000</v>
      </c>
      <c r="AJ8" s="168" t="s">
        <v>40</v>
      </c>
      <c r="AK8" s="169" t="s">
        <v>42</v>
      </c>
      <c r="AL8" s="170">
        <v>9461</v>
      </c>
      <c r="AM8" s="171">
        <v>9461</v>
      </c>
      <c r="AN8" s="172">
        <f t="shared" si="7"/>
        <v>0</v>
      </c>
      <c r="AO8" s="162" t="s">
        <v>40</v>
      </c>
      <c r="AP8" s="163" t="s">
        <v>42</v>
      </c>
      <c r="AQ8" s="173">
        <v>1242367</v>
      </c>
      <c r="AR8" s="173">
        <v>1242367</v>
      </c>
      <c r="AS8" s="165">
        <f t="shared" si="8"/>
        <v>0</v>
      </c>
      <c r="AT8" s="168" t="s">
        <v>40</v>
      </c>
      <c r="AU8" s="169" t="s">
        <v>42</v>
      </c>
      <c r="AV8" s="172">
        <v>230558</v>
      </c>
      <c r="AW8" s="172">
        <v>230558</v>
      </c>
      <c r="AX8" s="172">
        <f t="shared" si="9"/>
        <v>0</v>
      </c>
      <c r="AY8" s="158" t="s">
        <v>40</v>
      </c>
      <c r="AZ8" s="174" t="s">
        <v>42</v>
      </c>
      <c r="BA8" s="154">
        <v>196296</v>
      </c>
      <c r="BB8" s="154">
        <v>196296</v>
      </c>
      <c r="BC8" s="154">
        <f t="shared" si="10"/>
        <v>0</v>
      </c>
      <c r="BD8" s="168" t="s">
        <v>40</v>
      </c>
      <c r="BE8" s="176" t="s">
        <v>41</v>
      </c>
      <c r="BF8" s="172">
        <v>162716</v>
      </c>
      <c r="BG8" s="177">
        <v>162716</v>
      </c>
      <c r="BH8" s="178">
        <f t="shared" si="1"/>
        <v>0</v>
      </c>
    </row>
    <row r="9" spans="1:60" x14ac:dyDescent="0.3">
      <c r="A9" s="162" t="s">
        <v>45</v>
      </c>
      <c r="B9" s="148" t="s">
        <v>46</v>
      </c>
      <c r="C9" s="149">
        <v>0</v>
      </c>
      <c r="D9" s="150">
        <v>0</v>
      </c>
      <c r="E9" s="151">
        <f t="shared" si="0"/>
        <v>0</v>
      </c>
      <c r="F9" s="158" t="s">
        <v>45</v>
      </c>
      <c r="G9" s="153" t="s">
        <v>46</v>
      </c>
      <c r="H9" s="154">
        <v>0</v>
      </c>
      <c r="I9" s="179">
        <v>0</v>
      </c>
      <c r="J9" s="156">
        <f t="shared" si="2"/>
        <v>0</v>
      </c>
      <c r="K9" s="162" t="s">
        <v>45</v>
      </c>
      <c r="L9" s="157" t="s">
        <v>47</v>
      </c>
      <c r="M9" s="149">
        <v>0</v>
      </c>
      <c r="N9" s="180">
        <v>0</v>
      </c>
      <c r="O9" s="151">
        <f t="shared" si="3"/>
        <v>0</v>
      </c>
      <c r="P9" s="158" t="s">
        <v>45</v>
      </c>
      <c r="Q9" s="159" t="s">
        <v>48</v>
      </c>
      <c r="R9" s="284"/>
      <c r="S9" s="155"/>
      <c r="T9" s="161">
        <f t="shared" si="4"/>
        <v>0</v>
      </c>
      <c r="U9" s="162" t="s">
        <v>45</v>
      </c>
      <c r="V9" s="163" t="s">
        <v>48</v>
      </c>
      <c r="W9" s="164">
        <v>0</v>
      </c>
      <c r="X9" s="164">
        <v>0</v>
      </c>
      <c r="Y9" s="165"/>
      <c r="Z9" s="158" t="s">
        <v>45</v>
      </c>
      <c r="AA9" s="159" t="s">
        <v>48</v>
      </c>
      <c r="AB9" s="166">
        <v>0</v>
      </c>
      <c r="AC9" s="181">
        <v>0</v>
      </c>
      <c r="AD9" s="161">
        <f t="shared" si="5"/>
        <v>0</v>
      </c>
      <c r="AE9" s="162" t="s">
        <v>45</v>
      </c>
      <c r="AF9" s="163" t="s">
        <v>48</v>
      </c>
      <c r="AG9" s="182">
        <v>0</v>
      </c>
      <c r="AH9" s="182">
        <v>0</v>
      </c>
      <c r="AI9" s="165">
        <f t="shared" si="6"/>
        <v>0</v>
      </c>
      <c r="AJ9" s="168" t="s">
        <v>45</v>
      </c>
      <c r="AK9" s="169" t="s">
        <v>47</v>
      </c>
      <c r="AL9" s="170">
        <v>0</v>
      </c>
      <c r="AM9" s="183">
        <v>0</v>
      </c>
      <c r="AN9" s="172">
        <f t="shared" si="7"/>
        <v>0</v>
      </c>
      <c r="AO9" s="162" t="s">
        <v>45</v>
      </c>
      <c r="AP9" s="163" t="s">
        <v>47</v>
      </c>
      <c r="AQ9" s="173">
        <v>0</v>
      </c>
      <c r="AR9" s="173"/>
      <c r="AS9" s="165">
        <f t="shared" si="8"/>
        <v>0</v>
      </c>
      <c r="AT9" s="168" t="s">
        <v>45</v>
      </c>
      <c r="AU9" s="169" t="s">
        <v>47</v>
      </c>
      <c r="AV9" s="172">
        <v>0</v>
      </c>
      <c r="AW9" s="172"/>
      <c r="AX9" s="172">
        <f t="shared" si="9"/>
        <v>0</v>
      </c>
      <c r="AY9" s="158" t="s">
        <v>45</v>
      </c>
      <c r="AZ9" s="174" t="s">
        <v>47</v>
      </c>
      <c r="BA9" s="154">
        <v>0</v>
      </c>
      <c r="BB9" s="154"/>
      <c r="BC9" s="154">
        <f t="shared" si="10"/>
        <v>0</v>
      </c>
      <c r="BD9" s="184" t="s">
        <v>45</v>
      </c>
      <c r="BE9" s="176" t="s">
        <v>46</v>
      </c>
      <c r="BF9" s="172">
        <v>0</v>
      </c>
      <c r="BG9" s="177">
        <v>0</v>
      </c>
      <c r="BH9" s="178">
        <f t="shared" si="1"/>
        <v>0</v>
      </c>
    </row>
    <row r="10" spans="1:60" x14ac:dyDescent="0.3">
      <c r="A10" s="162" t="s">
        <v>50</v>
      </c>
      <c r="B10" s="148" t="s">
        <v>51</v>
      </c>
      <c r="C10" s="149">
        <v>0</v>
      </c>
      <c r="D10" s="150">
        <v>0</v>
      </c>
      <c r="E10" s="151">
        <f t="shared" si="0"/>
        <v>0</v>
      </c>
      <c r="F10" s="158" t="s">
        <v>50</v>
      </c>
      <c r="G10" s="153" t="s">
        <v>51</v>
      </c>
      <c r="H10" s="154">
        <v>0</v>
      </c>
      <c r="I10" s="179">
        <v>0</v>
      </c>
      <c r="J10" s="156">
        <f t="shared" si="2"/>
        <v>0</v>
      </c>
      <c r="K10" s="162" t="s">
        <v>50</v>
      </c>
      <c r="L10" s="157" t="s">
        <v>52</v>
      </c>
      <c r="M10" s="149">
        <v>0</v>
      </c>
      <c r="N10" s="180">
        <v>0</v>
      </c>
      <c r="O10" s="151">
        <f t="shared" si="3"/>
        <v>0</v>
      </c>
      <c r="P10" s="158" t="s">
        <v>50</v>
      </c>
      <c r="Q10" s="159" t="s">
        <v>53</v>
      </c>
      <c r="R10" s="284"/>
      <c r="S10" s="155"/>
      <c r="T10" s="161">
        <f t="shared" si="4"/>
        <v>0</v>
      </c>
      <c r="U10" s="162" t="s">
        <v>50</v>
      </c>
      <c r="V10" s="163" t="s">
        <v>53</v>
      </c>
      <c r="W10" s="164">
        <v>0</v>
      </c>
      <c r="X10" s="164">
        <v>0</v>
      </c>
      <c r="Y10" s="165"/>
      <c r="Z10" s="158" t="s">
        <v>50</v>
      </c>
      <c r="AA10" s="159" t="s">
        <v>53</v>
      </c>
      <c r="AB10" s="166">
        <v>0</v>
      </c>
      <c r="AC10" s="181">
        <v>0</v>
      </c>
      <c r="AD10" s="161">
        <f t="shared" si="5"/>
        <v>0</v>
      </c>
      <c r="AE10" s="162" t="s">
        <v>50</v>
      </c>
      <c r="AF10" s="163" t="s">
        <v>53</v>
      </c>
      <c r="AG10" s="182">
        <v>0</v>
      </c>
      <c r="AH10" s="182">
        <v>0</v>
      </c>
      <c r="AI10" s="165">
        <f t="shared" si="6"/>
        <v>0</v>
      </c>
      <c r="AJ10" s="168" t="s">
        <v>50</v>
      </c>
      <c r="AK10" s="169" t="s">
        <v>52</v>
      </c>
      <c r="AL10" s="170">
        <v>-39735</v>
      </c>
      <c r="AM10" s="171">
        <v>-39735</v>
      </c>
      <c r="AN10" s="172">
        <f t="shared" si="7"/>
        <v>0</v>
      </c>
      <c r="AO10" s="162" t="s">
        <v>50</v>
      </c>
      <c r="AP10" s="163" t="s">
        <v>52</v>
      </c>
      <c r="AQ10" s="173">
        <v>-39735</v>
      </c>
      <c r="AR10" s="173">
        <v>60</v>
      </c>
      <c r="AS10" s="165">
        <f t="shared" si="8"/>
        <v>-39795</v>
      </c>
      <c r="AT10" s="168" t="s">
        <v>50</v>
      </c>
      <c r="AU10" s="169" t="s">
        <v>52</v>
      </c>
      <c r="AV10" s="172">
        <v>-39795</v>
      </c>
      <c r="AW10" s="172"/>
      <c r="AX10" s="172">
        <f t="shared" si="9"/>
        <v>-39795</v>
      </c>
      <c r="AY10" s="158" t="s">
        <v>50</v>
      </c>
      <c r="AZ10" s="174" t="s">
        <v>52</v>
      </c>
      <c r="BA10" s="154">
        <v>-39795</v>
      </c>
      <c r="BB10" s="154"/>
      <c r="BC10" s="154">
        <f t="shared" si="10"/>
        <v>-39795</v>
      </c>
      <c r="BD10" s="184" t="s">
        <v>50</v>
      </c>
      <c r="BE10" s="176" t="s">
        <v>51</v>
      </c>
      <c r="BF10" s="172">
        <v>1140</v>
      </c>
      <c r="BG10" s="177">
        <v>56138</v>
      </c>
      <c r="BH10" s="178">
        <f t="shared" si="1"/>
        <v>-54998</v>
      </c>
    </row>
    <row r="11" spans="1:60" x14ac:dyDescent="0.3">
      <c r="A11" s="162" t="s">
        <v>55</v>
      </c>
      <c r="B11" s="148" t="s">
        <v>56</v>
      </c>
      <c r="C11" s="149">
        <v>2367</v>
      </c>
      <c r="D11" s="150">
        <v>2367</v>
      </c>
      <c r="E11" s="151">
        <f t="shared" si="0"/>
        <v>0</v>
      </c>
      <c r="F11" s="158" t="s">
        <v>55</v>
      </c>
      <c r="G11" s="153" t="s">
        <v>56</v>
      </c>
      <c r="H11" s="154">
        <v>0</v>
      </c>
      <c r="I11" s="179">
        <v>0</v>
      </c>
      <c r="J11" s="156">
        <f t="shared" si="2"/>
        <v>0</v>
      </c>
      <c r="K11" s="162" t="s">
        <v>55</v>
      </c>
      <c r="L11" s="157" t="s">
        <v>57</v>
      </c>
      <c r="M11" s="149">
        <v>-2367</v>
      </c>
      <c r="N11" s="180">
        <v>-2367</v>
      </c>
      <c r="O11" s="151">
        <f t="shared" si="3"/>
        <v>0</v>
      </c>
      <c r="P11" s="158" t="s">
        <v>55</v>
      </c>
      <c r="Q11" s="159" t="s">
        <v>58</v>
      </c>
      <c r="R11" s="284">
        <v>-2367</v>
      </c>
      <c r="S11" s="160">
        <v>-2367</v>
      </c>
      <c r="T11" s="161">
        <f t="shared" si="4"/>
        <v>0</v>
      </c>
      <c r="U11" s="162" t="s">
        <v>55</v>
      </c>
      <c r="V11" s="163" t="s">
        <v>58</v>
      </c>
      <c r="W11" s="164">
        <v>-2367</v>
      </c>
      <c r="X11" s="164">
        <v>0</v>
      </c>
      <c r="Y11" s="165"/>
      <c r="Z11" s="158" t="s">
        <v>55</v>
      </c>
      <c r="AA11" s="159" t="s">
        <v>58</v>
      </c>
      <c r="AB11" s="166">
        <v>0</v>
      </c>
      <c r="AC11" s="167">
        <v>0</v>
      </c>
      <c r="AD11" s="161">
        <f t="shared" si="5"/>
        <v>0</v>
      </c>
      <c r="AE11" s="162" t="s">
        <v>55</v>
      </c>
      <c r="AF11" s="163" t="s">
        <v>58</v>
      </c>
      <c r="AG11" s="182">
        <v>-817432</v>
      </c>
      <c r="AH11" s="182">
        <v>-817432</v>
      </c>
      <c r="AI11" s="165">
        <f t="shared" si="6"/>
        <v>0</v>
      </c>
      <c r="AJ11" s="168" t="s">
        <v>55</v>
      </c>
      <c r="AK11" s="169" t="s">
        <v>57</v>
      </c>
      <c r="AL11" s="170">
        <v>-1634864</v>
      </c>
      <c r="AM11" s="171">
        <v>-1634864</v>
      </c>
      <c r="AN11" s="172">
        <f t="shared" si="7"/>
        <v>0</v>
      </c>
      <c r="AO11" s="162" t="s">
        <v>55</v>
      </c>
      <c r="AP11" s="163" t="s">
        <v>57</v>
      </c>
      <c r="AQ11" s="173">
        <v>0</v>
      </c>
      <c r="AR11" s="173">
        <v>0</v>
      </c>
      <c r="AS11" s="165">
        <f t="shared" si="8"/>
        <v>0</v>
      </c>
      <c r="AT11" s="168" t="s">
        <v>55</v>
      </c>
      <c r="AU11" s="169" t="s">
        <v>57</v>
      </c>
      <c r="AV11" s="172">
        <v>802</v>
      </c>
      <c r="AW11" s="172">
        <v>802</v>
      </c>
      <c r="AX11" s="172">
        <f t="shared" si="9"/>
        <v>0</v>
      </c>
      <c r="AY11" s="158" t="s">
        <v>55</v>
      </c>
      <c r="AZ11" s="174" t="s">
        <v>57</v>
      </c>
      <c r="BA11" s="154">
        <v>792</v>
      </c>
      <c r="BB11" s="154">
        <v>792</v>
      </c>
      <c r="BC11" s="154">
        <f t="shared" si="10"/>
        <v>0</v>
      </c>
      <c r="BD11" s="184" t="s">
        <v>55</v>
      </c>
      <c r="BE11" s="176" t="s">
        <v>56</v>
      </c>
      <c r="BF11" s="172">
        <v>39006</v>
      </c>
      <c r="BG11" s="177">
        <v>39006</v>
      </c>
      <c r="BH11" s="178">
        <f t="shared" si="1"/>
        <v>0</v>
      </c>
    </row>
    <row r="12" spans="1:60" x14ac:dyDescent="0.3">
      <c r="A12" s="162" t="s">
        <v>60</v>
      </c>
      <c r="B12" s="148" t="s">
        <v>61</v>
      </c>
      <c r="C12" s="149">
        <v>30286</v>
      </c>
      <c r="D12" s="150">
        <v>30286</v>
      </c>
      <c r="E12" s="151">
        <f t="shared" si="0"/>
        <v>0</v>
      </c>
      <c r="F12" s="158" t="s">
        <v>60</v>
      </c>
      <c r="G12" s="153" t="s">
        <v>61</v>
      </c>
      <c r="H12" s="154">
        <v>0</v>
      </c>
      <c r="I12" s="179">
        <v>0</v>
      </c>
      <c r="J12" s="156">
        <f t="shared" si="2"/>
        <v>0</v>
      </c>
      <c r="K12" s="162" t="s">
        <v>60</v>
      </c>
      <c r="L12" s="157" t="s">
        <v>62</v>
      </c>
      <c r="M12" s="149">
        <v>0</v>
      </c>
      <c r="N12" s="180">
        <v>0</v>
      </c>
      <c r="O12" s="151">
        <f t="shared" si="3"/>
        <v>0</v>
      </c>
      <c r="P12" s="158" t="s">
        <v>60</v>
      </c>
      <c r="Q12" s="159" t="s">
        <v>63</v>
      </c>
      <c r="R12" s="284"/>
      <c r="S12" s="155"/>
      <c r="T12" s="161">
        <f t="shared" si="4"/>
        <v>0</v>
      </c>
      <c r="U12" s="162" t="s">
        <v>60</v>
      </c>
      <c r="V12" s="163" t="s">
        <v>63</v>
      </c>
      <c r="W12" s="164">
        <v>0</v>
      </c>
      <c r="X12" s="164">
        <v>0</v>
      </c>
      <c r="Y12" s="165"/>
      <c r="Z12" s="158" t="s">
        <v>60</v>
      </c>
      <c r="AA12" s="159" t="s">
        <v>63</v>
      </c>
      <c r="AB12" s="166">
        <v>-99800</v>
      </c>
      <c r="AC12" s="181">
        <v>-99800</v>
      </c>
      <c r="AD12" s="161">
        <f t="shared" si="5"/>
        <v>0</v>
      </c>
      <c r="AE12" s="162" t="s">
        <v>60</v>
      </c>
      <c r="AF12" s="163" t="s">
        <v>183</v>
      </c>
      <c r="AG12" s="182">
        <v>-99900</v>
      </c>
      <c r="AH12" s="182">
        <v>-99900</v>
      </c>
      <c r="AI12" s="165">
        <f t="shared" si="6"/>
        <v>0</v>
      </c>
      <c r="AJ12" s="168" t="s">
        <v>60</v>
      </c>
      <c r="AK12" s="169" t="s">
        <v>62</v>
      </c>
      <c r="AL12" s="170">
        <v>0</v>
      </c>
      <c r="AM12" s="183">
        <v>0</v>
      </c>
      <c r="AN12" s="172">
        <f t="shared" si="7"/>
        <v>0</v>
      </c>
      <c r="AO12" s="162" t="s">
        <v>60</v>
      </c>
      <c r="AP12" s="163" t="s">
        <v>62</v>
      </c>
      <c r="AQ12" s="173">
        <v>121144</v>
      </c>
      <c r="AR12" s="173">
        <v>121144</v>
      </c>
      <c r="AS12" s="165">
        <f t="shared" si="8"/>
        <v>0</v>
      </c>
      <c r="AT12" s="168" t="s">
        <v>60</v>
      </c>
      <c r="AU12" s="169" t="s">
        <v>62</v>
      </c>
      <c r="AV12" s="172">
        <v>0</v>
      </c>
      <c r="AW12" s="172"/>
      <c r="AX12" s="172">
        <f t="shared" si="9"/>
        <v>0</v>
      </c>
      <c r="AY12" s="158" t="s">
        <v>60</v>
      </c>
      <c r="AZ12" s="174" t="s">
        <v>62</v>
      </c>
      <c r="BA12" s="154">
        <v>0</v>
      </c>
      <c r="BB12" s="154">
        <v>6</v>
      </c>
      <c r="BC12" s="154">
        <f t="shared" si="10"/>
        <v>-6</v>
      </c>
      <c r="BD12" s="184" t="s">
        <v>60</v>
      </c>
      <c r="BE12" s="176" t="s">
        <v>61</v>
      </c>
      <c r="BF12" s="172">
        <v>41314</v>
      </c>
      <c r="BG12" s="177">
        <v>41314</v>
      </c>
      <c r="BH12" s="178">
        <f t="shared" si="1"/>
        <v>0</v>
      </c>
    </row>
    <row r="13" spans="1:60" x14ac:dyDescent="0.3">
      <c r="A13" s="162" t="s">
        <v>64</v>
      </c>
      <c r="B13" s="148" t="s">
        <v>65</v>
      </c>
      <c r="C13" s="149">
        <v>0</v>
      </c>
      <c r="D13" s="150">
        <v>0</v>
      </c>
      <c r="E13" s="151">
        <f t="shared" si="0"/>
        <v>0</v>
      </c>
      <c r="F13" s="158" t="s">
        <v>64</v>
      </c>
      <c r="G13" s="153" t="s">
        <v>65</v>
      </c>
      <c r="H13" s="154">
        <v>0</v>
      </c>
      <c r="I13" s="179">
        <v>0</v>
      </c>
      <c r="J13" s="156">
        <f t="shared" si="2"/>
        <v>0</v>
      </c>
      <c r="K13" s="162" t="s">
        <v>64</v>
      </c>
      <c r="L13" s="157" t="s">
        <v>66</v>
      </c>
      <c r="M13" s="149">
        <v>0</v>
      </c>
      <c r="N13" s="180">
        <v>0</v>
      </c>
      <c r="O13" s="151">
        <f t="shared" si="3"/>
        <v>0</v>
      </c>
      <c r="P13" s="158" t="s">
        <v>64</v>
      </c>
      <c r="Q13" s="159" t="s">
        <v>67</v>
      </c>
      <c r="R13" s="284"/>
      <c r="S13" s="155"/>
      <c r="T13" s="161">
        <f t="shared" si="4"/>
        <v>0</v>
      </c>
      <c r="U13" s="162" t="s">
        <v>64</v>
      </c>
      <c r="V13" s="163" t="s">
        <v>67</v>
      </c>
      <c r="W13" s="164">
        <v>240477</v>
      </c>
      <c r="X13" s="164">
        <v>0</v>
      </c>
      <c r="Y13" s="165"/>
      <c r="Z13" s="158" t="s">
        <v>64</v>
      </c>
      <c r="AA13" s="159" t="s">
        <v>67</v>
      </c>
      <c r="AB13" s="166">
        <v>0</v>
      </c>
      <c r="AC13" s="181">
        <v>0</v>
      </c>
      <c r="AD13" s="161">
        <f t="shared" si="5"/>
        <v>0</v>
      </c>
      <c r="AE13" s="162" t="s">
        <v>64</v>
      </c>
      <c r="AF13" s="163" t="s">
        <v>67</v>
      </c>
      <c r="AG13" s="182">
        <v>0</v>
      </c>
      <c r="AH13" s="182">
        <v>0</v>
      </c>
      <c r="AI13" s="165">
        <f t="shared" si="6"/>
        <v>0</v>
      </c>
      <c r="AJ13" s="168" t="s">
        <v>64</v>
      </c>
      <c r="AK13" s="169" t="s">
        <v>66</v>
      </c>
      <c r="AL13" s="170">
        <v>0</v>
      </c>
      <c r="AM13" s="183">
        <v>0</v>
      </c>
      <c r="AN13" s="172">
        <f t="shared" si="7"/>
        <v>0</v>
      </c>
      <c r="AO13" s="162" t="s">
        <v>64</v>
      </c>
      <c r="AP13" s="163" t="s">
        <v>66</v>
      </c>
      <c r="AQ13" s="173">
        <v>0</v>
      </c>
      <c r="AR13" s="173">
        <v>0</v>
      </c>
      <c r="AS13" s="165">
        <f t="shared" si="8"/>
        <v>0</v>
      </c>
      <c r="AT13" s="168" t="s">
        <v>64</v>
      </c>
      <c r="AU13" s="169" t="s">
        <v>66</v>
      </c>
      <c r="AV13" s="172">
        <v>12</v>
      </c>
      <c r="AW13" s="172">
        <v>12</v>
      </c>
      <c r="AX13" s="172">
        <f t="shared" si="9"/>
        <v>0</v>
      </c>
      <c r="AY13" s="158" t="s">
        <v>64</v>
      </c>
      <c r="AZ13" s="174" t="s">
        <v>66</v>
      </c>
      <c r="BA13" s="154">
        <v>6</v>
      </c>
      <c r="BB13" s="154"/>
      <c r="BC13" s="154">
        <f t="shared" si="10"/>
        <v>6</v>
      </c>
      <c r="BD13" s="184" t="s">
        <v>64</v>
      </c>
      <c r="BE13" s="176" t="s">
        <v>65</v>
      </c>
      <c r="BF13" s="172">
        <v>0</v>
      </c>
      <c r="BG13" s="177">
        <v>0</v>
      </c>
      <c r="BH13" s="178">
        <f t="shared" si="1"/>
        <v>0</v>
      </c>
    </row>
    <row r="14" spans="1:60" x14ac:dyDescent="0.3">
      <c r="A14" s="147" t="s">
        <v>68</v>
      </c>
      <c r="B14" s="148" t="s">
        <v>69</v>
      </c>
      <c r="C14" s="149">
        <v>852555</v>
      </c>
      <c r="D14" s="150">
        <v>852555</v>
      </c>
      <c r="E14" s="151">
        <f t="shared" si="0"/>
        <v>0</v>
      </c>
      <c r="F14" s="152" t="s">
        <v>68</v>
      </c>
      <c r="G14" s="153" t="s">
        <v>69</v>
      </c>
      <c r="H14" s="154">
        <v>923308</v>
      </c>
      <c r="I14" s="155">
        <v>923308</v>
      </c>
      <c r="J14" s="156">
        <f t="shared" si="2"/>
        <v>0</v>
      </c>
      <c r="K14" s="147" t="s">
        <v>68</v>
      </c>
      <c r="L14" s="157" t="s">
        <v>70</v>
      </c>
      <c r="M14" s="149">
        <v>630799</v>
      </c>
      <c r="N14" s="150">
        <v>630799</v>
      </c>
      <c r="O14" s="151">
        <f t="shared" si="3"/>
        <v>0</v>
      </c>
      <c r="P14" s="158" t="s">
        <v>68</v>
      </c>
      <c r="Q14" s="159" t="s">
        <v>71</v>
      </c>
      <c r="R14" s="284">
        <v>999995</v>
      </c>
      <c r="S14" s="160">
        <v>999995</v>
      </c>
      <c r="T14" s="161">
        <f t="shared" si="4"/>
        <v>0</v>
      </c>
      <c r="U14" s="162" t="s">
        <v>68</v>
      </c>
      <c r="V14" s="163" t="s">
        <v>71</v>
      </c>
      <c r="W14" s="164">
        <v>2160408</v>
      </c>
      <c r="X14" s="164">
        <v>0</v>
      </c>
      <c r="Y14" s="165"/>
      <c r="Z14" s="158" t="s">
        <v>68</v>
      </c>
      <c r="AA14" s="159" t="s">
        <v>71</v>
      </c>
      <c r="AB14" s="166">
        <v>1000000</v>
      </c>
      <c r="AC14" s="167">
        <v>1000000</v>
      </c>
      <c r="AD14" s="161">
        <f t="shared" si="5"/>
        <v>0</v>
      </c>
      <c r="AE14" s="162" t="s">
        <v>68</v>
      </c>
      <c r="AF14" s="163" t="s">
        <v>71</v>
      </c>
      <c r="AG14" s="182">
        <v>1476264</v>
      </c>
      <c r="AH14" s="182">
        <v>1476264</v>
      </c>
      <c r="AI14" s="165">
        <f t="shared" si="6"/>
        <v>0</v>
      </c>
      <c r="AJ14" s="168" t="s">
        <v>68</v>
      </c>
      <c r="AK14" s="169" t="s">
        <v>70</v>
      </c>
      <c r="AL14" s="170">
        <v>554504</v>
      </c>
      <c r="AM14" s="171">
        <v>554504</v>
      </c>
      <c r="AN14" s="172">
        <f t="shared" si="7"/>
        <v>0</v>
      </c>
      <c r="AO14" s="162" t="s">
        <v>68</v>
      </c>
      <c r="AP14" s="163" t="s">
        <v>70</v>
      </c>
      <c r="AQ14" s="173">
        <v>602172</v>
      </c>
      <c r="AR14" s="173">
        <v>602172</v>
      </c>
      <c r="AS14" s="165">
        <f t="shared" si="8"/>
        <v>0</v>
      </c>
      <c r="AT14" s="168" t="s">
        <v>68</v>
      </c>
      <c r="AU14" s="169" t="s">
        <v>70</v>
      </c>
      <c r="AV14" s="172">
        <v>878842</v>
      </c>
      <c r="AW14" s="172">
        <v>878842</v>
      </c>
      <c r="AX14" s="172">
        <f t="shared" si="9"/>
        <v>0</v>
      </c>
      <c r="AY14" s="158" t="s">
        <v>68</v>
      </c>
      <c r="AZ14" s="174" t="s">
        <v>70</v>
      </c>
      <c r="BA14" s="154">
        <v>0</v>
      </c>
      <c r="BB14" s="154"/>
      <c r="BC14" s="154">
        <f t="shared" si="10"/>
        <v>0</v>
      </c>
      <c r="BD14" s="175" t="s">
        <v>68</v>
      </c>
      <c r="BE14" s="176" t="s">
        <v>69</v>
      </c>
      <c r="BF14" s="172">
        <v>0</v>
      </c>
      <c r="BG14" s="177">
        <v>0</v>
      </c>
      <c r="BH14" s="178">
        <f t="shared" si="1"/>
        <v>0</v>
      </c>
    </row>
    <row r="15" spans="1:60" x14ac:dyDescent="0.3">
      <c r="A15" s="162" t="s">
        <v>72</v>
      </c>
      <c r="B15" s="148" t="s">
        <v>73</v>
      </c>
      <c r="C15" s="149">
        <v>-7175</v>
      </c>
      <c r="D15" s="150">
        <v>-7175</v>
      </c>
      <c r="E15" s="151">
        <f t="shared" si="0"/>
        <v>0</v>
      </c>
      <c r="F15" s="158" t="s">
        <v>72</v>
      </c>
      <c r="G15" s="153" t="s">
        <v>73</v>
      </c>
      <c r="H15" s="154">
        <v>161295</v>
      </c>
      <c r="I15" s="155">
        <v>161295</v>
      </c>
      <c r="J15" s="156">
        <f t="shared" si="2"/>
        <v>0</v>
      </c>
      <c r="K15" s="162" t="s">
        <v>72</v>
      </c>
      <c r="L15" s="157" t="s">
        <v>74</v>
      </c>
      <c r="M15" s="149">
        <v>-366961</v>
      </c>
      <c r="N15" s="150">
        <v>-366961</v>
      </c>
      <c r="O15" s="151">
        <f t="shared" si="3"/>
        <v>0</v>
      </c>
      <c r="P15" s="158" t="s">
        <v>72</v>
      </c>
      <c r="Q15" s="159" t="s">
        <v>75</v>
      </c>
      <c r="R15" s="284">
        <v>395217</v>
      </c>
      <c r="S15" s="284">
        <v>395217</v>
      </c>
      <c r="T15" s="161">
        <f t="shared" si="4"/>
        <v>0</v>
      </c>
      <c r="U15" s="162" t="s">
        <v>72</v>
      </c>
      <c r="V15" s="163" t="s">
        <v>75</v>
      </c>
      <c r="W15" s="164">
        <v>-323473</v>
      </c>
      <c r="X15" s="164">
        <v>0</v>
      </c>
      <c r="Y15" s="165"/>
      <c r="Z15" s="158" t="s">
        <v>72</v>
      </c>
      <c r="AA15" s="159" t="s">
        <v>75</v>
      </c>
      <c r="AB15" s="166">
        <v>-411027</v>
      </c>
      <c r="AC15" s="167">
        <v>-411027</v>
      </c>
      <c r="AD15" s="161">
        <f t="shared" si="5"/>
        <v>0</v>
      </c>
      <c r="AE15" s="162" t="s">
        <v>72</v>
      </c>
      <c r="AF15" s="163" t="s">
        <v>75</v>
      </c>
      <c r="AG15" s="182">
        <v>-339283</v>
      </c>
      <c r="AH15" s="182">
        <v>-339283</v>
      </c>
      <c r="AI15" s="165">
        <f t="shared" si="6"/>
        <v>0</v>
      </c>
      <c r="AJ15" s="168" t="s">
        <v>72</v>
      </c>
      <c r="AK15" s="169" t="s">
        <v>74</v>
      </c>
      <c r="AL15" s="170">
        <v>-267539</v>
      </c>
      <c r="AM15" s="171">
        <v>-267539</v>
      </c>
      <c r="AN15" s="172">
        <f t="shared" si="7"/>
        <v>0</v>
      </c>
      <c r="AO15" s="162" t="s">
        <v>72</v>
      </c>
      <c r="AP15" s="163" t="s">
        <v>74</v>
      </c>
      <c r="AQ15" s="173">
        <v>-455093</v>
      </c>
      <c r="AR15" s="173">
        <v>-455093</v>
      </c>
      <c r="AS15" s="165">
        <f t="shared" si="8"/>
        <v>0</v>
      </c>
      <c r="AT15" s="168" t="s">
        <v>72</v>
      </c>
      <c r="AU15" s="169" t="s">
        <v>74</v>
      </c>
      <c r="AV15" s="172">
        <v>-390617</v>
      </c>
      <c r="AW15" s="172">
        <v>-390617</v>
      </c>
      <c r="AX15" s="172">
        <f t="shared" si="9"/>
        <v>0</v>
      </c>
      <c r="AY15" s="158" t="s">
        <v>72</v>
      </c>
      <c r="AZ15" s="174" t="s">
        <v>74</v>
      </c>
      <c r="BA15" s="154">
        <v>1094702</v>
      </c>
      <c r="BB15" s="154">
        <v>1094702</v>
      </c>
      <c r="BC15" s="154">
        <f t="shared" si="10"/>
        <v>0</v>
      </c>
      <c r="BD15" s="184" t="s">
        <v>72</v>
      </c>
      <c r="BE15" s="176" t="s">
        <v>73</v>
      </c>
      <c r="BF15" s="172">
        <v>100169</v>
      </c>
      <c r="BG15" s="177">
        <v>100169</v>
      </c>
      <c r="BH15" s="178">
        <f t="shared" si="1"/>
        <v>0</v>
      </c>
    </row>
    <row r="16" spans="1:60" x14ac:dyDescent="0.3">
      <c r="A16" s="162" t="s">
        <v>77</v>
      </c>
      <c r="B16" s="148" t="s">
        <v>78</v>
      </c>
      <c r="C16" s="149">
        <v>1028256</v>
      </c>
      <c r="D16" s="150">
        <v>1028256</v>
      </c>
      <c r="E16" s="151">
        <f t="shared" si="0"/>
        <v>0</v>
      </c>
      <c r="F16" s="158" t="s">
        <v>77</v>
      </c>
      <c r="G16" s="153" t="s">
        <v>78</v>
      </c>
      <c r="H16" s="154">
        <v>0</v>
      </c>
      <c r="I16" s="179">
        <v>0</v>
      </c>
      <c r="J16" s="156">
        <f t="shared" si="2"/>
        <v>0</v>
      </c>
      <c r="K16" s="162" t="s">
        <v>77</v>
      </c>
      <c r="L16" s="157" t="s">
        <v>79</v>
      </c>
      <c r="M16" s="149">
        <v>0</v>
      </c>
      <c r="N16" s="180">
        <v>0</v>
      </c>
      <c r="O16" s="151">
        <f t="shared" si="3"/>
        <v>0</v>
      </c>
      <c r="P16" s="158" t="s">
        <v>77</v>
      </c>
      <c r="Q16" s="159" t="s">
        <v>80</v>
      </c>
      <c r="R16" s="284"/>
      <c r="S16" s="155"/>
      <c r="T16" s="161">
        <f t="shared" si="4"/>
        <v>0</v>
      </c>
      <c r="U16" s="162" t="s">
        <v>77</v>
      </c>
      <c r="V16" s="163" t="s">
        <v>80</v>
      </c>
      <c r="W16" s="164">
        <v>0</v>
      </c>
      <c r="X16" s="164">
        <v>0</v>
      </c>
      <c r="Y16" s="165"/>
      <c r="Z16" s="158" t="s">
        <v>77</v>
      </c>
      <c r="AA16" s="159" t="s">
        <v>80</v>
      </c>
      <c r="AB16" s="166">
        <v>0</v>
      </c>
      <c r="AC16" s="181">
        <v>0</v>
      </c>
      <c r="AD16" s="161">
        <f t="shared" si="5"/>
        <v>0</v>
      </c>
      <c r="AE16" s="162" t="s">
        <v>77</v>
      </c>
      <c r="AF16" s="163" t="s">
        <v>80</v>
      </c>
      <c r="AG16" s="182">
        <v>0</v>
      </c>
      <c r="AH16" s="182">
        <v>0</v>
      </c>
      <c r="AI16" s="165">
        <f t="shared" si="6"/>
        <v>0</v>
      </c>
      <c r="AJ16" s="168" t="s">
        <v>77</v>
      </c>
      <c r="AK16" s="169" t="s">
        <v>79</v>
      </c>
      <c r="AL16" s="170">
        <v>0</v>
      </c>
      <c r="AM16" s="183">
        <v>0</v>
      </c>
      <c r="AN16" s="172">
        <f t="shared" si="7"/>
        <v>0</v>
      </c>
      <c r="AO16" s="162" t="s">
        <v>77</v>
      </c>
      <c r="AP16" s="163" t="s">
        <v>79</v>
      </c>
      <c r="AQ16" s="173">
        <v>0</v>
      </c>
      <c r="AR16" s="173"/>
      <c r="AS16" s="165">
        <f t="shared" si="8"/>
        <v>0</v>
      </c>
      <c r="AT16" s="168" t="s">
        <v>77</v>
      </c>
      <c r="AU16" s="169" t="s">
        <v>79</v>
      </c>
      <c r="AV16" s="172">
        <v>0</v>
      </c>
      <c r="AW16" s="172"/>
      <c r="AX16" s="172">
        <f t="shared" si="9"/>
        <v>0</v>
      </c>
      <c r="AY16" s="158" t="s">
        <v>77</v>
      </c>
      <c r="AZ16" s="174" t="s">
        <v>79</v>
      </c>
      <c r="BA16" s="154">
        <v>0</v>
      </c>
      <c r="BB16" s="154"/>
      <c r="BC16" s="154">
        <f t="shared" si="10"/>
        <v>0</v>
      </c>
      <c r="BD16" s="184" t="s">
        <v>77</v>
      </c>
      <c r="BE16" s="176" t="s">
        <v>78</v>
      </c>
      <c r="BF16" s="172">
        <v>0</v>
      </c>
      <c r="BG16" s="177">
        <v>0</v>
      </c>
      <c r="BH16" s="178">
        <f t="shared" si="1"/>
        <v>0</v>
      </c>
    </row>
    <row r="17" spans="1:60" x14ac:dyDescent="0.3">
      <c r="A17" s="162" t="s">
        <v>81</v>
      </c>
      <c r="B17" s="148" t="s">
        <v>82</v>
      </c>
      <c r="C17" s="149">
        <v>0</v>
      </c>
      <c r="D17" s="150">
        <v>0</v>
      </c>
      <c r="E17" s="151">
        <f t="shared" si="0"/>
        <v>0</v>
      </c>
      <c r="F17" s="158" t="s">
        <v>81</v>
      </c>
      <c r="G17" s="153" t="s">
        <v>82</v>
      </c>
      <c r="H17" s="154">
        <v>1028156</v>
      </c>
      <c r="I17" s="179">
        <v>1028256</v>
      </c>
      <c r="J17" s="156">
        <f t="shared" si="2"/>
        <v>-100</v>
      </c>
      <c r="K17" s="162" t="s">
        <v>81</v>
      </c>
      <c r="L17" s="157" t="s">
        <v>83</v>
      </c>
      <c r="M17" s="149">
        <v>-100</v>
      </c>
      <c r="N17" s="180">
        <v>-100</v>
      </c>
      <c r="O17" s="151">
        <f t="shared" si="3"/>
        <v>0</v>
      </c>
      <c r="P17" s="158" t="s">
        <v>81</v>
      </c>
      <c r="Q17" s="159" t="s">
        <v>84</v>
      </c>
      <c r="R17" s="284"/>
      <c r="S17" s="155"/>
      <c r="T17" s="161">
        <f t="shared" si="4"/>
        <v>0</v>
      </c>
      <c r="U17" s="162" t="s">
        <v>81</v>
      </c>
      <c r="V17" s="163" t="s">
        <v>84</v>
      </c>
      <c r="W17" s="164">
        <v>0</v>
      </c>
      <c r="X17" s="164">
        <v>0</v>
      </c>
      <c r="Y17" s="165"/>
      <c r="Z17" s="158" t="s">
        <v>81</v>
      </c>
      <c r="AA17" s="159" t="s">
        <v>84</v>
      </c>
      <c r="AB17" s="166">
        <v>0</v>
      </c>
      <c r="AC17" s="181">
        <v>0</v>
      </c>
      <c r="AD17" s="161">
        <f t="shared" si="5"/>
        <v>0</v>
      </c>
      <c r="AE17" s="162" t="s">
        <v>81</v>
      </c>
      <c r="AF17" s="163" t="s">
        <v>84</v>
      </c>
      <c r="AG17" s="182">
        <v>0</v>
      </c>
      <c r="AH17" s="182">
        <v>0</v>
      </c>
      <c r="AI17" s="165">
        <f t="shared" si="6"/>
        <v>0</v>
      </c>
      <c r="AJ17" s="168" t="s">
        <v>81</v>
      </c>
      <c r="AK17" s="169" t="s">
        <v>83</v>
      </c>
      <c r="AL17" s="170">
        <v>0</v>
      </c>
      <c r="AM17" s="183">
        <v>0</v>
      </c>
      <c r="AN17" s="172">
        <f t="shared" si="7"/>
        <v>0</v>
      </c>
      <c r="AO17" s="162" t="s">
        <v>81</v>
      </c>
      <c r="AP17" s="163" t="s">
        <v>83</v>
      </c>
      <c r="AQ17" s="173">
        <v>0</v>
      </c>
      <c r="AR17" s="173"/>
      <c r="AS17" s="165">
        <f t="shared" si="8"/>
        <v>0</v>
      </c>
      <c r="AT17" s="168" t="s">
        <v>81</v>
      </c>
      <c r="AU17" s="169" t="s">
        <v>83</v>
      </c>
      <c r="AV17" s="172">
        <v>0</v>
      </c>
      <c r="AW17" s="172"/>
      <c r="AX17" s="172">
        <f t="shared" si="9"/>
        <v>0</v>
      </c>
      <c r="AY17" s="158" t="s">
        <v>81</v>
      </c>
      <c r="AZ17" s="174" t="s">
        <v>83</v>
      </c>
      <c r="BA17" s="154">
        <v>0</v>
      </c>
      <c r="BB17" s="154"/>
      <c r="BC17" s="154">
        <f t="shared" si="10"/>
        <v>0</v>
      </c>
      <c r="BD17" s="184" t="s">
        <v>81</v>
      </c>
      <c r="BE17" s="176" t="s">
        <v>82</v>
      </c>
      <c r="BF17" s="172">
        <v>0</v>
      </c>
      <c r="BG17" s="177">
        <v>0</v>
      </c>
      <c r="BH17" s="178">
        <f t="shared" si="1"/>
        <v>0</v>
      </c>
    </row>
    <row r="18" spans="1:60" x14ac:dyDescent="0.3">
      <c r="A18" s="162" t="s">
        <v>86</v>
      </c>
      <c r="B18" s="148" t="s">
        <v>87</v>
      </c>
      <c r="C18" s="149">
        <v>-945</v>
      </c>
      <c r="D18" s="150">
        <v>-945</v>
      </c>
      <c r="E18" s="151">
        <f t="shared" si="0"/>
        <v>0</v>
      </c>
      <c r="F18" s="158" t="s">
        <v>86</v>
      </c>
      <c r="G18" s="153" t="s">
        <v>87</v>
      </c>
      <c r="H18" s="154">
        <v>783</v>
      </c>
      <c r="I18" s="179">
        <v>783</v>
      </c>
      <c r="J18" s="156">
        <f t="shared" si="2"/>
        <v>0</v>
      </c>
      <c r="K18" s="162" t="s">
        <v>86</v>
      </c>
      <c r="L18" s="157" t="s">
        <v>88</v>
      </c>
      <c r="M18" s="149">
        <v>517</v>
      </c>
      <c r="N18" s="180">
        <v>517</v>
      </c>
      <c r="O18" s="151">
        <f t="shared" si="3"/>
        <v>0</v>
      </c>
      <c r="P18" s="158" t="s">
        <v>86</v>
      </c>
      <c r="Q18" s="159" t="s">
        <v>89</v>
      </c>
      <c r="R18" s="284">
        <v>256</v>
      </c>
      <c r="S18" s="284">
        <v>256</v>
      </c>
      <c r="T18" s="161">
        <f t="shared" si="4"/>
        <v>0</v>
      </c>
      <c r="U18" s="162" t="s">
        <v>86</v>
      </c>
      <c r="V18" s="163" t="s">
        <v>89</v>
      </c>
      <c r="W18" s="164">
        <v>0</v>
      </c>
      <c r="X18" s="164">
        <v>0</v>
      </c>
      <c r="Y18" s="165"/>
      <c r="Z18" s="158" t="s">
        <v>86</v>
      </c>
      <c r="AA18" s="159" t="s">
        <v>89</v>
      </c>
      <c r="AB18" s="166">
        <v>608316</v>
      </c>
      <c r="AC18" s="167">
        <v>608316</v>
      </c>
      <c r="AD18" s="161">
        <f t="shared" si="5"/>
        <v>0</v>
      </c>
      <c r="AE18" s="162" t="s">
        <v>86</v>
      </c>
      <c r="AF18" s="163" t="s">
        <v>89</v>
      </c>
      <c r="AG18" s="182">
        <v>1548623</v>
      </c>
      <c r="AH18" s="182">
        <v>1548623</v>
      </c>
      <c r="AI18" s="165">
        <f t="shared" si="6"/>
        <v>0</v>
      </c>
      <c r="AJ18" s="168" t="s">
        <v>86</v>
      </c>
      <c r="AK18" s="169" t="s">
        <v>88</v>
      </c>
      <c r="AL18" s="170">
        <v>1490118</v>
      </c>
      <c r="AM18" s="171">
        <v>1490118</v>
      </c>
      <c r="AN18" s="172">
        <f t="shared" si="7"/>
        <v>0</v>
      </c>
      <c r="AO18" s="162" t="s">
        <v>86</v>
      </c>
      <c r="AP18" s="163" t="s">
        <v>88</v>
      </c>
      <c r="AQ18" s="173">
        <v>161290</v>
      </c>
      <c r="AR18" s="173">
        <v>161290</v>
      </c>
      <c r="AS18" s="165">
        <f t="shared" si="8"/>
        <v>0</v>
      </c>
      <c r="AT18" s="168" t="s">
        <v>86</v>
      </c>
      <c r="AU18" s="169" t="s">
        <v>88</v>
      </c>
      <c r="AV18" s="172">
        <v>25253</v>
      </c>
      <c r="AW18" s="172">
        <v>25253</v>
      </c>
      <c r="AX18" s="172">
        <f t="shared" si="9"/>
        <v>0</v>
      </c>
      <c r="AY18" s="158" t="s">
        <v>86</v>
      </c>
      <c r="AZ18" s="174" t="s">
        <v>88</v>
      </c>
      <c r="BA18" s="154">
        <v>32101</v>
      </c>
      <c r="BB18" s="154">
        <v>32101</v>
      </c>
      <c r="BC18" s="154">
        <f t="shared" si="10"/>
        <v>0</v>
      </c>
      <c r="BD18" s="184" t="s">
        <v>86</v>
      </c>
      <c r="BE18" s="176" t="s">
        <v>87</v>
      </c>
      <c r="BF18" s="172">
        <v>136823</v>
      </c>
      <c r="BG18" s="177">
        <v>136823</v>
      </c>
      <c r="BH18" s="178">
        <f t="shared" si="1"/>
        <v>0</v>
      </c>
    </row>
    <row r="19" spans="1:60" x14ac:dyDescent="0.3">
      <c r="A19" s="162" t="s">
        <v>91</v>
      </c>
      <c r="B19" s="148" t="s">
        <v>92</v>
      </c>
      <c r="C19" s="149">
        <v>0</v>
      </c>
      <c r="D19" s="150">
        <v>0</v>
      </c>
      <c r="E19" s="151">
        <f t="shared" si="0"/>
        <v>0</v>
      </c>
      <c r="F19" s="158" t="s">
        <v>91</v>
      </c>
      <c r="G19" s="153" t="s">
        <v>92</v>
      </c>
      <c r="H19" s="154">
        <v>0</v>
      </c>
      <c r="I19" s="179">
        <v>0</v>
      </c>
      <c r="J19" s="156">
        <f t="shared" si="2"/>
        <v>0</v>
      </c>
      <c r="K19" s="162" t="s">
        <v>91</v>
      </c>
      <c r="L19" s="157" t="s">
        <v>93</v>
      </c>
      <c r="M19" s="149">
        <v>0</v>
      </c>
      <c r="N19" s="180">
        <v>0</v>
      </c>
      <c r="O19" s="151">
        <f t="shared" si="3"/>
        <v>0</v>
      </c>
      <c r="P19" s="158" t="s">
        <v>91</v>
      </c>
      <c r="Q19" s="159" t="s">
        <v>94</v>
      </c>
      <c r="R19" s="284"/>
      <c r="S19" s="155"/>
      <c r="T19" s="161">
        <f t="shared" si="4"/>
        <v>0</v>
      </c>
      <c r="U19" s="162" t="s">
        <v>91</v>
      </c>
      <c r="V19" s="163" t="s">
        <v>94</v>
      </c>
      <c r="W19" s="164">
        <v>0</v>
      </c>
      <c r="X19" s="164">
        <v>0</v>
      </c>
      <c r="Y19" s="165"/>
      <c r="Z19" s="158" t="s">
        <v>91</v>
      </c>
      <c r="AA19" s="159" t="s">
        <v>94</v>
      </c>
      <c r="AB19" s="166">
        <v>0</v>
      </c>
      <c r="AC19" s="181">
        <v>0</v>
      </c>
      <c r="AD19" s="161">
        <f t="shared" si="5"/>
        <v>0</v>
      </c>
      <c r="AE19" s="162" t="s">
        <v>91</v>
      </c>
      <c r="AF19" s="163" t="s">
        <v>94</v>
      </c>
      <c r="AG19" s="149">
        <v>0</v>
      </c>
      <c r="AH19" s="149">
        <v>0</v>
      </c>
      <c r="AI19" s="165">
        <f t="shared" si="6"/>
        <v>0</v>
      </c>
      <c r="AJ19" s="168" t="s">
        <v>91</v>
      </c>
      <c r="AK19" s="169" t="s">
        <v>93</v>
      </c>
      <c r="AL19" s="170">
        <v>0</v>
      </c>
      <c r="AM19" s="183">
        <v>0</v>
      </c>
      <c r="AN19" s="172">
        <f t="shared" si="7"/>
        <v>0</v>
      </c>
      <c r="AO19" s="162" t="s">
        <v>91</v>
      </c>
      <c r="AP19" s="163" t="s">
        <v>93</v>
      </c>
      <c r="AQ19" s="173">
        <v>0</v>
      </c>
      <c r="AR19" s="173"/>
      <c r="AS19" s="165">
        <f t="shared" si="8"/>
        <v>0</v>
      </c>
      <c r="AT19" s="168" t="s">
        <v>91</v>
      </c>
      <c r="AU19" s="169" t="s">
        <v>93</v>
      </c>
      <c r="AV19" s="172">
        <v>0</v>
      </c>
      <c r="AW19" s="172"/>
      <c r="AX19" s="172">
        <f t="shared" si="9"/>
        <v>0</v>
      </c>
      <c r="AY19" s="158" t="s">
        <v>91</v>
      </c>
      <c r="AZ19" s="174" t="s">
        <v>93</v>
      </c>
      <c r="BA19" s="154">
        <v>0</v>
      </c>
      <c r="BB19" s="154"/>
      <c r="BC19" s="154">
        <f t="shared" si="10"/>
        <v>0</v>
      </c>
      <c r="BD19" s="184" t="s">
        <v>91</v>
      </c>
      <c r="BE19" s="176" t="s">
        <v>92</v>
      </c>
      <c r="BF19" s="172">
        <v>0</v>
      </c>
      <c r="BG19" s="177">
        <v>0</v>
      </c>
      <c r="BH19" s="178">
        <f t="shared" si="1"/>
        <v>0</v>
      </c>
    </row>
    <row r="20" spans="1:60" x14ac:dyDescent="0.3">
      <c r="A20" s="162" t="s">
        <v>96</v>
      </c>
      <c r="B20" s="148" t="s">
        <v>97</v>
      </c>
      <c r="C20" s="149">
        <v>0</v>
      </c>
      <c r="D20" s="150">
        <v>0</v>
      </c>
      <c r="E20" s="151">
        <f t="shared" si="0"/>
        <v>0</v>
      </c>
      <c r="F20" s="158" t="s">
        <v>96</v>
      </c>
      <c r="G20" s="153" t="s">
        <v>97</v>
      </c>
      <c r="H20" s="154">
        <v>0</v>
      </c>
      <c r="I20" s="179">
        <v>0</v>
      </c>
      <c r="J20" s="156">
        <f t="shared" si="2"/>
        <v>0</v>
      </c>
      <c r="K20" s="162" t="s">
        <v>96</v>
      </c>
      <c r="L20" s="157" t="s">
        <v>98</v>
      </c>
      <c r="M20" s="149">
        <v>0</v>
      </c>
      <c r="N20" s="180">
        <v>0</v>
      </c>
      <c r="O20" s="151">
        <f t="shared" si="3"/>
        <v>0</v>
      </c>
      <c r="P20" s="158" t="s">
        <v>96</v>
      </c>
      <c r="Q20" s="159" t="s">
        <v>99</v>
      </c>
      <c r="R20" s="284"/>
      <c r="S20" s="155"/>
      <c r="T20" s="161">
        <f t="shared" si="4"/>
        <v>0</v>
      </c>
      <c r="U20" s="162" t="s">
        <v>96</v>
      </c>
      <c r="V20" s="163" t="s">
        <v>99</v>
      </c>
      <c r="W20" s="164">
        <v>0</v>
      </c>
      <c r="X20" s="164">
        <v>0</v>
      </c>
      <c r="Y20" s="165"/>
      <c r="Z20" s="158" t="s">
        <v>96</v>
      </c>
      <c r="AA20" s="159" t="s">
        <v>99</v>
      </c>
      <c r="AB20" s="166">
        <v>0</v>
      </c>
      <c r="AC20" s="181">
        <v>0</v>
      </c>
      <c r="AD20" s="161">
        <f t="shared" si="5"/>
        <v>0</v>
      </c>
      <c r="AE20" s="162" t="s">
        <v>96</v>
      </c>
      <c r="AF20" s="163" t="s">
        <v>99</v>
      </c>
      <c r="AG20" s="149">
        <v>0</v>
      </c>
      <c r="AH20" s="149">
        <v>0</v>
      </c>
      <c r="AI20" s="165">
        <f t="shared" si="6"/>
        <v>0</v>
      </c>
      <c r="AJ20" s="168" t="s">
        <v>96</v>
      </c>
      <c r="AK20" s="169" t="s">
        <v>98</v>
      </c>
      <c r="AL20" s="170">
        <v>-37458</v>
      </c>
      <c r="AM20" s="171">
        <v>-37458</v>
      </c>
      <c r="AN20" s="172">
        <f t="shared" si="7"/>
        <v>0</v>
      </c>
      <c r="AO20" s="162" t="s">
        <v>96</v>
      </c>
      <c r="AP20" s="163" t="s">
        <v>98</v>
      </c>
      <c r="AQ20" s="173">
        <v>-1242726</v>
      </c>
      <c r="AR20" s="173">
        <v>-1242726</v>
      </c>
      <c r="AS20" s="165">
        <f t="shared" si="8"/>
        <v>0</v>
      </c>
      <c r="AT20" s="168" t="s">
        <v>96</v>
      </c>
      <c r="AU20" s="169" t="s">
        <v>98</v>
      </c>
      <c r="AV20" s="172">
        <v>0</v>
      </c>
      <c r="AW20" s="172"/>
      <c r="AX20" s="172">
        <f t="shared" si="9"/>
        <v>0</v>
      </c>
      <c r="AY20" s="158" t="s">
        <v>96</v>
      </c>
      <c r="AZ20" s="174" t="s">
        <v>98</v>
      </c>
      <c r="BA20" s="154">
        <v>0</v>
      </c>
      <c r="BB20" s="154"/>
      <c r="BC20" s="154">
        <f t="shared" si="10"/>
        <v>0</v>
      </c>
      <c r="BD20" s="184" t="s">
        <v>96</v>
      </c>
      <c r="BE20" s="176" t="s">
        <v>97</v>
      </c>
      <c r="BF20" s="172">
        <v>0</v>
      </c>
      <c r="BG20" s="177">
        <v>0</v>
      </c>
      <c r="BH20" s="178">
        <f t="shared" si="1"/>
        <v>0</v>
      </c>
    </row>
    <row r="21" spans="1:60" x14ac:dyDescent="0.3">
      <c r="A21" s="162" t="s">
        <v>101</v>
      </c>
      <c r="B21" s="148" t="s">
        <v>102</v>
      </c>
      <c r="C21" s="149">
        <v>-436</v>
      </c>
      <c r="D21" s="150">
        <v>-436</v>
      </c>
      <c r="E21" s="151">
        <f t="shared" si="0"/>
        <v>0</v>
      </c>
      <c r="F21" s="158" t="s">
        <v>101</v>
      </c>
      <c r="G21" s="153" t="s">
        <v>102</v>
      </c>
      <c r="H21" s="154">
        <v>279</v>
      </c>
      <c r="I21" s="155">
        <v>279</v>
      </c>
      <c r="J21" s="156">
        <f t="shared" si="2"/>
        <v>0</v>
      </c>
      <c r="K21" s="162" t="s">
        <v>101</v>
      </c>
      <c r="L21" s="157" t="s">
        <v>103</v>
      </c>
      <c r="M21" s="149">
        <v>0</v>
      </c>
      <c r="N21" s="150">
        <v>0</v>
      </c>
      <c r="O21" s="151">
        <f t="shared" si="3"/>
        <v>0</v>
      </c>
      <c r="P21" s="158" t="s">
        <v>101</v>
      </c>
      <c r="Q21" s="159" t="s">
        <v>104</v>
      </c>
      <c r="R21" s="284">
        <v>3323936</v>
      </c>
      <c r="S21" s="284">
        <v>3323936</v>
      </c>
      <c r="T21" s="187">
        <f t="shared" si="4"/>
        <v>0</v>
      </c>
      <c r="U21" s="162" t="s">
        <v>101</v>
      </c>
      <c r="V21" s="163" t="s">
        <v>104</v>
      </c>
      <c r="W21" s="164">
        <v>2279924</v>
      </c>
      <c r="X21" s="164">
        <v>0</v>
      </c>
      <c r="Y21" s="165"/>
      <c r="Z21" s="158" t="s">
        <v>101</v>
      </c>
      <c r="AA21" s="159" t="s">
        <v>104</v>
      </c>
      <c r="AB21" s="166">
        <v>1003279</v>
      </c>
      <c r="AC21" s="167">
        <v>1003279</v>
      </c>
      <c r="AD21" s="187">
        <f t="shared" si="5"/>
        <v>0</v>
      </c>
      <c r="AE21" s="162" t="s">
        <v>101</v>
      </c>
      <c r="AF21" s="163" t="s">
        <v>104</v>
      </c>
      <c r="AG21" s="149">
        <v>0</v>
      </c>
      <c r="AH21" s="149">
        <v>0</v>
      </c>
      <c r="AI21" s="165">
        <f t="shared" si="6"/>
        <v>0</v>
      </c>
      <c r="AJ21" s="168" t="s">
        <v>101</v>
      </c>
      <c r="AK21" s="169" t="s">
        <v>103</v>
      </c>
      <c r="AL21" s="170">
        <v>0</v>
      </c>
      <c r="AM21" s="183">
        <v>0</v>
      </c>
      <c r="AN21" s="172">
        <f t="shared" si="7"/>
        <v>0</v>
      </c>
      <c r="AO21" s="162" t="s">
        <v>101</v>
      </c>
      <c r="AP21" s="163" t="s">
        <v>103</v>
      </c>
      <c r="AQ21" s="173">
        <v>1026425</v>
      </c>
      <c r="AR21" s="173">
        <v>1026425</v>
      </c>
      <c r="AS21" s="165">
        <f t="shared" si="8"/>
        <v>0</v>
      </c>
      <c r="AT21" s="168" t="s">
        <v>101</v>
      </c>
      <c r="AU21" s="169" t="s">
        <v>103</v>
      </c>
      <c r="AV21" s="172">
        <v>998218</v>
      </c>
      <c r="AW21" s="172">
        <v>998218</v>
      </c>
      <c r="AX21" s="172">
        <f t="shared" si="9"/>
        <v>0</v>
      </c>
      <c r="AY21" s="158" t="s">
        <v>101</v>
      </c>
      <c r="AZ21" s="174" t="s">
        <v>103</v>
      </c>
      <c r="BA21" s="154">
        <v>1146852</v>
      </c>
      <c r="BB21" s="154">
        <v>1146552</v>
      </c>
      <c r="BC21" s="154">
        <f t="shared" si="10"/>
        <v>300</v>
      </c>
      <c r="BD21" s="184" t="s">
        <v>101</v>
      </c>
      <c r="BE21" s="176" t="s">
        <v>102</v>
      </c>
      <c r="BF21" s="172">
        <v>958699</v>
      </c>
      <c r="BG21" s="177">
        <v>958699</v>
      </c>
      <c r="BH21" s="178">
        <f t="shared" si="1"/>
        <v>0</v>
      </c>
    </row>
    <row r="22" spans="1:60" x14ac:dyDescent="0.3">
      <c r="A22" s="162" t="s">
        <v>106</v>
      </c>
      <c r="B22" s="148" t="s">
        <v>107</v>
      </c>
      <c r="C22" s="149">
        <v>0</v>
      </c>
      <c r="D22" s="150">
        <v>0</v>
      </c>
      <c r="E22" s="151">
        <f t="shared" si="0"/>
        <v>0</v>
      </c>
      <c r="F22" s="158" t="s">
        <v>106</v>
      </c>
      <c r="G22" s="153" t="s">
        <v>107</v>
      </c>
      <c r="H22" s="154">
        <v>1415175</v>
      </c>
      <c r="I22" s="179">
        <v>1415175</v>
      </c>
      <c r="J22" s="156">
        <f t="shared" si="2"/>
        <v>0</v>
      </c>
      <c r="K22" s="162" t="s">
        <v>106</v>
      </c>
      <c r="L22" s="157" t="s">
        <v>108</v>
      </c>
      <c r="M22" s="149">
        <v>4419433</v>
      </c>
      <c r="N22" s="180">
        <v>4419433</v>
      </c>
      <c r="O22" s="151">
        <f t="shared" si="3"/>
        <v>0</v>
      </c>
      <c r="P22" s="158" t="s">
        <v>106</v>
      </c>
      <c r="Q22" s="159" t="s">
        <v>109</v>
      </c>
      <c r="R22" s="284">
        <v>3031337</v>
      </c>
      <c r="S22" s="284">
        <v>3031337</v>
      </c>
      <c r="T22" s="161">
        <f t="shared" si="4"/>
        <v>0</v>
      </c>
      <c r="U22" s="162" t="s">
        <v>106</v>
      </c>
      <c r="V22" s="163" t="s">
        <v>109</v>
      </c>
      <c r="W22" s="164">
        <v>1670320</v>
      </c>
      <c r="X22" s="164">
        <v>0</v>
      </c>
      <c r="Y22" s="165"/>
      <c r="Z22" s="158" t="s">
        <v>106</v>
      </c>
      <c r="AA22" s="159" t="s">
        <v>109</v>
      </c>
      <c r="AB22" s="166">
        <v>0</v>
      </c>
      <c r="AC22" s="181">
        <v>0</v>
      </c>
      <c r="AD22" s="161">
        <f t="shared" si="5"/>
        <v>0</v>
      </c>
      <c r="AE22" s="162" t="s">
        <v>106</v>
      </c>
      <c r="AF22" s="163" t="s">
        <v>109</v>
      </c>
      <c r="AG22" s="149">
        <v>2688126</v>
      </c>
      <c r="AH22" s="149">
        <v>2688126</v>
      </c>
      <c r="AI22" s="165">
        <f t="shared" si="6"/>
        <v>0</v>
      </c>
      <c r="AJ22" s="168" t="s">
        <v>106</v>
      </c>
      <c r="AK22" s="169" t="s">
        <v>108</v>
      </c>
      <c r="AL22" s="170">
        <v>1333938</v>
      </c>
      <c r="AM22" s="171">
        <v>1333938</v>
      </c>
      <c r="AN22" s="172">
        <f t="shared" si="7"/>
        <v>0</v>
      </c>
      <c r="AO22" s="162" t="s">
        <v>106</v>
      </c>
      <c r="AP22" s="163" t="s">
        <v>108</v>
      </c>
      <c r="AQ22" s="173">
        <v>-336383</v>
      </c>
      <c r="AR22" s="173">
        <v>-336383</v>
      </c>
      <c r="AS22" s="165">
        <f t="shared" si="8"/>
        <v>0</v>
      </c>
      <c r="AT22" s="168" t="s">
        <v>106</v>
      </c>
      <c r="AU22" s="169" t="s">
        <v>108</v>
      </c>
      <c r="AV22" s="172">
        <v>0</v>
      </c>
      <c r="AW22" s="172"/>
      <c r="AX22" s="172">
        <f t="shared" si="9"/>
        <v>0</v>
      </c>
      <c r="AY22" s="158" t="s">
        <v>106</v>
      </c>
      <c r="AZ22" s="174" t="s">
        <v>108</v>
      </c>
      <c r="BA22" s="154">
        <v>0</v>
      </c>
      <c r="BB22" s="154"/>
      <c r="BC22" s="154">
        <f t="shared" si="10"/>
        <v>0</v>
      </c>
      <c r="BD22" s="184" t="s">
        <v>106</v>
      </c>
      <c r="BE22" s="176" t="s">
        <v>107</v>
      </c>
      <c r="BF22" s="172">
        <v>0</v>
      </c>
      <c r="BG22" s="177">
        <v>0</v>
      </c>
      <c r="BH22" s="178">
        <f t="shared" si="1"/>
        <v>0</v>
      </c>
    </row>
    <row r="23" spans="1:60" x14ac:dyDescent="0.3">
      <c r="A23" s="162" t="s">
        <v>111</v>
      </c>
      <c r="B23" s="148" t="s">
        <v>189</v>
      </c>
      <c r="C23" s="149">
        <v>1184963</v>
      </c>
      <c r="D23" s="150">
        <v>1184963</v>
      </c>
      <c r="E23" s="151">
        <f t="shared" si="0"/>
        <v>0</v>
      </c>
      <c r="F23" s="158" t="s">
        <v>111</v>
      </c>
      <c r="G23" s="153" t="s">
        <v>189</v>
      </c>
      <c r="H23" s="154">
        <v>0</v>
      </c>
      <c r="I23" s="179">
        <v>0</v>
      </c>
      <c r="J23" s="156">
        <f t="shared" si="2"/>
        <v>0</v>
      </c>
      <c r="K23" s="162" t="s">
        <v>111</v>
      </c>
      <c r="L23" s="157" t="s">
        <v>113</v>
      </c>
      <c r="M23" s="149">
        <v>0</v>
      </c>
      <c r="N23" s="180">
        <v>0</v>
      </c>
      <c r="O23" s="151">
        <f t="shared" si="3"/>
        <v>0</v>
      </c>
      <c r="P23" s="158" t="s">
        <v>111</v>
      </c>
      <c r="Q23" s="159" t="s">
        <v>114</v>
      </c>
      <c r="R23" s="284"/>
      <c r="S23" s="155"/>
      <c r="T23" s="161">
        <f t="shared" si="4"/>
        <v>0</v>
      </c>
      <c r="U23" s="162" t="s">
        <v>111</v>
      </c>
      <c r="V23" s="163" t="s">
        <v>114</v>
      </c>
      <c r="W23" s="164">
        <v>0</v>
      </c>
      <c r="X23" s="164">
        <v>0</v>
      </c>
      <c r="Y23" s="165"/>
      <c r="Z23" s="158" t="s">
        <v>111</v>
      </c>
      <c r="AA23" s="159" t="s">
        <v>114</v>
      </c>
      <c r="AB23" s="166">
        <v>1184963</v>
      </c>
      <c r="AC23" s="181">
        <v>1184963</v>
      </c>
      <c r="AD23" s="161">
        <f t="shared" si="5"/>
        <v>0</v>
      </c>
      <c r="AE23" s="162" t="s">
        <v>111</v>
      </c>
      <c r="AF23" s="163" t="s">
        <v>186</v>
      </c>
      <c r="AG23" s="149">
        <v>0</v>
      </c>
      <c r="AH23" s="149">
        <v>0</v>
      </c>
      <c r="AI23" s="165">
        <f t="shared" si="6"/>
        <v>0</v>
      </c>
      <c r="AJ23" s="168" t="s">
        <v>111</v>
      </c>
      <c r="AK23" s="169" t="s">
        <v>113</v>
      </c>
      <c r="AL23" s="170">
        <v>292815</v>
      </c>
      <c r="AM23" s="183">
        <v>0</v>
      </c>
      <c r="AN23" s="172">
        <f t="shared" si="7"/>
        <v>292815</v>
      </c>
      <c r="AO23" s="162" t="s">
        <v>111</v>
      </c>
      <c r="AP23" s="163" t="s">
        <v>113</v>
      </c>
      <c r="AQ23" s="173">
        <v>-6000</v>
      </c>
      <c r="AR23" s="173">
        <v>-298815</v>
      </c>
      <c r="AS23" s="165">
        <f t="shared" si="8"/>
        <v>292815</v>
      </c>
      <c r="AT23" s="168" t="s">
        <v>111</v>
      </c>
      <c r="AU23" s="169" t="s">
        <v>113</v>
      </c>
      <c r="AV23" s="172">
        <v>0</v>
      </c>
      <c r="AW23" s="172"/>
      <c r="AX23" s="172">
        <f t="shared" si="9"/>
        <v>0</v>
      </c>
      <c r="AY23" s="158" t="s">
        <v>111</v>
      </c>
      <c r="AZ23" s="174" t="s">
        <v>113</v>
      </c>
      <c r="BA23" s="154">
        <v>0</v>
      </c>
      <c r="BB23" s="154"/>
      <c r="BC23" s="154">
        <f t="shared" si="10"/>
        <v>0</v>
      </c>
      <c r="BD23" s="184" t="s">
        <v>111</v>
      </c>
      <c r="BE23" s="176" t="s">
        <v>112</v>
      </c>
      <c r="BF23" s="172">
        <v>0</v>
      </c>
      <c r="BG23" s="177">
        <v>0</v>
      </c>
      <c r="BH23" s="178">
        <f t="shared" si="1"/>
        <v>0</v>
      </c>
    </row>
    <row r="24" spans="1:60" x14ac:dyDescent="0.3">
      <c r="A24" s="162" t="s">
        <v>116</v>
      </c>
      <c r="B24" s="148" t="s">
        <v>117</v>
      </c>
      <c r="C24" s="149">
        <v>-161145</v>
      </c>
      <c r="D24" s="150">
        <v>-161145</v>
      </c>
      <c r="E24" s="151">
        <f t="shared" si="0"/>
        <v>0</v>
      </c>
      <c r="F24" s="158" t="s">
        <v>116</v>
      </c>
      <c r="G24" s="153" t="s">
        <v>117</v>
      </c>
      <c r="H24" s="154">
        <v>-142745</v>
      </c>
      <c r="I24" s="155">
        <v>-142745</v>
      </c>
      <c r="J24" s="156">
        <f t="shared" si="2"/>
        <v>0</v>
      </c>
      <c r="K24" s="162" t="s">
        <v>116</v>
      </c>
      <c r="L24" s="157" t="s">
        <v>118</v>
      </c>
      <c r="M24" s="149">
        <v>-124345</v>
      </c>
      <c r="N24" s="150">
        <v>-124345</v>
      </c>
      <c r="O24" s="151">
        <f t="shared" si="3"/>
        <v>0</v>
      </c>
      <c r="P24" s="158" t="s">
        <v>116</v>
      </c>
      <c r="Q24" s="159" t="s">
        <v>119</v>
      </c>
      <c r="R24" s="284">
        <v>-105945</v>
      </c>
      <c r="S24" s="284">
        <v>-105945</v>
      </c>
      <c r="T24" s="161">
        <f t="shared" si="4"/>
        <v>0</v>
      </c>
      <c r="U24" s="162" t="s">
        <v>116</v>
      </c>
      <c r="V24" s="163" t="s">
        <v>119</v>
      </c>
      <c r="W24" s="164">
        <v>-87545</v>
      </c>
      <c r="X24" s="164">
        <v>0</v>
      </c>
      <c r="Y24" s="165"/>
      <c r="Z24" s="158" t="s">
        <v>116</v>
      </c>
      <c r="AA24" s="159" t="s">
        <v>119</v>
      </c>
      <c r="AB24" s="166">
        <v>-69145</v>
      </c>
      <c r="AC24" s="167">
        <v>-69145</v>
      </c>
      <c r="AD24" s="161">
        <f t="shared" si="5"/>
        <v>0</v>
      </c>
      <c r="AE24" s="162" t="s">
        <v>116</v>
      </c>
      <c r="AF24" s="163" t="s">
        <v>119</v>
      </c>
      <c r="AG24" s="149">
        <v>-50745</v>
      </c>
      <c r="AH24" s="149">
        <v>-50745</v>
      </c>
      <c r="AI24" s="165">
        <f t="shared" si="6"/>
        <v>0</v>
      </c>
      <c r="AJ24" s="168" t="s">
        <v>116</v>
      </c>
      <c r="AK24" s="169" t="s">
        <v>118</v>
      </c>
      <c r="AL24" s="170">
        <v>-32345</v>
      </c>
      <c r="AM24" s="171">
        <v>-32345</v>
      </c>
      <c r="AN24" s="172">
        <f t="shared" si="7"/>
        <v>0</v>
      </c>
      <c r="AO24" s="162" t="s">
        <v>116</v>
      </c>
      <c r="AP24" s="163" t="s">
        <v>118</v>
      </c>
      <c r="AQ24" s="173">
        <v>-13499</v>
      </c>
      <c r="AR24" s="173">
        <v>-13508</v>
      </c>
      <c r="AS24" s="165">
        <f t="shared" si="8"/>
        <v>9</v>
      </c>
      <c r="AT24" s="168" t="s">
        <v>116</v>
      </c>
      <c r="AU24" s="169" t="s">
        <v>118</v>
      </c>
      <c r="AV24" s="172">
        <v>9</v>
      </c>
      <c r="AW24" s="172"/>
      <c r="AX24" s="172">
        <f t="shared" si="9"/>
        <v>9</v>
      </c>
      <c r="AY24" s="158" t="s">
        <v>116</v>
      </c>
      <c r="AZ24" s="174" t="s">
        <v>118</v>
      </c>
      <c r="BA24" s="154">
        <v>60152</v>
      </c>
      <c r="BB24" s="154">
        <v>60143</v>
      </c>
      <c r="BC24" s="154">
        <f t="shared" si="10"/>
        <v>9</v>
      </c>
      <c r="BD24" s="184" t="s">
        <v>116</v>
      </c>
      <c r="BE24" s="176" t="s">
        <v>117</v>
      </c>
      <c r="BF24" s="172">
        <v>58938</v>
      </c>
      <c r="BG24" s="177">
        <v>58938</v>
      </c>
      <c r="BH24" s="178">
        <f t="shared" si="1"/>
        <v>0</v>
      </c>
    </row>
    <row r="25" spans="1:60" x14ac:dyDescent="0.3">
      <c r="A25" s="162" t="s">
        <v>121</v>
      </c>
      <c r="B25" s="148" t="s">
        <v>122</v>
      </c>
      <c r="C25" s="149">
        <v>0</v>
      </c>
      <c r="D25" s="150">
        <v>0</v>
      </c>
      <c r="E25" s="151">
        <f t="shared" si="0"/>
        <v>0</v>
      </c>
      <c r="F25" s="158" t="s">
        <v>121</v>
      </c>
      <c r="G25" s="153" t="s">
        <v>122</v>
      </c>
      <c r="H25" s="154">
        <v>1867123</v>
      </c>
      <c r="I25" s="155">
        <v>1867123</v>
      </c>
      <c r="J25" s="156">
        <f t="shared" si="2"/>
        <v>0</v>
      </c>
      <c r="K25" s="162" t="s">
        <v>121</v>
      </c>
      <c r="L25" s="157" t="s">
        <v>123</v>
      </c>
      <c r="M25" s="149">
        <v>2428602</v>
      </c>
      <c r="N25" s="150">
        <v>2428602</v>
      </c>
      <c r="O25" s="151">
        <f t="shared" si="3"/>
        <v>0</v>
      </c>
      <c r="P25" s="158" t="s">
        <v>121</v>
      </c>
      <c r="Q25" s="159" t="s">
        <v>124</v>
      </c>
      <c r="R25" s="284">
        <v>1214232</v>
      </c>
      <c r="S25" s="284">
        <v>1214232</v>
      </c>
      <c r="T25" s="161">
        <f t="shared" si="4"/>
        <v>0</v>
      </c>
      <c r="U25" s="162" t="s">
        <v>121</v>
      </c>
      <c r="V25" s="163" t="s">
        <v>124</v>
      </c>
      <c r="W25" s="164">
        <v>1489736</v>
      </c>
      <c r="X25" s="164">
        <v>0</v>
      </c>
      <c r="Y25" s="165"/>
      <c r="Z25" s="158" t="s">
        <v>121</v>
      </c>
      <c r="AA25" s="159" t="s">
        <v>124</v>
      </c>
      <c r="AB25" s="166">
        <v>0</v>
      </c>
      <c r="AC25" s="181">
        <v>0</v>
      </c>
      <c r="AD25" s="161">
        <f t="shared" si="5"/>
        <v>0</v>
      </c>
      <c r="AE25" s="162" t="s">
        <v>121</v>
      </c>
      <c r="AF25" s="163" t="s">
        <v>124</v>
      </c>
      <c r="AG25" s="149">
        <v>0</v>
      </c>
      <c r="AH25" s="149">
        <v>0</v>
      </c>
      <c r="AI25" s="165">
        <f t="shared" si="6"/>
        <v>0</v>
      </c>
      <c r="AJ25" s="168" t="s">
        <v>121</v>
      </c>
      <c r="AK25" s="169" t="s">
        <v>123</v>
      </c>
      <c r="AL25" s="170">
        <v>0</v>
      </c>
      <c r="AM25" s="183">
        <v>0</v>
      </c>
      <c r="AN25" s="172">
        <f t="shared" si="7"/>
        <v>0</v>
      </c>
      <c r="AO25" s="162" t="s">
        <v>121</v>
      </c>
      <c r="AP25" s="163" t="s">
        <v>123</v>
      </c>
      <c r="AQ25" s="173">
        <v>0</v>
      </c>
      <c r="AR25" s="173">
        <v>-90000</v>
      </c>
      <c r="AS25" s="165">
        <f t="shared" si="8"/>
        <v>90000</v>
      </c>
      <c r="AT25" s="168" t="s">
        <v>121</v>
      </c>
      <c r="AU25" s="169" t="s">
        <v>123</v>
      </c>
      <c r="AV25" s="172">
        <v>90000</v>
      </c>
      <c r="AW25" s="172">
        <v>90000</v>
      </c>
      <c r="AX25" s="172">
        <f t="shared" si="9"/>
        <v>0</v>
      </c>
      <c r="AY25" s="158" t="s">
        <v>121</v>
      </c>
      <c r="AZ25" s="174" t="s">
        <v>123</v>
      </c>
      <c r="BA25" s="154">
        <v>1148350</v>
      </c>
      <c r="BB25" s="154">
        <v>1148350</v>
      </c>
      <c r="BC25" s="154">
        <f t="shared" si="10"/>
        <v>0</v>
      </c>
      <c r="BD25" s="184" t="s">
        <v>121</v>
      </c>
      <c r="BE25" s="176" t="s">
        <v>122</v>
      </c>
      <c r="BF25" s="172">
        <v>0</v>
      </c>
      <c r="BG25" s="177">
        <v>0</v>
      </c>
      <c r="BH25" s="178">
        <f t="shared" si="1"/>
        <v>0</v>
      </c>
    </row>
    <row r="26" spans="1:60" x14ac:dyDescent="0.3">
      <c r="A26" s="162" t="s">
        <v>126</v>
      </c>
      <c r="B26" s="148" t="s">
        <v>127</v>
      </c>
      <c r="C26" s="149">
        <v>0</v>
      </c>
      <c r="D26" s="150">
        <v>0</v>
      </c>
      <c r="E26" s="151">
        <f t="shared" si="0"/>
        <v>0</v>
      </c>
      <c r="F26" s="158" t="s">
        <v>126</v>
      </c>
      <c r="G26" s="153" t="s">
        <v>127</v>
      </c>
      <c r="H26" s="154">
        <v>0</v>
      </c>
      <c r="I26" s="155">
        <v>0</v>
      </c>
      <c r="J26" s="156">
        <f t="shared" si="2"/>
        <v>0</v>
      </c>
      <c r="K26" s="162" t="s">
        <v>126</v>
      </c>
      <c r="L26" s="157" t="s">
        <v>128</v>
      </c>
      <c r="M26" s="149">
        <v>0</v>
      </c>
      <c r="N26" s="150">
        <v>0</v>
      </c>
      <c r="O26" s="151">
        <f t="shared" si="3"/>
        <v>0</v>
      </c>
      <c r="P26" s="158" t="s">
        <v>126</v>
      </c>
      <c r="Q26" s="159" t="s">
        <v>129</v>
      </c>
      <c r="R26" s="284"/>
      <c r="S26" s="155"/>
      <c r="T26" s="161">
        <f t="shared" si="4"/>
        <v>0</v>
      </c>
      <c r="U26" s="162" t="s">
        <v>126</v>
      </c>
      <c r="V26" s="163" t="s">
        <v>129</v>
      </c>
      <c r="W26" s="164">
        <v>0</v>
      </c>
      <c r="X26" s="164">
        <v>0</v>
      </c>
      <c r="Y26" s="165"/>
      <c r="Z26" s="158" t="s">
        <v>126</v>
      </c>
      <c r="AA26" s="159" t="s">
        <v>129</v>
      </c>
      <c r="AB26" s="166">
        <v>0</v>
      </c>
      <c r="AC26" s="181">
        <v>0</v>
      </c>
      <c r="AD26" s="161">
        <f t="shared" si="5"/>
        <v>0</v>
      </c>
      <c r="AE26" s="162" t="s">
        <v>126</v>
      </c>
      <c r="AF26" s="163" t="s">
        <v>129</v>
      </c>
      <c r="AG26" s="149">
        <v>1115679</v>
      </c>
      <c r="AH26" s="149">
        <v>1115679</v>
      </c>
      <c r="AI26" s="165">
        <f t="shared" si="6"/>
        <v>0</v>
      </c>
      <c r="AJ26" s="168" t="s">
        <v>126</v>
      </c>
      <c r="AK26" s="169" t="s">
        <v>128</v>
      </c>
      <c r="AL26" s="170">
        <v>0</v>
      </c>
      <c r="AM26" s="183">
        <v>0</v>
      </c>
      <c r="AN26" s="172">
        <f t="shared" si="7"/>
        <v>0</v>
      </c>
      <c r="AO26" s="162" t="s">
        <v>126</v>
      </c>
      <c r="AP26" s="163" t="s">
        <v>128</v>
      </c>
      <c r="AQ26" s="173">
        <v>0</v>
      </c>
      <c r="AR26" s="173">
        <v>-89510</v>
      </c>
      <c r="AS26" s="165">
        <f t="shared" si="8"/>
        <v>89510</v>
      </c>
      <c r="AT26" s="168" t="s">
        <v>126</v>
      </c>
      <c r="AU26" s="169" t="s">
        <v>128</v>
      </c>
      <c r="AV26" s="172">
        <v>0</v>
      </c>
      <c r="AW26" s="172"/>
      <c r="AX26" s="172">
        <f t="shared" si="9"/>
        <v>0</v>
      </c>
      <c r="AY26" s="158" t="s">
        <v>126</v>
      </c>
      <c r="AZ26" s="174" t="s">
        <v>128</v>
      </c>
      <c r="BA26" s="154">
        <v>0</v>
      </c>
      <c r="BB26" s="154"/>
      <c r="BC26" s="154">
        <f t="shared" si="10"/>
        <v>0</v>
      </c>
      <c r="BD26" s="184" t="s">
        <v>126</v>
      </c>
      <c r="BE26" s="176" t="s">
        <v>127</v>
      </c>
      <c r="BF26" s="172">
        <v>0</v>
      </c>
      <c r="BG26" s="177">
        <v>0</v>
      </c>
      <c r="BH26" s="178">
        <f t="shared" si="1"/>
        <v>0</v>
      </c>
    </row>
    <row r="27" spans="1:60" x14ac:dyDescent="0.3">
      <c r="A27" s="162" t="s">
        <v>130</v>
      </c>
      <c r="B27" s="148" t="s">
        <v>131</v>
      </c>
      <c r="C27" s="149">
        <v>0</v>
      </c>
      <c r="D27" s="150">
        <v>0</v>
      </c>
      <c r="E27" s="151">
        <f t="shared" si="0"/>
        <v>0</v>
      </c>
      <c r="F27" s="158" t="s">
        <v>130</v>
      </c>
      <c r="G27" s="153" t="s">
        <v>131</v>
      </c>
      <c r="H27" s="154">
        <v>0</v>
      </c>
      <c r="I27" s="179">
        <v>0</v>
      </c>
      <c r="J27" s="156">
        <f t="shared" si="2"/>
        <v>0</v>
      </c>
      <c r="K27" s="162" t="s">
        <v>130</v>
      </c>
      <c r="L27" s="157" t="s">
        <v>132</v>
      </c>
      <c r="M27" s="149">
        <v>0</v>
      </c>
      <c r="N27" s="180">
        <v>0</v>
      </c>
      <c r="O27" s="151">
        <f t="shared" si="3"/>
        <v>0</v>
      </c>
      <c r="P27" s="158" t="s">
        <v>130</v>
      </c>
      <c r="Q27" s="159" t="s">
        <v>133</v>
      </c>
      <c r="R27" s="284"/>
      <c r="S27" s="155"/>
      <c r="T27" s="161">
        <f t="shared" si="4"/>
        <v>0</v>
      </c>
      <c r="U27" s="162" t="s">
        <v>130</v>
      </c>
      <c r="V27" s="163" t="s">
        <v>133</v>
      </c>
      <c r="W27" s="164">
        <v>0</v>
      </c>
      <c r="X27" s="164">
        <v>0</v>
      </c>
      <c r="Y27" s="165"/>
      <c r="Z27" s="158" t="s">
        <v>130</v>
      </c>
      <c r="AA27" s="159" t="s">
        <v>133</v>
      </c>
      <c r="AB27" s="166">
        <v>0</v>
      </c>
      <c r="AC27" s="181">
        <v>0</v>
      </c>
      <c r="AD27" s="161">
        <f t="shared" si="5"/>
        <v>0</v>
      </c>
      <c r="AE27" s="162" t="s">
        <v>130</v>
      </c>
      <c r="AF27" s="163" t="s">
        <v>133</v>
      </c>
      <c r="AG27" s="149">
        <v>0</v>
      </c>
      <c r="AH27" s="149">
        <v>0</v>
      </c>
      <c r="AI27" s="165">
        <f t="shared" si="6"/>
        <v>0</v>
      </c>
      <c r="AJ27" s="168" t="s">
        <v>130</v>
      </c>
      <c r="AK27" s="169" t="s">
        <v>182</v>
      </c>
      <c r="AL27" s="170">
        <v>0</v>
      </c>
      <c r="AM27" s="183">
        <v>0</v>
      </c>
      <c r="AN27" s="172">
        <f t="shared" si="7"/>
        <v>0</v>
      </c>
      <c r="AO27" s="162" t="s">
        <v>130</v>
      </c>
      <c r="AP27" s="163" t="s">
        <v>182</v>
      </c>
      <c r="AQ27" s="173">
        <v>0</v>
      </c>
      <c r="AR27" s="173"/>
      <c r="AS27" s="165">
        <f t="shared" si="8"/>
        <v>0</v>
      </c>
      <c r="AT27" s="168" t="s">
        <v>130</v>
      </c>
      <c r="AU27" s="169" t="s">
        <v>182</v>
      </c>
      <c r="AV27" s="172">
        <v>0</v>
      </c>
      <c r="AW27" s="172"/>
      <c r="AX27" s="172">
        <f t="shared" si="9"/>
        <v>0</v>
      </c>
      <c r="AY27" s="158" t="s">
        <v>130</v>
      </c>
      <c r="AZ27" s="174" t="s">
        <v>182</v>
      </c>
      <c r="BA27" s="154">
        <v>89510</v>
      </c>
      <c r="BB27" s="154">
        <v>89510</v>
      </c>
      <c r="BC27" s="154">
        <f t="shared" si="10"/>
        <v>0</v>
      </c>
      <c r="BD27" s="184" t="s">
        <v>130</v>
      </c>
      <c r="BE27" s="176" t="s">
        <v>131</v>
      </c>
      <c r="BF27" s="172">
        <v>0</v>
      </c>
      <c r="BG27" s="177">
        <v>0</v>
      </c>
      <c r="BH27" s="178">
        <f t="shared" si="1"/>
        <v>0</v>
      </c>
    </row>
    <row r="28" spans="1:60" x14ac:dyDescent="0.3">
      <c r="A28" s="162" t="s">
        <v>135</v>
      </c>
      <c r="B28" s="148" t="s">
        <v>136</v>
      </c>
      <c r="C28" s="149">
        <v>326305</v>
      </c>
      <c r="D28" s="150">
        <v>326305</v>
      </c>
      <c r="E28" s="151">
        <f t="shared" si="0"/>
        <v>0</v>
      </c>
      <c r="F28" s="158" t="s">
        <v>135</v>
      </c>
      <c r="G28" s="153" t="s">
        <v>136</v>
      </c>
      <c r="H28" s="154">
        <v>294018</v>
      </c>
      <c r="I28" s="155">
        <v>294018</v>
      </c>
      <c r="J28" s="156">
        <f t="shared" si="2"/>
        <v>0</v>
      </c>
      <c r="K28" s="162" t="s">
        <v>135</v>
      </c>
      <c r="L28" s="157" t="s">
        <v>137</v>
      </c>
      <c r="M28" s="149">
        <v>-300</v>
      </c>
      <c r="N28" s="150">
        <v>-300</v>
      </c>
      <c r="O28" s="151">
        <f t="shared" si="3"/>
        <v>0</v>
      </c>
      <c r="P28" s="158" t="s">
        <v>135</v>
      </c>
      <c r="Q28" s="159" t="s">
        <v>138</v>
      </c>
      <c r="R28" s="284">
        <v>-294618</v>
      </c>
      <c r="S28" s="284">
        <v>-294618</v>
      </c>
      <c r="T28" s="161">
        <f t="shared" si="4"/>
        <v>0</v>
      </c>
      <c r="U28" s="162" t="s">
        <v>135</v>
      </c>
      <c r="V28" s="163" t="s">
        <v>138</v>
      </c>
      <c r="W28" s="164">
        <v>630524</v>
      </c>
      <c r="X28" s="164">
        <v>-260</v>
      </c>
      <c r="Y28" s="165" t="s">
        <v>192</v>
      </c>
      <c r="Z28" s="158" t="s">
        <v>135</v>
      </c>
      <c r="AA28" s="159" t="s">
        <v>138</v>
      </c>
      <c r="AB28" s="166">
        <v>470260</v>
      </c>
      <c r="AC28" s="167">
        <v>470260</v>
      </c>
      <c r="AD28" s="161">
        <f t="shared" si="5"/>
        <v>0</v>
      </c>
      <c r="AE28" s="162" t="s">
        <v>135</v>
      </c>
      <c r="AF28" s="163" t="s">
        <v>138</v>
      </c>
      <c r="AG28" s="149">
        <v>2176048</v>
      </c>
      <c r="AH28" s="149">
        <v>2176048</v>
      </c>
      <c r="AI28" s="165">
        <f t="shared" si="6"/>
        <v>0</v>
      </c>
      <c r="AJ28" s="168" t="s">
        <v>135</v>
      </c>
      <c r="AK28" s="169" t="s">
        <v>137</v>
      </c>
      <c r="AL28" s="170">
        <v>679927</v>
      </c>
      <c r="AM28" s="171">
        <v>679927</v>
      </c>
      <c r="AN28" s="172">
        <f t="shared" si="7"/>
        <v>0</v>
      </c>
      <c r="AO28" s="162" t="s">
        <v>135</v>
      </c>
      <c r="AP28" s="163" t="s">
        <v>137</v>
      </c>
      <c r="AQ28" s="173">
        <v>240918</v>
      </c>
      <c r="AR28" s="173">
        <v>240918</v>
      </c>
      <c r="AS28" s="165">
        <f t="shared" si="8"/>
        <v>0</v>
      </c>
      <c r="AT28" s="168" t="s">
        <v>135</v>
      </c>
      <c r="AU28" s="169" t="s">
        <v>137</v>
      </c>
      <c r="AV28" s="172">
        <v>25448</v>
      </c>
      <c r="AW28" s="172">
        <v>25448</v>
      </c>
      <c r="AX28" s="172">
        <f t="shared" si="9"/>
        <v>0</v>
      </c>
      <c r="AY28" s="158" t="s">
        <v>135</v>
      </c>
      <c r="AZ28" s="174" t="s">
        <v>137</v>
      </c>
      <c r="BA28" s="154">
        <v>16343</v>
      </c>
      <c r="BB28" s="154">
        <v>16343</v>
      </c>
      <c r="BC28" s="154">
        <f t="shared" si="10"/>
        <v>0</v>
      </c>
      <c r="BD28" s="184" t="s">
        <v>135</v>
      </c>
      <c r="BE28" s="176" t="s">
        <v>136</v>
      </c>
      <c r="BF28" s="172">
        <v>7419</v>
      </c>
      <c r="BG28" s="177">
        <v>7419</v>
      </c>
      <c r="BH28" s="178">
        <f t="shared" si="1"/>
        <v>0</v>
      </c>
    </row>
    <row r="29" spans="1:60" x14ac:dyDescent="0.3">
      <c r="A29" s="162" t="s">
        <v>140</v>
      </c>
      <c r="B29" s="148" t="s">
        <v>190</v>
      </c>
      <c r="C29" s="149">
        <v>0</v>
      </c>
      <c r="D29" s="150">
        <v>0</v>
      </c>
      <c r="E29" s="151">
        <f t="shared" si="0"/>
        <v>0</v>
      </c>
      <c r="F29" s="158" t="s">
        <v>140</v>
      </c>
      <c r="G29" s="153" t="s">
        <v>190</v>
      </c>
      <c r="H29" s="154">
        <v>1073790</v>
      </c>
      <c r="I29" s="155">
        <v>1074050</v>
      </c>
      <c r="J29" s="156">
        <f t="shared" si="2"/>
        <v>-260</v>
      </c>
      <c r="K29" s="162" t="s">
        <v>140</v>
      </c>
      <c r="L29" s="157" t="s">
        <v>142</v>
      </c>
      <c r="M29" s="149">
        <v>-260</v>
      </c>
      <c r="N29" s="150">
        <v>-260</v>
      </c>
      <c r="O29" s="151">
        <f t="shared" si="3"/>
        <v>0</v>
      </c>
      <c r="P29" s="158" t="s">
        <v>140</v>
      </c>
      <c r="Q29" s="159" t="s">
        <v>143</v>
      </c>
      <c r="R29" s="284"/>
      <c r="S29" s="155"/>
      <c r="T29" s="187">
        <f t="shared" si="4"/>
        <v>0</v>
      </c>
      <c r="U29" s="162" t="s">
        <v>140</v>
      </c>
      <c r="V29" s="163" t="s">
        <v>143</v>
      </c>
      <c r="W29" s="164">
        <v>860984</v>
      </c>
      <c r="X29" s="164">
        <v>0</v>
      </c>
      <c r="Y29" s="165"/>
      <c r="Z29" s="158" t="s">
        <v>140</v>
      </c>
      <c r="AA29" s="159" t="s">
        <v>143</v>
      </c>
      <c r="AB29" s="166">
        <v>1289903</v>
      </c>
      <c r="AC29" s="167">
        <v>1289903</v>
      </c>
      <c r="AD29" s="187">
        <f t="shared" si="5"/>
        <v>0</v>
      </c>
      <c r="AE29" s="162" t="s">
        <v>140</v>
      </c>
      <c r="AF29" s="163" t="s">
        <v>187</v>
      </c>
      <c r="AG29" s="149">
        <v>1074050</v>
      </c>
      <c r="AH29" s="149">
        <v>1074050</v>
      </c>
      <c r="AI29" s="165">
        <f t="shared" si="6"/>
        <v>0</v>
      </c>
      <c r="AJ29" s="168" t="s">
        <v>140</v>
      </c>
      <c r="AK29" s="169" t="s">
        <v>142</v>
      </c>
      <c r="AL29" s="170">
        <v>0</v>
      </c>
      <c r="AM29" s="183">
        <v>0</v>
      </c>
      <c r="AN29" s="172">
        <f t="shared" si="7"/>
        <v>0</v>
      </c>
      <c r="AO29" s="162" t="s">
        <v>140</v>
      </c>
      <c r="AP29" s="163" t="s">
        <v>142</v>
      </c>
      <c r="AQ29" s="173">
        <v>-98916</v>
      </c>
      <c r="AR29" s="173">
        <v>-98916</v>
      </c>
      <c r="AS29" s="165">
        <f t="shared" si="8"/>
        <v>0</v>
      </c>
      <c r="AT29" s="168" t="s">
        <v>140</v>
      </c>
      <c r="AU29" s="169" t="s">
        <v>142</v>
      </c>
      <c r="AV29" s="172">
        <v>1200679</v>
      </c>
      <c r="AW29" s="172">
        <v>1200679</v>
      </c>
      <c r="AX29" s="172">
        <f t="shared" si="9"/>
        <v>0</v>
      </c>
      <c r="AY29" s="158" t="s">
        <v>140</v>
      </c>
      <c r="AZ29" s="174" t="s">
        <v>142</v>
      </c>
      <c r="BA29" s="154">
        <v>160715</v>
      </c>
      <c r="BB29" s="154">
        <v>160715</v>
      </c>
      <c r="BC29" s="154">
        <f t="shared" si="10"/>
        <v>0</v>
      </c>
      <c r="BD29" s="184" t="s">
        <v>140</v>
      </c>
      <c r="BE29" s="176" t="s">
        <v>141</v>
      </c>
      <c r="BF29" s="172">
        <v>170552</v>
      </c>
      <c r="BG29" s="177">
        <v>170552</v>
      </c>
      <c r="BH29" s="178">
        <f t="shared" si="1"/>
        <v>0</v>
      </c>
    </row>
    <row r="30" spans="1:60" x14ac:dyDescent="0.3">
      <c r="A30" s="162" t="s">
        <v>145</v>
      </c>
      <c r="B30" s="148" t="s">
        <v>146</v>
      </c>
      <c r="C30" s="149">
        <v>0</v>
      </c>
      <c r="D30" s="150">
        <v>0</v>
      </c>
      <c r="E30" s="151">
        <f t="shared" si="0"/>
        <v>0</v>
      </c>
      <c r="F30" s="158" t="s">
        <v>145</v>
      </c>
      <c r="G30" s="153" t="s">
        <v>146</v>
      </c>
      <c r="H30" s="154">
        <v>-406</v>
      </c>
      <c r="I30" s="179">
        <v>-406</v>
      </c>
      <c r="J30" s="156">
        <f t="shared" si="2"/>
        <v>0</v>
      </c>
      <c r="K30" s="162" t="s">
        <v>145</v>
      </c>
      <c r="L30" s="157" t="s">
        <v>147</v>
      </c>
      <c r="M30" s="149">
        <v>911099</v>
      </c>
      <c r="N30" s="180">
        <v>911099</v>
      </c>
      <c r="O30" s="151">
        <f t="shared" si="3"/>
        <v>0</v>
      </c>
      <c r="P30" s="158" t="s">
        <v>145</v>
      </c>
      <c r="Q30" s="159" t="s">
        <v>148</v>
      </c>
      <c r="R30" s="284"/>
      <c r="S30" s="155"/>
      <c r="T30" s="161">
        <f t="shared" si="4"/>
        <v>0</v>
      </c>
      <c r="U30" s="162" t="s">
        <v>145</v>
      </c>
      <c r="V30" s="163" t="s">
        <v>148</v>
      </c>
      <c r="W30" s="164">
        <v>0</v>
      </c>
      <c r="X30" s="164">
        <v>0</v>
      </c>
      <c r="Y30" s="165"/>
      <c r="Z30" s="158" t="s">
        <v>145</v>
      </c>
      <c r="AA30" s="159" t="s">
        <v>148</v>
      </c>
      <c r="AB30" s="166">
        <v>0</v>
      </c>
      <c r="AC30" s="181">
        <v>0</v>
      </c>
      <c r="AD30" s="161">
        <f t="shared" si="5"/>
        <v>0</v>
      </c>
      <c r="AE30" s="162" t="s">
        <v>145</v>
      </c>
      <c r="AF30" s="163" t="s">
        <v>148</v>
      </c>
      <c r="AG30" s="149">
        <v>0</v>
      </c>
      <c r="AH30" s="149">
        <v>0</v>
      </c>
      <c r="AI30" s="165">
        <f t="shared" si="6"/>
        <v>0</v>
      </c>
      <c r="AJ30" s="168" t="s">
        <v>145</v>
      </c>
      <c r="AK30" s="169" t="s">
        <v>147</v>
      </c>
      <c r="AL30" s="170">
        <v>0</v>
      </c>
      <c r="AM30" s="183">
        <v>0</v>
      </c>
      <c r="AN30" s="172">
        <f t="shared" si="7"/>
        <v>0</v>
      </c>
      <c r="AO30" s="162" t="s">
        <v>145</v>
      </c>
      <c r="AP30" s="163" t="s">
        <v>147</v>
      </c>
      <c r="AQ30" s="173">
        <v>0</v>
      </c>
      <c r="AR30" s="173">
        <v>0</v>
      </c>
      <c r="AS30" s="165">
        <f t="shared" si="8"/>
        <v>0</v>
      </c>
      <c r="AT30" s="168" t="s">
        <v>145</v>
      </c>
      <c r="AU30" s="169" t="s">
        <v>147</v>
      </c>
      <c r="AV30" s="172">
        <v>-584</v>
      </c>
      <c r="AW30" s="172">
        <v>-584</v>
      </c>
      <c r="AX30" s="172">
        <f t="shared" si="9"/>
        <v>0</v>
      </c>
      <c r="AY30" s="158" t="s">
        <v>145</v>
      </c>
      <c r="AZ30" s="174" t="s">
        <v>147</v>
      </c>
      <c r="BA30" s="154">
        <v>0</v>
      </c>
      <c r="BB30" s="154"/>
      <c r="BC30" s="154">
        <f t="shared" si="10"/>
        <v>0</v>
      </c>
      <c r="BD30" s="184" t="s">
        <v>145</v>
      </c>
      <c r="BE30" s="176" t="s">
        <v>146</v>
      </c>
      <c r="BF30" s="172">
        <v>0</v>
      </c>
      <c r="BG30" s="177">
        <v>0</v>
      </c>
      <c r="BH30" s="178">
        <f t="shared" si="1"/>
        <v>0</v>
      </c>
    </row>
    <row r="31" spans="1:60" x14ac:dyDescent="0.3">
      <c r="A31" s="162" t="s">
        <v>150</v>
      </c>
      <c r="B31" s="148" t="s">
        <v>151</v>
      </c>
      <c r="C31" s="149">
        <v>0</v>
      </c>
      <c r="D31" s="150">
        <v>0</v>
      </c>
      <c r="E31" s="151">
        <f t="shared" si="0"/>
        <v>0</v>
      </c>
      <c r="F31" s="158" t="s">
        <v>150</v>
      </c>
      <c r="G31" s="153" t="s">
        <v>151</v>
      </c>
      <c r="H31" s="154">
        <v>916154</v>
      </c>
      <c r="I31" s="179">
        <v>916154</v>
      </c>
      <c r="J31" s="156">
        <f t="shared" si="2"/>
        <v>0</v>
      </c>
      <c r="K31" s="162" t="s">
        <v>150</v>
      </c>
      <c r="L31" s="157" t="s">
        <v>152</v>
      </c>
      <c r="M31" s="149">
        <v>0</v>
      </c>
      <c r="N31" s="180">
        <v>0</v>
      </c>
      <c r="O31" s="151">
        <f t="shared" si="3"/>
        <v>0</v>
      </c>
      <c r="P31" s="158" t="s">
        <v>150</v>
      </c>
      <c r="Q31" s="159" t="s">
        <v>153</v>
      </c>
      <c r="R31" s="284">
        <v>935</v>
      </c>
      <c r="S31" s="284">
        <v>935</v>
      </c>
      <c r="T31" s="161">
        <f t="shared" si="4"/>
        <v>0</v>
      </c>
      <c r="U31" s="162" t="s">
        <v>150</v>
      </c>
      <c r="V31" s="163" t="s">
        <v>153</v>
      </c>
      <c r="W31" s="164">
        <v>1147183</v>
      </c>
      <c r="X31" s="164">
        <v>0</v>
      </c>
      <c r="Y31" s="165"/>
      <c r="Z31" s="158" t="s">
        <v>150</v>
      </c>
      <c r="AA31" s="159" t="s">
        <v>153</v>
      </c>
      <c r="AB31" s="166">
        <v>0</v>
      </c>
      <c r="AC31" s="167">
        <v>0</v>
      </c>
      <c r="AD31" s="161">
        <f t="shared" si="5"/>
        <v>0</v>
      </c>
      <c r="AE31" s="162" t="s">
        <v>150</v>
      </c>
      <c r="AF31" s="163" t="s">
        <v>153</v>
      </c>
      <c r="AG31" s="149">
        <v>-846</v>
      </c>
      <c r="AH31" s="149">
        <v>-846</v>
      </c>
      <c r="AI31" s="165">
        <f t="shared" si="6"/>
        <v>0</v>
      </c>
      <c r="AJ31" s="168" t="s">
        <v>150</v>
      </c>
      <c r="AK31" s="169" t="s">
        <v>152</v>
      </c>
      <c r="AL31" s="170">
        <v>0</v>
      </c>
      <c r="AM31" s="183">
        <v>0</v>
      </c>
      <c r="AN31" s="172">
        <f t="shared" si="7"/>
        <v>0</v>
      </c>
      <c r="AO31" s="162" t="s">
        <v>150</v>
      </c>
      <c r="AP31" s="163" t="s">
        <v>152</v>
      </c>
      <c r="AQ31" s="173">
        <v>1011731</v>
      </c>
      <c r="AR31" s="173">
        <v>1011731</v>
      </c>
      <c r="AS31" s="165">
        <f t="shared" si="8"/>
        <v>0</v>
      </c>
      <c r="AT31" s="168" t="s">
        <v>150</v>
      </c>
      <c r="AU31" s="169" t="s">
        <v>152</v>
      </c>
      <c r="AV31" s="172">
        <v>0</v>
      </c>
      <c r="AW31" s="172">
        <v>0</v>
      </c>
      <c r="AX31" s="172">
        <f>+AV31-AW31</f>
        <v>0</v>
      </c>
      <c r="AY31" s="158" t="s">
        <v>150</v>
      </c>
      <c r="AZ31" s="174" t="s">
        <v>152</v>
      </c>
      <c r="BA31" s="154">
        <f>-865705+874880</f>
        <v>9175</v>
      </c>
      <c r="BB31" s="154">
        <f>-874880+9175</f>
        <v>-865705</v>
      </c>
      <c r="BC31" s="154">
        <f t="shared" si="10"/>
        <v>874880</v>
      </c>
      <c r="BD31" s="184" t="s">
        <v>150</v>
      </c>
      <c r="BE31" s="176" t="s">
        <v>151</v>
      </c>
      <c r="BF31" s="172">
        <v>0</v>
      </c>
      <c r="BG31" s="177">
        <v>0</v>
      </c>
      <c r="BH31" s="178">
        <f t="shared" si="1"/>
        <v>0</v>
      </c>
    </row>
    <row r="32" spans="1:60" x14ac:dyDescent="0.3">
      <c r="A32" s="162" t="s">
        <v>154</v>
      </c>
      <c r="B32" s="148" t="s">
        <v>155</v>
      </c>
      <c r="C32" s="149">
        <v>0</v>
      </c>
      <c r="D32" s="150">
        <v>0</v>
      </c>
      <c r="E32" s="151"/>
      <c r="F32" s="158" t="s">
        <v>154</v>
      </c>
      <c r="G32" s="153" t="s">
        <v>155</v>
      </c>
      <c r="H32" s="154">
        <v>0</v>
      </c>
      <c r="I32" s="179">
        <v>0</v>
      </c>
      <c r="J32" s="156">
        <f t="shared" si="2"/>
        <v>0</v>
      </c>
      <c r="K32" s="162" t="s">
        <v>154</v>
      </c>
      <c r="L32" s="157" t="s">
        <v>156</v>
      </c>
      <c r="M32" s="149">
        <v>0</v>
      </c>
      <c r="N32" s="180">
        <v>0</v>
      </c>
      <c r="O32" s="151">
        <f t="shared" si="3"/>
        <v>0</v>
      </c>
      <c r="P32" s="158" t="s">
        <v>154</v>
      </c>
      <c r="Q32" s="159" t="s">
        <v>157</v>
      </c>
      <c r="R32" s="155"/>
      <c r="S32" s="179"/>
      <c r="T32" s="144">
        <v>0</v>
      </c>
      <c r="U32" s="162" t="s">
        <v>154</v>
      </c>
      <c r="V32" s="188" t="s">
        <v>157</v>
      </c>
      <c r="W32" s="164">
        <v>0</v>
      </c>
      <c r="X32" s="189"/>
      <c r="Y32" s="145"/>
      <c r="Z32" s="158" t="s">
        <v>154</v>
      </c>
      <c r="AA32" s="190" t="s">
        <v>157</v>
      </c>
      <c r="AB32" s="166">
        <v>0</v>
      </c>
      <c r="AC32" s="181">
        <v>0</v>
      </c>
      <c r="AD32" s="144">
        <v>0</v>
      </c>
      <c r="AE32" s="162" t="s">
        <v>154</v>
      </c>
      <c r="AF32" s="163" t="s">
        <v>157</v>
      </c>
      <c r="AG32" s="191">
        <v>0</v>
      </c>
      <c r="AH32" s="191">
        <v>0</v>
      </c>
      <c r="AI32" s="192">
        <v>0</v>
      </c>
      <c r="AJ32" s="168" t="s">
        <v>154</v>
      </c>
      <c r="AK32" s="169" t="s">
        <v>156</v>
      </c>
      <c r="AL32" s="170">
        <v>0</v>
      </c>
      <c r="AM32" s="183">
        <v>0</v>
      </c>
      <c r="AN32" s="172">
        <f t="shared" si="7"/>
        <v>0</v>
      </c>
      <c r="AO32" s="162" t="s">
        <v>154</v>
      </c>
      <c r="AP32" s="163" t="s">
        <v>156</v>
      </c>
      <c r="AQ32" s="173">
        <v>-246401</v>
      </c>
      <c r="AR32" s="173">
        <v>-246401</v>
      </c>
      <c r="AS32" s="192">
        <f t="shared" si="8"/>
        <v>0</v>
      </c>
      <c r="AT32" s="168" t="s">
        <v>154</v>
      </c>
      <c r="AU32" s="169" t="s">
        <v>156</v>
      </c>
      <c r="AV32" s="172">
        <v>0</v>
      </c>
      <c r="AW32" s="172">
        <v>0</v>
      </c>
      <c r="AX32" s="172">
        <f>+AV32-AW32</f>
        <v>0</v>
      </c>
      <c r="AY32" s="158" t="s">
        <v>154</v>
      </c>
      <c r="AZ32" s="174" t="s">
        <v>156</v>
      </c>
      <c r="BA32" s="154">
        <v>0</v>
      </c>
      <c r="BB32" s="154">
        <v>0</v>
      </c>
      <c r="BC32" s="154">
        <f t="shared" si="10"/>
        <v>0</v>
      </c>
      <c r="BD32" s="184" t="s">
        <v>154</v>
      </c>
      <c r="BE32" s="176" t="s">
        <v>155</v>
      </c>
      <c r="BF32" s="172">
        <v>0</v>
      </c>
      <c r="BG32" s="177">
        <v>0</v>
      </c>
      <c r="BH32" s="178"/>
    </row>
    <row r="33" spans="1:60" ht="12.5" thickBot="1" x14ac:dyDescent="0.35">
      <c r="A33" s="193"/>
      <c r="B33" s="194"/>
      <c r="C33" s="195"/>
      <c r="D33" s="196"/>
      <c r="E33" s="197"/>
      <c r="F33" s="198"/>
      <c r="G33" s="199"/>
      <c r="H33" s="200"/>
      <c r="I33" s="201"/>
      <c r="J33" s="202"/>
      <c r="K33" s="193"/>
      <c r="L33" s="203"/>
      <c r="M33" s="195"/>
      <c r="N33" s="204"/>
      <c r="O33" s="197"/>
      <c r="P33" s="198"/>
      <c r="Q33" s="190"/>
      <c r="R33" s="205"/>
      <c r="S33" s="201"/>
      <c r="T33" s="144"/>
      <c r="U33" s="193"/>
      <c r="V33" s="206" t="s">
        <v>158</v>
      </c>
      <c r="W33" s="164">
        <f>SUM(W4:W32)</f>
        <v>14423568</v>
      </c>
      <c r="X33" s="164">
        <f>SUM(X4:X32)</f>
        <v>4740</v>
      </c>
      <c r="Y33" s="145"/>
      <c r="Z33" s="198"/>
      <c r="AA33" s="206" t="s">
        <v>158</v>
      </c>
      <c r="AB33" s="166">
        <f>SUM(AB4:AB32)</f>
        <v>8689091</v>
      </c>
      <c r="AC33" s="166">
        <f t="shared" ref="AC33:AD33" si="11">SUM(AC4:AC32)</f>
        <v>8689091</v>
      </c>
      <c r="AD33" s="166">
        <f t="shared" si="11"/>
        <v>0</v>
      </c>
      <c r="AE33" s="145"/>
      <c r="AF33" s="206" t="s">
        <v>158</v>
      </c>
      <c r="AG33" s="207">
        <f>SUM(AG4:AG32)</f>
        <v>12541985</v>
      </c>
      <c r="AH33" s="207">
        <f t="shared" ref="AH33:AI33" si="12">SUM(AH4:AH32)</f>
        <v>11341985</v>
      </c>
      <c r="AI33" s="207">
        <f t="shared" si="12"/>
        <v>1200000</v>
      </c>
      <c r="AJ33" s="146"/>
      <c r="AK33" s="246" t="s">
        <v>158</v>
      </c>
      <c r="AL33" s="247">
        <f>SUM(AL4:AL32)</f>
        <v>3942142</v>
      </c>
      <c r="AM33" s="171">
        <v>3649327</v>
      </c>
      <c r="AN33" s="247">
        <f>SUM(AN4:AN32)</f>
        <v>292815</v>
      </c>
      <c r="AO33" s="145"/>
      <c r="AP33" s="206" t="s">
        <v>158</v>
      </c>
      <c r="AQ33" s="207">
        <f>SUM(AQ4:AQ32)</f>
        <v>4269712</v>
      </c>
      <c r="AR33" s="207">
        <f>SUM(AR4:AR32)</f>
        <v>3837173</v>
      </c>
      <c r="AS33" s="208">
        <f>SUM(AS4:AS32)</f>
        <v>432539</v>
      </c>
      <c r="AT33" s="146"/>
      <c r="AU33" s="246" t="s">
        <v>158</v>
      </c>
      <c r="AV33" s="247">
        <f>SUM(AV4:AV32)</f>
        <v>4129452</v>
      </c>
      <c r="AW33" s="247">
        <f>SUM(AW4:AW32)</f>
        <v>4169238</v>
      </c>
      <c r="AX33" s="247">
        <f>SUM(AX4:AX32)</f>
        <v>-39786</v>
      </c>
      <c r="AY33" s="144"/>
      <c r="AZ33" s="248" t="s">
        <v>158</v>
      </c>
      <c r="BA33" s="249">
        <f>SUM(BA4:BA32)</f>
        <v>5984340</v>
      </c>
      <c r="BB33" s="250">
        <f>SUM(BB4:BB32)</f>
        <v>5148946</v>
      </c>
      <c r="BC33" s="250">
        <f>SUM(BC4:BC32)</f>
        <v>835394</v>
      </c>
      <c r="BD33" s="146"/>
      <c r="BE33" s="246" t="s">
        <v>158</v>
      </c>
      <c r="BF33" s="247">
        <f>SUM(BF4:BF32)</f>
        <v>4630022</v>
      </c>
      <c r="BG33" s="172">
        <f>SUM(BG4:BG32)</f>
        <v>4685020</v>
      </c>
      <c r="BH33" s="172">
        <f>SUM(BH4:BH32)</f>
        <v>-54998</v>
      </c>
    </row>
    <row r="34" spans="1:60" ht="12.5" thickTop="1" x14ac:dyDescent="0.3">
      <c r="A34" s="270"/>
      <c r="B34" s="270"/>
      <c r="C34" s="271">
        <v>45992</v>
      </c>
      <c r="D34" s="270"/>
      <c r="E34" s="270"/>
      <c r="F34" s="270"/>
      <c r="G34" s="270"/>
      <c r="H34" s="271">
        <v>45962</v>
      </c>
      <c r="I34" s="270"/>
      <c r="J34" s="270"/>
      <c r="K34" s="270"/>
      <c r="L34" s="270"/>
      <c r="M34" s="271">
        <v>45931</v>
      </c>
      <c r="N34" s="270"/>
      <c r="O34" s="270"/>
      <c r="P34" s="270"/>
      <c r="Q34" s="270"/>
      <c r="R34" s="271">
        <v>45901</v>
      </c>
      <c r="S34" s="270"/>
      <c r="T34" s="270"/>
      <c r="U34" s="270"/>
      <c r="V34" s="270"/>
      <c r="W34" s="271">
        <v>45870</v>
      </c>
      <c r="X34" s="270"/>
      <c r="Y34" s="270"/>
      <c r="Z34" s="270"/>
      <c r="AA34" s="270"/>
      <c r="AB34" s="271">
        <v>45839</v>
      </c>
      <c r="AC34" s="272"/>
      <c r="AD34" s="273"/>
      <c r="AE34" s="274"/>
      <c r="AF34" s="275"/>
      <c r="AG34" s="276">
        <v>45809</v>
      </c>
      <c r="AH34" s="275"/>
      <c r="AI34" s="277"/>
      <c r="AJ34" s="278"/>
      <c r="AK34" s="279"/>
      <c r="AL34" s="280">
        <v>45778</v>
      </c>
      <c r="AM34" s="281"/>
      <c r="AN34" s="281"/>
      <c r="AO34" s="281"/>
      <c r="AP34" s="281"/>
      <c r="AQ34" s="280">
        <v>45748</v>
      </c>
      <c r="AR34" s="281"/>
      <c r="AS34" s="281"/>
      <c r="AT34" s="281"/>
      <c r="AU34" s="280">
        <v>45717</v>
      </c>
      <c r="AV34" s="280">
        <v>45717</v>
      </c>
      <c r="AW34" s="281"/>
      <c r="AX34" s="281"/>
      <c r="AY34" s="281"/>
      <c r="AZ34" s="281"/>
      <c r="BA34" s="280">
        <v>45689</v>
      </c>
      <c r="BB34" s="281"/>
      <c r="BC34" s="281"/>
      <c r="BD34" s="281"/>
      <c r="BE34" s="281"/>
      <c r="BF34" s="280">
        <v>45658</v>
      </c>
      <c r="BG34" s="244"/>
      <c r="BH34" s="245"/>
    </row>
    <row r="35" spans="1:60" s="291" customFormat="1" x14ac:dyDescent="0.3">
      <c r="A35" s="254" t="s">
        <v>160</v>
      </c>
      <c r="B35" s="288" t="s">
        <v>158</v>
      </c>
      <c r="C35" s="289">
        <f>SUM(C4:C32)</f>
        <v>6612494</v>
      </c>
      <c r="D35" s="289">
        <f>SUM(D4:D32)</f>
        <v>6612494</v>
      </c>
      <c r="E35" s="289">
        <f>SUM(E4:E32)</f>
        <v>0</v>
      </c>
      <c r="F35" s="254" t="s">
        <v>160</v>
      </c>
      <c r="G35" s="288"/>
      <c r="H35" s="289">
        <f>SUM(H4:H32)</f>
        <v>11820360</v>
      </c>
      <c r="I35" s="289">
        <f>SUM(I4:I32)</f>
        <v>11820720</v>
      </c>
      <c r="J35" s="289">
        <f>SUM(J4:J32)</f>
        <v>-360</v>
      </c>
      <c r="K35" s="242"/>
      <c r="L35" s="288" t="s">
        <v>158</v>
      </c>
      <c r="M35" s="289">
        <f>SUM(M4:M32)</f>
        <v>13390458</v>
      </c>
      <c r="N35" s="289">
        <f>SUM(N4:N32)</f>
        <v>13390458</v>
      </c>
      <c r="O35" s="242">
        <f t="shared" si="3"/>
        <v>0</v>
      </c>
      <c r="P35" s="242"/>
      <c r="Q35" s="288" t="s">
        <v>158</v>
      </c>
      <c r="R35" s="254">
        <f>SUM(R4:R32)</f>
        <v>13953951</v>
      </c>
      <c r="S35" s="254">
        <f>SUM(S4:S32)</f>
        <v>13963951</v>
      </c>
      <c r="T35" s="254">
        <f t="shared" ref="T35:AF35" si="13">SUM(T4:T31)</f>
        <v>-10000</v>
      </c>
      <c r="U35" s="254">
        <f t="shared" si="13"/>
        <v>0</v>
      </c>
      <c r="V35" s="254">
        <f t="shared" si="13"/>
        <v>0</v>
      </c>
      <c r="W35" s="254">
        <f t="shared" si="13"/>
        <v>14423568</v>
      </c>
      <c r="X35" s="254">
        <f t="shared" si="13"/>
        <v>4740</v>
      </c>
      <c r="Y35" s="254">
        <f t="shared" si="13"/>
        <v>0</v>
      </c>
      <c r="Z35" s="254">
        <f t="shared" si="13"/>
        <v>0</v>
      </c>
      <c r="AA35" s="254">
        <f t="shared" si="13"/>
        <v>0</v>
      </c>
      <c r="AB35" s="254">
        <f t="shared" si="13"/>
        <v>8689091</v>
      </c>
      <c r="AC35" s="254">
        <f t="shared" si="13"/>
        <v>8689091</v>
      </c>
      <c r="AD35" s="254">
        <f t="shared" si="13"/>
        <v>0</v>
      </c>
      <c r="AE35" s="254">
        <f t="shared" si="13"/>
        <v>0</v>
      </c>
      <c r="AF35" s="254">
        <f t="shared" si="13"/>
        <v>0</v>
      </c>
      <c r="AG35" s="254">
        <f>AG33</f>
        <v>12541985</v>
      </c>
      <c r="AH35" s="254">
        <f>SUM(AH4:AH31)</f>
        <v>11341985</v>
      </c>
      <c r="AI35" s="254">
        <f>SUM(AI4:AI31)</f>
        <v>1200000</v>
      </c>
      <c r="AJ35" s="255"/>
      <c r="AK35" s="256" t="s">
        <v>162</v>
      </c>
      <c r="AL35" s="257">
        <f>AL33</f>
        <v>3942142</v>
      </c>
      <c r="AM35" s="257">
        <v>0</v>
      </c>
      <c r="AN35" s="243"/>
      <c r="AO35" s="254">
        <f>SUM(AO4:AO31)</f>
        <v>0</v>
      </c>
      <c r="AP35" s="254">
        <f>SUM(AP4:AP31)</f>
        <v>0</v>
      </c>
      <c r="AQ35" s="254">
        <f>AQ33</f>
        <v>4269712</v>
      </c>
      <c r="AR35" s="254">
        <f>SUM(AR4:AR31)</f>
        <v>4083574</v>
      </c>
      <c r="AS35" s="254">
        <f>SUM(AS4:AS31)</f>
        <v>432539</v>
      </c>
      <c r="AT35" s="258"/>
      <c r="AU35" s="256"/>
      <c r="AV35" s="259">
        <f>AV33</f>
        <v>4129452</v>
      </c>
      <c r="AW35" s="259"/>
      <c r="AX35" s="260"/>
      <c r="AY35" s="254">
        <f t="shared" ref="AY35" si="14">SUM(AY4:AY31)</f>
        <v>0</v>
      </c>
      <c r="AZ35" s="256"/>
      <c r="BA35" s="259">
        <f>BA33</f>
        <v>5984340</v>
      </c>
      <c r="BB35" s="259"/>
      <c r="BC35" s="260"/>
      <c r="BD35" s="255"/>
      <c r="BE35" s="256" t="s">
        <v>162</v>
      </c>
      <c r="BF35" s="257">
        <f>BF33</f>
        <v>4630022</v>
      </c>
      <c r="BG35" s="290">
        <v>0</v>
      </c>
      <c r="BH35" s="210"/>
    </row>
    <row r="36" spans="1:60" x14ac:dyDescent="0.3">
      <c r="A36" s="211" t="s">
        <v>161</v>
      </c>
      <c r="B36" s="212"/>
      <c r="C36" s="213">
        <v>37511649</v>
      </c>
      <c r="D36" s="213">
        <v>0</v>
      </c>
      <c r="E36" s="214"/>
      <c r="F36" s="211" t="s">
        <v>161</v>
      </c>
      <c r="G36" s="212"/>
      <c r="H36" s="213">
        <v>43399112</v>
      </c>
      <c r="I36" s="213"/>
      <c r="J36" s="214"/>
      <c r="K36" s="215"/>
      <c r="L36" s="212"/>
      <c r="M36" s="216">
        <v>43158407</v>
      </c>
      <c r="N36" s="216"/>
      <c r="O36" s="161"/>
      <c r="P36" s="215"/>
      <c r="Q36" s="212"/>
      <c r="R36" s="156">
        <v>44426148</v>
      </c>
      <c r="S36" s="216"/>
      <c r="T36" s="161"/>
      <c r="U36" s="215"/>
      <c r="V36" s="212"/>
      <c r="W36" s="216">
        <v>46112831</v>
      </c>
      <c r="X36" s="216"/>
      <c r="Y36" s="161"/>
      <c r="Z36" s="215"/>
      <c r="AA36" s="212"/>
      <c r="AB36" s="216">
        <v>33838463</v>
      </c>
      <c r="AC36" s="216"/>
      <c r="AD36" s="161"/>
      <c r="AE36" s="161"/>
      <c r="AF36" s="261"/>
      <c r="AG36" s="156">
        <v>33785820</v>
      </c>
      <c r="AH36" s="156"/>
      <c r="AI36" s="161"/>
      <c r="AJ36" s="262"/>
      <c r="AK36" s="263"/>
      <c r="AL36" s="264">
        <v>42169112</v>
      </c>
      <c r="AM36" s="264"/>
      <c r="AN36" s="217"/>
      <c r="AO36" s="161"/>
      <c r="AP36" s="161"/>
      <c r="AQ36" s="161">
        <v>36919858</v>
      </c>
      <c r="AR36" s="161"/>
      <c r="AS36" s="161"/>
      <c r="AT36" s="265"/>
      <c r="AU36" s="266" t="s">
        <v>162</v>
      </c>
      <c r="AV36" s="267">
        <v>30695973</v>
      </c>
      <c r="AW36" s="267">
        <v>0</v>
      </c>
      <c r="AX36" s="209"/>
      <c r="AY36" s="218"/>
      <c r="AZ36" s="266" t="s">
        <v>162</v>
      </c>
      <c r="BA36" s="267">
        <v>33481694</v>
      </c>
      <c r="BB36" s="267">
        <v>0</v>
      </c>
      <c r="BC36" s="209"/>
      <c r="BD36" s="178">
        <f>SUM(BD5:BD32)</f>
        <v>0</v>
      </c>
      <c r="BE36" s="268"/>
      <c r="BF36" s="268">
        <v>32149530</v>
      </c>
      <c r="BG36" s="219">
        <f>(C35+H35+M35+R35+W35+AB35+AG35+AL35+AQ35+AU35+BA35+BD36)/12</f>
        <v>7969008.416666667</v>
      </c>
    </row>
    <row r="37" spans="1:60" s="282" customFormat="1" x14ac:dyDescent="0.3">
      <c r="A37" s="254" t="s">
        <v>163</v>
      </c>
      <c r="B37" s="242"/>
      <c r="C37" s="254">
        <f>C36-C35</f>
        <v>30899155</v>
      </c>
      <c r="D37" s="254">
        <f t="shared" ref="D37:BC37" si="15">D36-D35</f>
        <v>-6612494</v>
      </c>
      <c r="E37" s="254">
        <f t="shared" si="15"/>
        <v>0</v>
      </c>
      <c r="F37" s="254" t="s">
        <v>163</v>
      </c>
      <c r="G37" s="254"/>
      <c r="H37" s="254">
        <f t="shared" si="15"/>
        <v>31578752</v>
      </c>
      <c r="I37" s="254"/>
      <c r="J37" s="254">
        <f t="shared" si="15"/>
        <v>360</v>
      </c>
      <c r="K37" s="254">
        <f t="shared" si="15"/>
        <v>0</v>
      </c>
      <c r="L37" s="254" t="e">
        <f t="shared" si="15"/>
        <v>#VALUE!</v>
      </c>
      <c r="M37" s="254">
        <f t="shared" si="15"/>
        <v>29767949</v>
      </c>
      <c r="N37" s="254">
        <f t="shared" si="15"/>
        <v>-13390458</v>
      </c>
      <c r="O37" s="254">
        <f t="shared" si="15"/>
        <v>0</v>
      </c>
      <c r="P37" s="254">
        <f t="shared" si="15"/>
        <v>0</v>
      </c>
      <c r="Q37" s="254" t="e">
        <f t="shared" si="15"/>
        <v>#VALUE!</v>
      </c>
      <c r="R37" s="254">
        <f t="shared" si="15"/>
        <v>30472197</v>
      </c>
      <c r="S37" s="254"/>
      <c r="T37" s="254">
        <f t="shared" si="15"/>
        <v>10000</v>
      </c>
      <c r="U37" s="254">
        <f t="shared" si="15"/>
        <v>0</v>
      </c>
      <c r="V37" s="254">
        <f t="shared" si="15"/>
        <v>0</v>
      </c>
      <c r="W37" s="254">
        <f>W36-W35</f>
        <v>31689263</v>
      </c>
      <c r="X37" s="254">
        <f t="shared" si="15"/>
        <v>-4740</v>
      </c>
      <c r="Y37" s="254">
        <f t="shared" si="15"/>
        <v>0</v>
      </c>
      <c r="Z37" s="254">
        <f t="shared" si="15"/>
        <v>0</v>
      </c>
      <c r="AA37" s="254">
        <f t="shared" si="15"/>
        <v>0</v>
      </c>
      <c r="AB37" s="254">
        <f t="shared" si="15"/>
        <v>25149372</v>
      </c>
      <c r="AC37" s="254">
        <f t="shared" si="15"/>
        <v>-8689091</v>
      </c>
      <c r="AD37" s="254">
        <f t="shared" si="15"/>
        <v>0</v>
      </c>
      <c r="AE37" s="254">
        <f t="shared" si="15"/>
        <v>0</v>
      </c>
      <c r="AF37" s="254"/>
      <c r="AG37" s="254">
        <f>AG36-AG35</f>
        <v>21243835</v>
      </c>
      <c r="AH37" s="254"/>
      <c r="AI37" s="254">
        <f t="shared" si="15"/>
        <v>-1200000</v>
      </c>
      <c r="AJ37" s="254">
        <f t="shared" si="15"/>
        <v>0</v>
      </c>
      <c r="AK37" s="254" t="e">
        <f t="shared" si="15"/>
        <v>#VALUE!</v>
      </c>
      <c r="AL37" s="254">
        <f t="shared" si="15"/>
        <v>38226970</v>
      </c>
      <c r="AM37" s="254">
        <f t="shared" si="15"/>
        <v>0</v>
      </c>
      <c r="AN37" s="254">
        <f t="shared" si="15"/>
        <v>0</v>
      </c>
      <c r="AO37" s="254">
        <f t="shared" si="15"/>
        <v>0</v>
      </c>
      <c r="AP37" s="254">
        <f t="shared" si="15"/>
        <v>0</v>
      </c>
      <c r="AQ37" s="254">
        <f t="shared" si="15"/>
        <v>32650146</v>
      </c>
      <c r="AR37" s="254">
        <f t="shared" si="15"/>
        <v>-4083574</v>
      </c>
      <c r="AS37" s="254">
        <f t="shared" si="15"/>
        <v>-432539</v>
      </c>
      <c r="AT37" s="254">
        <f t="shared" si="15"/>
        <v>0</v>
      </c>
      <c r="AU37" s="254" t="e">
        <f t="shared" si="15"/>
        <v>#VALUE!</v>
      </c>
      <c r="AV37" s="254">
        <f t="shared" si="15"/>
        <v>26566521</v>
      </c>
      <c r="AW37" s="254">
        <f t="shared" si="15"/>
        <v>0</v>
      </c>
      <c r="AX37" s="254">
        <f t="shared" si="15"/>
        <v>0</v>
      </c>
      <c r="AY37" s="254"/>
      <c r="AZ37" s="254"/>
      <c r="BA37" s="254">
        <f t="shared" si="15"/>
        <v>27497354</v>
      </c>
      <c r="BB37" s="254">
        <f t="shared" si="15"/>
        <v>0</v>
      </c>
      <c r="BC37" s="254">
        <f t="shared" si="15"/>
        <v>0</v>
      </c>
      <c r="BD37" s="254" t="e">
        <f>#REF!-BD36</f>
        <v>#REF!</v>
      </c>
      <c r="BE37" s="254" t="e">
        <f>#REF!-BE36</f>
        <v>#REF!</v>
      </c>
      <c r="BF37" s="254">
        <f>BF36-BF35</f>
        <v>27519508</v>
      </c>
      <c r="BG37" s="268"/>
      <c r="BH37" s="268"/>
    </row>
    <row r="38" spans="1:60" ht="12.5" thickBot="1" x14ac:dyDescent="0.35">
      <c r="A38" s="251" t="s">
        <v>164</v>
      </c>
      <c r="B38" s="252"/>
      <c r="C38" s="253">
        <f>C35/C36</f>
        <v>0.17627841420674414</v>
      </c>
      <c r="D38" s="253" t="e">
        <f t="shared" ref="D38:BC38" si="16">D35/D36</f>
        <v>#DIV/0!</v>
      </c>
      <c r="E38" s="253" t="e">
        <f t="shared" si="16"/>
        <v>#DIV/0!</v>
      </c>
      <c r="F38" s="251" t="s">
        <v>164</v>
      </c>
      <c r="G38" s="253" t="e">
        <f t="shared" si="16"/>
        <v>#DIV/0!</v>
      </c>
      <c r="H38" s="253">
        <f t="shared" si="16"/>
        <v>0.27236409814099422</v>
      </c>
      <c r="I38" s="253"/>
      <c r="J38" s="253" t="e">
        <f t="shared" si="16"/>
        <v>#DIV/0!</v>
      </c>
      <c r="K38" s="253" t="e">
        <f t="shared" si="16"/>
        <v>#DIV/0!</v>
      </c>
      <c r="L38" s="253" t="e">
        <f t="shared" si="16"/>
        <v>#VALUE!</v>
      </c>
      <c r="M38" s="253">
        <f t="shared" si="16"/>
        <v>0.31026302708531389</v>
      </c>
      <c r="N38" s="253" t="e">
        <f t="shared" si="16"/>
        <v>#DIV/0!</v>
      </c>
      <c r="O38" s="253" t="e">
        <f t="shared" si="16"/>
        <v>#DIV/0!</v>
      </c>
      <c r="P38" s="253" t="e">
        <f>P35/P36</f>
        <v>#DIV/0!</v>
      </c>
      <c r="Q38" s="253" t="e">
        <f t="shared" si="16"/>
        <v>#VALUE!</v>
      </c>
      <c r="R38" s="253">
        <f>R35/R36</f>
        <v>0.31409320024774601</v>
      </c>
      <c r="S38" s="253" t="e">
        <f t="shared" si="16"/>
        <v>#DIV/0!</v>
      </c>
      <c r="T38" s="253" t="e">
        <f t="shared" si="16"/>
        <v>#DIV/0!</v>
      </c>
      <c r="U38" s="253" t="e">
        <f t="shared" si="16"/>
        <v>#DIV/0!</v>
      </c>
      <c r="V38" s="253" t="e">
        <f t="shared" si="16"/>
        <v>#DIV/0!</v>
      </c>
      <c r="W38" s="253">
        <f t="shared" si="16"/>
        <v>0.3127886032414709</v>
      </c>
      <c r="X38" s="253" t="e">
        <f t="shared" si="16"/>
        <v>#DIV/0!</v>
      </c>
      <c r="Y38" s="253" t="e">
        <f t="shared" si="16"/>
        <v>#DIV/0!</v>
      </c>
      <c r="Z38" s="253" t="e">
        <f t="shared" si="16"/>
        <v>#DIV/0!</v>
      </c>
      <c r="AA38" s="253" t="e">
        <f t="shared" si="16"/>
        <v>#DIV/0!</v>
      </c>
      <c r="AB38" s="253">
        <f t="shared" si="16"/>
        <v>0.25678149152341817</v>
      </c>
      <c r="AC38" s="253" t="e">
        <f t="shared" si="16"/>
        <v>#DIV/0!</v>
      </c>
      <c r="AD38" s="253" t="e">
        <f t="shared" si="16"/>
        <v>#DIV/0!</v>
      </c>
      <c r="AE38" s="253" t="e">
        <f t="shared" si="16"/>
        <v>#DIV/0!</v>
      </c>
      <c r="AF38" s="253" t="e">
        <f t="shared" si="16"/>
        <v>#DIV/0!</v>
      </c>
      <c r="AG38" s="253">
        <f t="shared" si="16"/>
        <v>0.37122038180514783</v>
      </c>
      <c r="AH38" s="253" t="e">
        <f t="shared" si="16"/>
        <v>#DIV/0!</v>
      </c>
      <c r="AI38" s="253" t="e">
        <f t="shared" si="16"/>
        <v>#DIV/0!</v>
      </c>
      <c r="AJ38" s="253" t="e">
        <f t="shared" si="16"/>
        <v>#DIV/0!</v>
      </c>
      <c r="AK38" s="253" t="e">
        <f t="shared" si="16"/>
        <v>#VALUE!</v>
      </c>
      <c r="AL38" s="253">
        <f t="shared" si="16"/>
        <v>9.3484112257331858E-2</v>
      </c>
      <c r="AM38" s="253" t="e">
        <f t="shared" si="16"/>
        <v>#DIV/0!</v>
      </c>
      <c r="AN38" s="253" t="e">
        <f t="shared" si="16"/>
        <v>#DIV/0!</v>
      </c>
      <c r="AO38" s="253" t="e">
        <f t="shared" si="16"/>
        <v>#DIV/0!</v>
      </c>
      <c r="AP38" s="253" t="e">
        <f t="shared" si="16"/>
        <v>#DIV/0!</v>
      </c>
      <c r="AQ38" s="253">
        <f t="shared" si="16"/>
        <v>0.11564811543966394</v>
      </c>
      <c r="AR38" s="253" t="e">
        <f t="shared" si="16"/>
        <v>#DIV/0!</v>
      </c>
      <c r="AS38" s="253" t="e">
        <f t="shared" si="16"/>
        <v>#DIV/0!</v>
      </c>
      <c r="AT38" s="253" t="e">
        <f t="shared" si="16"/>
        <v>#DIV/0!</v>
      </c>
      <c r="AU38" s="253" t="e">
        <f t="shared" si="16"/>
        <v>#VALUE!</v>
      </c>
      <c r="AV38" s="253">
        <f t="shared" si="16"/>
        <v>0.13452748345849797</v>
      </c>
      <c r="AW38" s="253" t="e">
        <f t="shared" si="16"/>
        <v>#DIV/0!</v>
      </c>
      <c r="AX38" s="253" t="e">
        <f t="shared" si="16"/>
        <v>#DIV/0!</v>
      </c>
      <c r="AY38" s="253"/>
      <c r="AZ38" s="253"/>
      <c r="BA38" s="253">
        <f t="shared" si="16"/>
        <v>0.17873468409334367</v>
      </c>
      <c r="BB38" s="253" t="e">
        <f t="shared" si="16"/>
        <v>#DIV/0!</v>
      </c>
      <c r="BC38" s="253" t="e">
        <f t="shared" si="16"/>
        <v>#DIV/0!</v>
      </c>
      <c r="BD38" s="253" t="e">
        <f>BD36/#REF!</f>
        <v>#REF!</v>
      </c>
      <c r="BE38" s="269"/>
      <c r="BF38" s="269">
        <f t="shared" ref="BF38" si="17">BF35/BF36</f>
        <v>0.14401523132686544</v>
      </c>
      <c r="BG38" s="220"/>
    </row>
    <row r="39" spans="1:60" s="287" customFormat="1" ht="12.5" thickTop="1" x14ac:dyDescent="0.3">
      <c r="A39" s="286" t="s">
        <v>193</v>
      </c>
      <c r="C39" s="285">
        <v>408000</v>
      </c>
      <c r="D39" s="285"/>
      <c r="E39" s="285"/>
      <c r="F39" s="286" t="s">
        <v>193</v>
      </c>
      <c r="G39" s="285"/>
      <c r="H39" s="285">
        <v>408000</v>
      </c>
      <c r="I39" s="285"/>
      <c r="J39" s="285"/>
      <c r="K39" s="285"/>
      <c r="L39" s="285"/>
      <c r="M39" s="285">
        <v>408000</v>
      </c>
      <c r="N39" s="285"/>
      <c r="O39" s="285"/>
      <c r="P39" s="285"/>
      <c r="Q39" s="285"/>
      <c r="R39" s="285">
        <v>408000</v>
      </c>
      <c r="S39" s="285"/>
      <c r="T39" s="285"/>
      <c r="U39" s="285"/>
      <c r="V39" s="285"/>
      <c r="W39" s="285">
        <v>408000</v>
      </c>
      <c r="X39" s="285"/>
      <c r="Y39" s="285"/>
      <c r="Z39" s="285"/>
      <c r="AA39" s="285"/>
      <c r="AB39" s="285">
        <v>408000</v>
      </c>
      <c r="AC39" s="285"/>
      <c r="AD39" s="285"/>
      <c r="AE39" s="285"/>
      <c r="AF39" s="285"/>
      <c r="AG39" s="285"/>
      <c r="AH39" s="285"/>
      <c r="AI39" s="285"/>
      <c r="AJ39" s="285"/>
      <c r="AK39" s="285"/>
      <c r="AL39" s="285"/>
      <c r="AM39" s="285"/>
      <c r="AN39" s="285"/>
      <c r="AO39" s="285"/>
      <c r="AP39" s="285"/>
      <c r="AQ39" s="285"/>
      <c r="AR39" s="285"/>
      <c r="AS39" s="285"/>
      <c r="AT39" s="285"/>
      <c r="AU39" s="285"/>
      <c r="AV39" s="285"/>
      <c r="AW39" s="285"/>
      <c r="AX39" s="285"/>
      <c r="AY39" s="285"/>
      <c r="AZ39" s="285"/>
      <c r="BA39" s="285"/>
      <c r="BB39" s="285"/>
      <c r="BC39" s="285"/>
      <c r="BD39" s="285"/>
    </row>
    <row r="42" spans="1:60" x14ac:dyDescent="0.3">
      <c r="BG42" s="221" t="e">
        <f>BG36/#REF!</f>
        <v>#REF!</v>
      </c>
    </row>
  </sheetData>
  <mergeCells count="12">
    <mergeCell ref="AA2:AC2"/>
    <mergeCell ref="A2:E2"/>
    <mergeCell ref="F2:J2"/>
    <mergeCell ref="K2:O2"/>
    <mergeCell ref="Q2:S2"/>
    <mergeCell ref="V2:X2"/>
    <mergeCell ref="BE2:BG2"/>
    <mergeCell ref="AZ2:BB2"/>
    <mergeCell ref="AU2:AW2"/>
    <mergeCell ref="AF2:AH2"/>
    <mergeCell ref="AK2:AM2"/>
    <mergeCell ref="AP2:AR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F6778-B0AB-4B87-8382-1DC47FE0B1CE}">
  <dimension ref="B2:P74"/>
  <sheetViews>
    <sheetView workbookViewId="0">
      <selection activeCell="D12" sqref="D12"/>
    </sheetView>
  </sheetViews>
  <sheetFormatPr baseColWidth="10" defaultRowHeight="14.5" x14ac:dyDescent="0.35"/>
  <cols>
    <col min="10" max="10" width="13.08984375" bestFit="1" customWidth="1"/>
    <col min="266" max="266" width="13.08984375" bestFit="1" customWidth="1"/>
    <col min="522" max="522" width="13.08984375" bestFit="1" customWidth="1"/>
    <col min="778" max="778" width="13.08984375" bestFit="1" customWidth="1"/>
    <col min="1034" max="1034" width="13.08984375" bestFit="1" customWidth="1"/>
    <col min="1290" max="1290" width="13.08984375" bestFit="1" customWidth="1"/>
    <col min="1546" max="1546" width="13.08984375" bestFit="1" customWidth="1"/>
    <col min="1802" max="1802" width="13.08984375" bestFit="1" customWidth="1"/>
    <col min="2058" max="2058" width="13.08984375" bestFit="1" customWidth="1"/>
    <col min="2314" max="2314" width="13.08984375" bestFit="1" customWidth="1"/>
    <col min="2570" max="2570" width="13.08984375" bestFit="1" customWidth="1"/>
    <col min="2826" max="2826" width="13.08984375" bestFit="1" customWidth="1"/>
    <col min="3082" max="3082" width="13.08984375" bestFit="1" customWidth="1"/>
    <col min="3338" max="3338" width="13.08984375" bestFit="1" customWidth="1"/>
    <col min="3594" max="3594" width="13.08984375" bestFit="1" customWidth="1"/>
    <col min="3850" max="3850" width="13.08984375" bestFit="1" customWidth="1"/>
    <col min="4106" max="4106" width="13.08984375" bestFit="1" customWidth="1"/>
    <col min="4362" max="4362" width="13.08984375" bestFit="1" customWidth="1"/>
    <col min="4618" max="4618" width="13.08984375" bestFit="1" customWidth="1"/>
    <col min="4874" max="4874" width="13.08984375" bestFit="1" customWidth="1"/>
    <col min="5130" max="5130" width="13.08984375" bestFit="1" customWidth="1"/>
    <col min="5386" max="5386" width="13.08984375" bestFit="1" customWidth="1"/>
    <col min="5642" max="5642" width="13.08984375" bestFit="1" customWidth="1"/>
    <col min="5898" max="5898" width="13.08984375" bestFit="1" customWidth="1"/>
    <col min="6154" max="6154" width="13.08984375" bestFit="1" customWidth="1"/>
    <col min="6410" max="6410" width="13.08984375" bestFit="1" customWidth="1"/>
    <col min="6666" max="6666" width="13.08984375" bestFit="1" customWidth="1"/>
    <col min="6922" max="6922" width="13.08984375" bestFit="1" customWidth="1"/>
    <col min="7178" max="7178" width="13.08984375" bestFit="1" customWidth="1"/>
    <col min="7434" max="7434" width="13.08984375" bestFit="1" customWidth="1"/>
    <col min="7690" max="7690" width="13.08984375" bestFit="1" customWidth="1"/>
    <col min="7946" max="7946" width="13.08984375" bestFit="1" customWidth="1"/>
    <col min="8202" max="8202" width="13.08984375" bestFit="1" customWidth="1"/>
    <col min="8458" max="8458" width="13.08984375" bestFit="1" customWidth="1"/>
    <col min="8714" max="8714" width="13.08984375" bestFit="1" customWidth="1"/>
    <col min="8970" max="8970" width="13.08984375" bestFit="1" customWidth="1"/>
    <col min="9226" max="9226" width="13.08984375" bestFit="1" customWidth="1"/>
    <col min="9482" max="9482" width="13.08984375" bestFit="1" customWidth="1"/>
    <col min="9738" max="9738" width="13.08984375" bestFit="1" customWidth="1"/>
    <col min="9994" max="9994" width="13.08984375" bestFit="1" customWidth="1"/>
    <col min="10250" max="10250" width="13.08984375" bestFit="1" customWidth="1"/>
    <col min="10506" max="10506" width="13.08984375" bestFit="1" customWidth="1"/>
    <col min="10762" max="10762" width="13.08984375" bestFit="1" customWidth="1"/>
    <col min="11018" max="11018" width="13.08984375" bestFit="1" customWidth="1"/>
    <col min="11274" max="11274" width="13.08984375" bestFit="1" customWidth="1"/>
    <col min="11530" max="11530" width="13.08984375" bestFit="1" customWidth="1"/>
    <col min="11786" max="11786" width="13.08984375" bestFit="1" customWidth="1"/>
    <col min="12042" max="12042" width="13.08984375" bestFit="1" customWidth="1"/>
    <col min="12298" max="12298" width="13.08984375" bestFit="1" customWidth="1"/>
    <col min="12554" max="12554" width="13.08984375" bestFit="1" customWidth="1"/>
    <col min="12810" max="12810" width="13.08984375" bestFit="1" customWidth="1"/>
    <col min="13066" max="13066" width="13.08984375" bestFit="1" customWidth="1"/>
    <col min="13322" max="13322" width="13.08984375" bestFit="1" customWidth="1"/>
    <col min="13578" max="13578" width="13.08984375" bestFit="1" customWidth="1"/>
    <col min="13834" max="13834" width="13.08984375" bestFit="1" customWidth="1"/>
    <col min="14090" max="14090" width="13.08984375" bestFit="1" customWidth="1"/>
    <col min="14346" max="14346" width="13.08984375" bestFit="1" customWidth="1"/>
    <col min="14602" max="14602" width="13.08984375" bestFit="1" customWidth="1"/>
    <col min="14858" max="14858" width="13.08984375" bestFit="1" customWidth="1"/>
    <col min="15114" max="15114" width="13.08984375" bestFit="1" customWidth="1"/>
    <col min="15370" max="15370" width="13.08984375" bestFit="1" customWidth="1"/>
    <col min="15626" max="15626" width="13.08984375" bestFit="1" customWidth="1"/>
    <col min="15882" max="15882" width="13.08984375" bestFit="1" customWidth="1"/>
    <col min="16138" max="16138" width="13.08984375" bestFit="1" customWidth="1"/>
  </cols>
  <sheetData>
    <row r="2" spans="2:16" x14ac:dyDescent="0.35">
      <c r="G2" s="122">
        <f>18795690+5011060</f>
        <v>23806750</v>
      </c>
    </row>
    <row r="3" spans="2:16" x14ac:dyDescent="0.35">
      <c r="B3" s="123"/>
      <c r="C3" s="123" t="s">
        <v>165</v>
      </c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</row>
    <row r="4" spans="2:16" x14ac:dyDescent="0.35">
      <c r="B4" s="123"/>
      <c r="C4" s="123"/>
      <c r="D4" s="123" t="s">
        <v>166</v>
      </c>
      <c r="E4" s="123"/>
      <c r="F4" s="123"/>
      <c r="G4" s="123"/>
      <c r="H4" s="123"/>
      <c r="I4" s="123">
        <f>19142242+2858628</f>
        <v>22000870</v>
      </c>
      <c r="J4" s="123"/>
      <c r="K4" s="123"/>
      <c r="L4" s="123"/>
      <c r="M4" s="123"/>
      <c r="N4" s="123"/>
      <c r="O4" s="123"/>
      <c r="P4" s="123"/>
    </row>
    <row r="5" spans="2:16" x14ac:dyDescent="0.35">
      <c r="B5" s="124"/>
      <c r="C5" s="125">
        <v>45662</v>
      </c>
      <c r="D5" s="125">
        <v>45693</v>
      </c>
      <c r="E5" s="125">
        <v>45721</v>
      </c>
      <c r="F5" s="125">
        <v>45752</v>
      </c>
      <c r="G5" s="125">
        <v>45782</v>
      </c>
      <c r="H5" s="125">
        <v>45813</v>
      </c>
      <c r="I5" s="125">
        <v>45843</v>
      </c>
      <c r="J5" s="125">
        <v>45874</v>
      </c>
      <c r="K5" s="125">
        <v>45905</v>
      </c>
      <c r="L5" s="125">
        <v>45935</v>
      </c>
      <c r="M5" s="125">
        <v>45966</v>
      </c>
      <c r="N5" s="125">
        <v>45996</v>
      </c>
      <c r="O5" s="123"/>
      <c r="P5" s="123"/>
    </row>
    <row r="6" spans="2:16" x14ac:dyDescent="0.35">
      <c r="B6" s="124" t="s">
        <v>167</v>
      </c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3"/>
      <c r="P6" s="123"/>
    </row>
    <row r="7" spans="2:16" x14ac:dyDescent="0.35">
      <c r="B7" s="124" t="s">
        <v>168</v>
      </c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3"/>
      <c r="P7" s="123"/>
    </row>
    <row r="8" spans="2:16" x14ac:dyDescent="0.35">
      <c r="B8" s="124" t="s">
        <v>169</v>
      </c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3"/>
      <c r="P8" s="123"/>
    </row>
    <row r="9" spans="2:16" x14ac:dyDescent="0.35">
      <c r="B9" s="124" t="s">
        <v>170</v>
      </c>
      <c r="C9" s="126">
        <f t="shared" ref="C9:H9" si="0">SUM(C6:C8)</f>
        <v>0</v>
      </c>
      <c r="D9" s="126">
        <f t="shared" si="0"/>
        <v>0</v>
      </c>
      <c r="E9" s="126">
        <f t="shared" si="0"/>
        <v>0</v>
      </c>
      <c r="F9" s="126">
        <f t="shared" si="0"/>
        <v>0</v>
      </c>
      <c r="G9" s="126">
        <f t="shared" si="0"/>
        <v>0</v>
      </c>
      <c r="H9" s="126">
        <f t="shared" si="0"/>
        <v>0</v>
      </c>
      <c r="I9" s="126">
        <f t="shared" ref="I9:N9" si="1">SUM(I6:I8)</f>
        <v>0</v>
      </c>
      <c r="J9" s="126"/>
      <c r="K9" s="126">
        <f t="shared" si="1"/>
        <v>0</v>
      </c>
      <c r="L9" s="126">
        <f t="shared" si="1"/>
        <v>0</v>
      </c>
      <c r="M9" s="126">
        <f t="shared" si="1"/>
        <v>0</v>
      </c>
      <c r="N9" s="126">
        <f t="shared" si="1"/>
        <v>0</v>
      </c>
      <c r="O9" s="123"/>
      <c r="P9" s="123"/>
    </row>
    <row r="10" spans="2:16" x14ac:dyDescent="0.35"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</row>
    <row r="11" spans="2:16" x14ac:dyDescent="0.35">
      <c r="B11" s="124"/>
      <c r="C11" s="125">
        <v>45662</v>
      </c>
      <c r="D11" s="125">
        <v>45693</v>
      </c>
      <c r="E11" s="125">
        <v>45721</v>
      </c>
      <c r="F11" s="125">
        <v>45752</v>
      </c>
      <c r="G11" s="125">
        <v>45782</v>
      </c>
      <c r="H11" s="125">
        <v>45813</v>
      </c>
      <c r="I11" s="125">
        <v>45843</v>
      </c>
      <c r="J11" s="125">
        <v>45874</v>
      </c>
      <c r="K11" s="125">
        <v>45905</v>
      </c>
      <c r="L11" s="125">
        <v>45935</v>
      </c>
      <c r="M11" s="125">
        <v>45966</v>
      </c>
      <c r="N11" s="125">
        <v>45996</v>
      </c>
      <c r="O11" s="123" t="s">
        <v>171</v>
      </c>
      <c r="P11" s="123"/>
    </row>
    <row r="12" spans="2:16" x14ac:dyDescent="0.35">
      <c r="B12" s="123" t="s">
        <v>170</v>
      </c>
      <c r="C12" s="128">
        <v>21917047</v>
      </c>
      <c r="D12" s="328" t="s">
        <v>198</v>
      </c>
      <c r="E12" s="128">
        <v>21778319</v>
      </c>
      <c r="F12" s="128">
        <v>19433715</v>
      </c>
      <c r="G12" s="128">
        <v>18795690</v>
      </c>
      <c r="H12" s="128">
        <v>20781165</v>
      </c>
      <c r="I12" s="128">
        <v>25527328</v>
      </c>
      <c r="J12" s="128">
        <v>20513652</v>
      </c>
      <c r="K12" s="128">
        <v>16803607</v>
      </c>
      <c r="L12" s="128">
        <v>20183174</v>
      </c>
      <c r="M12" s="128"/>
      <c r="N12" s="128"/>
      <c r="O12" s="128">
        <f>AVERAGE(C12:N12)</f>
        <v>20637077.444444444</v>
      </c>
      <c r="P12" s="123"/>
    </row>
    <row r="13" spans="2:16" x14ac:dyDescent="0.35">
      <c r="B13" s="127" t="s">
        <v>172</v>
      </c>
      <c r="C13" s="129">
        <v>22065306</v>
      </c>
      <c r="D13" s="129">
        <v>22000870</v>
      </c>
      <c r="E13" s="129">
        <v>22053607</v>
      </c>
      <c r="F13" s="129">
        <v>22416214</v>
      </c>
      <c r="G13" s="129">
        <v>23806750</v>
      </c>
      <c r="H13" s="129">
        <v>24645041</v>
      </c>
      <c r="I13" s="128">
        <v>23106163</v>
      </c>
      <c r="J13" s="128">
        <v>23038331</v>
      </c>
      <c r="K13" s="128">
        <f>23054728</f>
        <v>23054728</v>
      </c>
      <c r="L13" s="128">
        <v>23108083</v>
      </c>
      <c r="M13" s="128"/>
      <c r="N13" s="128"/>
      <c r="O13" s="128">
        <f>AVERAGE(C13:N13)</f>
        <v>22929509.300000001</v>
      </c>
      <c r="P13" s="123"/>
    </row>
    <row r="14" spans="2:16" x14ac:dyDescent="0.35">
      <c r="B14" s="130" t="s">
        <v>173</v>
      </c>
      <c r="C14" s="131">
        <f t="shared" ref="C14:J14" si="2">C13-C12</f>
        <v>148259</v>
      </c>
      <c r="D14" s="131" t="e">
        <f t="shared" si="2"/>
        <v>#VALUE!</v>
      </c>
      <c r="E14" s="131">
        <f t="shared" si="2"/>
        <v>275288</v>
      </c>
      <c r="F14" s="131">
        <f t="shared" si="2"/>
        <v>2982499</v>
      </c>
      <c r="G14" s="131">
        <f t="shared" si="2"/>
        <v>5011060</v>
      </c>
      <c r="H14" s="131">
        <f t="shared" si="2"/>
        <v>3863876</v>
      </c>
      <c r="I14" s="131">
        <f t="shared" si="2"/>
        <v>-2421165</v>
      </c>
      <c r="J14" s="131">
        <f t="shared" si="2"/>
        <v>2524679</v>
      </c>
      <c r="K14" s="131">
        <v>2825917</v>
      </c>
      <c r="L14" s="131">
        <v>2825917</v>
      </c>
      <c r="M14" s="131"/>
      <c r="N14" s="131"/>
      <c r="O14" s="128" t="e">
        <f>AVERAGE(C14:N14)</f>
        <v>#VALUE!</v>
      </c>
      <c r="P14" s="123"/>
    </row>
    <row r="15" spans="2:16" x14ac:dyDescent="0.35">
      <c r="B15" s="123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</row>
    <row r="16" spans="2:16" x14ac:dyDescent="0.35">
      <c r="B16" s="123" t="s">
        <v>171</v>
      </c>
      <c r="C16" s="123"/>
      <c r="D16" s="128" t="e">
        <f>AVERAGE(C14:E14)</f>
        <v>#VALUE!</v>
      </c>
      <c r="E16" s="128" t="e">
        <f>AVERAGE(C14:E14)</f>
        <v>#VALUE!</v>
      </c>
      <c r="F16" s="128" t="e">
        <f>AVERAGE(C14:F14)</f>
        <v>#VALUE!</v>
      </c>
      <c r="G16" s="128" t="e">
        <f>AVERAGE(C14:G14)</f>
        <v>#VALUE!</v>
      </c>
      <c r="H16" s="128" t="e">
        <f t="shared" ref="H16:N16" si="3">AVERAGE(C14:H14)</f>
        <v>#VALUE!</v>
      </c>
      <c r="I16" s="128" t="e">
        <f t="shared" si="3"/>
        <v>#VALUE!</v>
      </c>
      <c r="J16" s="128">
        <f t="shared" si="3"/>
        <v>2039372.8333333333</v>
      </c>
      <c r="K16" s="128">
        <f t="shared" si="3"/>
        <v>2464477.6666666665</v>
      </c>
      <c r="L16" s="128">
        <f t="shared" si="3"/>
        <v>2438380.6666666665</v>
      </c>
      <c r="M16" s="128">
        <f t="shared" si="3"/>
        <v>1923844.8</v>
      </c>
      <c r="N16" s="128">
        <f t="shared" si="3"/>
        <v>1438837</v>
      </c>
      <c r="O16" s="123"/>
      <c r="P16" s="123"/>
    </row>
    <row r="17" spans="2:16" x14ac:dyDescent="0.35">
      <c r="B17" s="123" t="s">
        <v>174</v>
      </c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</row>
    <row r="18" spans="2:16" x14ac:dyDescent="0.35">
      <c r="B18" s="124"/>
      <c r="C18" s="125">
        <v>45662</v>
      </c>
      <c r="D18" s="125">
        <v>45693</v>
      </c>
      <c r="E18" s="125">
        <v>45721</v>
      </c>
      <c r="F18" s="125">
        <v>45752</v>
      </c>
      <c r="G18" s="125">
        <v>45782</v>
      </c>
      <c r="H18" s="125">
        <v>45813</v>
      </c>
      <c r="I18" s="125">
        <v>45843</v>
      </c>
      <c r="J18" s="125">
        <v>45874</v>
      </c>
      <c r="K18" s="125">
        <v>45905</v>
      </c>
      <c r="L18" s="125">
        <v>45935</v>
      </c>
      <c r="M18" s="125">
        <v>45966</v>
      </c>
      <c r="N18" s="125">
        <v>45996</v>
      </c>
      <c r="O18" s="127" t="s">
        <v>171</v>
      </c>
      <c r="P18" s="127"/>
    </row>
    <row r="19" spans="2:16" x14ac:dyDescent="0.35">
      <c r="B19" s="124" t="s">
        <v>167</v>
      </c>
      <c r="C19" s="126">
        <f>C6</f>
        <v>0</v>
      </c>
      <c r="D19" s="126">
        <v>4497655</v>
      </c>
      <c r="E19" s="126">
        <v>2825917</v>
      </c>
      <c r="F19" s="126">
        <f t="shared" ref="F19:K19" si="4">F6</f>
        <v>0</v>
      </c>
      <c r="G19" s="126">
        <f t="shared" si="4"/>
        <v>0</v>
      </c>
      <c r="H19" s="126">
        <f t="shared" si="4"/>
        <v>0</v>
      </c>
      <c r="I19" s="126">
        <f t="shared" si="4"/>
        <v>0</v>
      </c>
      <c r="J19" s="126">
        <f t="shared" si="4"/>
        <v>0</v>
      </c>
      <c r="K19" s="126">
        <f t="shared" si="4"/>
        <v>0</v>
      </c>
      <c r="L19" s="126"/>
      <c r="M19" s="126"/>
      <c r="N19" s="126"/>
      <c r="O19" s="123">
        <f>AVERAGE(C19:N19)</f>
        <v>813730.22222222225</v>
      </c>
      <c r="P19" s="123"/>
    </row>
    <row r="20" spans="2:16" x14ac:dyDescent="0.35">
      <c r="B20" s="123"/>
      <c r="C20" s="132">
        <f>C19/C25</f>
        <v>0</v>
      </c>
      <c r="D20" s="133">
        <f>D19/13230566</f>
        <v>0.33994426239965847</v>
      </c>
      <c r="E20" s="133">
        <f>E19/E12</f>
        <v>0.12975827014013341</v>
      </c>
      <c r="F20" s="133">
        <f>F19/13596739</f>
        <v>0</v>
      </c>
      <c r="G20" s="133">
        <f>G19/G25</f>
        <v>0</v>
      </c>
      <c r="H20" s="133">
        <f>H19/12196978</f>
        <v>0</v>
      </c>
      <c r="I20" s="133">
        <f>I19/12196978</f>
        <v>0</v>
      </c>
      <c r="J20" s="133">
        <f>J19/12196978</f>
        <v>0</v>
      </c>
      <c r="K20" s="133">
        <f>K19/12196978</f>
        <v>0</v>
      </c>
      <c r="L20" s="133"/>
      <c r="M20" s="133"/>
      <c r="N20" s="133"/>
      <c r="O20" s="134">
        <f>AVERAGE(C20:N20)</f>
        <v>5.2189170282199097E-2</v>
      </c>
      <c r="P20" s="123"/>
    </row>
    <row r="21" spans="2:16" x14ac:dyDescent="0.35">
      <c r="B21" s="124" t="s">
        <v>168</v>
      </c>
      <c r="C21" s="126">
        <f>C7</f>
        <v>0</v>
      </c>
      <c r="D21" s="126">
        <v>4278192</v>
      </c>
      <c r="E21" s="126">
        <v>4080381</v>
      </c>
      <c r="F21" s="126">
        <f t="shared" ref="F21:K21" si="5">F7</f>
        <v>0</v>
      </c>
      <c r="G21" s="126">
        <f t="shared" si="5"/>
        <v>0</v>
      </c>
      <c r="H21" s="126">
        <f t="shared" si="5"/>
        <v>0</v>
      </c>
      <c r="I21" s="126">
        <f t="shared" si="5"/>
        <v>0</v>
      </c>
      <c r="J21" s="126">
        <f t="shared" si="5"/>
        <v>0</v>
      </c>
      <c r="K21" s="126">
        <f t="shared" si="5"/>
        <v>0</v>
      </c>
      <c r="L21" s="126"/>
      <c r="M21" s="126"/>
      <c r="N21" s="126"/>
      <c r="O21" s="123"/>
      <c r="P21" s="123"/>
    </row>
    <row r="22" spans="2:16" x14ac:dyDescent="0.35">
      <c r="B22" s="123"/>
      <c r="C22" s="132">
        <f>C21/C25</f>
        <v>0</v>
      </c>
      <c r="D22" s="133">
        <f>D21/13230566</f>
        <v>0.32335668783935623</v>
      </c>
      <c r="E22" s="133">
        <f>E21/E12</f>
        <v>0.18735977740063409</v>
      </c>
      <c r="F22" s="133">
        <f>F21/13596739</f>
        <v>0</v>
      </c>
      <c r="G22" s="133">
        <f>G21/G25</f>
        <v>0</v>
      </c>
      <c r="H22" s="133">
        <f>H21/13596739</f>
        <v>0</v>
      </c>
      <c r="I22" s="133">
        <f>I21/13596739</f>
        <v>0</v>
      </c>
      <c r="J22" s="133">
        <f>J21/13596739</f>
        <v>0</v>
      </c>
      <c r="K22" s="133">
        <f>K21/13596739</f>
        <v>0</v>
      </c>
      <c r="L22" s="133"/>
      <c r="M22" s="133"/>
      <c r="N22" s="133"/>
      <c r="O22" s="134">
        <f>AVERAGE(C22:H22)</f>
        <v>8.5119410873331705E-2</v>
      </c>
      <c r="P22" s="127"/>
    </row>
    <row r="23" spans="2:16" x14ac:dyDescent="0.35">
      <c r="B23" s="124" t="s">
        <v>169</v>
      </c>
      <c r="C23" s="126">
        <f>C8</f>
        <v>0</v>
      </c>
      <c r="D23" s="126">
        <v>4454719</v>
      </c>
      <c r="E23" s="126">
        <v>5290680</v>
      </c>
      <c r="F23" s="126">
        <f t="shared" ref="F23:K23" si="6">F8</f>
        <v>0</v>
      </c>
      <c r="G23" s="126">
        <f t="shared" si="6"/>
        <v>0</v>
      </c>
      <c r="H23" s="126">
        <f t="shared" si="6"/>
        <v>0</v>
      </c>
      <c r="I23" s="126">
        <f t="shared" si="6"/>
        <v>0</v>
      </c>
      <c r="J23" s="126">
        <f t="shared" si="6"/>
        <v>0</v>
      </c>
      <c r="K23" s="126">
        <f t="shared" si="6"/>
        <v>0</v>
      </c>
      <c r="L23" s="126"/>
      <c r="M23" s="126"/>
      <c r="N23" s="126"/>
      <c r="O23" s="127"/>
      <c r="P23" s="127"/>
    </row>
    <row r="24" spans="2:16" x14ac:dyDescent="0.35">
      <c r="B24" s="123"/>
      <c r="C24" s="133">
        <f>C23/C25</f>
        <v>0</v>
      </c>
      <c r="D24" s="133">
        <f>D23/13230566</f>
        <v>0.3366990497609853</v>
      </c>
      <c r="E24" s="133">
        <f>E23/E12</f>
        <v>0.2429333503655631</v>
      </c>
      <c r="F24" s="133">
        <f>F23/13596739</f>
        <v>0</v>
      </c>
      <c r="G24" s="133">
        <f>G23/G25</f>
        <v>0</v>
      </c>
      <c r="H24" s="133">
        <f>H23/12196978</f>
        <v>0</v>
      </c>
      <c r="I24" s="133">
        <f>I23/12196978</f>
        <v>0</v>
      </c>
      <c r="J24" s="133">
        <f>J23/12196978</f>
        <v>0</v>
      </c>
      <c r="K24" s="133">
        <f>K23/12196978</f>
        <v>0</v>
      </c>
      <c r="L24" s="133"/>
      <c r="M24" s="133"/>
      <c r="N24" s="133"/>
      <c r="O24" s="134">
        <f>AVERAGE(C24:H24)</f>
        <v>9.66054000210914E-2</v>
      </c>
      <c r="P24" s="127"/>
    </row>
    <row r="25" spans="2:16" x14ac:dyDescent="0.35">
      <c r="B25" s="124" t="s">
        <v>170</v>
      </c>
      <c r="C25" s="126">
        <f t="shared" ref="C25:H25" si="7">C12</f>
        <v>21917047</v>
      </c>
      <c r="D25" s="126" t="str">
        <f t="shared" si="7"/>
        <v>''''''''''''''''''''''''''''''''''''''''''''''''''''''''''''''''''''''''''''''''''''''''''''''''''''''''''''''''''''''''''''''''''''''''''''''''''''''''''''''''''''''''''''''''''''0''''''''''''''''''''''''''''''''''''''''''''''''''''''''''''''''''0000i'0i0000i''''''''''''''''</v>
      </c>
      <c r="E25" s="126">
        <f t="shared" si="7"/>
        <v>21778319</v>
      </c>
      <c r="F25" s="126">
        <f t="shared" si="7"/>
        <v>19433715</v>
      </c>
      <c r="G25" s="126">
        <f t="shared" si="7"/>
        <v>18795690</v>
      </c>
      <c r="H25" s="126">
        <f t="shared" si="7"/>
        <v>20781165</v>
      </c>
      <c r="I25" s="126">
        <f>I9</f>
        <v>0</v>
      </c>
      <c r="J25" s="126">
        <f>J9</f>
        <v>0</v>
      </c>
      <c r="K25" s="126">
        <f>K9</f>
        <v>0</v>
      </c>
      <c r="L25" s="126"/>
      <c r="M25" s="126"/>
      <c r="N25" s="126"/>
      <c r="O25" s="123"/>
      <c r="P25" s="123"/>
    </row>
    <row r="26" spans="2:16" x14ac:dyDescent="0.35"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</row>
    <row r="27" spans="2:16" x14ac:dyDescent="0.35"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</row>
    <row r="28" spans="2:16" x14ac:dyDescent="0.35"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</row>
    <row r="29" spans="2:16" x14ac:dyDescent="0.35"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</row>
    <row r="30" spans="2:16" x14ac:dyDescent="0.35"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</row>
    <row r="31" spans="2:16" x14ac:dyDescent="0.35">
      <c r="B31" s="123"/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</row>
    <row r="32" spans="2:16" x14ac:dyDescent="0.35"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</row>
    <row r="33" spans="2:16" x14ac:dyDescent="0.35"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</row>
    <row r="34" spans="2:16" x14ac:dyDescent="0.35"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</row>
    <row r="35" spans="2:16" x14ac:dyDescent="0.35"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</row>
    <row r="36" spans="2:16" x14ac:dyDescent="0.35"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</row>
    <row r="37" spans="2:16" x14ac:dyDescent="0.35"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</row>
    <row r="38" spans="2:16" x14ac:dyDescent="0.35"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</row>
    <row r="39" spans="2:16" x14ac:dyDescent="0.35"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</row>
    <row r="40" spans="2:16" x14ac:dyDescent="0.35"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</row>
    <row r="41" spans="2:16" x14ac:dyDescent="0.35"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</row>
    <row r="42" spans="2:16" x14ac:dyDescent="0.35">
      <c r="B42" s="123"/>
      <c r="C42" s="123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</row>
    <row r="43" spans="2:16" x14ac:dyDescent="0.35">
      <c r="B43" s="123"/>
      <c r="C43" s="123"/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</row>
    <row r="44" spans="2:16" x14ac:dyDescent="0.35">
      <c r="B44" s="123"/>
      <c r="C44" s="123"/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23"/>
    </row>
    <row r="45" spans="2:16" x14ac:dyDescent="0.35">
      <c r="B45" s="123"/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</row>
    <row r="46" spans="2:16" x14ac:dyDescent="0.35">
      <c r="B46" s="123"/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</row>
    <row r="47" spans="2:16" x14ac:dyDescent="0.35">
      <c r="B47" s="123"/>
      <c r="C47" s="123"/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123"/>
    </row>
    <row r="65" spans="2:14" x14ac:dyDescent="0.35">
      <c r="B65" s="124"/>
      <c r="C65" s="135">
        <v>44931</v>
      </c>
      <c r="D65" s="135">
        <v>44962</v>
      </c>
      <c r="E65" s="135">
        <v>44990</v>
      </c>
      <c r="F65" s="135">
        <v>45022</v>
      </c>
      <c r="G65" s="135">
        <v>45054</v>
      </c>
      <c r="H65" s="135">
        <v>45086</v>
      </c>
      <c r="I65" s="135">
        <v>45118</v>
      </c>
      <c r="J65" s="135">
        <v>45150</v>
      </c>
      <c r="K65" s="136"/>
      <c r="L65" s="137" t="s">
        <v>175</v>
      </c>
      <c r="M65" s="137"/>
      <c r="N65" s="137" t="s">
        <v>176</v>
      </c>
    </row>
    <row r="66" spans="2:14" x14ac:dyDescent="0.35">
      <c r="B66" s="123"/>
      <c r="C66" s="128"/>
      <c r="D66" s="128"/>
      <c r="E66" s="128"/>
      <c r="F66" s="128"/>
      <c r="G66" s="128"/>
      <c r="H66" s="128"/>
      <c r="I66" s="128"/>
      <c r="J66" s="128"/>
    </row>
    <row r="67" spans="2:14" x14ac:dyDescent="0.35">
      <c r="B67" s="127" t="s">
        <v>177</v>
      </c>
      <c r="C67" s="129"/>
      <c r="D67" s="129">
        <v>4</v>
      </c>
      <c r="E67" s="129">
        <v>1</v>
      </c>
      <c r="F67" s="129">
        <v>5</v>
      </c>
      <c r="G67" s="129">
        <v>4</v>
      </c>
      <c r="H67" s="129">
        <v>2</v>
      </c>
      <c r="I67" s="128">
        <v>2</v>
      </c>
      <c r="J67" s="128">
        <v>2</v>
      </c>
      <c r="L67">
        <v>4</v>
      </c>
      <c r="N67">
        <v>1</v>
      </c>
    </row>
    <row r="68" spans="2:14" x14ac:dyDescent="0.35">
      <c r="B68" s="127"/>
      <c r="C68" s="129"/>
      <c r="D68" s="129"/>
      <c r="E68" s="129"/>
      <c r="F68" s="129"/>
      <c r="G68" s="129"/>
      <c r="H68" s="129"/>
      <c r="I68" s="128"/>
      <c r="J68" s="128"/>
    </row>
    <row r="69" spans="2:14" x14ac:dyDescent="0.35">
      <c r="B69" s="127" t="s">
        <v>178</v>
      </c>
      <c r="C69" s="131"/>
      <c r="D69" s="131"/>
      <c r="E69" s="131">
        <v>2</v>
      </c>
      <c r="F69" s="131"/>
      <c r="G69" s="131">
        <v>2</v>
      </c>
      <c r="H69" s="131"/>
      <c r="I69" s="131">
        <v>1</v>
      </c>
      <c r="J69" s="131"/>
      <c r="N69">
        <v>3</v>
      </c>
    </row>
    <row r="70" spans="2:14" x14ac:dyDescent="0.35">
      <c r="B70" s="127"/>
      <c r="C70" s="131"/>
      <c r="D70" s="131"/>
      <c r="E70" s="131"/>
      <c r="F70" s="131"/>
      <c r="G70" s="131"/>
      <c r="H70" s="131"/>
      <c r="I70" s="131"/>
      <c r="J70" s="131"/>
    </row>
    <row r="71" spans="2:14" x14ac:dyDescent="0.35">
      <c r="B71" s="127" t="s">
        <v>179</v>
      </c>
      <c r="C71" s="123"/>
      <c r="D71" s="123">
        <v>1</v>
      </c>
      <c r="E71" s="123"/>
      <c r="F71" s="123"/>
      <c r="G71" s="123"/>
      <c r="H71" s="123">
        <v>1</v>
      </c>
      <c r="I71" s="123"/>
      <c r="J71" s="123">
        <v>1</v>
      </c>
    </row>
    <row r="72" spans="2:14" x14ac:dyDescent="0.35">
      <c r="B72" s="127"/>
      <c r="C72" s="123"/>
      <c r="D72" s="123"/>
      <c r="E72" s="123"/>
      <c r="F72" s="123"/>
      <c r="G72" s="123"/>
      <c r="H72" s="123"/>
      <c r="I72" s="123"/>
      <c r="J72" s="123"/>
    </row>
    <row r="73" spans="2:14" x14ac:dyDescent="0.35">
      <c r="B73" s="127" t="s">
        <v>180</v>
      </c>
      <c r="C73" s="123"/>
      <c r="D73" s="123"/>
      <c r="E73" s="123"/>
      <c r="F73" s="123"/>
      <c r="G73" s="123"/>
      <c r="H73" s="123"/>
      <c r="I73" s="123"/>
      <c r="J73" s="123"/>
      <c r="L73">
        <v>1</v>
      </c>
    </row>
    <row r="74" spans="2:14" x14ac:dyDescent="0.35">
      <c r="B74" s="123" t="s">
        <v>181</v>
      </c>
      <c r="C74" s="123"/>
      <c r="D74" s="128">
        <f>SUM(D67:D72)</f>
        <v>5</v>
      </c>
      <c r="E74" s="128">
        <f t="shared" ref="E74:N74" si="8">SUM(E67:E72)</f>
        <v>3</v>
      </c>
      <c r="F74" s="128">
        <f t="shared" si="8"/>
        <v>5</v>
      </c>
      <c r="G74" s="128">
        <f t="shared" si="8"/>
        <v>6</v>
      </c>
      <c r="H74" s="128">
        <f t="shared" si="8"/>
        <v>3</v>
      </c>
      <c r="I74" s="128">
        <f t="shared" si="8"/>
        <v>3</v>
      </c>
      <c r="J74" s="128">
        <f t="shared" si="8"/>
        <v>3</v>
      </c>
      <c r="K74" s="128"/>
      <c r="L74" s="128">
        <f t="shared" si="8"/>
        <v>4</v>
      </c>
      <c r="M74" s="128"/>
      <c r="N74" s="128">
        <f t="shared" si="8"/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Cartera Cont 2024</vt:lpstr>
      <vt:lpstr>CARTERA 2026</vt:lpstr>
      <vt:lpstr>Cartera Cont 2025</vt:lpstr>
      <vt:lpstr>Graficos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Tania Maria Angulo Romero</dc:creator>
  <cp:lastModifiedBy>Tania Maria Angulo Romero</cp:lastModifiedBy>
  <dcterms:created xsi:type="dcterms:W3CDTF">2025-05-07T20:35:11Z</dcterms:created>
  <dcterms:modified xsi:type="dcterms:W3CDTF">2026-06-27T04:12:52Z</dcterms:modified>
</cp:coreProperties>
</file>