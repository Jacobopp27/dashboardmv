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2026 Monteverdi\2026 ADMINISTRATIVOS\"/>
    </mc:Choice>
  </mc:AlternateContent>
  <xr:revisionPtr revIDLastSave="0" documentId="8_{2AFBEC31-D64F-4702-9426-B4B295A236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C41" i="1" s="1"/>
  <c r="C43" i="1" s="1"/>
  <c r="C44" i="1" s="1"/>
  <c r="C12" i="1"/>
  <c r="C14" i="1" s="1"/>
  <c r="C15" i="1" s="1"/>
  <c r="C16" i="1" s="1"/>
  <c r="C18" i="1" s="1"/>
  <c r="C20" i="1" s="1"/>
  <c r="C21" i="1" s="1"/>
  <c r="C22" i="1" s="1"/>
  <c r="C24" i="1" s="1"/>
  <c r="C26" i="1" s="1"/>
  <c r="C28" i="1" s="1"/>
  <c r="C30" i="1" s="1"/>
  <c r="C32" i="1" s="1"/>
  <c r="C34" i="1" s="1"/>
  <c r="C37" i="1" s="1"/>
  <c r="C3" i="1" l="1"/>
  <c r="C4" i="1"/>
  <c r="C6" i="1"/>
  <c r="A6" i="1"/>
</calcChain>
</file>

<file path=xl/sharedStrings.xml><?xml version="1.0" encoding="utf-8"?>
<sst xmlns="http://schemas.openxmlformats.org/spreadsheetml/2006/main" count="177" uniqueCount="159">
  <si>
    <t>División</t>
  </si>
  <si>
    <t>Piso</t>
  </si>
  <si>
    <t>Tipo Unidad</t>
  </si>
  <si>
    <t>Área (m²)</t>
  </si>
  <si>
    <t>Juan</t>
  </si>
  <si>
    <t>Pérez</t>
  </si>
  <si>
    <t>María</t>
  </si>
  <si>
    <t>González</t>
  </si>
  <si>
    <t>maria.gonzalez@example.com</t>
  </si>
  <si>
    <t>Carlos</t>
  </si>
  <si>
    <t>Rodríguez</t>
  </si>
  <si>
    <t>Nota: No altere las columnas de la tabla, títulos o encabezados del formato, si la informacion del residente queda en blanco la plataforma asume que el propietario y el residente son el mismo.</t>
  </si>
  <si>
    <t>PLANTILLA IMPORTAR INFORMACIÓN RESIDENTES</t>
  </si>
  <si>
    <t>PROPIETARIO</t>
  </si>
  <si>
    <t>RESIDENTE</t>
  </si>
  <si>
    <t>juan.perez@example.comm</t>
  </si>
  <si>
    <t>carlos.rodriguez@example.comm</t>
  </si>
  <si>
    <t>Nombres</t>
  </si>
  <si>
    <t>Celular</t>
  </si>
  <si>
    <t>Correo electrónico</t>
  </si>
  <si>
    <t>Apellidos</t>
  </si>
  <si>
    <t>Torre</t>
  </si>
  <si>
    <t>Manzana</t>
  </si>
  <si>
    <t>Interior</t>
  </si>
  <si>
    <t>Etapa</t>
  </si>
  <si>
    <t>Apartamento</t>
  </si>
  <si>
    <t>Casa</t>
  </si>
  <si>
    <t>Chalet</t>
  </si>
  <si>
    <t>Lote</t>
  </si>
  <si>
    <t>Edificio</t>
  </si>
  <si>
    <t>Otro</t>
  </si>
  <si>
    <t>ninguno</t>
  </si>
  <si>
    <t>rfrather@hotmail.com</t>
  </si>
  <si>
    <t>olgaarbelaez20@hotmail.com</t>
  </si>
  <si>
    <t>lilianagomez@eficacia.com.co</t>
  </si>
  <si>
    <t>juancamilosotoacosta@gmail.com</t>
  </si>
  <si>
    <t>erramir@me.com</t>
  </si>
  <si>
    <t>gzuluagag@hotmail.com</t>
  </si>
  <si>
    <t>vcardonam@live.com</t>
  </si>
  <si>
    <t>drfernandopereira@gmail.com</t>
  </si>
  <si>
    <t>zinsignares@htpu.org.co</t>
  </si>
  <si>
    <t>wacoscast@gmail.com</t>
  </si>
  <si>
    <t>lguevaraf@hotmail.com</t>
  </si>
  <si>
    <t>liliana2008galle@hotmail.com</t>
  </si>
  <si>
    <t>marlend73@hotmail.com</t>
  </si>
  <si>
    <t>jimpromero@hotmail.com</t>
  </si>
  <si>
    <t>angelina.nino@</t>
  </si>
  <si>
    <t>felipemaya318@gmail.com</t>
  </si>
  <si>
    <t>Paula Valencia</t>
  </si>
  <si>
    <t>jutamayo65@hotmail.com</t>
  </si>
  <si>
    <t>patriciacalle350@hotmail.com</t>
  </si>
  <si>
    <t>juancrendon@gmail.com</t>
  </si>
  <si>
    <t>gmzmariana95@gmail.com</t>
  </si>
  <si>
    <t>margaritagonzalez74@gmail.com</t>
  </si>
  <si>
    <t>miguelmontoyaestrada@gmail.com</t>
  </si>
  <si>
    <t>Elena Alvarez</t>
  </si>
  <si>
    <t>elenaalvarez@gmail.com</t>
  </si>
  <si>
    <t>maresur@hotmail.com</t>
  </si>
  <si>
    <t>xmebe@hotmail.com</t>
  </si>
  <si>
    <t>jajimen1@unal.edu.co</t>
  </si>
  <si>
    <t>obrablancaarq@gmail.com</t>
  </si>
  <si>
    <t>pavamedellin@yahoo.es</t>
  </si>
  <si>
    <t>rusbel2374@gmail.com</t>
  </si>
  <si>
    <t>gerencia@zerie.com</t>
  </si>
  <si>
    <t>karitomejis91@gmail.com</t>
  </si>
  <si>
    <t>glocebe1@hotmail.com</t>
  </si>
  <si>
    <t>raheno569@569@yahoo.com</t>
  </si>
  <si>
    <t>gustavogalanrojas@gmail.com</t>
  </si>
  <si>
    <t>valeria.giraldo@ucp.edu</t>
  </si>
  <si>
    <t>juandiegorestrepo@hotmail.com</t>
  </si>
  <si>
    <t>isabelcristinaupegui@gmail.com</t>
  </si>
  <si>
    <t>cami.san935@gmail.com</t>
  </si>
  <si>
    <t>ravalderrama@gmail.com</t>
  </si>
  <si>
    <t>gerencia@colflavor.com</t>
  </si>
  <si>
    <t>ineselenapardo@gmail.com</t>
  </si>
  <si>
    <t>Taborda</t>
  </si>
  <si>
    <t>Arbelaez</t>
  </si>
  <si>
    <t>Gómez</t>
  </si>
  <si>
    <t>Acosta</t>
  </si>
  <si>
    <t>Zuluaga</t>
  </si>
  <si>
    <t>Cardóna</t>
  </si>
  <si>
    <t>Insignares</t>
  </si>
  <si>
    <t>Castellanos</t>
  </si>
  <si>
    <t xml:space="preserve">Raul </t>
  </si>
  <si>
    <t xml:space="preserve">Olga </t>
  </si>
  <si>
    <t>Liliana</t>
  </si>
  <si>
    <t>Juan Camilo</t>
  </si>
  <si>
    <t>Erika</t>
  </si>
  <si>
    <t xml:space="preserve"> Ramirez</t>
  </si>
  <si>
    <t>Gloria</t>
  </si>
  <si>
    <t xml:space="preserve">Victor Alfonso </t>
  </si>
  <si>
    <t xml:space="preserve">Fernando </t>
  </si>
  <si>
    <t xml:space="preserve"> Pereira</t>
  </si>
  <si>
    <t>Zoila</t>
  </si>
  <si>
    <t xml:space="preserve">William </t>
  </si>
  <si>
    <t>Lisset</t>
  </si>
  <si>
    <t>Guevara</t>
  </si>
  <si>
    <t xml:space="preserve"> Gallego</t>
  </si>
  <si>
    <t xml:space="preserve">Marleni </t>
  </si>
  <si>
    <t>Giraldo</t>
  </si>
  <si>
    <t xml:space="preserve">Jim Pabel </t>
  </si>
  <si>
    <t xml:space="preserve"> Romero</t>
  </si>
  <si>
    <t xml:space="preserve">Angelica </t>
  </si>
  <si>
    <t>Niño</t>
  </si>
  <si>
    <t>Juan Felipe</t>
  </si>
  <si>
    <t>Maya</t>
  </si>
  <si>
    <t xml:space="preserve">Juan Carlos </t>
  </si>
  <si>
    <t>Tamayo</t>
  </si>
  <si>
    <t>Patricia</t>
  </si>
  <si>
    <t>Calle</t>
  </si>
  <si>
    <t xml:space="preserve"> Rendon</t>
  </si>
  <si>
    <t xml:space="preserve">Daniela </t>
  </si>
  <si>
    <t>Monsalve</t>
  </si>
  <si>
    <t xml:space="preserve">Mariana </t>
  </si>
  <si>
    <t xml:space="preserve">Margarita </t>
  </si>
  <si>
    <t>Gonzalez</t>
  </si>
  <si>
    <t xml:space="preserve">Miguel Angel </t>
  </si>
  <si>
    <t>Montoya</t>
  </si>
  <si>
    <t xml:space="preserve">Maria </t>
  </si>
  <si>
    <t>Escobar</t>
  </si>
  <si>
    <t>Gloria Xiomara</t>
  </si>
  <si>
    <t>Meneses</t>
  </si>
  <si>
    <t xml:space="preserve">Jobani </t>
  </si>
  <si>
    <t>Jimenez</t>
  </si>
  <si>
    <t>Julio Cesar</t>
  </si>
  <si>
    <t>David</t>
  </si>
  <si>
    <t xml:space="preserve">Patricia </t>
  </si>
  <si>
    <t xml:space="preserve"> Vasquez</t>
  </si>
  <si>
    <t>Rusvel</t>
  </si>
  <si>
    <t xml:space="preserve"> Espinoza</t>
  </si>
  <si>
    <t>Juan Carlos</t>
  </si>
  <si>
    <t>Moreno</t>
  </si>
  <si>
    <t>Dario</t>
  </si>
  <si>
    <t>Posada</t>
  </si>
  <si>
    <t>Ana Maria</t>
  </si>
  <si>
    <t>Osorio</t>
  </si>
  <si>
    <t xml:space="preserve">Karol </t>
  </si>
  <si>
    <t>Mejia</t>
  </si>
  <si>
    <t xml:space="preserve">Gloria </t>
  </si>
  <si>
    <t xml:space="preserve"> Betancur</t>
  </si>
  <si>
    <t xml:space="preserve">Ramon </t>
  </si>
  <si>
    <t>Henao</t>
  </si>
  <si>
    <t xml:space="preserve">Gustavo </t>
  </si>
  <si>
    <t>Galan</t>
  </si>
  <si>
    <t>Idárraga</t>
  </si>
  <si>
    <t>Juan Diego</t>
  </si>
  <si>
    <t xml:space="preserve"> Restrepo</t>
  </si>
  <si>
    <t xml:space="preserve">Isabel Cristina </t>
  </si>
  <si>
    <t>Upegui</t>
  </si>
  <si>
    <t>Edwin</t>
  </si>
  <si>
    <t>Robinson</t>
  </si>
  <si>
    <t>Valderrama</t>
  </si>
  <si>
    <t xml:space="preserve">Carlos Esteban </t>
  </si>
  <si>
    <t xml:space="preserve">Ines </t>
  </si>
  <si>
    <t>Pardo</t>
  </si>
  <si>
    <t>vicky_ochoa@hotmail.com</t>
  </si>
  <si>
    <t>Daniela</t>
  </si>
  <si>
    <t>dmonsalvesuarez@gmail.com</t>
  </si>
  <si>
    <t>paulita0990@hotmail.com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</si>
</sst>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4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FF000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1" applyBorder="1" applyAlignment="1">
      <alignment vertic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3" borderId="2" xfId="0" applyFill="1" applyBorder="1"/>
    <xf numFmtId="0" fontId="5" fillId="3" borderId="2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vertical="center"/>
    </xf>
    <xf numFmtId="0" fontId="4" fillId="0" borderId="5" xfId="1" applyBorder="1" applyAlignment="1">
      <alignment vertic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right"/>
    </xf>
    <xf numFmtId="1" fontId="4" fillId="0" borderId="0" xfId="1" applyNumberFormat="1" applyFill="1" applyBorder="1" applyAlignment="1">
      <alignment horizontal="right"/>
    </xf>
    <xf numFmtId="1" fontId="7" fillId="0" borderId="0" xfId="0" applyNumberFormat="1" applyFont="1" applyFill="1" applyBorder="1" applyAlignment="1">
      <alignment horizontal="right"/>
    </xf>
    <xf numFmtId="0" fontId="4" fillId="0" borderId="0" xfId="1" applyFill="1" applyBorder="1" applyAlignment="1">
      <alignment horizontal="right"/>
    </xf>
    <xf numFmtId="3" fontId="4" fillId="0" borderId="0" xfId="1" applyNumberFormat="1" applyFill="1" applyBorder="1" applyAlignment="1" applyProtection="1">
      <alignment horizontal="right" wrapText="1"/>
    </xf>
    <xf numFmtId="0" fontId="4" fillId="0" borderId="0" xfId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1497330</xdr:colOff>
      <xdr:row>0</xdr:row>
      <xdr:rowOff>182880</xdr:rowOff>
    </xdr:from>
    <xdr:ext cx="1800225" cy="476250"/>
    <xdr:pic>
      <xdr:nvPicPr>
        <xdr:cNvPr id="2" name="Logo KaiLiving" descr="Logo de KaiLiv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37030" y="182880"/>
          <a:ext cx="1800225" cy="47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liliana2008galle@hotmail.com" TargetMode="External"/><Relationship Id="rId18" Type="http://schemas.openxmlformats.org/officeDocument/2006/relationships/hyperlink" Target="mailto:jutamayo65@hotmail.com" TargetMode="External"/><Relationship Id="rId26" Type="http://schemas.openxmlformats.org/officeDocument/2006/relationships/hyperlink" Target="mailto:gerencia@zerie.com" TargetMode="External"/><Relationship Id="rId39" Type="http://schemas.openxmlformats.org/officeDocument/2006/relationships/hyperlink" Target="mailto:ravalderrama@gmail.com" TargetMode="External"/><Relationship Id="rId21" Type="http://schemas.openxmlformats.org/officeDocument/2006/relationships/hyperlink" Target="mailto:maresur@hotmail.com" TargetMode="External"/><Relationship Id="rId34" Type="http://schemas.openxmlformats.org/officeDocument/2006/relationships/hyperlink" Target="mailto:margaritagonzalez74@gmail.com" TargetMode="External"/><Relationship Id="rId42" Type="http://schemas.openxmlformats.org/officeDocument/2006/relationships/hyperlink" Target="mailto:gerencia@colflavor.com" TargetMode="External"/><Relationship Id="rId47" Type="http://schemas.openxmlformats.org/officeDocument/2006/relationships/hyperlink" Target="mailto:gerencia@zerie.com" TargetMode="External"/><Relationship Id="rId7" Type="http://schemas.openxmlformats.org/officeDocument/2006/relationships/hyperlink" Target="mailto:gzuluagag@hotmail.com" TargetMode="External"/><Relationship Id="rId2" Type="http://schemas.openxmlformats.org/officeDocument/2006/relationships/hyperlink" Target="mailto:carlos.rodriguez@example.comm" TargetMode="External"/><Relationship Id="rId16" Type="http://schemas.openxmlformats.org/officeDocument/2006/relationships/hyperlink" Target="mailto:angelina.nino@" TargetMode="External"/><Relationship Id="rId29" Type="http://schemas.openxmlformats.org/officeDocument/2006/relationships/hyperlink" Target="mailto:gustavogalanrojas@gmail.com" TargetMode="External"/><Relationship Id="rId1" Type="http://schemas.openxmlformats.org/officeDocument/2006/relationships/hyperlink" Target="mailto:juan.perez@example.comm" TargetMode="External"/><Relationship Id="rId6" Type="http://schemas.openxmlformats.org/officeDocument/2006/relationships/hyperlink" Target="mailto:erramir@me.com" TargetMode="External"/><Relationship Id="rId11" Type="http://schemas.openxmlformats.org/officeDocument/2006/relationships/hyperlink" Target="mailto:wacoscast@gmail.com" TargetMode="External"/><Relationship Id="rId24" Type="http://schemas.openxmlformats.org/officeDocument/2006/relationships/hyperlink" Target="mailto:jajimen1@unal.edu.co" TargetMode="External"/><Relationship Id="rId32" Type="http://schemas.openxmlformats.org/officeDocument/2006/relationships/hyperlink" Target="mailto:valeria.giraldo@ucp.edu" TargetMode="External"/><Relationship Id="rId37" Type="http://schemas.openxmlformats.org/officeDocument/2006/relationships/hyperlink" Target="mailto:cami.san935@gmail.com" TargetMode="External"/><Relationship Id="rId40" Type="http://schemas.openxmlformats.org/officeDocument/2006/relationships/hyperlink" Target="mailto:diego.gomez1203@gmail.com" TargetMode="External"/><Relationship Id="rId45" Type="http://schemas.openxmlformats.org/officeDocument/2006/relationships/hyperlink" Target="mailto:dmonsalvesuarez@gmail.com" TargetMode="External"/><Relationship Id="rId5" Type="http://schemas.openxmlformats.org/officeDocument/2006/relationships/hyperlink" Target="mailto:juancamilosotoacosta@gmail.com" TargetMode="External"/><Relationship Id="rId15" Type="http://schemas.openxmlformats.org/officeDocument/2006/relationships/hyperlink" Target="mailto:jimpromero@hotmail.com" TargetMode="External"/><Relationship Id="rId23" Type="http://schemas.openxmlformats.org/officeDocument/2006/relationships/hyperlink" Target="mailto:ineselenapardo@gmail.com" TargetMode="External"/><Relationship Id="rId28" Type="http://schemas.openxmlformats.org/officeDocument/2006/relationships/hyperlink" Target="mailto:raheno569@569@yahoo.com" TargetMode="External"/><Relationship Id="rId36" Type="http://schemas.openxmlformats.org/officeDocument/2006/relationships/hyperlink" Target="mailto:elenaalvarez@gmail.com" TargetMode="External"/><Relationship Id="rId10" Type="http://schemas.openxmlformats.org/officeDocument/2006/relationships/hyperlink" Target="mailto:zinsignares@htpu.org.co" TargetMode="External"/><Relationship Id="rId19" Type="http://schemas.openxmlformats.org/officeDocument/2006/relationships/hyperlink" Target="mailto:juancrendon@gmail.com" TargetMode="External"/><Relationship Id="rId31" Type="http://schemas.openxmlformats.org/officeDocument/2006/relationships/hyperlink" Target="mailto:glocebe1@hotmail.com" TargetMode="External"/><Relationship Id="rId44" Type="http://schemas.openxmlformats.org/officeDocument/2006/relationships/hyperlink" Target="mailto:vicky_ochoa@hotmail.com" TargetMode="External"/><Relationship Id="rId4" Type="http://schemas.openxmlformats.org/officeDocument/2006/relationships/hyperlink" Target="mailto:olgaarbelaez20@hotmail.com" TargetMode="External"/><Relationship Id="rId9" Type="http://schemas.openxmlformats.org/officeDocument/2006/relationships/hyperlink" Target="mailto:drfernandopereira@gmail.com" TargetMode="External"/><Relationship Id="rId14" Type="http://schemas.openxmlformats.org/officeDocument/2006/relationships/hyperlink" Target="mailto:marlend73@hotmail.com" TargetMode="External"/><Relationship Id="rId22" Type="http://schemas.openxmlformats.org/officeDocument/2006/relationships/hyperlink" Target="mailto:xmebe@hotmail.com" TargetMode="External"/><Relationship Id="rId27" Type="http://schemas.openxmlformats.org/officeDocument/2006/relationships/hyperlink" Target="mailto:karitomejis91@gmail.com" TargetMode="External"/><Relationship Id="rId30" Type="http://schemas.openxmlformats.org/officeDocument/2006/relationships/hyperlink" Target="mailto:isabelcristinaupegui@gmail.com" TargetMode="External"/><Relationship Id="rId35" Type="http://schemas.openxmlformats.org/officeDocument/2006/relationships/hyperlink" Target="mailto:pavamedellin@yahoo.es" TargetMode="External"/><Relationship Id="rId43" Type="http://schemas.openxmlformats.org/officeDocument/2006/relationships/hyperlink" Target="mailto:rusbel2374@gmail.com" TargetMode="External"/><Relationship Id="rId48" Type="http://schemas.openxmlformats.org/officeDocument/2006/relationships/drawing" Target="../drawings/drawing1.xml"/><Relationship Id="rId8" Type="http://schemas.openxmlformats.org/officeDocument/2006/relationships/hyperlink" Target="mailto:vcardonam@live.com" TargetMode="External"/><Relationship Id="rId3" Type="http://schemas.openxmlformats.org/officeDocument/2006/relationships/hyperlink" Target="mailto:rfrather@hotmail.com" TargetMode="External"/><Relationship Id="rId12" Type="http://schemas.openxmlformats.org/officeDocument/2006/relationships/hyperlink" Target="mailto:lguevaraf@hotmail.com" TargetMode="External"/><Relationship Id="rId17" Type="http://schemas.openxmlformats.org/officeDocument/2006/relationships/hyperlink" Target="mailto:felipemaya318@gmail.com" TargetMode="External"/><Relationship Id="rId25" Type="http://schemas.openxmlformats.org/officeDocument/2006/relationships/hyperlink" Target="mailto:gmzmariana95@gmail.com" TargetMode="External"/><Relationship Id="rId33" Type="http://schemas.openxmlformats.org/officeDocument/2006/relationships/hyperlink" Target="mailto:obrablancaarq@gmail.com" TargetMode="External"/><Relationship Id="rId38" Type="http://schemas.openxmlformats.org/officeDocument/2006/relationships/hyperlink" Target="mailto:patriciacalle350@hotmail.com" TargetMode="External"/><Relationship Id="rId46" Type="http://schemas.openxmlformats.org/officeDocument/2006/relationships/hyperlink" Target="mailto:paulita0990@hotmail.com" TargetMode="External"/><Relationship Id="rId20" Type="http://schemas.openxmlformats.org/officeDocument/2006/relationships/hyperlink" Target="mailto:miguelmontoyaestrada@gmail.com" TargetMode="External"/><Relationship Id="rId41" Type="http://schemas.openxmlformats.org/officeDocument/2006/relationships/hyperlink" Target="mailto:juandiegorestrepo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tabSelected="1" workbookViewId="0">
      <selection activeCell="G42" sqref="G42"/>
    </sheetView>
  </sheetViews>
  <sheetFormatPr baseColWidth="10" defaultColWidth="9.08984375" defaultRowHeight="14.5" x14ac:dyDescent="0.35"/>
  <cols>
    <col min="1" max="1" width="11.6328125" bestFit="1" customWidth="1"/>
    <col min="2" max="3" width="12.36328125" bestFit="1" customWidth="1"/>
    <col min="4" max="4" width="12" customWidth="1"/>
    <col min="5" max="6" width="22" customWidth="1"/>
    <col min="7" max="7" width="32" customWidth="1"/>
    <col min="8" max="8" width="18" customWidth="1"/>
    <col min="9" max="9" width="25" customWidth="1"/>
    <col min="10" max="10" width="20" customWidth="1"/>
    <col min="11" max="11" width="30" customWidth="1"/>
    <col min="12" max="12" width="18" customWidth="1"/>
    <col min="18" max="18" width="12.36328125" bestFit="1" customWidth="1"/>
  </cols>
  <sheetData>
    <row r="1" spans="1:21" ht="22.5" customHeight="1" x14ac:dyDescent="0.35">
      <c r="A1" s="9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S1" t="s">
        <v>21</v>
      </c>
      <c r="U1" t="s">
        <v>25</v>
      </c>
    </row>
    <row r="2" spans="1:21" ht="28.75" customHeight="1" x14ac:dyDescent="0.35">
      <c r="A2" s="13" t="s">
        <v>12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S2" t="s">
        <v>29</v>
      </c>
      <c r="U2" t="s">
        <v>26</v>
      </c>
    </row>
    <row r="3" spans="1:21" ht="15" customHeight="1" x14ac:dyDescent="0.35">
      <c r="A3" s="4" t="s">
        <v>0</v>
      </c>
      <c r="B3" s="6" t="s">
        <v>30</v>
      </c>
      <c r="C3" s="5" t="str">
        <f>IF(B3="Otro","Cuál?", "")</f>
        <v>Cuál?</v>
      </c>
      <c r="D3" s="7" t="s">
        <v>31</v>
      </c>
      <c r="S3" t="s">
        <v>23</v>
      </c>
      <c r="U3" t="s">
        <v>27</v>
      </c>
    </row>
    <row r="4" spans="1:21" ht="14.4" customHeight="1" x14ac:dyDescent="0.35">
      <c r="A4" s="4" t="s">
        <v>2</v>
      </c>
      <c r="B4" s="6" t="s">
        <v>26</v>
      </c>
      <c r="C4" s="5" t="str">
        <f>IF(B4="Otro","Cuál?", "")</f>
        <v/>
      </c>
      <c r="D4" s="7"/>
      <c r="S4" t="s">
        <v>22</v>
      </c>
      <c r="U4" t="s">
        <v>28</v>
      </c>
    </row>
    <row r="5" spans="1:21" ht="24.9" customHeight="1" x14ac:dyDescent="0.35">
      <c r="E5" s="11" t="s">
        <v>13</v>
      </c>
      <c r="F5" s="11"/>
      <c r="G5" s="11"/>
      <c r="H5" s="11"/>
      <c r="I5" s="12" t="s">
        <v>14</v>
      </c>
      <c r="J5" s="12"/>
      <c r="K5" s="12"/>
      <c r="L5" s="12"/>
      <c r="S5" t="s">
        <v>24</v>
      </c>
      <c r="U5" t="s">
        <v>30</v>
      </c>
    </row>
    <row r="6" spans="1:21" ht="16.25" customHeight="1" x14ac:dyDescent="0.35">
      <c r="A6" s="1" t="str">
        <f>IF(B3="Otro",D3,B3)</f>
        <v>ninguno</v>
      </c>
      <c r="B6" s="1" t="s">
        <v>1</v>
      </c>
      <c r="C6" s="1" t="str">
        <f>IF(B4="Otro",D4,B4)</f>
        <v>Casa</v>
      </c>
      <c r="D6" s="1" t="s">
        <v>3</v>
      </c>
      <c r="E6" s="8" t="s">
        <v>17</v>
      </c>
      <c r="F6" s="8" t="s">
        <v>20</v>
      </c>
      <c r="G6" s="8" t="s">
        <v>19</v>
      </c>
      <c r="H6" s="8" t="s">
        <v>18</v>
      </c>
      <c r="I6" s="1" t="s">
        <v>17</v>
      </c>
      <c r="J6" s="1" t="s">
        <v>20</v>
      </c>
      <c r="K6" s="1" t="s">
        <v>19</v>
      </c>
      <c r="L6" s="1" t="s">
        <v>18</v>
      </c>
      <c r="S6" t="s">
        <v>28</v>
      </c>
    </row>
    <row r="7" spans="1:21" ht="20.149999999999999" customHeight="1" x14ac:dyDescent="0.35">
      <c r="A7" s="2">
        <v>1</v>
      </c>
      <c r="B7" s="2">
        <v>3</v>
      </c>
      <c r="C7" s="2">
        <v>302</v>
      </c>
      <c r="D7" s="2">
        <v>85.5</v>
      </c>
      <c r="E7" s="2" t="s">
        <v>4</v>
      </c>
      <c r="F7" s="2" t="s">
        <v>5</v>
      </c>
      <c r="G7" s="3" t="s">
        <v>15</v>
      </c>
      <c r="H7" s="2">
        <v>3001234567</v>
      </c>
      <c r="I7" s="2" t="s">
        <v>6</v>
      </c>
      <c r="J7" s="2" t="s">
        <v>7</v>
      </c>
      <c r="K7" s="3" t="s">
        <v>8</v>
      </c>
      <c r="L7" s="2">
        <v>3009876543</v>
      </c>
      <c r="S7" t="s">
        <v>30</v>
      </c>
    </row>
    <row r="8" spans="1:21" ht="20.149999999999999" customHeight="1" x14ac:dyDescent="0.35">
      <c r="A8" s="2">
        <v>5</v>
      </c>
      <c r="B8" s="2">
        <v>5</v>
      </c>
      <c r="C8" s="14">
        <v>503</v>
      </c>
      <c r="D8" s="14">
        <v>120</v>
      </c>
      <c r="E8" s="14" t="s">
        <v>9</v>
      </c>
      <c r="F8" s="14" t="s">
        <v>10</v>
      </c>
      <c r="G8" s="15" t="s">
        <v>16</v>
      </c>
      <c r="H8" s="14">
        <v>3001112233</v>
      </c>
      <c r="I8" s="14"/>
      <c r="J8" s="2"/>
      <c r="K8" s="2"/>
      <c r="L8" s="2"/>
    </row>
    <row r="9" spans="1:21" x14ac:dyDescent="0.35">
      <c r="C9" s="16">
        <v>101</v>
      </c>
      <c r="D9" s="16"/>
      <c r="E9" s="17" t="s">
        <v>83</v>
      </c>
      <c r="F9" s="18" t="s">
        <v>75</v>
      </c>
      <c r="G9" s="19" t="s">
        <v>32</v>
      </c>
      <c r="H9" s="20">
        <v>3206960750</v>
      </c>
      <c r="I9" s="20"/>
    </row>
    <row r="10" spans="1:21" x14ac:dyDescent="0.35">
      <c r="C10" s="16">
        <v>101</v>
      </c>
      <c r="D10" s="16"/>
      <c r="E10" s="17" t="s">
        <v>84</v>
      </c>
      <c r="F10" s="18" t="s">
        <v>76</v>
      </c>
      <c r="G10" s="19" t="s">
        <v>33</v>
      </c>
      <c r="H10" s="20">
        <v>3106576601</v>
      </c>
      <c r="I10" s="20"/>
    </row>
    <row r="11" spans="1:21" x14ac:dyDescent="0.35">
      <c r="C11" s="16">
        <v>102</v>
      </c>
      <c r="D11" s="16"/>
      <c r="E11" s="17" t="s">
        <v>85</v>
      </c>
      <c r="F11" s="18" t="s">
        <v>77</v>
      </c>
      <c r="G11" s="19" t="s">
        <v>34</v>
      </c>
      <c r="H11" s="20">
        <v>3155050859</v>
      </c>
      <c r="I11" s="20"/>
    </row>
    <row r="12" spans="1:21" x14ac:dyDescent="0.35">
      <c r="C12" s="16">
        <f>+C11+1</f>
        <v>103</v>
      </c>
      <c r="D12" s="16"/>
      <c r="E12" s="17" t="s">
        <v>86</v>
      </c>
      <c r="F12" s="18" t="s">
        <v>78</v>
      </c>
      <c r="G12" s="19" t="s">
        <v>35</v>
      </c>
      <c r="H12" s="20">
        <v>3217010665</v>
      </c>
      <c r="I12" s="20"/>
    </row>
    <row r="13" spans="1:21" x14ac:dyDescent="0.35">
      <c r="C13" s="16">
        <v>103</v>
      </c>
      <c r="D13" s="16"/>
      <c r="E13" s="17" t="s">
        <v>87</v>
      </c>
      <c r="F13" s="18" t="s">
        <v>88</v>
      </c>
      <c r="G13" s="21" t="s">
        <v>36</v>
      </c>
      <c r="H13" s="18">
        <v>3116381304</v>
      </c>
      <c r="I13" s="18"/>
    </row>
    <row r="14" spans="1:21" x14ac:dyDescent="0.35">
      <c r="C14" s="16">
        <f>+C12+1</f>
        <v>104</v>
      </c>
      <c r="D14" s="16"/>
      <c r="E14" s="17" t="s">
        <v>89</v>
      </c>
      <c r="F14" s="18" t="s">
        <v>79</v>
      </c>
      <c r="G14" s="19" t="s">
        <v>37</v>
      </c>
      <c r="H14" s="20">
        <v>3128502627</v>
      </c>
      <c r="I14" s="20"/>
    </row>
    <row r="15" spans="1:21" x14ac:dyDescent="0.35">
      <c r="C15" s="16">
        <f>+C14+1</f>
        <v>105</v>
      </c>
      <c r="D15" s="16"/>
      <c r="E15" s="17" t="s">
        <v>90</v>
      </c>
      <c r="F15" s="18" t="s">
        <v>80</v>
      </c>
      <c r="G15" s="19" t="s">
        <v>38</v>
      </c>
      <c r="H15" s="20">
        <v>3005865990</v>
      </c>
      <c r="I15" s="20"/>
    </row>
    <row r="16" spans="1:21" x14ac:dyDescent="0.35">
      <c r="C16" s="16">
        <f>+C15+1</f>
        <v>106</v>
      </c>
      <c r="D16" s="16"/>
      <c r="E16" s="17" t="s">
        <v>91</v>
      </c>
      <c r="F16" s="18" t="s">
        <v>92</v>
      </c>
      <c r="G16" s="19" t="s">
        <v>39</v>
      </c>
      <c r="H16" s="20">
        <v>3218123733</v>
      </c>
      <c r="I16" s="20"/>
    </row>
    <row r="17" spans="3:9" x14ac:dyDescent="0.35">
      <c r="C17" s="16">
        <v>106</v>
      </c>
      <c r="D17" s="16"/>
      <c r="E17" s="17" t="s">
        <v>93</v>
      </c>
      <c r="F17" s="18" t="s">
        <v>81</v>
      </c>
      <c r="G17" s="19" t="s">
        <v>40</v>
      </c>
      <c r="H17" s="20">
        <v>3218306179</v>
      </c>
      <c r="I17" s="20"/>
    </row>
    <row r="18" spans="3:9" x14ac:dyDescent="0.35">
      <c r="C18" s="16">
        <f>+C16+1</f>
        <v>107</v>
      </c>
      <c r="D18" s="16"/>
      <c r="E18" s="17" t="s">
        <v>94</v>
      </c>
      <c r="F18" s="18" t="s">
        <v>82</v>
      </c>
      <c r="G18" s="19" t="s">
        <v>41</v>
      </c>
      <c r="H18" s="20">
        <v>3183880658</v>
      </c>
      <c r="I18" s="20"/>
    </row>
    <row r="19" spans="3:9" x14ac:dyDescent="0.35">
      <c r="C19" s="16">
        <v>107</v>
      </c>
      <c r="D19" s="16"/>
      <c r="E19" s="17" t="s">
        <v>95</v>
      </c>
      <c r="F19" s="18" t="s">
        <v>96</v>
      </c>
      <c r="G19" s="19" t="s">
        <v>42</v>
      </c>
      <c r="H19" s="20">
        <v>3045688870</v>
      </c>
      <c r="I19" s="20"/>
    </row>
    <row r="20" spans="3:9" x14ac:dyDescent="0.35">
      <c r="C20" s="16">
        <f>+C18+1</f>
        <v>108</v>
      </c>
      <c r="D20" s="16"/>
      <c r="E20" s="17" t="s">
        <v>85</v>
      </c>
      <c r="F20" s="18" t="s">
        <v>97</v>
      </c>
      <c r="G20" s="19" t="s">
        <v>43</v>
      </c>
      <c r="H20" s="20">
        <v>3127587548</v>
      </c>
      <c r="I20" s="20"/>
    </row>
    <row r="21" spans="3:9" x14ac:dyDescent="0.35">
      <c r="C21" s="16">
        <f>+C20+1</f>
        <v>109</v>
      </c>
      <c r="D21" s="16"/>
      <c r="E21" s="17" t="s">
        <v>98</v>
      </c>
      <c r="F21" s="18" t="s">
        <v>99</v>
      </c>
      <c r="G21" s="19" t="s">
        <v>44</v>
      </c>
      <c r="H21" s="20">
        <v>3173639198</v>
      </c>
      <c r="I21" s="20"/>
    </row>
    <row r="22" spans="3:9" x14ac:dyDescent="0.35">
      <c r="C22" s="16">
        <f>+C21+1</f>
        <v>110</v>
      </c>
      <c r="D22" s="16"/>
      <c r="E22" s="17" t="s">
        <v>100</v>
      </c>
      <c r="F22" s="18" t="s">
        <v>101</v>
      </c>
      <c r="G22" s="19" t="s">
        <v>45</v>
      </c>
      <c r="H22" s="20">
        <v>3216092509</v>
      </c>
      <c r="I22" s="20"/>
    </row>
    <row r="23" spans="3:9" x14ac:dyDescent="0.35">
      <c r="C23" s="16">
        <v>110</v>
      </c>
      <c r="D23" s="16"/>
      <c r="E23" s="17" t="s">
        <v>102</v>
      </c>
      <c r="F23" s="18" t="s">
        <v>103</v>
      </c>
      <c r="G23" s="19" t="s">
        <v>46</v>
      </c>
      <c r="H23" s="20">
        <v>3112860353</v>
      </c>
      <c r="I23" s="20"/>
    </row>
    <row r="24" spans="3:9" x14ac:dyDescent="0.35">
      <c r="C24" s="16">
        <f>+C22+1</f>
        <v>111</v>
      </c>
      <c r="D24" s="16"/>
      <c r="E24" s="17" t="s">
        <v>104</v>
      </c>
      <c r="F24" s="18" t="s">
        <v>105</v>
      </c>
      <c r="G24" s="19" t="s">
        <v>47</v>
      </c>
      <c r="H24" s="20">
        <v>3155880709</v>
      </c>
      <c r="I24" s="20"/>
    </row>
    <row r="25" spans="3:9" x14ac:dyDescent="0.35">
      <c r="C25" s="16">
        <v>111</v>
      </c>
      <c r="D25" s="16"/>
      <c r="E25" s="17" t="s">
        <v>48</v>
      </c>
      <c r="F25" s="18" t="s">
        <v>48</v>
      </c>
      <c r="G25" s="19" t="s">
        <v>158</v>
      </c>
      <c r="H25" s="20">
        <v>3113541844</v>
      </c>
      <c r="I25" s="20"/>
    </row>
    <row r="26" spans="3:9" x14ac:dyDescent="0.35">
      <c r="C26" s="16">
        <f>+C24+1</f>
        <v>112</v>
      </c>
      <c r="D26" s="16"/>
      <c r="E26" s="17" t="s">
        <v>106</v>
      </c>
      <c r="F26" s="18" t="s">
        <v>107</v>
      </c>
      <c r="G26" s="19" t="s">
        <v>49</v>
      </c>
      <c r="H26" s="20">
        <v>3217546375</v>
      </c>
      <c r="I26" s="20"/>
    </row>
    <row r="27" spans="3:9" x14ac:dyDescent="0.35">
      <c r="C27" s="16">
        <v>112</v>
      </c>
      <c r="D27" s="16"/>
      <c r="E27" s="17" t="s">
        <v>108</v>
      </c>
      <c r="F27" s="18" t="s">
        <v>109</v>
      </c>
      <c r="G27" s="19" t="s">
        <v>50</v>
      </c>
      <c r="H27" s="20">
        <v>3146268724</v>
      </c>
      <c r="I27" s="20"/>
    </row>
    <row r="28" spans="3:9" x14ac:dyDescent="0.35">
      <c r="C28" s="16">
        <f>+C26+1</f>
        <v>113</v>
      </c>
      <c r="D28" s="16"/>
      <c r="E28" s="17" t="s">
        <v>86</v>
      </c>
      <c r="F28" s="18" t="s">
        <v>110</v>
      </c>
      <c r="G28" s="19" t="s">
        <v>51</v>
      </c>
      <c r="H28" s="20">
        <v>3136582086</v>
      </c>
      <c r="I28" s="20"/>
    </row>
    <row r="29" spans="3:9" x14ac:dyDescent="0.35">
      <c r="C29" s="16">
        <v>113</v>
      </c>
      <c r="D29" s="16"/>
      <c r="E29" s="17" t="s">
        <v>111</v>
      </c>
      <c r="F29" s="18" t="s">
        <v>112</v>
      </c>
      <c r="G29" s="23" t="s">
        <v>157</v>
      </c>
      <c r="H29" s="20">
        <v>3017080565</v>
      </c>
      <c r="I29" s="20"/>
    </row>
    <row r="30" spans="3:9" x14ac:dyDescent="0.35">
      <c r="C30" s="16">
        <f>+C28+1</f>
        <v>114</v>
      </c>
      <c r="D30" s="16"/>
      <c r="E30" s="17" t="s">
        <v>113</v>
      </c>
      <c r="F30" s="18" t="s">
        <v>77</v>
      </c>
      <c r="G30" s="19" t="s">
        <v>52</v>
      </c>
      <c r="H30" s="20">
        <v>3213121070</v>
      </c>
      <c r="I30" s="20"/>
    </row>
    <row r="31" spans="3:9" x14ac:dyDescent="0.35">
      <c r="C31" s="16">
        <v>114</v>
      </c>
      <c r="D31" s="16"/>
      <c r="E31" s="17" t="s">
        <v>114</v>
      </c>
      <c r="F31" s="18" t="s">
        <v>115</v>
      </c>
      <c r="G31" s="19" t="s">
        <v>53</v>
      </c>
      <c r="H31" s="20">
        <v>3104360927</v>
      </c>
      <c r="I31" s="20"/>
    </row>
    <row r="32" spans="3:9" x14ac:dyDescent="0.35">
      <c r="C32" s="16">
        <f>+C30+1</f>
        <v>115</v>
      </c>
      <c r="D32" s="16"/>
      <c r="E32" s="17" t="s">
        <v>116</v>
      </c>
      <c r="F32" s="18" t="s">
        <v>117</v>
      </c>
      <c r="G32" s="19" t="s">
        <v>54</v>
      </c>
      <c r="H32" s="20">
        <v>3153096969</v>
      </c>
      <c r="I32" s="20"/>
    </row>
    <row r="33" spans="3:12" x14ac:dyDescent="0.35">
      <c r="C33" s="16">
        <v>115</v>
      </c>
      <c r="D33" s="16"/>
      <c r="E33" s="17" t="s">
        <v>55</v>
      </c>
      <c r="F33" s="18" t="s">
        <v>55</v>
      </c>
      <c r="G33" s="19" t="s">
        <v>56</v>
      </c>
      <c r="H33" s="20">
        <v>3152295723</v>
      </c>
      <c r="I33" s="20"/>
    </row>
    <row r="34" spans="3:12" x14ac:dyDescent="0.35">
      <c r="C34" s="16">
        <f>+C32+1</f>
        <v>116</v>
      </c>
      <c r="D34" s="16"/>
      <c r="E34" s="17" t="s">
        <v>118</v>
      </c>
      <c r="F34" s="18" t="s">
        <v>119</v>
      </c>
      <c r="G34" s="19" t="s">
        <v>57</v>
      </c>
      <c r="H34" s="20">
        <v>3122893876</v>
      </c>
      <c r="I34" s="20"/>
    </row>
    <row r="35" spans="3:12" x14ac:dyDescent="0.35">
      <c r="C35" s="16">
        <v>117</v>
      </c>
      <c r="D35" s="16"/>
      <c r="E35" s="17" t="s">
        <v>120</v>
      </c>
      <c r="F35" s="18" t="s">
        <v>121</v>
      </c>
      <c r="G35" s="19" t="s">
        <v>58</v>
      </c>
      <c r="H35" s="20">
        <v>3006179057</v>
      </c>
      <c r="I35" s="20"/>
    </row>
    <row r="36" spans="3:12" x14ac:dyDescent="0.35">
      <c r="C36" s="16">
        <v>117</v>
      </c>
      <c r="D36" s="16"/>
      <c r="E36" s="17" t="s">
        <v>122</v>
      </c>
      <c r="F36" s="18" t="s">
        <v>123</v>
      </c>
      <c r="G36" s="19" t="s">
        <v>59</v>
      </c>
      <c r="H36" s="20">
        <v>3136791507</v>
      </c>
      <c r="I36" s="20"/>
    </row>
    <row r="37" spans="3:12" x14ac:dyDescent="0.35">
      <c r="C37" s="16">
        <f>+C35+1</f>
        <v>118</v>
      </c>
      <c r="D37" s="16"/>
      <c r="E37" s="17" t="s">
        <v>124</v>
      </c>
      <c r="F37" s="18" t="s">
        <v>125</v>
      </c>
      <c r="G37" s="19" t="s">
        <v>60</v>
      </c>
      <c r="H37" s="20">
        <v>3104487458</v>
      </c>
      <c r="I37" s="20"/>
    </row>
    <row r="38" spans="3:12" x14ac:dyDescent="0.35">
      <c r="C38" s="16">
        <v>118</v>
      </c>
      <c r="D38" s="16"/>
      <c r="E38" s="17" t="s">
        <v>126</v>
      </c>
      <c r="F38" s="18" t="s">
        <v>127</v>
      </c>
      <c r="G38" s="19" t="s">
        <v>61</v>
      </c>
      <c r="H38" s="20">
        <v>3146174079</v>
      </c>
      <c r="I38" s="20"/>
    </row>
    <row r="39" spans="3:12" x14ac:dyDescent="0.35">
      <c r="C39" s="16">
        <v>119</v>
      </c>
      <c r="D39" s="16"/>
      <c r="E39" s="17" t="s">
        <v>128</v>
      </c>
      <c r="F39" s="18" t="s">
        <v>129</v>
      </c>
      <c r="G39" s="22" t="s">
        <v>62</v>
      </c>
      <c r="H39" s="20">
        <v>3046246438</v>
      </c>
      <c r="I39" s="20" t="s">
        <v>156</v>
      </c>
      <c r="J39" t="s">
        <v>79</v>
      </c>
      <c r="L39">
        <v>3011576023</v>
      </c>
    </row>
    <row r="40" spans="3:12" x14ac:dyDescent="0.35">
      <c r="C40" s="16">
        <f>+C39+1</f>
        <v>120</v>
      </c>
      <c r="D40" s="16"/>
      <c r="E40" s="17" t="s">
        <v>130</v>
      </c>
      <c r="F40" s="18" t="s">
        <v>131</v>
      </c>
      <c r="G40" s="19" t="s">
        <v>155</v>
      </c>
      <c r="H40" s="20">
        <v>3113033083</v>
      </c>
      <c r="I40" s="20"/>
    </row>
    <row r="41" spans="3:12" x14ac:dyDescent="0.35">
      <c r="C41" s="16">
        <f>+C40+1</f>
        <v>121</v>
      </c>
      <c r="D41" s="16"/>
      <c r="E41" s="17" t="s">
        <v>132</v>
      </c>
      <c r="F41" s="18" t="s">
        <v>133</v>
      </c>
      <c r="G41" s="19" t="s">
        <v>63</v>
      </c>
      <c r="H41" s="20">
        <v>3104485821</v>
      </c>
      <c r="I41" s="20"/>
    </row>
    <row r="42" spans="3:12" x14ac:dyDescent="0.35">
      <c r="C42" s="16">
        <v>121</v>
      </c>
      <c r="D42" s="16"/>
      <c r="E42" s="17" t="s">
        <v>134</v>
      </c>
      <c r="F42" s="18" t="s">
        <v>135</v>
      </c>
      <c r="G42" s="19" t="s">
        <v>63</v>
      </c>
      <c r="H42" s="20">
        <v>3104361027</v>
      </c>
      <c r="I42" s="20"/>
    </row>
    <row r="43" spans="3:12" x14ac:dyDescent="0.35">
      <c r="C43" s="16">
        <f>+C41+1</f>
        <v>122</v>
      </c>
      <c r="D43" s="16"/>
      <c r="E43" s="17" t="s">
        <v>136</v>
      </c>
      <c r="F43" s="18" t="s">
        <v>137</v>
      </c>
      <c r="G43" s="19" t="s">
        <v>64</v>
      </c>
      <c r="H43" s="20">
        <v>3104973368</v>
      </c>
      <c r="I43" s="20"/>
    </row>
    <row r="44" spans="3:12" x14ac:dyDescent="0.35">
      <c r="C44" s="16">
        <f>+C43+1</f>
        <v>123</v>
      </c>
      <c r="D44" s="16"/>
      <c r="E44" s="17" t="s">
        <v>138</v>
      </c>
      <c r="F44" s="18" t="s">
        <v>139</v>
      </c>
      <c r="G44" s="19" t="s">
        <v>65</v>
      </c>
      <c r="H44" s="20">
        <v>3014031358</v>
      </c>
      <c r="I44" s="20"/>
    </row>
    <row r="45" spans="3:12" x14ac:dyDescent="0.35">
      <c r="C45" s="16">
        <v>123</v>
      </c>
      <c r="D45" s="16"/>
      <c r="E45" s="17" t="s">
        <v>140</v>
      </c>
      <c r="F45" s="18" t="s">
        <v>141</v>
      </c>
      <c r="G45" s="19" t="s">
        <v>66</v>
      </c>
      <c r="H45" s="20">
        <v>3007868971</v>
      </c>
      <c r="I45" s="20"/>
    </row>
    <row r="46" spans="3:12" x14ac:dyDescent="0.35">
      <c r="C46" s="16">
        <v>124</v>
      </c>
      <c r="D46" s="16"/>
      <c r="E46" s="17" t="s">
        <v>142</v>
      </c>
      <c r="F46" s="18" t="s">
        <v>143</v>
      </c>
      <c r="G46" s="19" t="s">
        <v>67</v>
      </c>
      <c r="H46" s="20">
        <v>3103899382</v>
      </c>
      <c r="I46" s="20"/>
    </row>
    <row r="47" spans="3:12" x14ac:dyDescent="0.35">
      <c r="C47" s="16">
        <v>125</v>
      </c>
      <c r="D47" s="16"/>
      <c r="E47" s="17" t="s">
        <v>89</v>
      </c>
      <c r="F47" s="18" t="s">
        <v>144</v>
      </c>
      <c r="G47" s="19" t="s">
        <v>68</v>
      </c>
      <c r="H47" s="20">
        <v>3136516289</v>
      </c>
      <c r="I47" s="20"/>
    </row>
    <row r="48" spans="3:12" x14ac:dyDescent="0.35">
      <c r="C48" s="16">
        <v>126</v>
      </c>
      <c r="D48" s="16"/>
      <c r="E48" s="17" t="s">
        <v>145</v>
      </c>
      <c r="F48" s="18" t="s">
        <v>146</v>
      </c>
      <c r="G48" s="19" t="s">
        <v>69</v>
      </c>
      <c r="H48" s="20">
        <v>3187084722</v>
      </c>
      <c r="I48" s="20"/>
    </row>
    <row r="49" spans="3:9" x14ac:dyDescent="0.35">
      <c r="C49" s="16">
        <v>126</v>
      </c>
      <c r="D49" s="16"/>
      <c r="E49" s="17" t="s">
        <v>147</v>
      </c>
      <c r="F49" s="18" t="s">
        <v>148</v>
      </c>
      <c r="G49" s="19" t="s">
        <v>70</v>
      </c>
      <c r="H49" s="20">
        <v>3006952150</v>
      </c>
      <c r="I49" s="20"/>
    </row>
    <row r="50" spans="3:9" x14ac:dyDescent="0.35">
      <c r="C50" s="16">
        <v>127</v>
      </c>
      <c r="D50" s="16"/>
      <c r="E50" s="17" t="s">
        <v>149</v>
      </c>
      <c r="F50" s="18" t="s">
        <v>115</v>
      </c>
      <c r="G50" s="19" t="s">
        <v>71</v>
      </c>
      <c r="H50" s="20">
        <v>3023555360</v>
      </c>
      <c r="I50" s="20"/>
    </row>
    <row r="51" spans="3:9" x14ac:dyDescent="0.35">
      <c r="C51" s="16">
        <v>128</v>
      </c>
      <c r="D51" s="16"/>
      <c r="E51" s="17" t="s">
        <v>150</v>
      </c>
      <c r="F51" s="18" t="s">
        <v>151</v>
      </c>
      <c r="G51" s="19" t="s">
        <v>72</v>
      </c>
      <c r="H51" s="20">
        <v>3104033018</v>
      </c>
      <c r="I51" s="20"/>
    </row>
    <row r="52" spans="3:9" x14ac:dyDescent="0.35">
      <c r="C52" s="16">
        <v>129</v>
      </c>
      <c r="D52" s="16"/>
      <c r="E52" s="17" t="s">
        <v>152</v>
      </c>
      <c r="F52" s="18" t="s">
        <v>146</v>
      </c>
      <c r="G52" s="19" t="s">
        <v>73</v>
      </c>
      <c r="H52" s="20">
        <v>3155865876</v>
      </c>
      <c r="I52" s="20"/>
    </row>
    <row r="53" spans="3:9" x14ac:dyDescent="0.35">
      <c r="C53" s="16">
        <v>129</v>
      </c>
      <c r="D53" s="16"/>
      <c r="E53" s="17" t="s">
        <v>153</v>
      </c>
      <c r="F53" s="18" t="s">
        <v>154</v>
      </c>
      <c r="G53" s="19" t="s">
        <v>74</v>
      </c>
      <c r="H53" s="20">
        <v>3155637794</v>
      </c>
      <c r="I53" s="20"/>
    </row>
  </sheetData>
  <sheetProtection formatCells="0" formatColumns="0" formatRows="0" insertColumns="0" insertRows="0" insertHyperlinks="0" deleteColumns="0" deleteRows="0" sort="0" autoFilter="0" pivotTables="0"/>
  <mergeCells count="4">
    <mergeCell ref="A1:L1"/>
    <mergeCell ref="E5:H5"/>
    <mergeCell ref="I5:L5"/>
    <mergeCell ref="A2:L2"/>
  </mergeCells>
  <dataValidations count="2">
    <dataValidation type="list" allowBlank="1" showInputMessage="1" showErrorMessage="1" sqref="B3" xr:uid="{581656D0-A79F-440B-A6A0-5AAD806A7406}">
      <formula1>$S$1:$S$7</formula1>
    </dataValidation>
    <dataValidation type="list" allowBlank="1" showInputMessage="1" showErrorMessage="1" sqref="B4" xr:uid="{703DCD01-6086-4A30-9CEF-D38025627CF1}">
      <formula1>$U$1:$U$5</formula1>
    </dataValidation>
  </dataValidations>
  <hyperlinks>
    <hyperlink ref="G7" r:id="rId1" xr:uid="{AB6B2956-6FE7-49E5-8563-8B008209D8A0}"/>
    <hyperlink ref="G8" r:id="rId2" xr:uid="{B6F255D6-3C7A-46A8-9D45-BB31C8ECFEEF}"/>
    <hyperlink ref="G9" r:id="rId3" xr:uid="{EA63A1B0-5F83-42F8-93BF-B0C1799623AD}"/>
    <hyperlink ref="G10" r:id="rId4" xr:uid="{A76800F7-4ECE-48D3-85D0-3CA1D90AC539}"/>
    <hyperlink ref="G12" r:id="rId5" xr:uid="{9BC5A7F2-7B76-4D8E-BF0A-B95C716D1C48}"/>
    <hyperlink ref="G13" r:id="rId6" xr:uid="{32A62333-FC83-4B94-A90B-B86E7A8415EF}"/>
    <hyperlink ref="G14" r:id="rId7" xr:uid="{04A49A9B-068A-472B-A36C-5FD171732007}"/>
    <hyperlink ref="G15" r:id="rId8" xr:uid="{AF752E9B-4575-4B58-8D8B-52536C6AB1B0}"/>
    <hyperlink ref="G16" r:id="rId9" xr:uid="{B102EAE8-B8F5-44EB-BCC6-55688FDA772D}"/>
    <hyperlink ref="G17" r:id="rId10" xr:uid="{CA190904-25B1-40A5-97EB-F377E811D55A}"/>
    <hyperlink ref="G18" r:id="rId11" xr:uid="{3902FDF0-9476-4757-9296-D488010FCCA3}"/>
    <hyperlink ref="G19" r:id="rId12" xr:uid="{BF1BDB82-0B87-4032-B4E5-D855C8CBC049}"/>
    <hyperlink ref="G20" r:id="rId13" xr:uid="{8282D8C1-E9DD-4662-9B3D-192E17A85F9A}"/>
    <hyperlink ref="G21" r:id="rId14" xr:uid="{8600CE83-CCE8-4727-93F8-7FEFA1963F71}"/>
    <hyperlink ref="G22" r:id="rId15" xr:uid="{1BB74137-A113-47D9-BBD7-27EE15BD47B6}"/>
    <hyperlink ref="G23" r:id="rId16" xr:uid="{E807B416-36DF-4684-A057-100C12F90FC0}"/>
    <hyperlink ref="G24" r:id="rId17" xr:uid="{9BD28804-1505-4C3C-8EFC-3B2E05FED592}"/>
    <hyperlink ref="G26" r:id="rId18" xr:uid="{1FAA0073-B371-4746-8818-C30BAF7B7A40}"/>
    <hyperlink ref="G28" r:id="rId19" xr:uid="{49FE138A-FCE0-4D83-BD64-DFE6BBB553B6}"/>
    <hyperlink ref="G32" r:id="rId20" xr:uid="{18DAF3B9-0228-494D-A427-8590E939CEA4}"/>
    <hyperlink ref="G34" r:id="rId21" xr:uid="{2DCDEA10-9C74-4810-BEE1-A0E85B3777BE}"/>
    <hyperlink ref="G35" r:id="rId22" xr:uid="{B74EFACA-309B-45C9-BB70-F9CA09922FEC}"/>
    <hyperlink ref="G53" r:id="rId23" xr:uid="{E709B54F-5642-4D09-81DE-FA4F008E8D61}"/>
    <hyperlink ref="G36" r:id="rId24" xr:uid="{DD27B851-E5E4-4DC9-B479-CB88369EC48F}"/>
    <hyperlink ref="G30" r:id="rId25" xr:uid="{724173E3-885A-40DA-BA19-7F2955484E5C}"/>
    <hyperlink ref="G41" r:id="rId26" xr:uid="{587F7DD6-1B16-4443-BBC0-343E56093C9C}"/>
    <hyperlink ref="G43" r:id="rId27" xr:uid="{CAC9DE49-5D7B-4493-8AD4-3B4D5C711C24}"/>
    <hyperlink ref="G45" r:id="rId28" xr:uid="{A0DFE7FC-E6AE-4BBE-983D-ABDEC9A72C06}"/>
    <hyperlink ref="G46" r:id="rId29" xr:uid="{FEC01A34-0E46-44E4-AC8E-D6CFF83C94CF}"/>
    <hyperlink ref="G49" r:id="rId30" xr:uid="{BFFF16B4-22A3-4888-8BA1-87C65E3ABE2D}"/>
    <hyperlink ref="G44" r:id="rId31" xr:uid="{4CD22212-831A-44B9-B6C9-A57726459AD2}"/>
    <hyperlink ref="G47" r:id="rId32" xr:uid="{1B289E11-3BAD-4424-9B59-37EE6B30DA17}"/>
    <hyperlink ref="G37" r:id="rId33" xr:uid="{7AA8A64A-9BF1-4E0A-A8E8-A87AFED6787A}"/>
    <hyperlink ref="G31" r:id="rId34" xr:uid="{C3E2FC65-BD76-4798-9651-00865C7A4565}"/>
    <hyperlink ref="G38" r:id="rId35" xr:uid="{87B272E0-1187-45FB-BC2E-C7D49D41AA93}"/>
    <hyperlink ref="G33" r:id="rId36" xr:uid="{B30E2880-80FD-49D0-923B-812669BA0C43}"/>
    <hyperlink ref="G50" r:id="rId37" xr:uid="{01656B0C-F9EB-47B0-9E99-AA482F1CE63F}"/>
    <hyperlink ref="G27" r:id="rId38" xr:uid="{00180EF2-8C3A-4796-BFAC-E4CA16D0A3F6}"/>
    <hyperlink ref="G51" r:id="rId39" xr:uid="{ED20980B-0C8B-4043-B404-1FE2D9660229}"/>
    <hyperlink ref="G11" r:id="rId40" display="diego.gomez1203@gmail.com" xr:uid="{3CB3B04C-06CD-4962-91A4-0E103A5D9CDD}"/>
    <hyperlink ref="G48" r:id="rId41" xr:uid="{14A92652-C6CF-49B3-BA6B-D1EAE1C57E57}"/>
    <hyperlink ref="G52" r:id="rId42" xr:uid="{4AE2AD0D-CF83-4C51-B7C2-7E56DAD9927F}"/>
    <hyperlink ref="G39" r:id="rId43" xr:uid="{E5FA92D6-DAA1-428E-8032-4B3345471BF6}"/>
    <hyperlink ref="G40" r:id="rId44" xr:uid="{C7ABF95B-9AF6-48CD-908C-4B48EC3BCC13}"/>
    <hyperlink ref="G29" r:id="rId45" xr:uid="{3BCC9BB6-760C-455B-9866-A223FE1C9957}"/>
    <hyperlink ref="G25" r:id="rId46" xr:uid="{4BE8933F-B1FB-4295-ACB0-39227DF7D185}"/>
    <hyperlink ref="G42" r:id="rId47" xr:uid="{A4F13457-FA09-4F56-B1D1-FFC0B124CB10}"/>
  </hyperlinks>
  <pageMargins left="0.7" right="0.7" top="0.75" bottom="0.75" header="0.3" footer="0.3"/>
  <drawing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Tania Maria Angulo Romero</cp:lastModifiedBy>
  <dcterms:created xsi:type="dcterms:W3CDTF">2025-12-10T15:36:39Z</dcterms:created>
  <dcterms:modified xsi:type="dcterms:W3CDTF">2026-05-06T02:17:31Z</dcterms:modified>
  <cp:category/>
</cp:coreProperties>
</file>