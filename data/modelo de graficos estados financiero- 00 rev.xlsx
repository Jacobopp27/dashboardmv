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omments1.xml" ContentType="application/vnd.openxmlformats-officedocument.spreadsheetml.comments+xml"/>
  <Override PartName="/xl/drawings/drawing4.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drawings/drawing5.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charts/style2.xml" ContentType="application/vnd.ms-office.chartstyle+xml"/>
  <Override PartName="/xl/charts/colors2.xml" ContentType="application/vnd.ms-office.chartcolorstyle+xml"/>
  <Override PartName="/xl/charts/chart20.xml" ContentType="application/vnd.openxmlformats-officedocument.drawingml.chart+xml"/>
  <Override PartName="/xl/drawings/drawing6.xml" ContentType="application/vnd.openxmlformats-officedocument.drawingml.chartshapes+xml"/>
  <Override PartName="/xl/charts/chart21.xml" ContentType="application/vnd.openxmlformats-officedocument.drawingml.chart+xml"/>
  <Override PartName="/xl/charts/chart2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7.xml" ContentType="application/vnd.openxmlformats-officedocument.drawing+xml"/>
  <Override PartName="/xl/comments2.xml" ContentType="application/vnd.openxmlformats-officedocument.spreadsheetml.comments+xml"/>
  <Override PartName="/xl/charts/chart23.xml" ContentType="application/vnd.openxmlformats-officedocument.drawingml.chart+xml"/>
  <Override PartName="/xl/drawings/drawing8.xml" ContentType="application/vnd.openxmlformats-officedocument.drawingml.chartshapes+xml"/>
  <Override PartName="/xl/charts/chart24.xml" ContentType="application/vnd.openxmlformats-officedocument.drawingml.chart+xml"/>
  <Override PartName="/xl/charts/chart25.xml" ContentType="application/vnd.openxmlformats-officedocument.drawingml.chart+xml"/>
  <Override PartName="/xl/drawings/drawing9.xml" ContentType="application/vnd.openxmlformats-officedocument.drawingml.chartshapes+xml"/>
  <Override PartName="/xl/charts/chart26.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omments3.xml" ContentType="application/vnd.openxmlformats-officedocument.spreadsheetml.comments+xml"/>
  <Override PartName="/xl/charts/chart27.xml" ContentType="application/vnd.openxmlformats-officedocument.drawingml.chart+xml"/>
  <Override PartName="/xl/drawings/drawing12.xml" ContentType="application/vnd.openxmlformats-officedocument.drawingml.chartshapes+xml"/>
  <Override PartName="/xl/charts/chart28.xml" ContentType="application/vnd.openxmlformats-officedocument.drawingml.chart+xml"/>
  <Override PartName="/xl/charts/chart29.xml" ContentType="application/vnd.openxmlformats-officedocument.drawingml.chart+xml"/>
  <Override PartName="/xl/drawings/drawing13.xml" ContentType="application/vnd.openxmlformats-officedocument.drawingml.chartshapes+xml"/>
  <Override PartName="/xl/charts/chart30.xml" ContentType="application/vnd.openxmlformats-officedocument.drawingml.chart+xml"/>
  <Override PartName="/xl/drawings/drawing14.xml" ContentType="application/vnd.openxmlformats-officedocument.drawingml.chartshapes+xml"/>
  <Override PartName="/xl/charts/chart31.xml" ContentType="application/vnd.openxmlformats-officedocument.drawingml.chart+xml"/>
  <Override PartName="/xl/charts/style4.xml" ContentType="application/vnd.ms-office.chartstyle+xml"/>
  <Override PartName="/xl/charts/colors4.xml" ContentType="application/vnd.ms-office.chartcolorstyle+xml"/>
  <Override PartName="/xl/charts/chart32.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5.xml" ContentType="application/vnd.openxmlformats-officedocument.drawing+xml"/>
  <Override PartName="/xl/comments4.xml" ContentType="application/vnd.openxmlformats-officedocument.spreadsheetml.comments+xml"/>
  <Override PartName="/xl/charts/chart33.xml" ContentType="application/vnd.openxmlformats-officedocument.drawingml.chart+xml"/>
  <Override PartName="/xl/drawings/drawing16.xml" ContentType="application/vnd.openxmlformats-officedocument.drawingml.chartshapes+xml"/>
  <Override PartName="/xl/charts/chart34.xml" ContentType="application/vnd.openxmlformats-officedocument.drawingml.chart+xml"/>
  <Override PartName="/xl/charts/chart35.xml" ContentType="application/vnd.openxmlformats-officedocument.drawingml.chart+xml"/>
  <Override PartName="/xl/drawings/drawing17.xml" ContentType="application/vnd.openxmlformats-officedocument.drawingml.chartshapes+xml"/>
  <Override PartName="/xl/charts/chart36.xml" ContentType="application/vnd.openxmlformats-officedocument.drawingml.chart+xml"/>
  <Override PartName="/xl/drawings/drawing18.xml" ContentType="application/vnd.openxmlformats-officedocument.drawingml.chartshapes+xml"/>
  <Override PartName="/xl/charts/chart37.xml" ContentType="application/vnd.openxmlformats-officedocument.drawingml.chart+xml"/>
  <Override PartName="/xl/charts/style6.xml" ContentType="application/vnd.ms-office.chartstyle+xml"/>
  <Override PartName="/xl/charts/colors6.xml" ContentType="application/vnd.ms-office.chartcolorstyle+xml"/>
  <Override PartName="/xl/charts/chart38.xml" ContentType="application/vnd.openxmlformats-officedocument.drawingml.chart+xml"/>
  <Override PartName="/xl/charts/style7.xml" ContentType="application/vnd.ms-office.chartstyle+xml"/>
  <Override PartName="/xl/charts/colors7.xml" ContentType="application/vnd.ms-office.chartcolorstyle+xml"/>
  <Override PartName="/xl/comments5.xml" ContentType="application/vnd.openxmlformats-officedocument.spreadsheetml.comments+xml"/>
  <Override PartName="/xl/drawings/drawing19.xml" ContentType="application/vnd.openxmlformats-officedocument.drawing+xml"/>
  <Override PartName="/xl/charts/chart39.xml" ContentType="application/vnd.openxmlformats-officedocument.drawingml.chart+xml"/>
  <Override PartName="/xl/comments6.xml" ContentType="application/vnd.openxmlformats-officedocument.spreadsheetml.comments+xml"/>
  <Override PartName="/xl/comments7.xml" ContentType="application/vnd.openxmlformats-officedocument.spreadsheetml.comments+xml"/>
  <Override PartName="/xl/drawings/drawing20.xml" ContentType="application/vnd.openxmlformats-officedocument.drawing+xml"/>
  <Override PartName="/xl/comments8.xml" ContentType="application/vnd.openxmlformats-officedocument.spreadsheetml.comments+xml"/>
  <Override PartName="/xl/charts/chart40.xml" ContentType="application/vnd.openxmlformats-officedocument.drawingml.chart+xml"/>
  <Override PartName="/xl/drawings/drawing21.xml" ContentType="application/vnd.openxmlformats-officedocument.drawingml.chartshapes+xml"/>
  <Override PartName="/xl/charts/chart41.xml" ContentType="application/vnd.openxmlformats-officedocument.drawingml.chart+xml"/>
  <Override PartName="/xl/charts/chart42.xml" ContentType="application/vnd.openxmlformats-officedocument.drawingml.chart+xml"/>
  <Override PartName="/xl/drawings/drawing22.xml" ContentType="application/vnd.openxmlformats-officedocument.drawingml.chartshapes+xml"/>
  <Override PartName="/xl/charts/chart43.xml" ContentType="application/vnd.openxmlformats-officedocument.drawingml.chart+xml"/>
  <Override PartName="/xl/drawings/drawing23.xml" ContentType="application/vnd.openxmlformats-officedocument.drawingml.chartshapes+xml"/>
  <Override PartName="/xl/drawings/drawing24.xml" ContentType="application/vnd.openxmlformats-officedocument.drawing+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omments9.xml" ContentType="application/vnd.openxmlformats-officedocument.spreadsheetml.comments+xml"/>
  <Override PartName="/xl/drawings/drawing25.xml" ContentType="application/vnd.openxmlformats-officedocument.drawing+xml"/>
  <Override PartName="/xl/comments10.xml" ContentType="application/vnd.openxmlformats-officedocument.spreadsheetml.comments+xml"/>
  <Override PartName="/xl/charts/chart48.xml" ContentType="application/vnd.openxmlformats-officedocument.drawingml.chart+xml"/>
  <Override PartName="/xl/drawings/drawing26.xml" ContentType="application/vnd.openxmlformats-officedocument.drawingml.chartshapes+xml"/>
  <Override PartName="/xl/charts/chart49.xml" ContentType="application/vnd.openxmlformats-officedocument.drawingml.chart+xml"/>
  <Override PartName="/xl/charts/chart50.xml" ContentType="application/vnd.openxmlformats-officedocument.drawingml.chart+xml"/>
  <Override PartName="/xl/drawings/drawing27.xml" ContentType="application/vnd.openxmlformats-officedocument.drawingml.chartshapes+xml"/>
  <Override PartName="/xl/charts/chart51.xml" ContentType="application/vnd.openxmlformats-officedocument.drawingml.chart+xml"/>
  <Override PartName="/xl/drawings/drawing28.xml" ContentType="application/vnd.openxmlformats-officedocument.drawingml.chartshapes+xml"/>
  <Override PartName="/xl/drawings/drawing29.xml" ContentType="application/vnd.openxmlformats-officedocument.drawing+xml"/>
  <Override PartName="/xl/comments11.xml" ContentType="application/vnd.openxmlformats-officedocument.spreadsheetml.comments+xml"/>
  <Override PartName="/xl/charts/chart52.xml" ContentType="application/vnd.openxmlformats-officedocument.drawingml.chart+xml"/>
  <Override PartName="/xl/drawings/drawing30.xml" ContentType="application/vnd.openxmlformats-officedocument.drawingml.chartshapes+xml"/>
  <Override PartName="/xl/charts/chart53.xml" ContentType="application/vnd.openxmlformats-officedocument.drawingml.chart+xml"/>
  <Override PartName="/xl/charts/chart54.xml" ContentType="application/vnd.openxmlformats-officedocument.drawingml.chart+xml"/>
  <Override PartName="/xl/drawings/drawing31.xml" ContentType="application/vnd.openxmlformats-officedocument.drawingml.chartshapes+xml"/>
  <Override PartName="/xl/charts/chart55.xml" ContentType="application/vnd.openxmlformats-officedocument.drawingml.chart+xml"/>
  <Override PartName="/xl/drawings/drawing32.xml" ContentType="application/vnd.openxmlformats-officedocument.drawingml.chartshapes+xml"/>
  <Override PartName="/xl/charts/chart56.xml" ContentType="application/vnd.openxmlformats-officedocument.drawingml.chart+xml"/>
  <Override PartName="/xl/charts/chart57.xml" ContentType="application/vnd.openxmlformats-officedocument.drawingml.chart+xml"/>
  <Override PartName="/xl/drawings/drawing33.xml" ContentType="application/vnd.openxmlformats-officedocument.drawingml.chartshapes+xml"/>
  <Override PartName="/xl/charts/chart58.xml" ContentType="application/vnd.openxmlformats-officedocument.drawingml.chart+xml"/>
  <Override PartName="/xl/drawings/drawing34.xml" ContentType="application/vnd.openxmlformats-officedocument.drawingml.chartshapes+xml"/>
  <Override PartName="/xl/comments12.xml" ContentType="application/vnd.openxmlformats-officedocument.spreadsheetml.comments+xml"/>
  <Override PartName="/xl/drawings/drawing35.xml" ContentType="application/vnd.openxmlformats-officedocument.drawing+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drawings/drawing36.xml" ContentType="application/vnd.openxmlformats-officedocument.drawing+xml"/>
  <Override PartName="/xl/charts/chart65.xml" ContentType="application/vnd.openxmlformats-officedocument.drawingml.chart+xml"/>
  <Override PartName="/xl/drawings/drawing37.xml" ContentType="application/vnd.openxmlformats-officedocument.drawing+xml"/>
  <Override PartName="/xl/charts/chart66.xml" ContentType="application/vnd.openxmlformats-officedocument.drawingml.chart+xml"/>
  <Override PartName="/xl/theme/themeOverride1.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D:\2026 Monteverdi\"/>
    </mc:Choice>
  </mc:AlternateContent>
  <xr:revisionPtr revIDLastSave="0" documentId="8_{E1F9354A-EC87-486A-B731-D3711416F9A5}" xr6:coauthVersionLast="47" xr6:coauthVersionMax="47" xr10:uidLastSave="{00000000-0000-0000-0000-000000000000}"/>
  <bookViews>
    <workbookView xWindow="1440" yWindow="0" windowWidth="17760" windowHeight="10080" firstSheet="2" activeTab="2" xr2:uid="{E05E90E2-6336-4EF4-AD23-B836DB25B02E}"/>
  </bookViews>
  <sheets>
    <sheet name="ESFA feb 2025" sheetId="46" state="hidden" r:id="rId1"/>
    <sheet name="ESFA abril 2025" sheetId="26" state="hidden" r:id="rId2"/>
    <sheet name="GRAFICOS ESFA 2025" sheetId="60" r:id="rId3"/>
    <sheet name="ESFA AGOST 2025" sheetId="70" state="hidden" r:id="rId4"/>
    <sheet name="TABLA ESFA 2025" sheetId="57" r:id="rId5"/>
    <sheet name="ESFA JUL 2025" sheetId="59" state="hidden" r:id="rId6"/>
    <sheet name="ESFA JUN 2025" sheetId="51" state="hidden" r:id="rId7"/>
    <sheet name="ESFA JUN GRAF 2025" sheetId="55" state="hidden" r:id="rId8"/>
    <sheet name="ESTAD RESUL JUN" sheetId="54" state="hidden" r:id="rId9"/>
    <sheet name="ESFA GRAF 2025" sheetId="61" state="hidden" r:id="rId10"/>
    <sheet name="GRAF ESTAD RESUL2025" sheetId="64" r:id="rId11"/>
    <sheet name="Sub-Sobre ejec agost 2025" sheetId="73" r:id="rId12"/>
    <sheet name="Sobre-sub ejecuciones" sheetId="69" r:id="rId13"/>
    <sheet name="TABLA ESTAD RESUL 2025" sheetId="63" r:id="rId14"/>
    <sheet name="ESTAD RESULT AGOS 2025" sheetId="71" state="hidden" r:id="rId15"/>
    <sheet name="Graf Cartera 2025 Contab" sheetId="45" r:id="rId16"/>
    <sheet name="Tabla cartera" sheetId="68" state="hidden" r:id="rId17"/>
    <sheet name="Notas agost 2025" sheetId="72" r:id="rId18"/>
    <sheet name="Notas Julio 2025" sheetId="67" state="hidden" r:id="rId19"/>
    <sheet name="Proyecc Flujo de caja 2025" sheetId="66" r:id="rId20"/>
    <sheet name="Hoja2" sheetId="65" r:id="rId21"/>
    <sheet name="ESTAD RESUL JULIO 2025" sheetId="62" r:id="rId22"/>
    <sheet name="ESTAD RESUL GRAF JUN" sheetId="53" r:id="rId23"/>
    <sheet name="EJEC PRESUP JUN" sheetId="56" r:id="rId24"/>
    <sheet name="EJEC PRES GRAF" sheetId="52" r:id="rId25"/>
    <sheet name="ESFA MAY 2025" sheetId="47" state="hidden" r:id="rId26"/>
    <sheet name="ESFA MAY GRAF" sheetId="44" state="hidden" r:id="rId27"/>
    <sheet name="ESTAD RESULT MAY" sheetId="48" r:id="rId28"/>
    <sheet name="ESTAD RESUL GRAF MAY" sheetId="49" r:id="rId29"/>
    <sheet name="ESTAD RESULT graf abr" sheetId="27" state="hidden" r:id="rId30"/>
    <sheet name="EJEC PRESUPabr" sheetId="28" r:id="rId31"/>
    <sheet name="SERVICIOS PUB." sheetId="40" r:id="rId32"/>
    <sheet name="Notas balance may" sheetId="50" r:id="rId33"/>
    <sheet name="NOTAS BALANCE abr" sheetId="30" state="hidden" r:id="rId34"/>
    <sheet name="FLUJO DE CAJA MES" sheetId="35" state="hidden" r:id="rId35"/>
    <sheet name="Cartera 2024 CONT " sheetId="42" r:id="rId36"/>
    <sheet name="Cartera 2024" sheetId="43" r:id="rId37"/>
    <sheet name="INFORME ESPECIAL MENSUAL" sheetId="29" r:id="rId38"/>
    <sheet name="CONCILIACION BANCO" sheetId="41" r:id="rId39"/>
  </sheets>
  <externalReferences>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s>
  <definedNames>
    <definedName name="_xlnm.Print_Area" localSheetId="38">'CONCILIACION BANCO'!$A$1:$G$65</definedName>
    <definedName name="_xlnm.Print_Area" localSheetId="30">'EJEC PRESUPabr'!$B$1:$G$52</definedName>
    <definedName name="_xlnm.Print_Area" localSheetId="1">'ESFA abril 2025'!$A$1:$H$70</definedName>
    <definedName name="_xlnm.Print_Area" localSheetId="29">'ESTAD RESULT graf abr'!$B$1:$S$71</definedName>
    <definedName name="_xlnm.Print_Area" localSheetId="34">'FLUJO DE CAJA MES'!$C$2:$F$62</definedName>
    <definedName name="_xlnm.Print_Area" localSheetId="37">'INFORME ESPECIAL MENSUAL'!$B$268:$E$376</definedName>
    <definedName name="_xlnm.Print_Area" localSheetId="33">'NOTAS BALANCE abr'!$B$1:$F$98</definedName>
    <definedName name="ene_25">'TABLA ESTAD RESUL 2025'!$E$80:$K$80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0" i="73" l="1"/>
  <c r="C61" i="73"/>
  <c r="C63" i="73" s="1"/>
  <c r="C57" i="73"/>
  <c r="C50" i="73"/>
  <c r="C48" i="73"/>
  <c r="X28" i="45"/>
  <c r="X8" i="45"/>
  <c r="W14" i="45"/>
  <c r="W15" i="45"/>
  <c r="W16" i="45"/>
  <c r="W17" i="45"/>
  <c r="W18" i="45"/>
  <c r="W19" i="45"/>
  <c r="W20" i="45"/>
  <c r="W21" i="45"/>
  <c r="W22" i="45"/>
  <c r="W23" i="45"/>
  <c r="W24" i="45"/>
  <c r="W25" i="45"/>
  <c r="W26" i="45"/>
  <c r="W27" i="45"/>
  <c r="W28" i="45"/>
  <c r="W29" i="45"/>
  <c r="W30" i="45"/>
  <c r="W31" i="45"/>
  <c r="W32" i="45"/>
  <c r="W5" i="45"/>
  <c r="W6" i="45"/>
  <c r="W7" i="45"/>
  <c r="W8" i="45"/>
  <c r="W9" i="45"/>
  <c r="W10" i="45"/>
  <c r="W11" i="45"/>
  <c r="W12" i="45"/>
  <c r="W13" i="45"/>
  <c r="W4" i="45"/>
  <c r="F93" i="72"/>
  <c r="F77" i="72"/>
  <c r="F94" i="72" s="1"/>
  <c r="E43" i="72"/>
  <c r="F41" i="72"/>
  <c r="E41" i="72"/>
  <c r="D41" i="72"/>
  <c r="E8" i="72"/>
  <c r="E7" i="72"/>
  <c r="E6" i="72"/>
  <c r="L119" i="63"/>
  <c r="L118" i="63"/>
  <c r="L117" i="63"/>
  <c r="L115" i="63"/>
  <c r="L114" i="63"/>
  <c r="L113" i="63"/>
  <c r="L111" i="63"/>
  <c r="L110" i="63"/>
  <c r="L109" i="63"/>
  <c r="L107" i="63"/>
  <c r="L106" i="63"/>
  <c r="L105" i="63"/>
  <c r="L102" i="63"/>
  <c r="L100" i="63"/>
  <c r="L87" i="63"/>
  <c r="L99" i="63" s="1"/>
  <c r="L86" i="63"/>
  <c r="L95" i="63"/>
  <c r="L94" i="63"/>
  <c r="L93" i="63"/>
  <c r="L92" i="63"/>
  <c r="L83" i="63"/>
  <c r="L82" i="63"/>
  <c r="L81" i="63"/>
  <c r="L66" i="63"/>
  <c r="L63" i="63"/>
  <c r="L61" i="63"/>
  <c r="L60" i="63"/>
  <c r="L56" i="63"/>
  <c r="L54" i="63"/>
  <c r="L53" i="63"/>
  <c r="L52" i="63"/>
  <c r="L51" i="63"/>
  <c r="L50" i="63"/>
  <c r="L49" i="63"/>
  <c r="L48" i="63"/>
  <c r="L47" i="63"/>
  <c r="L46" i="63"/>
  <c r="L43" i="63"/>
  <c r="L42" i="63"/>
  <c r="L41" i="63"/>
  <c r="L40" i="63"/>
  <c r="L39" i="63"/>
  <c r="L38" i="63"/>
  <c r="L37" i="63"/>
  <c r="L36" i="63"/>
  <c r="L32" i="63"/>
  <c r="L31" i="63"/>
  <c r="L29" i="63"/>
  <c r="L28" i="63"/>
  <c r="L27" i="63"/>
  <c r="L26" i="63"/>
  <c r="L25" i="63"/>
  <c r="L24" i="63"/>
  <c r="L23" i="63"/>
  <c r="L22" i="63"/>
  <c r="L21" i="63"/>
  <c r="L18" i="63"/>
  <c r="L17" i="63"/>
  <c r="L16" i="63"/>
  <c r="L15" i="63"/>
  <c r="L14" i="63"/>
  <c r="L13" i="63"/>
  <c r="L12" i="63"/>
  <c r="L11" i="63"/>
  <c r="L8" i="63"/>
  <c r="L7" i="63"/>
  <c r="L6" i="63"/>
  <c r="C96" i="71"/>
  <c r="C89" i="71"/>
  <c r="C87" i="71"/>
  <c r="C83" i="71"/>
  <c r="C74" i="71"/>
  <c r="C76" i="71" s="1"/>
  <c r="Q65" i="71"/>
  <c r="S64" i="71"/>
  <c r="Q64" i="71"/>
  <c r="I64" i="71"/>
  <c r="Q63" i="71"/>
  <c r="S63" i="71" s="1"/>
  <c r="Q62" i="71"/>
  <c r="S62" i="71" s="1"/>
  <c r="L61" i="71"/>
  <c r="K61" i="71"/>
  <c r="H61" i="71"/>
  <c r="G61" i="71"/>
  <c r="G59" i="71" s="1"/>
  <c r="F61" i="71"/>
  <c r="F59" i="71" s="1"/>
  <c r="E61" i="71"/>
  <c r="Q61" i="71" s="1"/>
  <c r="Q60" i="71"/>
  <c r="S60" i="71" s="1"/>
  <c r="L60" i="71"/>
  <c r="L59" i="71" s="1"/>
  <c r="AB13" i="71" s="1"/>
  <c r="R59" i="71"/>
  <c r="P59" i="71"/>
  <c r="O59" i="71"/>
  <c r="N59" i="71"/>
  <c r="M59" i="71"/>
  <c r="K59" i="71"/>
  <c r="J59" i="71"/>
  <c r="I59" i="71"/>
  <c r="H59" i="71"/>
  <c r="C59" i="71"/>
  <c r="J57" i="71"/>
  <c r="J66" i="71" s="1"/>
  <c r="I57" i="71"/>
  <c r="I66" i="71" s="1"/>
  <c r="K56" i="71"/>
  <c r="J56" i="71"/>
  <c r="I56" i="71"/>
  <c r="H56" i="71"/>
  <c r="H57" i="71" s="1"/>
  <c r="H66" i="71" s="1"/>
  <c r="G56" i="71"/>
  <c r="F56" i="71"/>
  <c r="F57" i="71" s="1"/>
  <c r="E56" i="71"/>
  <c r="E57" i="71" s="1"/>
  <c r="C56" i="71"/>
  <c r="R55" i="71"/>
  <c r="T55" i="71" s="1"/>
  <c r="Q55" i="71"/>
  <c r="S55" i="71" s="1"/>
  <c r="D55" i="71"/>
  <c r="S54" i="71"/>
  <c r="Q54" i="71"/>
  <c r="D54" i="71"/>
  <c r="R54" i="71" s="1"/>
  <c r="T54" i="71" s="1"/>
  <c r="T53" i="71"/>
  <c r="S53" i="71"/>
  <c r="R53" i="71"/>
  <c r="Q53" i="71"/>
  <c r="L53" i="71"/>
  <c r="D53" i="71"/>
  <c r="R52" i="71"/>
  <c r="T52" i="71" s="1"/>
  <c r="Q52" i="71"/>
  <c r="S52" i="71" s="1"/>
  <c r="D52" i="71"/>
  <c r="Q51" i="71"/>
  <c r="D51" i="71"/>
  <c r="R51" i="71" s="1"/>
  <c r="Q50" i="71"/>
  <c r="D50" i="71"/>
  <c r="R50" i="71" s="1"/>
  <c r="Q49" i="71"/>
  <c r="D49" i="71"/>
  <c r="R49" i="71" s="1"/>
  <c r="S48" i="71"/>
  <c r="R48" i="71"/>
  <c r="T48" i="71" s="1"/>
  <c r="Q48" i="71"/>
  <c r="D48" i="71"/>
  <c r="R47" i="71"/>
  <c r="T47" i="71" s="1"/>
  <c r="Q47" i="71"/>
  <c r="D47" i="71"/>
  <c r="Q46" i="71"/>
  <c r="Q56" i="71" s="1"/>
  <c r="L46" i="71"/>
  <c r="L56" i="71" s="1"/>
  <c r="D46" i="71"/>
  <c r="D56" i="71" s="1"/>
  <c r="S45" i="71"/>
  <c r="P44" i="71"/>
  <c r="P57" i="71" s="1"/>
  <c r="O44" i="71"/>
  <c r="O57" i="71" s="1"/>
  <c r="N44" i="71"/>
  <c r="N57" i="71" s="1"/>
  <c r="M44" i="71"/>
  <c r="M57" i="71" s="1"/>
  <c r="J44" i="71"/>
  <c r="I44" i="71"/>
  <c r="H44" i="71"/>
  <c r="G44" i="71"/>
  <c r="F44" i="71"/>
  <c r="E44" i="71"/>
  <c r="R43" i="71"/>
  <c r="T43" i="71" s="1"/>
  <c r="Q43" i="71"/>
  <c r="Q42" i="71"/>
  <c r="L42" i="71"/>
  <c r="C42" i="71"/>
  <c r="D42" i="71" s="1"/>
  <c r="R42" i="71" s="1"/>
  <c r="R41" i="71"/>
  <c r="T41" i="71" s="1"/>
  <c r="Q41" i="71"/>
  <c r="D41" i="71"/>
  <c r="Q40" i="71"/>
  <c r="D40" i="71"/>
  <c r="R40" i="71" s="1"/>
  <c r="T40" i="71" s="1"/>
  <c r="C40" i="71"/>
  <c r="C44" i="71" s="1"/>
  <c r="T39" i="71"/>
  <c r="R39" i="71"/>
  <c r="S39" i="71" s="1"/>
  <c r="Q39" i="71"/>
  <c r="L39" i="71"/>
  <c r="D39" i="71"/>
  <c r="R38" i="71"/>
  <c r="L38" i="71"/>
  <c r="L44" i="71" s="1"/>
  <c r="K38" i="71"/>
  <c r="Q38" i="71" s="1"/>
  <c r="D38" i="71"/>
  <c r="R37" i="71"/>
  <c r="T37" i="71" s="1"/>
  <c r="Q37" i="71"/>
  <c r="S37" i="71" s="1"/>
  <c r="L37" i="71"/>
  <c r="K37" i="71"/>
  <c r="K44" i="71" s="1"/>
  <c r="D37" i="71"/>
  <c r="C37" i="71"/>
  <c r="R36" i="71"/>
  <c r="T36" i="71" s="1"/>
  <c r="Q36" i="71"/>
  <c r="S36" i="71" s="1"/>
  <c r="L36" i="71"/>
  <c r="D36" i="71"/>
  <c r="D35" i="71"/>
  <c r="P34" i="71"/>
  <c r="O34" i="71"/>
  <c r="N34" i="71"/>
  <c r="M34" i="71"/>
  <c r="K34" i="71"/>
  <c r="J34" i="71"/>
  <c r="I34" i="71"/>
  <c r="H34" i="71"/>
  <c r="G34" i="71"/>
  <c r="F34" i="71"/>
  <c r="D34" i="71"/>
  <c r="C34" i="71"/>
  <c r="R33" i="71"/>
  <c r="T33" i="71" s="1"/>
  <c r="Q33" i="71"/>
  <c r="S33" i="71" s="1"/>
  <c r="G33" i="71"/>
  <c r="E33" i="71"/>
  <c r="D33" i="71"/>
  <c r="R32" i="71"/>
  <c r="E32" i="71"/>
  <c r="E34" i="71" s="1"/>
  <c r="Q34" i="71" s="1"/>
  <c r="D32" i="71"/>
  <c r="D31" i="71"/>
  <c r="P30" i="71"/>
  <c r="O30" i="71"/>
  <c r="N30" i="71"/>
  <c r="M30" i="71"/>
  <c r="J30" i="71"/>
  <c r="I30" i="71"/>
  <c r="H30" i="71"/>
  <c r="G30" i="71"/>
  <c r="F30" i="71"/>
  <c r="E30" i="71"/>
  <c r="R29" i="71"/>
  <c r="T29" i="71" s="1"/>
  <c r="Q29" i="71"/>
  <c r="S29" i="71" s="1"/>
  <c r="J29" i="71"/>
  <c r="I29" i="71"/>
  <c r="E29" i="71"/>
  <c r="D29" i="71"/>
  <c r="R28" i="71"/>
  <c r="T28" i="71" s="1"/>
  <c r="Q28" i="71"/>
  <c r="S28" i="71" s="1"/>
  <c r="D28" i="71"/>
  <c r="S27" i="71"/>
  <c r="Q27" i="71"/>
  <c r="D27" i="71"/>
  <c r="R27" i="71" s="1"/>
  <c r="T27" i="71" s="1"/>
  <c r="T26" i="71"/>
  <c r="S26" i="71"/>
  <c r="R26" i="71"/>
  <c r="Q26" i="71"/>
  <c r="L26" i="71"/>
  <c r="L30" i="71" s="1"/>
  <c r="K26" i="71"/>
  <c r="K30" i="71" s="1"/>
  <c r="D26" i="71"/>
  <c r="R25" i="71"/>
  <c r="Q25" i="71"/>
  <c r="T25" i="71" s="1"/>
  <c r="D25" i="71"/>
  <c r="Q24" i="71"/>
  <c r="D24" i="71"/>
  <c r="R24" i="71" s="1"/>
  <c r="Q23" i="71"/>
  <c r="D23" i="71"/>
  <c r="R23" i="71" s="1"/>
  <c r="Q22" i="71"/>
  <c r="Q30" i="71" s="1"/>
  <c r="C22" i="71"/>
  <c r="C30" i="71" s="1"/>
  <c r="D30" i="71" s="1"/>
  <c r="R30" i="71" s="1"/>
  <c r="T30" i="71" s="1"/>
  <c r="S21" i="71"/>
  <c r="R21" i="71"/>
  <c r="T21" i="71" s="1"/>
  <c r="Q21" i="71"/>
  <c r="D21" i="71"/>
  <c r="D20" i="71"/>
  <c r="P19" i="71"/>
  <c r="O19" i="71"/>
  <c r="N19" i="71"/>
  <c r="M19" i="71"/>
  <c r="K19" i="71"/>
  <c r="J19" i="71"/>
  <c r="I19" i="71"/>
  <c r="H19" i="71"/>
  <c r="F19" i="71"/>
  <c r="E19" i="71"/>
  <c r="C19" i="71"/>
  <c r="S18" i="71"/>
  <c r="R18" i="71"/>
  <c r="T18" i="71" s="1"/>
  <c r="Q18" i="71"/>
  <c r="D18" i="71"/>
  <c r="R17" i="71"/>
  <c r="T17" i="71" s="1"/>
  <c r="Q17" i="71"/>
  <c r="D17" i="71"/>
  <c r="Q16" i="71"/>
  <c r="L16" i="71"/>
  <c r="L19" i="71" s="1"/>
  <c r="D16" i="71"/>
  <c r="R16" i="71" s="1"/>
  <c r="L15" i="71"/>
  <c r="Q15" i="71" s="1"/>
  <c r="D15" i="71"/>
  <c r="R15" i="71" s="1"/>
  <c r="T14" i="71"/>
  <c r="S14" i="71"/>
  <c r="R14" i="71"/>
  <c r="Q14" i="71"/>
  <c r="L14" i="71"/>
  <c r="D14" i="71"/>
  <c r="R13" i="71"/>
  <c r="T13" i="71" s="1"/>
  <c r="L13" i="71"/>
  <c r="Q13" i="71" s="1"/>
  <c r="I13" i="71"/>
  <c r="G13" i="71"/>
  <c r="G19" i="71" s="1"/>
  <c r="D13" i="71"/>
  <c r="R12" i="71"/>
  <c r="T12" i="71" s="1"/>
  <c r="L12" i="71"/>
  <c r="Q12" i="71" s="1"/>
  <c r="D12" i="71"/>
  <c r="Q11" i="71"/>
  <c r="Q19" i="71" s="1"/>
  <c r="D11" i="71"/>
  <c r="R11" i="71" s="1"/>
  <c r="P8" i="71"/>
  <c r="P66" i="71" s="1"/>
  <c r="O8" i="71"/>
  <c r="O66" i="71" s="1"/>
  <c r="N8" i="71"/>
  <c r="N66" i="71" s="1"/>
  <c r="M8" i="71"/>
  <c r="M66" i="71" s="1"/>
  <c r="I8" i="71"/>
  <c r="G8" i="71"/>
  <c r="F8" i="71"/>
  <c r="C8" i="71"/>
  <c r="T7" i="71"/>
  <c r="S7" i="71"/>
  <c r="R7" i="71"/>
  <c r="Q7" i="71"/>
  <c r="D7" i="71"/>
  <c r="L6" i="71"/>
  <c r="Q6" i="71" s="1"/>
  <c r="Q8" i="71" s="1"/>
  <c r="K6" i="71"/>
  <c r="J6" i="71"/>
  <c r="I6" i="71"/>
  <c r="H6" i="71"/>
  <c r="E6" i="71"/>
  <c r="E8" i="71" s="1"/>
  <c r="D6" i="71"/>
  <c r="D8" i="71" s="1"/>
  <c r="M58" i="57"/>
  <c r="M57" i="57"/>
  <c r="M56" i="57"/>
  <c r="M52" i="57"/>
  <c r="M51" i="57"/>
  <c r="M45" i="57"/>
  <c r="M41" i="57"/>
  <c r="M37" i="57"/>
  <c r="M36" i="57"/>
  <c r="M35" i="57"/>
  <c r="M31" i="57"/>
  <c r="M27" i="57"/>
  <c r="M23" i="57"/>
  <c r="M15" i="57"/>
  <c r="M13" i="57"/>
  <c r="M11" i="57"/>
  <c r="M9" i="57"/>
  <c r="M7" i="57"/>
  <c r="M5" i="57"/>
  <c r="C94" i="70"/>
  <c r="C96" i="70" s="1"/>
  <c r="C85" i="70"/>
  <c r="C87" i="70" s="1"/>
  <c r="C97" i="70" s="1"/>
  <c r="C81" i="70"/>
  <c r="K75" i="70"/>
  <c r="K74" i="70"/>
  <c r="K76" i="70" s="1"/>
  <c r="C74" i="70"/>
  <c r="C72" i="70"/>
  <c r="K64" i="70"/>
  <c r="K66" i="70" s="1"/>
  <c r="E64" i="70"/>
  <c r="C59" i="70"/>
  <c r="C58" i="70"/>
  <c r="G58" i="70" s="1"/>
  <c r="H58" i="70" s="1"/>
  <c r="G57" i="70"/>
  <c r="C56" i="70"/>
  <c r="G56" i="70" s="1"/>
  <c r="H56" i="70" s="1"/>
  <c r="N55" i="70"/>
  <c r="M55" i="70"/>
  <c r="M57" i="70" s="1"/>
  <c r="K55" i="70"/>
  <c r="K57" i="70" s="1"/>
  <c r="K52" i="70"/>
  <c r="G52" i="70"/>
  <c r="C52" i="70"/>
  <c r="G51" i="70"/>
  <c r="G47" i="70"/>
  <c r="C47" i="70"/>
  <c r="C48" i="70" s="1"/>
  <c r="N46" i="70"/>
  <c r="M46" i="70"/>
  <c r="G46" i="70"/>
  <c r="G45" i="70"/>
  <c r="G44" i="70"/>
  <c r="G48" i="70" s="1"/>
  <c r="K43" i="70"/>
  <c r="K45" i="70" s="1"/>
  <c r="C38" i="70"/>
  <c r="G38" i="70" s="1"/>
  <c r="G37" i="70"/>
  <c r="H37" i="70" s="1"/>
  <c r="C37" i="70"/>
  <c r="C40" i="70" s="1"/>
  <c r="C53" i="70" s="1"/>
  <c r="C30" i="70"/>
  <c r="G30" i="70" s="1"/>
  <c r="H30" i="70" s="1"/>
  <c r="G28" i="70"/>
  <c r="C27" i="70"/>
  <c r="G26" i="70"/>
  <c r="G25" i="70"/>
  <c r="C22" i="70"/>
  <c r="G22" i="70" s="1"/>
  <c r="C21" i="70"/>
  <c r="G21" i="70" s="1"/>
  <c r="C15" i="70"/>
  <c r="C16" i="70" s="1"/>
  <c r="G16" i="70" s="1"/>
  <c r="H16" i="70" s="1"/>
  <c r="C10" i="70"/>
  <c r="C11" i="70" s="1"/>
  <c r="G9" i="70"/>
  <c r="D6" i="69"/>
  <c r="E6" i="69"/>
  <c r="H6" i="69"/>
  <c r="I6" i="69"/>
  <c r="J6" i="69"/>
  <c r="K6" i="69"/>
  <c r="Q6" i="69"/>
  <c r="S6" i="69" s="1"/>
  <c r="R6" i="69"/>
  <c r="R8" i="69" s="1"/>
  <c r="D7" i="69"/>
  <c r="K7" i="69"/>
  <c r="Q7" i="69"/>
  <c r="R7" i="69"/>
  <c r="S7" i="69"/>
  <c r="T7" i="69"/>
  <c r="C8" i="69"/>
  <c r="D8" i="69"/>
  <c r="E8" i="69"/>
  <c r="F8" i="69"/>
  <c r="G8" i="69"/>
  <c r="I8" i="69"/>
  <c r="K8" i="69"/>
  <c r="M8" i="69"/>
  <c r="N8" i="69"/>
  <c r="O8" i="69"/>
  <c r="P8" i="69"/>
  <c r="Q8" i="69"/>
  <c r="AC149" i="69"/>
  <c r="AB133" i="69"/>
  <c r="AB129" i="69"/>
  <c r="AJ126" i="69"/>
  <c r="AJ122" i="69"/>
  <c r="AJ118" i="69"/>
  <c r="AJ114" i="69"/>
  <c r="AB114" i="69"/>
  <c r="AJ110" i="69"/>
  <c r="AB109" i="69"/>
  <c r="AC106" i="69"/>
  <c r="AC104" i="69"/>
  <c r="AC100" i="69"/>
  <c r="J95" i="69"/>
  <c r="I95" i="69"/>
  <c r="H95" i="69"/>
  <c r="G95" i="69"/>
  <c r="F95" i="69"/>
  <c r="E95" i="69"/>
  <c r="J94" i="69"/>
  <c r="I94" i="69"/>
  <c r="H94" i="69"/>
  <c r="G94" i="69"/>
  <c r="F94" i="69"/>
  <c r="E94" i="69"/>
  <c r="J93" i="69"/>
  <c r="I93" i="69"/>
  <c r="J92" i="69"/>
  <c r="I92" i="69"/>
  <c r="H92" i="69"/>
  <c r="G92" i="69"/>
  <c r="F92" i="69"/>
  <c r="E92" i="69"/>
  <c r="P88" i="69"/>
  <c r="O88" i="69"/>
  <c r="N88" i="69"/>
  <c r="M88" i="69"/>
  <c r="L88" i="69"/>
  <c r="K86" i="69"/>
  <c r="K100" i="69" s="1"/>
  <c r="I86" i="69"/>
  <c r="I100" i="69" s="1"/>
  <c r="J81" i="69"/>
  <c r="H81" i="69"/>
  <c r="F81" i="69"/>
  <c r="G77" i="69"/>
  <c r="F77" i="69"/>
  <c r="D77" i="69"/>
  <c r="C77" i="69"/>
  <c r="E76" i="69"/>
  <c r="E75" i="69"/>
  <c r="E74" i="69"/>
  <c r="R70" i="69"/>
  <c r="K66" i="69"/>
  <c r="K65" i="69"/>
  <c r="K95" i="69" s="1"/>
  <c r="K64" i="69"/>
  <c r="I64" i="69"/>
  <c r="I59" i="69" s="1"/>
  <c r="I83" i="69" s="1"/>
  <c r="K63" i="69"/>
  <c r="R63" i="69" s="1"/>
  <c r="S63" i="69" s="1"/>
  <c r="K62" i="69"/>
  <c r="R62" i="69" s="1"/>
  <c r="S62" i="69" s="1"/>
  <c r="K61" i="69"/>
  <c r="K93" i="69" s="1"/>
  <c r="H61" i="69"/>
  <c r="H93" i="69" s="1"/>
  <c r="G61" i="69"/>
  <c r="G93" i="69" s="1"/>
  <c r="F61" i="69"/>
  <c r="F93" i="69" s="1"/>
  <c r="E61" i="69"/>
  <c r="E93" i="69" s="1"/>
  <c r="K60" i="69"/>
  <c r="K92" i="69" s="1"/>
  <c r="Q59" i="69"/>
  <c r="P59" i="69"/>
  <c r="O59" i="69"/>
  <c r="N59" i="69"/>
  <c r="M59" i="69"/>
  <c r="L59" i="69"/>
  <c r="K59" i="69"/>
  <c r="K83" i="69" s="1"/>
  <c r="J59" i="69"/>
  <c r="J83" i="69" s="1"/>
  <c r="H59" i="69"/>
  <c r="H83" i="69" s="1"/>
  <c r="H82" i="69" s="1"/>
  <c r="C59" i="69"/>
  <c r="K58" i="69"/>
  <c r="K87" i="69"/>
  <c r="K99" i="69" s="1"/>
  <c r="K118" i="69"/>
  <c r="K119" i="69" s="1"/>
  <c r="J118" i="69"/>
  <c r="J119" i="69" s="1"/>
  <c r="I118" i="69"/>
  <c r="I119" i="69" s="1"/>
  <c r="H118" i="69"/>
  <c r="H119" i="69" s="1"/>
  <c r="G118" i="69"/>
  <c r="G119" i="69" s="1"/>
  <c r="F118" i="69"/>
  <c r="F119" i="69" s="1"/>
  <c r="E118" i="69"/>
  <c r="K114" i="69"/>
  <c r="K115" i="69" s="1"/>
  <c r="J114" i="69"/>
  <c r="J115" i="69" s="1"/>
  <c r="I114" i="69"/>
  <c r="I115" i="69" s="1"/>
  <c r="H114" i="69"/>
  <c r="H115" i="69" s="1"/>
  <c r="G114" i="69"/>
  <c r="G115" i="69" s="1"/>
  <c r="F114" i="69"/>
  <c r="F115" i="69" s="1"/>
  <c r="P122" i="69"/>
  <c r="O122" i="69"/>
  <c r="N122" i="69"/>
  <c r="M122" i="69"/>
  <c r="L122" i="69"/>
  <c r="K122" i="69"/>
  <c r="K123" i="69" s="1"/>
  <c r="J122" i="69"/>
  <c r="J123" i="69" s="1"/>
  <c r="I122" i="69"/>
  <c r="I123" i="69" s="1"/>
  <c r="H122" i="69"/>
  <c r="H123" i="69" s="1"/>
  <c r="F122" i="69"/>
  <c r="F123" i="69" s="1"/>
  <c r="AC49" i="69"/>
  <c r="K106" i="69"/>
  <c r="K107" i="69" s="1"/>
  <c r="H106" i="69"/>
  <c r="H107" i="69" s="1"/>
  <c r="G106" i="69"/>
  <c r="G107" i="69" s="1"/>
  <c r="F106" i="69"/>
  <c r="F107" i="69" s="1"/>
  <c r="J106" i="69"/>
  <c r="J107" i="69" s="1"/>
  <c r="I106" i="69"/>
  <c r="I107" i="69" s="1"/>
  <c r="K110" i="69"/>
  <c r="K111" i="69" s="1"/>
  <c r="J110" i="69"/>
  <c r="J111" i="69" s="1"/>
  <c r="H110" i="69"/>
  <c r="H111" i="69" s="1"/>
  <c r="F110" i="69"/>
  <c r="F111" i="69" s="1"/>
  <c r="E110" i="69"/>
  <c r="E111" i="69" s="1"/>
  <c r="AB125" i="69"/>
  <c r="AB121" i="69"/>
  <c r="AB117" i="69"/>
  <c r="I110" i="69"/>
  <c r="I111" i="69" s="1"/>
  <c r="G110" i="69"/>
  <c r="G111" i="69" s="1"/>
  <c r="K81" i="69"/>
  <c r="K82" i="69" s="1"/>
  <c r="K88" i="69" s="1"/>
  <c r="H86" i="69"/>
  <c r="H100" i="69" s="1"/>
  <c r="G86" i="69"/>
  <c r="G100" i="69" s="1"/>
  <c r="B31" i="68"/>
  <c r="F93" i="67"/>
  <c r="F77" i="67"/>
  <c r="F94" i="67" s="1"/>
  <c r="D41" i="67"/>
  <c r="F40" i="67"/>
  <c r="F39" i="67"/>
  <c r="F38" i="67"/>
  <c r="F37" i="67"/>
  <c r="F36" i="67"/>
  <c r="F35" i="67"/>
  <c r="F34" i="67"/>
  <c r="F33" i="67"/>
  <c r="F32" i="67"/>
  <c r="F31" i="67"/>
  <c r="F30" i="67"/>
  <c r="F29" i="67"/>
  <c r="F28" i="67"/>
  <c r="F27" i="67"/>
  <c r="F26" i="67"/>
  <c r="F25" i="67"/>
  <c r="F24" i="67"/>
  <c r="F23" i="67"/>
  <c r="F22" i="67"/>
  <c r="F21" i="67"/>
  <c r="F20" i="67"/>
  <c r="F19" i="67"/>
  <c r="F18" i="67"/>
  <c r="F17" i="67"/>
  <c r="F16" i="67"/>
  <c r="F15" i="67"/>
  <c r="F14" i="67"/>
  <c r="F13" i="67"/>
  <c r="F41" i="67" s="1"/>
  <c r="F12" i="67"/>
  <c r="E7" i="67"/>
  <c r="E6" i="67"/>
  <c r="M43" i="57" l="1"/>
  <c r="C60" i="70"/>
  <c r="E8" i="67"/>
  <c r="L59" i="63"/>
  <c r="T11" i="71"/>
  <c r="S11" i="71"/>
  <c r="T15" i="71"/>
  <c r="S15" i="71"/>
  <c r="T24" i="71"/>
  <c r="S24" i="71"/>
  <c r="F66" i="71"/>
  <c r="T42" i="71"/>
  <c r="S42" i="71"/>
  <c r="R56" i="71"/>
  <c r="T56" i="71" s="1"/>
  <c r="T51" i="71"/>
  <c r="S51" i="71"/>
  <c r="T16" i="71"/>
  <c r="S16" i="71"/>
  <c r="L57" i="71"/>
  <c r="L66" i="71" s="1"/>
  <c r="G66" i="71"/>
  <c r="D44" i="71"/>
  <c r="R44" i="71" s="1"/>
  <c r="T44" i="71" s="1"/>
  <c r="C57" i="71"/>
  <c r="C66" i="71" s="1"/>
  <c r="Q57" i="71"/>
  <c r="Q66" i="71" s="1"/>
  <c r="T49" i="71"/>
  <c r="S49" i="71"/>
  <c r="G57" i="71"/>
  <c r="R8" i="71"/>
  <c r="T32" i="71"/>
  <c r="T38" i="71"/>
  <c r="T50" i="71"/>
  <c r="S50" i="71"/>
  <c r="S23" i="71"/>
  <c r="S30" i="71" s="1"/>
  <c r="T23" i="71"/>
  <c r="K57" i="71"/>
  <c r="K66" i="71" s="1"/>
  <c r="S61" i="71"/>
  <c r="S59" i="71" s="1"/>
  <c r="Q59" i="71"/>
  <c r="T59" i="71" s="1"/>
  <c r="S12" i="71"/>
  <c r="S13" i="71"/>
  <c r="S17" i="71"/>
  <c r="D19" i="71"/>
  <c r="R19" i="71" s="1"/>
  <c r="T19" i="71" s="1"/>
  <c r="D22" i="71"/>
  <c r="R22" i="71" s="1"/>
  <c r="T22" i="71" s="1"/>
  <c r="Q32" i="71"/>
  <c r="S32" i="71" s="1"/>
  <c r="S34" i="71" s="1"/>
  <c r="S38" i="71"/>
  <c r="S44" i="71" s="1"/>
  <c r="S41" i="71"/>
  <c r="S47" i="71"/>
  <c r="R6" i="71"/>
  <c r="R34" i="71"/>
  <c r="T34" i="71" s="1"/>
  <c r="Q44" i="71"/>
  <c r="R46" i="71"/>
  <c r="E59" i="71"/>
  <c r="E66" i="71" s="1"/>
  <c r="C62" i="70"/>
  <c r="G62" i="70" s="1"/>
  <c r="H62" i="70" s="1"/>
  <c r="G53" i="70"/>
  <c r="H53" i="70" s="1"/>
  <c r="G23" i="70"/>
  <c r="H21" i="70"/>
  <c r="H38" i="70"/>
  <c r="G40" i="70"/>
  <c r="H40" i="70" s="1"/>
  <c r="H48" i="70"/>
  <c r="G11" i="70"/>
  <c r="H11" i="70" s="1"/>
  <c r="K67" i="70"/>
  <c r="H9" i="70"/>
  <c r="G15" i="70"/>
  <c r="H15" i="70" s="1"/>
  <c r="G10" i="70"/>
  <c r="H10" i="70" s="1"/>
  <c r="C23" i="70"/>
  <c r="C32" i="70" s="1"/>
  <c r="S8" i="69"/>
  <c r="T8" i="69"/>
  <c r="R64" i="69"/>
  <c r="S64" i="69" s="1"/>
  <c r="AC107" i="69"/>
  <c r="G59" i="69"/>
  <c r="G83" i="69" s="1"/>
  <c r="E77" i="69"/>
  <c r="T6" i="69"/>
  <c r="M66" i="69"/>
  <c r="AC41" i="69"/>
  <c r="N66" i="69"/>
  <c r="C66" i="69"/>
  <c r="AQ113" i="69"/>
  <c r="F87" i="69"/>
  <c r="F99" i="69" s="1"/>
  <c r="F59" i="69"/>
  <c r="F83" i="69" s="1"/>
  <c r="F82" i="69" s="1"/>
  <c r="F88" i="69" s="1"/>
  <c r="AC36" i="69"/>
  <c r="AC33" i="69"/>
  <c r="E122" i="69"/>
  <c r="E123" i="69" s="1"/>
  <c r="E105" i="69"/>
  <c r="J82" i="69"/>
  <c r="E86" i="69"/>
  <c r="E100" i="69" s="1"/>
  <c r="AG114" i="69"/>
  <c r="K102" i="69"/>
  <c r="E81" i="69"/>
  <c r="F86" i="69"/>
  <c r="F100" i="69" s="1"/>
  <c r="F102" i="69" s="1"/>
  <c r="AJ60" i="69"/>
  <c r="G87" i="69"/>
  <c r="G99" i="69" s="1"/>
  <c r="G102" i="69" s="1"/>
  <c r="G122" i="69"/>
  <c r="G123" i="69" s="1"/>
  <c r="O66" i="69"/>
  <c r="P66" i="69"/>
  <c r="E113" i="69"/>
  <c r="AC48" i="69"/>
  <c r="F66" i="69"/>
  <c r="G81" i="69"/>
  <c r="G82" i="69" s="1"/>
  <c r="G88" i="69" s="1"/>
  <c r="J86" i="69"/>
  <c r="J100" i="69" s="1"/>
  <c r="E106" i="69"/>
  <c r="I87" i="69"/>
  <c r="I99" i="69" s="1"/>
  <c r="I102" i="69" s="1"/>
  <c r="K94" i="69"/>
  <c r="E59" i="69"/>
  <c r="E83" i="69" s="1"/>
  <c r="I81" i="69"/>
  <c r="I82" i="69" s="1"/>
  <c r="R60" i="69"/>
  <c r="E114" i="69"/>
  <c r="R61" i="69"/>
  <c r="S61" i="69" s="1"/>
  <c r="G60" i="70" l="1"/>
  <c r="H60" i="70" s="1"/>
  <c r="M46" i="57"/>
  <c r="M53" i="57"/>
  <c r="K68" i="71"/>
  <c r="J68" i="71"/>
  <c r="I68" i="71"/>
  <c r="I67" i="71"/>
  <c r="G67" i="71"/>
  <c r="H67" i="71"/>
  <c r="F67" i="71"/>
  <c r="L68" i="71"/>
  <c r="T8" i="71"/>
  <c r="S8" i="71"/>
  <c r="D57" i="71"/>
  <c r="T57" i="71"/>
  <c r="T66" i="71" s="1"/>
  <c r="S19" i="71"/>
  <c r="T46" i="71"/>
  <c r="S46" i="71"/>
  <c r="S56" i="71" s="1"/>
  <c r="S57" i="71" s="1"/>
  <c r="T6" i="71"/>
  <c r="S6" i="71"/>
  <c r="G32" i="70"/>
  <c r="H32" i="70" s="1"/>
  <c r="R21" i="70"/>
  <c r="C64" i="70"/>
  <c r="H23" i="70"/>
  <c r="I88" i="69"/>
  <c r="E115" i="69"/>
  <c r="E87" i="69"/>
  <c r="E99" i="69" s="1"/>
  <c r="E102" i="69" s="1"/>
  <c r="G66" i="69"/>
  <c r="E107" i="69"/>
  <c r="E117" i="69"/>
  <c r="E119" i="69" s="1"/>
  <c r="AC67" i="69"/>
  <c r="AQ55" i="69"/>
  <c r="AD58" i="69"/>
  <c r="J66" i="69"/>
  <c r="J87" i="69"/>
  <c r="J99" i="69" s="1"/>
  <c r="J102" i="69" s="1"/>
  <c r="AQ53" i="69"/>
  <c r="AD10" i="69"/>
  <c r="AG8" i="69" s="1"/>
  <c r="AC32" i="69"/>
  <c r="AC34" i="69" s="1"/>
  <c r="AC45" i="69"/>
  <c r="AL11" i="69"/>
  <c r="S60" i="69"/>
  <c r="S59" i="69" s="1"/>
  <c r="R59" i="69"/>
  <c r="T59" i="69" s="1"/>
  <c r="H87" i="69"/>
  <c r="H66" i="69"/>
  <c r="AJ58" i="69"/>
  <c r="AC37" i="69"/>
  <c r="AC58" i="69" s="1"/>
  <c r="AC40" i="69"/>
  <c r="E66" i="69"/>
  <c r="AD11" i="69"/>
  <c r="E82" i="69"/>
  <c r="E88" i="69" s="1"/>
  <c r="AJ65" i="69"/>
  <c r="I66" i="69"/>
  <c r="AJ62" i="69"/>
  <c r="R57" i="71" l="1"/>
  <c r="D66" i="71"/>
  <c r="S66" i="71"/>
  <c r="S68" i="71" s="1"/>
  <c r="R66" i="69"/>
  <c r="AC38" i="69"/>
  <c r="S66" i="69"/>
  <c r="S68" i="69" s="1"/>
  <c r="J88" i="69"/>
  <c r="AD12" i="69"/>
  <c r="H99" i="69"/>
  <c r="H102" i="69" s="1"/>
  <c r="H88" i="69"/>
  <c r="T66" i="69"/>
  <c r="AC44" i="69"/>
  <c r="AC46" i="69" s="1"/>
  <c r="G67" i="69"/>
  <c r="F67" i="69"/>
  <c r="J68" i="69"/>
  <c r="I68" i="69"/>
  <c r="H67" i="69"/>
  <c r="I67" i="69"/>
  <c r="AC42" i="69"/>
  <c r="AC62" i="69"/>
  <c r="AL10" i="69"/>
  <c r="AL12" i="69" s="1"/>
  <c r="D66" i="69"/>
  <c r="AC60" i="69"/>
  <c r="AC65" i="69" l="1"/>
  <c r="L59" i="66" l="1"/>
  <c r="K59" i="66"/>
  <c r="D59" i="66"/>
  <c r="C59" i="66"/>
  <c r="P58" i="66"/>
  <c r="P57" i="66"/>
  <c r="P56" i="66"/>
  <c r="P55" i="66"/>
  <c r="P54" i="66"/>
  <c r="P53" i="66"/>
  <c r="P52" i="66"/>
  <c r="P51" i="66"/>
  <c r="F50" i="66"/>
  <c r="P50" i="66" s="1"/>
  <c r="P49" i="66"/>
  <c r="F49" i="66"/>
  <c r="P48" i="66"/>
  <c r="G47" i="66"/>
  <c r="P47" i="66" s="1"/>
  <c r="P45" i="66"/>
  <c r="P44" i="66"/>
  <c r="P43" i="66"/>
  <c r="G43" i="66"/>
  <c r="G42" i="66"/>
  <c r="P42" i="66" s="1"/>
  <c r="O41" i="66"/>
  <c r="O59" i="66" s="1"/>
  <c r="N41" i="66"/>
  <c r="N59" i="66" s="1"/>
  <c r="M41" i="66"/>
  <c r="M59" i="66" s="1"/>
  <c r="J41" i="66"/>
  <c r="J59" i="66" s="1"/>
  <c r="I41" i="66"/>
  <c r="I59" i="66" s="1"/>
  <c r="H41" i="66"/>
  <c r="H59" i="66" s="1"/>
  <c r="G41" i="66"/>
  <c r="F41" i="66"/>
  <c r="F59" i="66" s="1"/>
  <c r="P40" i="66"/>
  <c r="P39" i="66"/>
  <c r="P38" i="66"/>
  <c r="P37" i="66"/>
  <c r="P36" i="66"/>
  <c r="P35" i="66"/>
  <c r="P34" i="66"/>
  <c r="P33" i="66"/>
  <c r="P32" i="66"/>
  <c r="P30" i="66"/>
  <c r="P29" i="66"/>
  <c r="P28" i="66"/>
  <c r="P27" i="66"/>
  <c r="P26" i="66"/>
  <c r="G24" i="66"/>
  <c r="P24" i="66" s="1"/>
  <c r="P23" i="66"/>
  <c r="P22" i="66"/>
  <c r="G22" i="66"/>
  <c r="P21" i="66"/>
  <c r="G20" i="66"/>
  <c r="P20" i="66" s="1"/>
  <c r="E20" i="66"/>
  <c r="E59" i="66" s="1"/>
  <c r="P19" i="66"/>
  <c r="P18" i="66"/>
  <c r="P17" i="66"/>
  <c r="P16" i="66"/>
  <c r="P15" i="66"/>
  <c r="D14" i="66"/>
  <c r="P11" i="66"/>
  <c r="I10" i="66"/>
  <c r="H10" i="66"/>
  <c r="P10" i="66" s="1"/>
  <c r="L8" i="66"/>
  <c r="J8" i="66"/>
  <c r="P7" i="66"/>
  <c r="O6" i="66"/>
  <c r="N6" i="66"/>
  <c r="M6" i="66"/>
  <c r="L6" i="66"/>
  <c r="M8" i="66" s="1"/>
  <c r="K6" i="66"/>
  <c r="J6" i="66"/>
  <c r="J14" i="66" s="1"/>
  <c r="J60" i="66" s="1"/>
  <c r="I6" i="66"/>
  <c r="H6" i="66"/>
  <c r="G6" i="66"/>
  <c r="F6" i="66"/>
  <c r="F14" i="66" s="1"/>
  <c r="E6" i="66"/>
  <c r="E14" i="66" s="1"/>
  <c r="E60" i="66" s="1"/>
  <c r="P5" i="66"/>
  <c r="O14" i="66" l="1"/>
  <c r="O60" i="66" s="1"/>
  <c r="M14" i="66"/>
  <c r="M60" i="66" s="1"/>
  <c r="F60" i="66"/>
  <c r="N14" i="66"/>
  <c r="N60" i="66" s="1"/>
  <c r="D60" i="66"/>
  <c r="E61" i="66" s="1"/>
  <c r="K8" i="66"/>
  <c r="K14" i="66" s="1"/>
  <c r="K60" i="66" s="1"/>
  <c r="L14" i="66"/>
  <c r="L60" i="66" s="1"/>
  <c r="P6" i="66"/>
  <c r="N8" i="66"/>
  <c r="P41" i="66"/>
  <c r="P59" i="66" s="1"/>
  <c r="G8" i="66"/>
  <c r="P8" i="66" s="1"/>
  <c r="O8" i="66"/>
  <c r="H8" i="66"/>
  <c r="H14" i="66" s="1"/>
  <c r="H60" i="66" s="1"/>
  <c r="G59" i="66"/>
  <c r="I8" i="66"/>
  <c r="I14" i="66" s="1"/>
  <c r="I60" i="66" s="1"/>
  <c r="F61" i="66" l="1"/>
  <c r="G14" i="66"/>
  <c r="G60" i="66" l="1"/>
  <c r="P14" i="66"/>
  <c r="P60" i="66" s="1"/>
  <c r="G61" i="66"/>
  <c r="H61" i="66" s="1"/>
  <c r="I61" i="66" s="1"/>
  <c r="J61" i="66" s="1"/>
  <c r="K61" i="66" s="1"/>
  <c r="L61" i="66" s="1"/>
  <c r="M61" i="66" s="1"/>
  <c r="N61" i="66" s="1"/>
  <c r="O61" i="66" s="1"/>
  <c r="AB37" i="45" l="1"/>
  <c r="AB33" i="45"/>
  <c r="AD32" i="45"/>
  <c r="AD31" i="45"/>
  <c r="AD30" i="45"/>
  <c r="AD29" i="45"/>
  <c r="AD28" i="45"/>
  <c r="AD27" i="45"/>
  <c r="AD26" i="45"/>
  <c r="AD25" i="45"/>
  <c r="AD24" i="45"/>
  <c r="AD23" i="45"/>
  <c r="AD22" i="45"/>
  <c r="AD21" i="45"/>
  <c r="AD20" i="45"/>
  <c r="AD19" i="45"/>
  <c r="AD18" i="45"/>
  <c r="AD17" i="45"/>
  <c r="AD16" i="45"/>
  <c r="AD15" i="45"/>
  <c r="AD14" i="45"/>
  <c r="AD13" i="45"/>
  <c r="AD12" i="45"/>
  <c r="AD11" i="45"/>
  <c r="AD10" i="45"/>
  <c r="AD9" i="45"/>
  <c r="AD33" i="45" s="1"/>
  <c r="AD8" i="45"/>
  <c r="AD7" i="45"/>
  <c r="AD6" i="45"/>
  <c r="AD5" i="45"/>
  <c r="AD4" i="45"/>
  <c r="F93" i="65" l="1"/>
  <c r="F77" i="65"/>
  <c r="F94" i="65" s="1"/>
  <c r="D41" i="65"/>
  <c r="F40" i="65"/>
  <c r="F39" i="65"/>
  <c r="F38" i="65"/>
  <c r="F37" i="65"/>
  <c r="F36" i="65"/>
  <c r="F35" i="65"/>
  <c r="F34" i="65"/>
  <c r="F33" i="65"/>
  <c r="F32" i="65"/>
  <c r="F31" i="65"/>
  <c r="F30" i="65"/>
  <c r="F29" i="65"/>
  <c r="F28" i="65"/>
  <c r="F27" i="65"/>
  <c r="F26" i="65"/>
  <c r="F25" i="65"/>
  <c r="F24" i="65"/>
  <c r="F23" i="65"/>
  <c r="F22" i="65"/>
  <c r="F21" i="65"/>
  <c r="F20" i="65"/>
  <c r="F19" i="65"/>
  <c r="F18" i="65"/>
  <c r="F17" i="65"/>
  <c r="F16" i="65"/>
  <c r="F15" i="65"/>
  <c r="F14" i="65"/>
  <c r="F13" i="65"/>
  <c r="F12" i="65"/>
  <c r="F41" i="65" s="1"/>
  <c r="E7" i="65"/>
  <c r="E6" i="65"/>
  <c r="E8" i="65" l="1"/>
  <c r="S30" i="53"/>
  <c r="S56" i="53"/>
  <c r="D63" i="41"/>
  <c r="G59" i="41"/>
  <c r="G54" i="41"/>
  <c r="D51" i="41"/>
  <c r="D50" i="41"/>
  <c r="D49" i="41"/>
  <c r="D48" i="41"/>
  <c r="D47" i="41"/>
  <c r="D46" i="41"/>
  <c r="D45" i="41"/>
  <c r="D44" i="41"/>
  <c r="G41" i="41"/>
  <c r="E41" i="41"/>
  <c r="A39" i="41"/>
  <c r="D31" i="41"/>
  <c r="G30" i="41"/>
  <c r="D30" i="41"/>
  <c r="G24" i="41"/>
  <c r="G19" i="41"/>
  <c r="D13" i="41"/>
  <c r="D12" i="41"/>
  <c r="D11" i="41"/>
  <c r="D10" i="41"/>
  <c r="D9" i="41"/>
  <c r="D8" i="41"/>
  <c r="D7" i="41"/>
  <c r="E434" i="29"/>
  <c r="E63" i="29"/>
  <c r="E60" i="29"/>
  <c r="E59" i="29"/>
  <c r="E56" i="29"/>
  <c r="N74" i="43"/>
  <c r="L74" i="43"/>
  <c r="J74" i="43"/>
  <c r="I74" i="43"/>
  <c r="H74" i="43"/>
  <c r="G74" i="43"/>
  <c r="F74" i="43"/>
  <c r="E74" i="43"/>
  <c r="D74" i="43"/>
  <c r="K25" i="43"/>
  <c r="J25" i="43"/>
  <c r="I25" i="43"/>
  <c r="H25" i="43"/>
  <c r="G25" i="43"/>
  <c r="F25" i="43"/>
  <c r="E25" i="43"/>
  <c r="D25" i="43"/>
  <c r="C25" i="43"/>
  <c r="O24" i="43"/>
  <c r="K24" i="43"/>
  <c r="J24" i="43"/>
  <c r="I24" i="43"/>
  <c r="H24" i="43"/>
  <c r="G24" i="43"/>
  <c r="F24" i="43"/>
  <c r="E24" i="43"/>
  <c r="D24" i="43"/>
  <c r="C24" i="43"/>
  <c r="K23" i="43"/>
  <c r="J23" i="43"/>
  <c r="I23" i="43"/>
  <c r="H23" i="43"/>
  <c r="G23" i="43"/>
  <c r="F23" i="43"/>
  <c r="C23" i="43"/>
  <c r="O22" i="43"/>
  <c r="K22" i="43"/>
  <c r="J22" i="43"/>
  <c r="I22" i="43"/>
  <c r="H22" i="43"/>
  <c r="G22" i="43"/>
  <c r="F22" i="43"/>
  <c r="E22" i="43"/>
  <c r="D22" i="43"/>
  <c r="C22" i="43"/>
  <c r="K21" i="43"/>
  <c r="J21" i="43"/>
  <c r="I21" i="43"/>
  <c r="H21" i="43"/>
  <c r="G21" i="43"/>
  <c r="F21" i="43"/>
  <c r="C21" i="43"/>
  <c r="O20" i="43"/>
  <c r="K20" i="43"/>
  <c r="J20" i="43"/>
  <c r="I20" i="43"/>
  <c r="H20" i="43"/>
  <c r="G20" i="43"/>
  <c r="F20" i="43"/>
  <c r="E20" i="43"/>
  <c r="D20" i="43"/>
  <c r="C20" i="43"/>
  <c r="O19" i="43"/>
  <c r="K19" i="43"/>
  <c r="J19" i="43"/>
  <c r="I19" i="43"/>
  <c r="H19" i="43"/>
  <c r="G19" i="43"/>
  <c r="F19" i="43"/>
  <c r="C19" i="43"/>
  <c r="N16" i="43"/>
  <c r="M16" i="43"/>
  <c r="L16" i="43"/>
  <c r="K16" i="43"/>
  <c r="J16" i="43"/>
  <c r="I16" i="43"/>
  <c r="H16" i="43"/>
  <c r="G16" i="43"/>
  <c r="F16" i="43"/>
  <c r="E16" i="43"/>
  <c r="D16" i="43"/>
  <c r="O14" i="43"/>
  <c r="J14" i="43"/>
  <c r="I14" i="43"/>
  <c r="H14" i="43"/>
  <c r="G14" i="43"/>
  <c r="F14" i="43"/>
  <c r="E14" i="43"/>
  <c r="D14" i="43"/>
  <c r="C14" i="43"/>
  <c r="O13" i="43"/>
  <c r="K13" i="43"/>
  <c r="O12" i="43"/>
  <c r="N9" i="43"/>
  <c r="M9" i="43"/>
  <c r="L9" i="43"/>
  <c r="K9" i="43"/>
  <c r="I9" i="43"/>
  <c r="H9" i="43"/>
  <c r="G9" i="43"/>
  <c r="F9" i="43"/>
  <c r="E9" i="43"/>
  <c r="D9" i="43"/>
  <c r="C9" i="43"/>
  <c r="I4" i="43"/>
  <c r="G2" i="43"/>
  <c r="BF40" i="42"/>
  <c r="BC37" i="42"/>
  <c r="BB37" i="42"/>
  <c r="BA37" i="42"/>
  <c r="AZ37" i="42"/>
  <c r="AY37" i="42"/>
  <c r="AX37" i="42"/>
  <c r="AW37" i="42"/>
  <c r="AV37" i="42"/>
  <c r="AU37" i="42"/>
  <c r="AT37" i="42"/>
  <c r="AS37" i="42"/>
  <c r="AR37" i="42"/>
  <c r="AQ37" i="42"/>
  <c r="AP37" i="42"/>
  <c r="AO37" i="42"/>
  <c r="AN37" i="42"/>
  <c r="AM37" i="42"/>
  <c r="AL37" i="42"/>
  <c r="AK37" i="42"/>
  <c r="AJ37" i="42"/>
  <c r="AI37" i="42"/>
  <c r="AH37" i="42"/>
  <c r="AG37" i="42"/>
  <c r="AF37" i="42"/>
  <c r="AE37" i="42"/>
  <c r="AD37" i="42"/>
  <c r="AC37" i="42"/>
  <c r="AB37" i="42"/>
  <c r="AA37" i="42"/>
  <c r="Z37" i="42"/>
  <c r="Y37" i="42"/>
  <c r="X37" i="42"/>
  <c r="W37" i="42"/>
  <c r="V37" i="42"/>
  <c r="U37" i="42"/>
  <c r="T37" i="42"/>
  <c r="S37" i="42"/>
  <c r="R37" i="42"/>
  <c r="Q37" i="42"/>
  <c r="P37" i="42"/>
  <c r="O37" i="42"/>
  <c r="N37" i="42"/>
  <c r="M37" i="42"/>
  <c r="L37" i="42"/>
  <c r="K37" i="42"/>
  <c r="J37" i="42"/>
  <c r="I37" i="42"/>
  <c r="H37" i="42"/>
  <c r="G37" i="42"/>
  <c r="F37" i="42"/>
  <c r="E37" i="42"/>
  <c r="D37" i="42"/>
  <c r="C37" i="42"/>
  <c r="BE36" i="42"/>
  <c r="BD36" i="42"/>
  <c r="BC36" i="42"/>
  <c r="BB36" i="42"/>
  <c r="BA36" i="42"/>
  <c r="AZ36" i="42"/>
  <c r="AY36" i="42"/>
  <c r="AX36" i="42"/>
  <c r="AW36" i="42"/>
  <c r="AV36" i="42"/>
  <c r="AU36" i="42"/>
  <c r="AT36" i="42"/>
  <c r="AS36" i="42"/>
  <c r="AR36" i="42"/>
  <c r="AQ36" i="42"/>
  <c r="AP36" i="42"/>
  <c r="AO36" i="42"/>
  <c r="AN36" i="42"/>
  <c r="AM36" i="42"/>
  <c r="AL36" i="42"/>
  <c r="AK36" i="42"/>
  <c r="AJ36" i="42"/>
  <c r="AI36" i="42"/>
  <c r="AH36" i="42"/>
  <c r="AG36" i="42"/>
  <c r="AF36" i="42"/>
  <c r="AE36" i="42"/>
  <c r="AD36" i="42"/>
  <c r="AC36" i="42"/>
  <c r="AB36" i="42"/>
  <c r="AA36" i="42"/>
  <c r="Z36" i="42"/>
  <c r="Y36" i="42"/>
  <c r="X36" i="42"/>
  <c r="W36" i="42"/>
  <c r="V36" i="42"/>
  <c r="U36" i="42"/>
  <c r="T36" i="42"/>
  <c r="S36" i="42"/>
  <c r="R36" i="42"/>
  <c r="Q36" i="42"/>
  <c r="P36" i="42"/>
  <c r="O36" i="42"/>
  <c r="N36" i="42"/>
  <c r="M36" i="42"/>
  <c r="L36" i="42"/>
  <c r="K36" i="42"/>
  <c r="J36" i="42"/>
  <c r="I36" i="42"/>
  <c r="H36" i="42"/>
  <c r="G36" i="42"/>
  <c r="F36" i="42"/>
  <c r="E36" i="42"/>
  <c r="D36" i="42"/>
  <c r="C36" i="42"/>
  <c r="BG35" i="42"/>
  <c r="BF35" i="42"/>
  <c r="BF34" i="42"/>
  <c r="BC34" i="42"/>
  <c r="BB34" i="42"/>
  <c r="BA34" i="42"/>
  <c r="AZ34" i="42"/>
  <c r="AY34" i="42"/>
  <c r="AX34" i="42"/>
  <c r="AW34" i="42"/>
  <c r="AV34" i="42"/>
  <c r="AU34" i="42"/>
  <c r="AT34" i="42"/>
  <c r="AS34" i="42"/>
  <c r="AR34" i="42"/>
  <c r="AQ34" i="42"/>
  <c r="AP34" i="42"/>
  <c r="AO34" i="42"/>
  <c r="AN34" i="42"/>
  <c r="AM34" i="42"/>
  <c r="AL34" i="42"/>
  <c r="AK34" i="42"/>
  <c r="AJ34" i="42"/>
  <c r="AI34" i="42"/>
  <c r="AH34" i="42"/>
  <c r="AG34" i="42"/>
  <c r="AF34" i="42"/>
  <c r="AE34" i="42"/>
  <c r="AD34" i="42"/>
  <c r="AC34" i="42"/>
  <c r="AB34" i="42"/>
  <c r="AA34" i="42"/>
  <c r="Z34" i="42"/>
  <c r="Y34" i="42"/>
  <c r="X34" i="42"/>
  <c r="W34" i="42"/>
  <c r="V34" i="42"/>
  <c r="U34" i="42"/>
  <c r="T34" i="42"/>
  <c r="S34" i="42"/>
  <c r="R34" i="42"/>
  <c r="O34" i="42"/>
  <c r="J34" i="42"/>
  <c r="I34" i="42"/>
  <c r="H34" i="42"/>
  <c r="E34" i="42"/>
  <c r="D34" i="42"/>
  <c r="C34" i="42"/>
  <c r="BE33" i="42"/>
  <c r="BD33" i="42"/>
  <c r="BE32" i="42"/>
  <c r="BB32" i="42"/>
  <c r="O32" i="42"/>
  <c r="J32" i="42"/>
  <c r="BE31" i="42"/>
  <c r="BB31" i="42"/>
  <c r="AX31" i="42"/>
  <c r="AS31" i="42"/>
  <c r="AN31" i="42"/>
  <c r="AI31" i="42"/>
  <c r="AD31" i="42"/>
  <c r="Y31" i="42"/>
  <c r="X31" i="42"/>
  <c r="T31" i="42"/>
  <c r="S31" i="42"/>
  <c r="O31" i="42"/>
  <c r="J31" i="42"/>
  <c r="E31" i="42"/>
  <c r="BE30" i="42"/>
  <c r="BB30" i="42"/>
  <c r="AX30" i="42"/>
  <c r="AS30" i="42"/>
  <c r="AN30" i="42"/>
  <c r="AI30" i="42"/>
  <c r="AD30" i="42"/>
  <c r="Y30" i="42"/>
  <c r="X30" i="42"/>
  <c r="T30" i="42"/>
  <c r="S30" i="42"/>
  <c r="O30" i="42"/>
  <c r="J30" i="42"/>
  <c r="E30" i="42"/>
  <c r="BE29" i="42"/>
  <c r="BB29" i="42"/>
  <c r="AX29" i="42"/>
  <c r="AS29" i="42"/>
  <c r="AN29" i="42"/>
  <c r="AI29" i="42"/>
  <c r="AD29" i="42"/>
  <c r="Y29" i="42"/>
  <c r="X29" i="42"/>
  <c r="T29" i="42"/>
  <c r="S29" i="42"/>
  <c r="O29" i="42"/>
  <c r="J29" i="42"/>
  <c r="E29" i="42"/>
  <c r="BE28" i="42"/>
  <c r="BB28" i="42"/>
  <c r="AX28" i="42"/>
  <c r="AS28" i="42"/>
  <c r="AN28" i="42"/>
  <c r="AI28" i="42"/>
  <c r="AD28" i="42"/>
  <c r="Y28" i="42"/>
  <c r="X28" i="42"/>
  <c r="T28" i="42"/>
  <c r="S28" i="42"/>
  <c r="O28" i="42"/>
  <c r="J28" i="42"/>
  <c r="E28" i="42"/>
  <c r="BE27" i="42"/>
  <c r="BB27" i="42"/>
  <c r="AX27" i="42"/>
  <c r="AS27" i="42"/>
  <c r="AN27" i="42"/>
  <c r="AI27" i="42"/>
  <c r="AD27" i="42"/>
  <c r="Y27" i="42"/>
  <c r="X27" i="42"/>
  <c r="T27" i="42"/>
  <c r="S27" i="42"/>
  <c r="O27" i="42"/>
  <c r="J27" i="42"/>
  <c r="E27" i="42"/>
  <c r="BE26" i="42"/>
  <c r="BB26" i="42"/>
  <c r="AX26" i="42"/>
  <c r="AS26" i="42"/>
  <c r="AN26" i="42"/>
  <c r="AI26" i="42"/>
  <c r="AD26" i="42"/>
  <c r="Y26" i="42"/>
  <c r="X26" i="42"/>
  <c r="T26" i="42"/>
  <c r="S26" i="42"/>
  <c r="O26" i="42"/>
  <c r="J26" i="42"/>
  <c r="E26" i="42"/>
  <c r="BE25" i="42"/>
  <c r="BB25" i="42"/>
  <c r="AX25" i="42"/>
  <c r="AS25" i="42"/>
  <c r="AN25" i="42"/>
  <c r="AI25" i="42"/>
  <c r="AD25" i="42"/>
  <c r="Y25" i="42"/>
  <c r="X25" i="42"/>
  <c r="T25" i="42"/>
  <c r="S25" i="42"/>
  <c r="O25" i="42"/>
  <c r="J25" i="42"/>
  <c r="E25" i="42"/>
  <c r="BE24" i="42"/>
  <c r="BB24" i="42"/>
  <c r="AX24" i="42"/>
  <c r="AS24" i="42"/>
  <c r="AN24" i="42"/>
  <c r="AI24" i="42"/>
  <c r="AD24" i="42"/>
  <c r="Y24" i="42"/>
  <c r="X24" i="42"/>
  <c r="T24" i="42"/>
  <c r="S24" i="42"/>
  <c r="O24" i="42"/>
  <c r="J24" i="42"/>
  <c r="E24" i="42"/>
  <c r="BE23" i="42"/>
  <c r="BB23" i="42"/>
  <c r="AX23" i="42"/>
  <c r="AS23" i="42"/>
  <c r="AN23" i="42"/>
  <c r="AI23" i="42"/>
  <c r="AD23" i="42"/>
  <c r="Y23" i="42"/>
  <c r="X23" i="42"/>
  <c r="T23" i="42"/>
  <c r="S23" i="42"/>
  <c r="O23" i="42"/>
  <c r="J23" i="42"/>
  <c r="E23" i="42"/>
  <c r="BE22" i="42"/>
  <c r="BB22" i="42"/>
  <c r="AX22" i="42"/>
  <c r="AS22" i="42"/>
  <c r="AN22" i="42"/>
  <c r="AI22" i="42"/>
  <c r="AD22" i="42"/>
  <c r="Y22" i="42"/>
  <c r="X22" i="42"/>
  <c r="T22" i="42"/>
  <c r="S22" i="42"/>
  <c r="O22" i="42"/>
  <c r="J22" i="42"/>
  <c r="E22" i="42"/>
  <c r="BE21" i="42"/>
  <c r="BB21" i="42"/>
  <c r="AX21" i="42"/>
  <c r="AS21" i="42"/>
  <c r="AN21" i="42"/>
  <c r="AI21" i="42"/>
  <c r="AD21" i="42"/>
  <c r="Y21" i="42"/>
  <c r="X21" i="42"/>
  <c r="T21" i="42"/>
  <c r="S21" i="42"/>
  <c r="O21" i="42"/>
  <c r="J21" i="42"/>
  <c r="E21" i="42"/>
  <c r="BE20" i="42"/>
  <c r="BB20" i="42"/>
  <c r="AX20" i="42"/>
  <c r="AS20" i="42"/>
  <c r="AN20" i="42"/>
  <c r="AI20" i="42"/>
  <c r="AD20" i="42"/>
  <c r="Y20" i="42"/>
  <c r="X20" i="42"/>
  <c r="T20" i="42"/>
  <c r="S20" i="42"/>
  <c r="O20" i="42"/>
  <c r="J20" i="42"/>
  <c r="E20" i="42"/>
  <c r="BE19" i="42"/>
  <c r="BC19" i="42"/>
  <c r="BB19" i="42"/>
  <c r="AX19" i="42"/>
  <c r="AS19" i="42"/>
  <c r="AN19" i="42"/>
  <c r="AI19" i="42"/>
  <c r="AD19" i="42"/>
  <c r="Y19" i="42"/>
  <c r="X19" i="42"/>
  <c r="T19" i="42"/>
  <c r="S19" i="42"/>
  <c r="O19" i="42"/>
  <c r="J19" i="42"/>
  <c r="E19" i="42"/>
  <c r="BE18" i="42"/>
  <c r="BB18" i="42"/>
  <c r="AX18" i="42"/>
  <c r="AS18" i="42"/>
  <c r="AN18" i="42"/>
  <c r="AI18" i="42"/>
  <c r="AD18" i="42"/>
  <c r="Y18" i="42"/>
  <c r="X18" i="42"/>
  <c r="T18" i="42"/>
  <c r="S18" i="42"/>
  <c r="O18" i="42"/>
  <c r="J18" i="42"/>
  <c r="E18" i="42"/>
  <c r="BE17" i="42"/>
  <c r="BB17" i="42"/>
  <c r="AX17" i="42"/>
  <c r="AS17" i="42"/>
  <c r="AN17" i="42"/>
  <c r="AI17" i="42"/>
  <c r="AD17" i="42"/>
  <c r="Y17" i="42"/>
  <c r="X17" i="42"/>
  <c r="T17" i="42"/>
  <c r="S17" i="42"/>
  <c r="O17" i="42"/>
  <c r="J17" i="42"/>
  <c r="E17" i="42"/>
  <c r="BE16" i="42"/>
  <c r="BB16" i="42"/>
  <c r="AX16" i="42"/>
  <c r="AS16" i="42"/>
  <c r="AN16" i="42"/>
  <c r="AI16" i="42"/>
  <c r="AD16" i="42"/>
  <c r="Y16" i="42"/>
  <c r="X16" i="42"/>
  <c r="T16" i="42"/>
  <c r="S16" i="42"/>
  <c r="O16" i="42"/>
  <c r="J16" i="42"/>
  <c r="E16" i="42"/>
  <c r="BE15" i="42"/>
  <c r="BB15" i="42"/>
  <c r="AX15" i="42"/>
  <c r="AS15" i="42"/>
  <c r="AN15" i="42"/>
  <c r="AI15" i="42"/>
  <c r="AD15" i="42"/>
  <c r="Y15" i="42"/>
  <c r="X15" i="42"/>
  <c r="T15" i="42"/>
  <c r="S15" i="42"/>
  <c r="O15" i="42"/>
  <c r="J15" i="42"/>
  <c r="E15" i="42"/>
  <c r="BE14" i="42"/>
  <c r="BB14" i="42"/>
  <c r="AX14" i="42"/>
  <c r="AS14" i="42"/>
  <c r="AN14" i="42"/>
  <c r="AI14" i="42"/>
  <c r="AD14" i="42"/>
  <c r="Y14" i="42"/>
  <c r="X14" i="42"/>
  <c r="T14" i="42"/>
  <c r="S14" i="42"/>
  <c r="O14" i="42"/>
  <c r="J14" i="42"/>
  <c r="E14" i="42"/>
  <c r="BE13" i="42"/>
  <c r="BB13" i="42"/>
  <c r="AX13" i="42"/>
  <c r="AS13" i="42"/>
  <c r="AN13" i="42"/>
  <c r="AI13" i="42"/>
  <c r="AD13" i="42"/>
  <c r="Y13" i="42"/>
  <c r="X13" i="42"/>
  <c r="T13" i="42"/>
  <c r="S13" i="42"/>
  <c r="O13" i="42"/>
  <c r="J13" i="42"/>
  <c r="E13" i="42"/>
  <c r="BE12" i="42"/>
  <c r="BB12" i="42"/>
  <c r="AX12" i="42"/>
  <c r="AS12" i="42"/>
  <c r="AN12" i="42"/>
  <c r="AI12" i="42"/>
  <c r="AD12" i="42"/>
  <c r="Y12" i="42"/>
  <c r="X12" i="42"/>
  <c r="T12" i="42"/>
  <c r="S12" i="42"/>
  <c r="O12" i="42"/>
  <c r="J12" i="42"/>
  <c r="E12" i="42"/>
  <c r="BE11" i="42"/>
  <c r="BB11" i="42"/>
  <c r="AX11" i="42"/>
  <c r="AS11" i="42"/>
  <c r="AN11" i="42"/>
  <c r="AI11" i="42"/>
  <c r="AD11" i="42"/>
  <c r="Y11" i="42"/>
  <c r="X11" i="42"/>
  <c r="T11" i="42"/>
  <c r="S11" i="42"/>
  <c r="O11" i="42"/>
  <c r="J11" i="42"/>
  <c r="E11" i="42"/>
  <c r="BE10" i="42"/>
  <c r="BB10" i="42"/>
  <c r="AX10" i="42"/>
  <c r="AS10" i="42"/>
  <c r="AN10" i="42"/>
  <c r="AI10" i="42"/>
  <c r="AD10" i="42"/>
  <c r="Y10" i="42"/>
  <c r="X10" i="42"/>
  <c r="T10" i="42"/>
  <c r="S10" i="42"/>
  <c r="O10" i="42"/>
  <c r="J10" i="42"/>
  <c r="E10" i="42"/>
  <c r="BE9" i="42"/>
  <c r="BB9" i="42"/>
  <c r="AX9" i="42"/>
  <c r="AS9" i="42"/>
  <c r="AN9" i="42"/>
  <c r="AI9" i="42"/>
  <c r="AD9" i="42"/>
  <c r="Y9" i="42"/>
  <c r="X9" i="42"/>
  <c r="T9" i="42"/>
  <c r="S9" i="42"/>
  <c r="O9" i="42"/>
  <c r="J9" i="42"/>
  <c r="E9" i="42"/>
  <c r="BE8" i="42"/>
  <c r="BB8" i="42"/>
  <c r="AX8" i="42"/>
  <c r="AS8" i="42"/>
  <c r="AN8" i="42"/>
  <c r="AI8" i="42"/>
  <c r="AD8" i="42"/>
  <c r="Y8" i="42"/>
  <c r="X8" i="42"/>
  <c r="T8" i="42"/>
  <c r="S8" i="42"/>
  <c r="O8" i="42"/>
  <c r="J8" i="42"/>
  <c r="E8" i="42"/>
  <c r="BE7" i="42"/>
  <c r="BB7" i="42"/>
  <c r="AX7" i="42"/>
  <c r="AS7" i="42"/>
  <c r="AN7" i="42"/>
  <c r="AI7" i="42"/>
  <c r="AD7" i="42"/>
  <c r="Y7" i="42"/>
  <c r="X7" i="42"/>
  <c r="T7" i="42"/>
  <c r="S7" i="42"/>
  <c r="O7" i="42"/>
  <c r="J7" i="42"/>
  <c r="E7" i="42"/>
  <c r="BE6" i="42"/>
  <c r="BB6" i="42"/>
  <c r="AX6" i="42"/>
  <c r="AS6" i="42"/>
  <c r="AN6" i="42"/>
  <c r="AI6" i="42"/>
  <c r="AD6" i="42"/>
  <c r="Y6" i="42"/>
  <c r="X6" i="42"/>
  <c r="T6" i="42"/>
  <c r="S6" i="42"/>
  <c r="O6" i="42"/>
  <c r="J6" i="42"/>
  <c r="E6" i="42"/>
  <c r="BE5" i="42"/>
  <c r="BB5" i="42"/>
  <c r="AX5" i="42"/>
  <c r="AS5" i="42"/>
  <c r="AN5" i="42"/>
  <c r="AI5" i="42"/>
  <c r="AD5" i="42"/>
  <c r="Y5" i="42"/>
  <c r="X5" i="42"/>
  <c r="T5" i="42"/>
  <c r="S5" i="42"/>
  <c r="O5" i="42"/>
  <c r="J5" i="42"/>
  <c r="E5" i="42"/>
  <c r="BE4" i="42"/>
  <c r="BB4" i="42"/>
  <c r="AX4" i="42"/>
  <c r="AS4" i="42"/>
  <c r="AN4" i="42"/>
  <c r="AI4" i="42"/>
  <c r="AD4" i="42"/>
  <c r="Y4" i="42"/>
  <c r="X4" i="42"/>
  <c r="T4" i="42"/>
  <c r="S4" i="42"/>
  <c r="O4" i="42"/>
  <c r="J4" i="42"/>
  <c r="E4" i="42"/>
  <c r="D4" i="42"/>
  <c r="BC37" i="45"/>
  <c r="AZ37" i="45"/>
  <c r="AV37" i="45"/>
  <c r="AQ37" i="45"/>
  <c r="AP37" i="45"/>
  <c r="AO37" i="45"/>
  <c r="AN37" i="45"/>
  <c r="AM37" i="45"/>
  <c r="AL37" i="45"/>
  <c r="AK37" i="45"/>
  <c r="AJ37" i="45"/>
  <c r="AI37" i="45"/>
  <c r="AH37" i="45"/>
  <c r="AG37" i="45"/>
  <c r="AF37" i="45"/>
  <c r="AE37" i="45"/>
  <c r="AA37" i="45"/>
  <c r="Z37" i="45"/>
  <c r="V37" i="45"/>
  <c r="U37" i="45"/>
  <c r="T37" i="45"/>
  <c r="S37" i="45"/>
  <c r="R37" i="45"/>
  <c r="Q37" i="45"/>
  <c r="P37" i="45"/>
  <c r="O37" i="45"/>
  <c r="N37" i="45"/>
  <c r="M37" i="45"/>
  <c r="L37" i="45"/>
  <c r="K37" i="45"/>
  <c r="J37" i="45"/>
  <c r="I37" i="45"/>
  <c r="H37" i="45"/>
  <c r="G37" i="45"/>
  <c r="F37" i="45"/>
  <c r="E37" i="45"/>
  <c r="D37" i="45"/>
  <c r="C37" i="45"/>
  <c r="BE36" i="45"/>
  <c r="BD36" i="45"/>
  <c r="BC36" i="45"/>
  <c r="BB36" i="45"/>
  <c r="BA36" i="45"/>
  <c r="AZ36" i="45"/>
  <c r="AY36" i="45"/>
  <c r="AX36" i="45"/>
  <c r="AW36" i="45"/>
  <c r="AV36" i="45"/>
  <c r="AU36" i="45"/>
  <c r="AT36" i="45"/>
  <c r="AS36" i="45"/>
  <c r="AR36" i="45"/>
  <c r="AQ36" i="45"/>
  <c r="AP36" i="45"/>
  <c r="AO36" i="45"/>
  <c r="AN36" i="45"/>
  <c r="AM36" i="45"/>
  <c r="AK36" i="45"/>
  <c r="AJ36" i="45"/>
  <c r="AI36" i="45"/>
  <c r="AH36" i="45"/>
  <c r="AF36" i="45"/>
  <c r="AE36" i="45"/>
  <c r="AA36" i="45"/>
  <c r="Z36" i="45"/>
  <c r="V36" i="45"/>
  <c r="U36" i="45"/>
  <c r="T36" i="45"/>
  <c r="S36" i="45"/>
  <c r="R36" i="45"/>
  <c r="Q36" i="45"/>
  <c r="P36" i="45"/>
  <c r="O36" i="45"/>
  <c r="N36" i="45"/>
  <c r="M36" i="45"/>
  <c r="L36" i="45"/>
  <c r="K36" i="45"/>
  <c r="J36" i="45"/>
  <c r="I36" i="45"/>
  <c r="H36" i="45"/>
  <c r="G36" i="45"/>
  <c r="F36" i="45"/>
  <c r="E36" i="45"/>
  <c r="D36" i="45"/>
  <c r="C36" i="45"/>
  <c r="BG35" i="45"/>
  <c r="BF35" i="45"/>
  <c r="BC34" i="45"/>
  <c r="BB34" i="45"/>
  <c r="BA34" i="45"/>
  <c r="AZ34" i="45"/>
  <c r="AY34" i="45"/>
  <c r="AX34" i="45"/>
  <c r="AW34" i="45"/>
  <c r="AV34" i="45"/>
  <c r="AU34" i="45"/>
  <c r="AT34" i="45"/>
  <c r="AS34" i="45"/>
  <c r="AR34" i="45"/>
  <c r="AQ34" i="45"/>
  <c r="AP34" i="45"/>
  <c r="AO34" i="45"/>
  <c r="AN34" i="45"/>
  <c r="AM34" i="45"/>
  <c r="AL34" i="45"/>
  <c r="AK34" i="45"/>
  <c r="AJ34" i="45"/>
  <c r="AI34" i="45"/>
  <c r="AH34" i="45"/>
  <c r="AG34" i="45"/>
  <c r="AF34" i="45"/>
  <c r="AE34" i="45"/>
  <c r="AD34" i="45"/>
  <c r="AD37" i="45" s="1"/>
  <c r="AC34" i="45"/>
  <c r="AC36" i="45" s="1"/>
  <c r="AB34" i="45"/>
  <c r="AB36" i="45" s="1"/>
  <c r="AA34" i="45"/>
  <c r="Z34" i="45"/>
  <c r="X34" i="45"/>
  <c r="X37" i="45" s="1"/>
  <c r="W34" i="45"/>
  <c r="W36" i="45" s="1"/>
  <c r="V34" i="45"/>
  <c r="U34" i="45"/>
  <c r="T34" i="45"/>
  <c r="S34" i="45"/>
  <c r="R34" i="45"/>
  <c r="O34" i="45"/>
  <c r="J34" i="45"/>
  <c r="I34" i="45"/>
  <c r="H34" i="45"/>
  <c r="E34" i="45"/>
  <c r="D34" i="45"/>
  <c r="C34" i="45"/>
  <c r="BE33" i="45"/>
  <c r="AG33" i="45"/>
  <c r="BE32" i="45"/>
  <c r="BB32" i="45"/>
  <c r="O32" i="45"/>
  <c r="J32" i="45"/>
  <c r="BE31" i="45"/>
  <c r="BB31" i="45"/>
  <c r="BA31" i="45"/>
  <c r="AZ31" i="45"/>
  <c r="AX31" i="45"/>
  <c r="AS31" i="45"/>
  <c r="AI31" i="45"/>
  <c r="Y31" i="45"/>
  <c r="T31" i="45"/>
  <c r="O31" i="45"/>
  <c r="J31" i="45"/>
  <c r="E31" i="45"/>
  <c r="BE30" i="45"/>
  <c r="BB30" i="45"/>
  <c r="AX30" i="45"/>
  <c r="AS30" i="45"/>
  <c r="AI30" i="45"/>
  <c r="Y30" i="45"/>
  <c r="T30" i="45"/>
  <c r="O30" i="45"/>
  <c r="J30" i="45"/>
  <c r="E30" i="45"/>
  <c r="BE29" i="45"/>
  <c r="BB29" i="45"/>
  <c r="AX29" i="45"/>
  <c r="AS29" i="45"/>
  <c r="AI29" i="45"/>
  <c r="Y29" i="45"/>
  <c r="T29" i="45"/>
  <c r="O29" i="45"/>
  <c r="J29" i="45"/>
  <c r="E29" i="45"/>
  <c r="BE28" i="45"/>
  <c r="BB28" i="45"/>
  <c r="AX28" i="45"/>
  <c r="AS28" i="45"/>
  <c r="AI28" i="45"/>
  <c r="T28" i="45"/>
  <c r="O28" i="45"/>
  <c r="J28" i="45"/>
  <c r="E28" i="45"/>
  <c r="BE27" i="45"/>
  <c r="BB27" i="45"/>
  <c r="AX27" i="45"/>
  <c r="AS27" i="45"/>
  <c r="AI27" i="45"/>
  <c r="Y27" i="45"/>
  <c r="T27" i="45"/>
  <c r="O27" i="45"/>
  <c r="J27" i="45"/>
  <c r="E27" i="45"/>
  <c r="BE26" i="45"/>
  <c r="BB26" i="45"/>
  <c r="AX26" i="45"/>
  <c r="AS26" i="45"/>
  <c r="AI26" i="45"/>
  <c r="Y26" i="45"/>
  <c r="T26" i="45"/>
  <c r="O26" i="45"/>
  <c r="J26" i="45"/>
  <c r="E26" i="45"/>
  <c r="BE25" i="45"/>
  <c r="BB25" i="45"/>
  <c r="AX25" i="45"/>
  <c r="AS25" i="45"/>
  <c r="AI25" i="45"/>
  <c r="Y25" i="45"/>
  <c r="T25" i="45"/>
  <c r="O25" i="45"/>
  <c r="J25" i="45"/>
  <c r="E25" i="45"/>
  <c r="BE24" i="45"/>
  <c r="BB24" i="45"/>
  <c r="AX24" i="45"/>
  <c r="AS24" i="45"/>
  <c r="AI24" i="45"/>
  <c r="Y24" i="45"/>
  <c r="T24" i="45"/>
  <c r="O24" i="45"/>
  <c r="J24" i="45"/>
  <c r="E24" i="45"/>
  <c r="BE23" i="45"/>
  <c r="BB23" i="45"/>
  <c r="AX23" i="45"/>
  <c r="AS23" i="45"/>
  <c r="AI23" i="45"/>
  <c r="Y23" i="45"/>
  <c r="T23" i="45"/>
  <c r="O23" i="45"/>
  <c r="J23" i="45"/>
  <c r="E23" i="45"/>
  <c r="BE22" i="45"/>
  <c r="BB22" i="45"/>
  <c r="AX22" i="45"/>
  <c r="AS22" i="45"/>
  <c r="AI22" i="45"/>
  <c r="Y22" i="45"/>
  <c r="T22" i="45"/>
  <c r="O22" i="45"/>
  <c r="J22" i="45"/>
  <c r="E22" i="45"/>
  <c r="BE21" i="45"/>
  <c r="BB21" i="45"/>
  <c r="AX21" i="45"/>
  <c r="AS21" i="45"/>
  <c r="AI21" i="45"/>
  <c r="Y21" i="45"/>
  <c r="T21" i="45"/>
  <c r="O21" i="45"/>
  <c r="J21" i="45"/>
  <c r="E21" i="45"/>
  <c r="BE20" i="45"/>
  <c r="BB20" i="45"/>
  <c r="AX20" i="45"/>
  <c r="AS20" i="45"/>
  <c r="AI20" i="45"/>
  <c r="Y20" i="45"/>
  <c r="T20" i="45"/>
  <c r="O20" i="45"/>
  <c r="J20" i="45"/>
  <c r="E20" i="45"/>
  <c r="BE19" i="45"/>
  <c r="BB19" i="45"/>
  <c r="AX19" i="45"/>
  <c r="AS19" i="45"/>
  <c r="AI19" i="45"/>
  <c r="Y19" i="45"/>
  <c r="T19" i="45"/>
  <c r="O19" i="45"/>
  <c r="J19" i="45"/>
  <c r="E19" i="45"/>
  <c r="BE18" i="45"/>
  <c r="BB18" i="45"/>
  <c r="AX18" i="45"/>
  <c r="AS18" i="45"/>
  <c r="AI18" i="45"/>
  <c r="Y18" i="45"/>
  <c r="T18" i="45"/>
  <c r="O18" i="45"/>
  <c r="J18" i="45"/>
  <c r="E18" i="45"/>
  <c r="BE17" i="45"/>
  <c r="BB17" i="45"/>
  <c r="AX17" i="45"/>
  <c r="AS17" i="45"/>
  <c r="AI17" i="45"/>
  <c r="Y17" i="45"/>
  <c r="T17" i="45"/>
  <c r="O17" i="45"/>
  <c r="J17" i="45"/>
  <c r="E17" i="45"/>
  <c r="BE16" i="45"/>
  <c r="BB16" i="45"/>
  <c r="AX16" i="45"/>
  <c r="AS16" i="45"/>
  <c r="AI16" i="45"/>
  <c r="Y16" i="45"/>
  <c r="T16" i="45"/>
  <c r="O16" i="45"/>
  <c r="J16" i="45"/>
  <c r="E16" i="45"/>
  <c r="BE15" i="45"/>
  <c r="BB15" i="45"/>
  <c r="AX15" i="45"/>
  <c r="AS15" i="45"/>
  <c r="AI15" i="45"/>
  <c r="Y15" i="45"/>
  <c r="T15" i="45"/>
  <c r="O15" i="45"/>
  <c r="J15" i="45"/>
  <c r="E15" i="45"/>
  <c r="BE14" i="45"/>
  <c r="BB14" i="45"/>
  <c r="AX14" i="45"/>
  <c r="AS14" i="45"/>
  <c r="AI14" i="45"/>
  <c r="Y14" i="45"/>
  <c r="T14" i="45"/>
  <c r="O14" i="45"/>
  <c r="J14" i="45"/>
  <c r="E14" i="45"/>
  <c r="BE13" i="45"/>
  <c r="BB13" i="45"/>
  <c r="AX13" i="45"/>
  <c r="AS13" i="45"/>
  <c r="AI13" i="45"/>
  <c r="Y13" i="45"/>
  <c r="T13" i="45"/>
  <c r="O13" i="45"/>
  <c r="J13" i="45"/>
  <c r="E13" i="45"/>
  <c r="BE12" i="45"/>
  <c r="BB12" i="45"/>
  <c r="AX12" i="45"/>
  <c r="AS12" i="45"/>
  <c r="AI12" i="45"/>
  <c r="Y12" i="45"/>
  <c r="T12" i="45"/>
  <c r="O12" i="45"/>
  <c r="J12" i="45"/>
  <c r="E12" i="45"/>
  <c r="BE11" i="45"/>
  <c r="BB11" i="45"/>
  <c r="AX11" i="45"/>
  <c r="AS11" i="45"/>
  <c r="AI11" i="45"/>
  <c r="Y11" i="45"/>
  <c r="T11" i="45"/>
  <c r="O11" i="45"/>
  <c r="J11" i="45"/>
  <c r="E11" i="45"/>
  <c r="BE10" i="45"/>
  <c r="BB10" i="45"/>
  <c r="AX10" i="45"/>
  <c r="AS10" i="45"/>
  <c r="AI10" i="45"/>
  <c r="Y10" i="45"/>
  <c r="T10" i="45"/>
  <c r="O10" i="45"/>
  <c r="J10" i="45"/>
  <c r="E10" i="45"/>
  <c r="BE9" i="45"/>
  <c r="BB9" i="45"/>
  <c r="AX9" i="45"/>
  <c r="AS9" i="45"/>
  <c r="AI9" i="45"/>
  <c r="Y9" i="45"/>
  <c r="T9" i="45"/>
  <c r="O9" i="45"/>
  <c r="J9" i="45"/>
  <c r="E9" i="45"/>
  <c r="BE8" i="45"/>
  <c r="BB8" i="45"/>
  <c r="AX8" i="45"/>
  <c r="AS8" i="45"/>
  <c r="AI8" i="45"/>
  <c r="AG8" i="45"/>
  <c r="T8" i="45"/>
  <c r="O8" i="45"/>
  <c r="J8" i="45"/>
  <c r="E8" i="45"/>
  <c r="BE7" i="45"/>
  <c r="BB7" i="45"/>
  <c r="AX7" i="45"/>
  <c r="AS7" i="45"/>
  <c r="AI7" i="45"/>
  <c r="Y7" i="45"/>
  <c r="T7" i="45"/>
  <c r="O7" i="45"/>
  <c r="J7" i="45"/>
  <c r="E7" i="45"/>
  <c r="BE6" i="45"/>
  <c r="BB6" i="45"/>
  <c r="AX6" i="45"/>
  <c r="AS6" i="45"/>
  <c r="AI6" i="45"/>
  <c r="Y6" i="45"/>
  <c r="T6" i="45"/>
  <c r="O6" i="45"/>
  <c r="J6" i="45"/>
  <c r="E6" i="45"/>
  <c r="BE5" i="45"/>
  <c r="BB5" i="45"/>
  <c r="AX5" i="45"/>
  <c r="AS5" i="45"/>
  <c r="AI5" i="45"/>
  <c r="Y5" i="45"/>
  <c r="T5" i="45"/>
  <c r="O5" i="45"/>
  <c r="J5" i="45"/>
  <c r="E5" i="45"/>
  <c r="BE4" i="45"/>
  <c r="BB4" i="45"/>
  <c r="AX4" i="45"/>
  <c r="AS4" i="45"/>
  <c r="AI4" i="45"/>
  <c r="Y4" i="45"/>
  <c r="T4" i="45"/>
  <c r="O4" i="45"/>
  <c r="J4" i="45"/>
  <c r="E4" i="45"/>
  <c r="F60" i="35"/>
  <c r="F59" i="35"/>
  <c r="E58" i="35"/>
  <c r="E56" i="35"/>
  <c r="E55" i="35"/>
  <c r="F54" i="35"/>
  <c r="F53" i="35"/>
  <c r="F52" i="35"/>
  <c r="E52" i="35"/>
  <c r="F12" i="35"/>
  <c r="E9" i="35"/>
  <c r="F8" i="35"/>
  <c r="F5" i="35"/>
  <c r="E185" i="30"/>
  <c r="F143" i="30"/>
  <c r="F88" i="30"/>
  <c r="F74" i="30"/>
  <c r="F47" i="30"/>
  <c r="S56" i="40"/>
  <c r="R56" i="40"/>
  <c r="Q56" i="40"/>
  <c r="P56" i="40"/>
  <c r="N56" i="40"/>
  <c r="M56" i="40"/>
  <c r="L56" i="40"/>
  <c r="U54" i="40"/>
  <c r="S54" i="40"/>
  <c r="R54" i="40"/>
  <c r="Q54" i="40"/>
  <c r="P54" i="40"/>
  <c r="N54" i="40"/>
  <c r="M54" i="40"/>
  <c r="L54" i="40"/>
  <c r="S53" i="40"/>
  <c r="R53" i="40"/>
  <c r="Q53" i="40"/>
  <c r="P53" i="40"/>
  <c r="N53" i="40"/>
  <c r="M53" i="40"/>
  <c r="L53" i="40"/>
  <c r="S52" i="40"/>
  <c r="R52" i="40"/>
  <c r="Q52" i="40"/>
  <c r="P52" i="40"/>
  <c r="N52" i="40"/>
  <c r="M52" i="40"/>
  <c r="L52" i="40"/>
  <c r="S51" i="40"/>
  <c r="R51" i="40"/>
  <c r="Q51" i="40"/>
  <c r="P51" i="40"/>
  <c r="N51" i="40"/>
  <c r="M51" i="40"/>
  <c r="L51" i="40"/>
  <c r="S50" i="40"/>
  <c r="R50" i="40"/>
  <c r="Q50" i="40"/>
  <c r="P50" i="40"/>
  <c r="O50" i="40"/>
  <c r="N50" i="40"/>
  <c r="M50" i="40"/>
  <c r="L50" i="40"/>
  <c r="D50" i="40"/>
  <c r="S49" i="40"/>
  <c r="R49" i="40"/>
  <c r="Q49" i="40"/>
  <c r="P49" i="40"/>
  <c r="N49" i="40"/>
  <c r="M49" i="40"/>
  <c r="L49" i="40"/>
  <c r="S48" i="40"/>
  <c r="P48" i="40"/>
  <c r="O48" i="40"/>
  <c r="M48" i="40"/>
  <c r="L48" i="40"/>
  <c r="Q48" i="40" s="1"/>
  <c r="J48" i="40"/>
  <c r="H48" i="40"/>
  <c r="F48" i="40"/>
  <c r="R47" i="40"/>
  <c r="Q47" i="40"/>
  <c r="N47" i="40"/>
  <c r="R46" i="40"/>
  <c r="Q46" i="40"/>
  <c r="N46" i="40"/>
  <c r="R45" i="40"/>
  <c r="Q45" i="40"/>
  <c r="N45" i="40"/>
  <c r="R44" i="40"/>
  <c r="Q44" i="40"/>
  <c r="N44" i="40"/>
  <c r="R43" i="40"/>
  <c r="Q43" i="40"/>
  <c r="N43" i="40"/>
  <c r="R42" i="40"/>
  <c r="Q42" i="40"/>
  <c r="N42" i="40"/>
  <c r="R41" i="40"/>
  <c r="Q41" i="40"/>
  <c r="N41" i="40"/>
  <c r="R40" i="40"/>
  <c r="Q40" i="40"/>
  <c r="N40" i="40"/>
  <c r="R39" i="40"/>
  <c r="Q39" i="40"/>
  <c r="N39" i="40"/>
  <c r="R38" i="40"/>
  <c r="Q38" i="40"/>
  <c r="N38" i="40"/>
  <c r="R37" i="40"/>
  <c r="Q37" i="40"/>
  <c r="N37" i="40"/>
  <c r="R36" i="40"/>
  <c r="Q36" i="40"/>
  <c r="N36" i="40"/>
  <c r="R35" i="40"/>
  <c r="Q35" i="40"/>
  <c r="N35" i="40"/>
  <c r="R34" i="40"/>
  <c r="Q34" i="40"/>
  <c r="N34" i="40"/>
  <c r="R33" i="40"/>
  <c r="Q33" i="40"/>
  <c r="N33" i="40"/>
  <c r="R32" i="40"/>
  <c r="Q32" i="40"/>
  <c r="N32" i="40"/>
  <c r="R31" i="40"/>
  <c r="Q31" i="40"/>
  <c r="N31" i="40"/>
  <c r="R30" i="40"/>
  <c r="Q30" i="40"/>
  <c r="N30" i="40"/>
  <c r="R29" i="40"/>
  <c r="Q29" i="40"/>
  <c r="N29" i="40"/>
  <c r="R28" i="40"/>
  <c r="Q28" i="40"/>
  <c r="N28" i="40"/>
  <c r="R27" i="40"/>
  <c r="Q27" i="40"/>
  <c r="N27" i="40"/>
  <c r="S26" i="40"/>
  <c r="R26" i="40"/>
  <c r="Q26" i="40"/>
  <c r="P26" i="40"/>
  <c r="N26" i="40"/>
  <c r="M26" i="40"/>
  <c r="L26" i="40"/>
  <c r="S25" i="40"/>
  <c r="R25" i="40"/>
  <c r="Q25" i="40"/>
  <c r="P25" i="40"/>
  <c r="N25" i="40"/>
  <c r="M25" i="40"/>
  <c r="L25" i="40"/>
  <c r="S24" i="40"/>
  <c r="R24" i="40"/>
  <c r="Q24" i="40"/>
  <c r="P24" i="40"/>
  <c r="N24" i="40"/>
  <c r="M24" i="40"/>
  <c r="L24" i="40"/>
  <c r="S23" i="40"/>
  <c r="R23" i="40"/>
  <c r="Q23" i="40"/>
  <c r="P23" i="40"/>
  <c r="N23" i="40"/>
  <c r="M23" i="40"/>
  <c r="L23" i="40"/>
  <c r="S22" i="40"/>
  <c r="R22" i="40"/>
  <c r="Q22" i="40"/>
  <c r="P22" i="40"/>
  <c r="N22" i="40"/>
  <c r="M22" i="40"/>
  <c r="L22" i="40"/>
  <c r="F22" i="40"/>
  <c r="S21" i="40"/>
  <c r="R21" i="40"/>
  <c r="Q21" i="40"/>
  <c r="P21" i="40"/>
  <c r="N21" i="40"/>
  <c r="M21" i="40"/>
  <c r="L21" i="40"/>
  <c r="J21" i="40"/>
  <c r="S20" i="40"/>
  <c r="R20" i="40"/>
  <c r="Q20" i="40"/>
  <c r="P20" i="40"/>
  <c r="N20" i="40"/>
  <c r="M20" i="40"/>
  <c r="L20" i="40"/>
  <c r="S19" i="40"/>
  <c r="R19" i="40"/>
  <c r="Q19" i="40"/>
  <c r="P19" i="40"/>
  <c r="N19" i="40"/>
  <c r="M19" i="40"/>
  <c r="L19" i="40"/>
  <c r="D19" i="40"/>
  <c r="U18" i="40"/>
  <c r="R18" i="40"/>
  <c r="Q18" i="40"/>
  <c r="P18" i="40"/>
  <c r="N18" i="40"/>
  <c r="M18" i="40"/>
  <c r="L18" i="40"/>
  <c r="S17" i="40"/>
  <c r="R17" i="40"/>
  <c r="Q17" i="40"/>
  <c r="P17" i="40"/>
  <c r="N17" i="40"/>
  <c r="M17" i="40"/>
  <c r="L17" i="40"/>
  <c r="R16" i="40"/>
  <c r="Q16" i="40"/>
  <c r="P16" i="40"/>
  <c r="N16" i="40"/>
  <c r="M16" i="40"/>
  <c r="R15" i="40"/>
  <c r="Q15" i="40"/>
  <c r="P15" i="40"/>
  <c r="N15" i="40"/>
  <c r="M15" i="40"/>
  <c r="L15" i="40"/>
  <c r="R14" i="40"/>
  <c r="Q14" i="40"/>
  <c r="P14" i="40"/>
  <c r="N14" i="40"/>
  <c r="M14" i="40"/>
  <c r="L14" i="40"/>
  <c r="R13" i="40"/>
  <c r="Q13" i="40"/>
  <c r="P13" i="40"/>
  <c r="N13" i="40"/>
  <c r="M13" i="40"/>
  <c r="L13" i="40"/>
  <c r="F13" i="40"/>
  <c r="R12" i="40"/>
  <c r="Q12" i="40"/>
  <c r="P12" i="40"/>
  <c r="N12" i="40"/>
  <c r="M12" i="40"/>
  <c r="L12" i="40"/>
  <c r="R11" i="40"/>
  <c r="Q11" i="40"/>
  <c r="P11" i="40"/>
  <c r="N11" i="40"/>
  <c r="M11" i="40"/>
  <c r="F11" i="40"/>
  <c r="R10" i="40"/>
  <c r="Q10" i="40"/>
  <c r="P10" i="40"/>
  <c r="N10" i="40"/>
  <c r="M10" i="40"/>
  <c r="F10" i="40"/>
  <c r="R9" i="40"/>
  <c r="Q9" i="40"/>
  <c r="P9" i="40"/>
  <c r="N9" i="40"/>
  <c r="M9" i="40"/>
  <c r="R8" i="40"/>
  <c r="Q8" i="40"/>
  <c r="P8" i="40"/>
  <c r="N8" i="40"/>
  <c r="M8" i="40"/>
  <c r="L8" i="40"/>
  <c r="R7" i="40"/>
  <c r="Q7" i="40"/>
  <c r="P7" i="40"/>
  <c r="N7" i="40"/>
  <c r="M7" i="40"/>
  <c r="L7" i="40"/>
  <c r="E54" i="28"/>
  <c r="E51" i="28"/>
  <c r="E50" i="28"/>
  <c r="C50" i="28"/>
  <c r="D50" i="28" s="1"/>
  <c r="E49" i="28"/>
  <c r="C49" i="28"/>
  <c r="D49" i="28" s="1"/>
  <c r="E48" i="28"/>
  <c r="C48" i="28"/>
  <c r="D48" i="28" s="1"/>
  <c r="E47" i="28"/>
  <c r="C47" i="28"/>
  <c r="D47" i="28" s="1"/>
  <c r="E46" i="28"/>
  <c r="C46" i="28"/>
  <c r="D46" i="28" s="1"/>
  <c r="E45" i="28"/>
  <c r="C45" i="28"/>
  <c r="D45" i="28" s="1"/>
  <c r="E44" i="28"/>
  <c r="C44" i="28"/>
  <c r="D44" i="28" s="1"/>
  <c r="E43" i="28"/>
  <c r="C43" i="28"/>
  <c r="D43" i="28" s="1"/>
  <c r="E42" i="28"/>
  <c r="C42" i="28"/>
  <c r="D42" i="28" s="1"/>
  <c r="F42" i="28" s="1"/>
  <c r="E41" i="28"/>
  <c r="C41" i="28"/>
  <c r="D41" i="28" s="1"/>
  <c r="E40" i="28"/>
  <c r="C40" i="28"/>
  <c r="G39" i="28"/>
  <c r="F39" i="28"/>
  <c r="C39" i="28"/>
  <c r="E38" i="28"/>
  <c r="C38" i="28"/>
  <c r="D38" i="28" s="1"/>
  <c r="E37" i="28"/>
  <c r="C37" i="28"/>
  <c r="D37" i="28" s="1"/>
  <c r="E36" i="28"/>
  <c r="C36" i="28"/>
  <c r="D36" i="28" s="1"/>
  <c r="E35" i="28"/>
  <c r="C35" i="28"/>
  <c r="D35" i="28" s="1"/>
  <c r="E34" i="28"/>
  <c r="C34" i="28"/>
  <c r="D34" i="28" s="1"/>
  <c r="E33" i="28"/>
  <c r="C33" i="28"/>
  <c r="D33" i="28" s="1"/>
  <c r="E32" i="28"/>
  <c r="C32" i="28"/>
  <c r="D32" i="28" s="1"/>
  <c r="E31" i="28"/>
  <c r="C31" i="28"/>
  <c r="D31" i="28" s="1"/>
  <c r="E30" i="28"/>
  <c r="C30" i="28"/>
  <c r="D30" i="28" s="1"/>
  <c r="E29" i="28"/>
  <c r="C29" i="28"/>
  <c r="D29" i="28" s="1"/>
  <c r="E28" i="28"/>
  <c r="C28" i="28"/>
  <c r="D28" i="28" s="1"/>
  <c r="E27" i="28"/>
  <c r="C27" i="28"/>
  <c r="D27" i="28" s="1"/>
  <c r="E26" i="28"/>
  <c r="C26" i="28"/>
  <c r="D26" i="28" s="1"/>
  <c r="E25" i="28"/>
  <c r="C25" i="28"/>
  <c r="D25" i="28" s="1"/>
  <c r="E24" i="28"/>
  <c r="C24" i="28"/>
  <c r="D24" i="28" s="1"/>
  <c r="E23" i="28"/>
  <c r="C23" i="28"/>
  <c r="D23" i="28" s="1"/>
  <c r="E22" i="28"/>
  <c r="C22" i="28"/>
  <c r="D22" i="28" s="1"/>
  <c r="E21" i="28"/>
  <c r="C21" i="28"/>
  <c r="D21" i="28" s="1"/>
  <c r="E20" i="28"/>
  <c r="C20" i="28"/>
  <c r="D20" i="28" s="1"/>
  <c r="E19" i="28"/>
  <c r="C19" i="28"/>
  <c r="D19" i="28" s="1"/>
  <c r="E18" i="28"/>
  <c r="C18" i="28"/>
  <c r="D18" i="28" s="1"/>
  <c r="E17" i="28"/>
  <c r="C17" i="28"/>
  <c r="D17" i="28" s="1"/>
  <c r="E16" i="28"/>
  <c r="C16" i="28"/>
  <c r="D16" i="28" s="1"/>
  <c r="E15" i="28"/>
  <c r="C15" i="28"/>
  <c r="D15" i="28" s="1"/>
  <c r="E14" i="28"/>
  <c r="C14" i="28"/>
  <c r="D14" i="28" s="1"/>
  <c r="E13" i="28"/>
  <c r="C13" i="28"/>
  <c r="D13" i="28" s="1"/>
  <c r="E12" i="28"/>
  <c r="C12" i="28"/>
  <c r="D12" i="28" s="1"/>
  <c r="E11" i="28"/>
  <c r="C11" i="28"/>
  <c r="D11" i="28" s="1"/>
  <c r="E10" i="28"/>
  <c r="C10" i="28"/>
  <c r="D10" i="28" s="1"/>
  <c r="E9" i="28"/>
  <c r="C9" i="28"/>
  <c r="D9" i="28" s="1"/>
  <c r="E8" i="28"/>
  <c r="C8" i="28"/>
  <c r="D8" i="28" s="1"/>
  <c r="E7" i="28"/>
  <c r="C7" i="28"/>
  <c r="D7" i="28" s="1"/>
  <c r="AB144" i="27"/>
  <c r="AA128" i="27"/>
  <c r="AA124" i="27"/>
  <c r="AG121" i="27"/>
  <c r="AA120" i="27"/>
  <c r="AG117" i="27"/>
  <c r="AA116" i="27"/>
  <c r="AG113" i="27"/>
  <c r="AA112" i="27"/>
  <c r="AG109" i="27"/>
  <c r="AD109" i="27"/>
  <c r="AA109" i="27"/>
  <c r="AL108" i="27"/>
  <c r="AG105" i="27"/>
  <c r="AA104" i="27"/>
  <c r="AB102" i="27"/>
  <c r="AB101" i="27"/>
  <c r="AB99" i="27"/>
  <c r="AB97" i="27"/>
  <c r="G77" i="27"/>
  <c r="F77" i="27"/>
  <c r="E77" i="27"/>
  <c r="D77" i="27"/>
  <c r="C77" i="27"/>
  <c r="E76" i="27"/>
  <c r="E75" i="27"/>
  <c r="E74" i="27"/>
  <c r="R70" i="27"/>
  <c r="AB67" i="27"/>
  <c r="S66" i="27"/>
  <c r="AG65" i="27"/>
  <c r="AB65" i="27"/>
  <c r="I65" i="27"/>
  <c r="H65" i="27"/>
  <c r="G65" i="27"/>
  <c r="F65" i="27"/>
  <c r="T64" i="27"/>
  <c r="S64" i="27"/>
  <c r="R64" i="27"/>
  <c r="P64" i="27"/>
  <c r="O64" i="27"/>
  <c r="N64" i="27"/>
  <c r="M64" i="27"/>
  <c r="K64" i="27"/>
  <c r="J64" i="27"/>
  <c r="I64" i="27"/>
  <c r="H64" i="27"/>
  <c r="G64" i="27"/>
  <c r="F64" i="27"/>
  <c r="E64" i="27"/>
  <c r="D64" i="27"/>
  <c r="C64" i="27"/>
  <c r="S63" i="27"/>
  <c r="R63" i="27"/>
  <c r="AG62" i="27"/>
  <c r="AB62" i="27"/>
  <c r="S62" i="27"/>
  <c r="R62" i="27"/>
  <c r="S61" i="27"/>
  <c r="R61" i="27"/>
  <c r="AG60" i="27"/>
  <c r="AB60" i="27"/>
  <c r="S60" i="27"/>
  <c r="R60" i="27"/>
  <c r="H60" i="27"/>
  <c r="G60" i="27"/>
  <c r="F60" i="27"/>
  <c r="E60" i="27"/>
  <c r="S59" i="27"/>
  <c r="R59" i="27"/>
  <c r="AG58" i="27"/>
  <c r="AC58" i="27"/>
  <c r="AB58" i="27"/>
  <c r="T58" i="27"/>
  <c r="S58" i="27"/>
  <c r="R58" i="27"/>
  <c r="Q58" i="27"/>
  <c r="P58" i="27"/>
  <c r="O58" i="27"/>
  <c r="N58" i="27"/>
  <c r="M58" i="27"/>
  <c r="L58" i="27"/>
  <c r="K58" i="27"/>
  <c r="J58" i="27"/>
  <c r="I58" i="27"/>
  <c r="H58" i="27"/>
  <c r="G58" i="27"/>
  <c r="F58" i="27"/>
  <c r="E58" i="27"/>
  <c r="C58" i="27"/>
  <c r="T56" i="27"/>
  <c r="S56" i="27"/>
  <c r="R56" i="27"/>
  <c r="Q56" i="27"/>
  <c r="P56" i="27"/>
  <c r="O56" i="27"/>
  <c r="N56" i="27"/>
  <c r="M56" i="27"/>
  <c r="L56" i="27"/>
  <c r="K56" i="27"/>
  <c r="J56" i="27"/>
  <c r="I56" i="27"/>
  <c r="H56" i="27"/>
  <c r="G56" i="27"/>
  <c r="F56" i="27"/>
  <c r="E56" i="27"/>
  <c r="D56" i="27"/>
  <c r="C56" i="27"/>
  <c r="AL55" i="27"/>
  <c r="T55" i="27"/>
  <c r="S55" i="27"/>
  <c r="R55" i="27"/>
  <c r="Q55" i="27"/>
  <c r="H55" i="27"/>
  <c r="G55" i="27"/>
  <c r="F55" i="27"/>
  <c r="E55" i="27"/>
  <c r="D55" i="27"/>
  <c r="C55" i="27"/>
  <c r="T54" i="27"/>
  <c r="S54" i="27"/>
  <c r="R54" i="27"/>
  <c r="Q54" i="27"/>
  <c r="D54" i="27"/>
  <c r="AR53" i="27"/>
  <c r="AL53" i="27"/>
  <c r="T53" i="27"/>
  <c r="S53" i="27"/>
  <c r="R53" i="27"/>
  <c r="Q53" i="27"/>
  <c r="D53" i="27"/>
  <c r="T52" i="27"/>
  <c r="R52" i="27"/>
  <c r="Q52" i="27"/>
  <c r="D52" i="27"/>
  <c r="T51" i="27"/>
  <c r="S51" i="27"/>
  <c r="R51" i="27"/>
  <c r="Q51" i="27"/>
  <c r="D51" i="27"/>
  <c r="T50" i="27"/>
  <c r="S50" i="27"/>
  <c r="R50" i="27"/>
  <c r="Q50" i="27"/>
  <c r="D50" i="27"/>
  <c r="T49" i="27"/>
  <c r="S49" i="27"/>
  <c r="R49" i="27"/>
  <c r="Q49" i="27"/>
  <c r="D49" i="27"/>
  <c r="T48" i="27"/>
  <c r="S48" i="27"/>
  <c r="R48" i="27"/>
  <c r="Q48" i="27"/>
  <c r="D48" i="27"/>
  <c r="T47" i="27"/>
  <c r="S47" i="27"/>
  <c r="R47" i="27"/>
  <c r="Q47" i="27"/>
  <c r="D47" i="27"/>
  <c r="T46" i="27"/>
  <c r="S46" i="27"/>
  <c r="R46" i="27"/>
  <c r="Q46" i="27"/>
  <c r="D46" i="27"/>
  <c r="T45" i="27"/>
  <c r="S45" i="27"/>
  <c r="R45" i="27"/>
  <c r="Q45" i="27"/>
  <c r="D45" i="27"/>
  <c r="AC44" i="27"/>
  <c r="T44" i="27"/>
  <c r="S44" i="27"/>
  <c r="R44" i="27"/>
  <c r="Q44" i="27"/>
  <c r="D44" i="27"/>
  <c r="AP43" i="27"/>
  <c r="S43" i="27"/>
  <c r="AP42" i="27"/>
  <c r="AC42" i="27"/>
  <c r="T42" i="27"/>
  <c r="S42" i="27"/>
  <c r="R42" i="27"/>
  <c r="Q42" i="27"/>
  <c r="P42" i="27"/>
  <c r="O42" i="27"/>
  <c r="N42" i="27"/>
  <c r="M42" i="27"/>
  <c r="L42" i="27"/>
  <c r="K42" i="27"/>
  <c r="J42" i="27"/>
  <c r="I42" i="27"/>
  <c r="H42" i="27"/>
  <c r="G42" i="27"/>
  <c r="F42" i="27"/>
  <c r="E42" i="27"/>
  <c r="D42" i="27"/>
  <c r="C42" i="27"/>
  <c r="T41" i="27"/>
  <c r="S41" i="27"/>
  <c r="R41" i="27"/>
  <c r="Q41" i="27"/>
  <c r="D41" i="27"/>
  <c r="C41" i="27"/>
  <c r="AP40" i="27"/>
  <c r="AC40" i="27"/>
  <c r="T40" i="27"/>
  <c r="S40" i="27"/>
  <c r="R40" i="27"/>
  <c r="Q40" i="27"/>
  <c r="D40" i="27"/>
  <c r="AP39" i="27"/>
  <c r="T39" i="27"/>
  <c r="R39" i="27"/>
  <c r="Q39" i="27"/>
  <c r="D39" i="27"/>
  <c r="C39" i="27"/>
  <c r="T38" i="27"/>
  <c r="S38" i="27"/>
  <c r="R38" i="27"/>
  <c r="Q38" i="27"/>
  <c r="D38" i="27"/>
  <c r="AP37" i="27"/>
  <c r="T37" i="27"/>
  <c r="S37" i="27"/>
  <c r="R37" i="27"/>
  <c r="Q37" i="27"/>
  <c r="D37" i="27"/>
  <c r="AP36" i="27"/>
  <c r="AC36" i="27"/>
  <c r="T36" i="27"/>
  <c r="S36" i="27"/>
  <c r="R36" i="27"/>
  <c r="Q36" i="27"/>
  <c r="D36" i="27"/>
  <c r="C36" i="27"/>
  <c r="T35" i="27"/>
  <c r="S35" i="27"/>
  <c r="R35" i="27"/>
  <c r="Q35" i="27"/>
  <c r="D35" i="27"/>
  <c r="AP34" i="27"/>
  <c r="AC34" i="27"/>
  <c r="D34" i="27"/>
  <c r="AP33" i="27"/>
  <c r="T33" i="27"/>
  <c r="S33" i="27"/>
  <c r="R33" i="27"/>
  <c r="Q33" i="27"/>
  <c r="P33" i="27"/>
  <c r="O33" i="27"/>
  <c r="N33" i="27"/>
  <c r="M33" i="27"/>
  <c r="L33" i="27"/>
  <c r="K33" i="27"/>
  <c r="J33" i="27"/>
  <c r="I33" i="27"/>
  <c r="H33" i="27"/>
  <c r="G33" i="27"/>
  <c r="F33" i="27"/>
  <c r="E33" i="27"/>
  <c r="D33" i="27"/>
  <c r="C33" i="27"/>
  <c r="AC32" i="27"/>
  <c r="T32" i="27"/>
  <c r="S32" i="27"/>
  <c r="R32" i="27"/>
  <c r="Q32" i="27"/>
  <c r="G32" i="27"/>
  <c r="E32" i="27"/>
  <c r="D32" i="27"/>
  <c r="T31" i="27"/>
  <c r="S31" i="27"/>
  <c r="R31" i="27"/>
  <c r="Q31" i="27"/>
  <c r="E31" i="27"/>
  <c r="D31" i="27"/>
  <c r="D30" i="27"/>
  <c r="T29" i="27"/>
  <c r="S29" i="27"/>
  <c r="R29" i="27"/>
  <c r="Q29" i="27"/>
  <c r="P29" i="27"/>
  <c r="O29" i="27"/>
  <c r="N29" i="27"/>
  <c r="M29" i="27"/>
  <c r="L29" i="27"/>
  <c r="K29" i="27"/>
  <c r="J29" i="27"/>
  <c r="I29" i="27"/>
  <c r="H29" i="27"/>
  <c r="G29" i="27"/>
  <c r="F29" i="27"/>
  <c r="E29" i="27"/>
  <c r="D29" i="27"/>
  <c r="C29" i="27"/>
  <c r="T28" i="27"/>
  <c r="S28" i="27"/>
  <c r="R28" i="27"/>
  <c r="Q28" i="27"/>
  <c r="E28" i="27"/>
  <c r="D28" i="27"/>
  <c r="T27" i="27"/>
  <c r="S27" i="27"/>
  <c r="R27" i="27"/>
  <c r="Q27" i="27"/>
  <c r="D27" i="27"/>
  <c r="T26" i="27"/>
  <c r="S26" i="27"/>
  <c r="R26" i="27"/>
  <c r="Q26" i="27"/>
  <c r="D26" i="27"/>
  <c r="T25" i="27"/>
  <c r="S25" i="27"/>
  <c r="R25" i="27"/>
  <c r="Q25" i="27"/>
  <c r="D25" i="27"/>
  <c r="T24" i="27"/>
  <c r="R24" i="27"/>
  <c r="Q24" i="27"/>
  <c r="D24" i="27"/>
  <c r="T23" i="27"/>
  <c r="S23" i="27"/>
  <c r="R23" i="27"/>
  <c r="Q23" i="27"/>
  <c r="D23" i="27"/>
  <c r="T22" i="27"/>
  <c r="S22" i="27"/>
  <c r="R22" i="27"/>
  <c r="Q22" i="27"/>
  <c r="D22" i="27"/>
  <c r="T21" i="27"/>
  <c r="R21" i="27"/>
  <c r="Q21" i="27"/>
  <c r="D21" i="27"/>
  <c r="C21" i="27"/>
  <c r="T20" i="27"/>
  <c r="S20" i="27"/>
  <c r="R20" i="27"/>
  <c r="Q20" i="27"/>
  <c r="D20" i="27"/>
  <c r="D19" i="27"/>
  <c r="T18" i="27"/>
  <c r="S18" i="27"/>
  <c r="R18" i="27"/>
  <c r="Q18" i="27"/>
  <c r="P18" i="27"/>
  <c r="O18" i="27"/>
  <c r="N18" i="27"/>
  <c r="M18" i="27"/>
  <c r="L18" i="27"/>
  <c r="K18" i="27"/>
  <c r="J18" i="27"/>
  <c r="I18" i="27"/>
  <c r="H18" i="27"/>
  <c r="G18" i="27"/>
  <c r="F18" i="27"/>
  <c r="E18" i="27"/>
  <c r="D18" i="27"/>
  <c r="C18" i="27"/>
  <c r="T17" i="27"/>
  <c r="S17" i="27"/>
  <c r="R17" i="27"/>
  <c r="Q17" i="27"/>
  <c r="D17" i="27"/>
  <c r="T16" i="27"/>
  <c r="S16" i="27"/>
  <c r="R16" i="27"/>
  <c r="Q16" i="27"/>
  <c r="D16" i="27"/>
  <c r="T15" i="27"/>
  <c r="S15" i="27"/>
  <c r="R15" i="27"/>
  <c r="Q15" i="27"/>
  <c r="D15" i="27"/>
  <c r="T14" i="27"/>
  <c r="S14" i="27"/>
  <c r="R14" i="27"/>
  <c r="Q14" i="27"/>
  <c r="D14" i="27"/>
  <c r="T13" i="27"/>
  <c r="S13" i="27"/>
  <c r="R13" i="27"/>
  <c r="Q13" i="27"/>
  <c r="G13" i="27"/>
  <c r="D13" i="27"/>
  <c r="AH12" i="27"/>
  <c r="AC12" i="27"/>
  <c r="T12" i="27"/>
  <c r="S12" i="27"/>
  <c r="R12" i="27"/>
  <c r="Q12" i="27"/>
  <c r="D12" i="27"/>
  <c r="AP11" i="27"/>
  <c r="AH11" i="27"/>
  <c r="AC11" i="27"/>
  <c r="T11" i="27"/>
  <c r="S11" i="27"/>
  <c r="R11" i="27"/>
  <c r="Q11" i="27"/>
  <c r="D11" i="27"/>
  <c r="AP10" i="27"/>
  <c r="AH10" i="27"/>
  <c r="AC10" i="27"/>
  <c r="AP9" i="27"/>
  <c r="AD8" i="27"/>
  <c r="T8" i="27"/>
  <c r="S8" i="27"/>
  <c r="R8" i="27"/>
  <c r="Q8" i="27"/>
  <c r="P8" i="27"/>
  <c r="O8" i="27"/>
  <c r="N8" i="27"/>
  <c r="M8" i="27"/>
  <c r="K8" i="27"/>
  <c r="J8" i="27"/>
  <c r="I8" i="27"/>
  <c r="G8" i="27"/>
  <c r="F8" i="27"/>
  <c r="E8" i="27"/>
  <c r="D8" i="27"/>
  <c r="C8" i="27"/>
  <c r="T7" i="27"/>
  <c r="S7" i="27"/>
  <c r="R7" i="27"/>
  <c r="Q7" i="27"/>
  <c r="D7" i="27"/>
  <c r="T6" i="27"/>
  <c r="S6" i="27"/>
  <c r="R6" i="27"/>
  <c r="Q6" i="27"/>
  <c r="H6" i="27"/>
  <c r="E6" i="27"/>
  <c r="D6" i="27"/>
  <c r="AB144" i="49"/>
  <c r="AA128" i="49"/>
  <c r="AA124" i="49"/>
  <c r="AI121" i="49"/>
  <c r="AA120" i="49"/>
  <c r="AI117" i="49"/>
  <c r="AA116" i="49"/>
  <c r="AI113" i="49"/>
  <c r="AA112" i="49"/>
  <c r="AI109" i="49"/>
  <c r="AF109" i="49"/>
  <c r="AA109" i="49"/>
  <c r="AP108" i="49"/>
  <c r="AI105" i="49"/>
  <c r="AA104" i="49"/>
  <c r="AB102" i="49"/>
  <c r="AB101" i="49"/>
  <c r="AB99" i="49"/>
  <c r="AB97" i="49"/>
  <c r="G77" i="49"/>
  <c r="F77" i="49"/>
  <c r="E77" i="49"/>
  <c r="D77" i="49"/>
  <c r="C77" i="49"/>
  <c r="E76" i="49"/>
  <c r="E75" i="49"/>
  <c r="E74" i="49"/>
  <c r="R70" i="49"/>
  <c r="S68" i="49"/>
  <c r="I68" i="49"/>
  <c r="AB67" i="49"/>
  <c r="I67" i="49"/>
  <c r="H67" i="49"/>
  <c r="G67" i="49"/>
  <c r="F67" i="49"/>
  <c r="T66" i="49"/>
  <c r="S66" i="49"/>
  <c r="R66" i="49"/>
  <c r="P66" i="49"/>
  <c r="O66" i="49"/>
  <c r="N66" i="49"/>
  <c r="M66" i="49"/>
  <c r="K66" i="49"/>
  <c r="J66" i="49"/>
  <c r="I66" i="49"/>
  <c r="H66" i="49"/>
  <c r="G66" i="49"/>
  <c r="F66" i="49"/>
  <c r="E66" i="49"/>
  <c r="D66" i="49"/>
  <c r="C66" i="49"/>
  <c r="AI65" i="49"/>
  <c r="AB65" i="49"/>
  <c r="S64" i="49"/>
  <c r="R64" i="49"/>
  <c r="I64" i="49"/>
  <c r="S63" i="49"/>
  <c r="R63" i="49"/>
  <c r="AI62" i="49"/>
  <c r="AB62" i="49"/>
  <c r="S62" i="49"/>
  <c r="R62" i="49"/>
  <c r="S61" i="49"/>
  <c r="R61" i="49"/>
  <c r="H61" i="49"/>
  <c r="G61" i="49"/>
  <c r="F61" i="49"/>
  <c r="E61" i="49"/>
  <c r="AI60" i="49"/>
  <c r="AB60" i="49"/>
  <c r="S60" i="49"/>
  <c r="R60" i="49"/>
  <c r="T59" i="49"/>
  <c r="S59" i="49"/>
  <c r="R59" i="49"/>
  <c r="Q59" i="49"/>
  <c r="P59" i="49"/>
  <c r="O59" i="49"/>
  <c r="N59" i="49"/>
  <c r="M59" i="49"/>
  <c r="L59" i="49"/>
  <c r="K59" i="49"/>
  <c r="J59" i="49"/>
  <c r="I59" i="49"/>
  <c r="H59" i="49"/>
  <c r="G59" i="49"/>
  <c r="F59" i="49"/>
  <c r="E59" i="49"/>
  <c r="C59" i="49"/>
  <c r="AI58" i="49"/>
  <c r="AC58" i="49"/>
  <c r="AB58" i="49"/>
  <c r="T57" i="49"/>
  <c r="S57" i="49"/>
  <c r="R57" i="49"/>
  <c r="Q57" i="49"/>
  <c r="P57" i="49"/>
  <c r="O57" i="49"/>
  <c r="N57" i="49"/>
  <c r="M57" i="49"/>
  <c r="L57" i="49"/>
  <c r="K57" i="49"/>
  <c r="J57" i="49"/>
  <c r="I57" i="49"/>
  <c r="H57" i="49"/>
  <c r="G57" i="49"/>
  <c r="F57" i="49"/>
  <c r="E57" i="49"/>
  <c r="D57" i="49"/>
  <c r="C57" i="49"/>
  <c r="T56" i="49"/>
  <c r="S56" i="49"/>
  <c r="R56" i="49"/>
  <c r="Q56" i="49"/>
  <c r="I56" i="49"/>
  <c r="H56" i="49"/>
  <c r="G56" i="49"/>
  <c r="F56" i="49"/>
  <c r="E56" i="49"/>
  <c r="D56" i="49"/>
  <c r="C56" i="49"/>
  <c r="AP55" i="49"/>
  <c r="T55" i="49"/>
  <c r="S55" i="49"/>
  <c r="R55" i="49"/>
  <c r="Q55" i="49"/>
  <c r="D55" i="49"/>
  <c r="T54" i="49"/>
  <c r="S54" i="49"/>
  <c r="R54" i="49"/>
  <c r="Q54" i="49"/>
  <c r="D54" i="49"/>
  <c r="AP53" i="49"/>
  <c r="T53" i="49"/>
  <c r="S53" i="49"/>
  <c r="R53" i="49"/>
  <c r="Q53" i="49"/>
  <c r="D53" i="49"/>
  <c r="T52" i="49"/>
  <c r="S52" i="49"/>
  <c r="R52" i="49"/>
  <c r="Q52" i="49"/>
  <c r="D52" i="49"/>
  <c r="T51" i="49"/>
  <c r="S51" i="49"/>
  <c r="R51" i="49"/>
  <c r="Q51" i="49"/>
  <c r="D51" i="49"/>
  <c r="T50" i="49"/>
  <c r="S50" i="49"/>
  <c r="R50" i="49"/>
  <c r="Q50" i="49"/>
  <c r="D50" i="49"/>
  <c r="AB49" i="49"/>
  <c r="T49" i="49"/>
  <c r="S49" i="49"/>
  <c r="R49" i="49"/>
  <c r="Q49" i="49"/>
  <c r="D49" i="49"/>
  <c r="AB48" i="49"/>
  <c r="T48" i="49"/>
  <c r="S48" i="49"/>
  <c r="R48" i="49"/>
  <c r="Q48" i="49"/>
  <c r="D48" i="49"/>
  <c r="T47" i="49"/>
  <c r="S47" i="49"/>
  <c r="R47" i="49"/>
  <c r="Q47" i="49"/>
  <c r="D47" i="49"/>
  <c r="AB46" i="49"/>
  <c r="T46" i="49"/>
  <c r="S46" i="49"/>
  <c r="R46" i="49"/>
  <c r="Q46" i="49"/>
  <c r="D46" i="49"/>
  <c r="AB45" i="49"/>
  <c r="S45" i="49"/>
  <c r="AB44" i="49"/>
  <c r="T44" i="49"/>
  <c r="S44" i="49"/>
  <c r="R44" i="49"/>
  <c r="Q44" i="49"/>
  <c r="P44" i="49"/>
  <c r="O44" i="49"/>
  <c r="N44" i="49"/>
  <c r="M44" i="49"/>
  <c r="L44" i="49"/>
  <c r="K44" i="49"/>
  <c r="J44" i="49"/>
  <c r="I44" i="49"/>
  <c r="H44" i="49"/>
  <c r="G44" i="49"/>
  <c r="F44" i="49"/>
  <c r="E44" i="49"/>
  <c r="D44" i="49"/>
  <c r="C44" i="49"/>
  <c r="T43" i="49"/>
  <c r="R43" i="49"/>
  <c r="Q43" i="49"/>
  <c r="AB42" i="49"/>
  <c r="T42" i="49"/>
  <c r="S42" i="49"/>
  <c r="R42" i="49"/>
  <c r="Q42" i="49"/>
  <c r="D42" i="49"/>
  <c r="C42" i="49"/>
  <c r="AB41" i="49"/>
  <c r="T41" i="49"/>
  <c r="S41" i="49"/>
  <c r="R41" i="49"/>
  <c r="Q41" i="49"/>
  <c r="D41" i="49"/>
  <c r="AB40" i="49"/>
  <c r="T40" i="49"/>
  <c r="R40" i="49"/>
  <c r="Q40" i="49"/>
  <c r="D40" i="49"/>
  <c r="C40" i="49"/>
  <c r="T39" i="49"/>
  <c r="S39" i="49"/>
  <c r="R39" i="49"/>
  <c r="Q39" i="49"/>
  <c r="D39" i="49"/>
  <c r="AB38" i="49"/>
  <c r="T38" i="49"/>
  <c r="S38" i="49"/>
  <c r="R38" i="49"/>
  <c r="Q38" i="49"/>
  <c r="D38" i="49"/>
  <c r="AB37" i="49"/>
  <c r="T37" i="49"/>
  <c r="S37" i="49"/>
  <c r="R37" i="49"/>
  <c r="Q37" i="49"/>
  <c r="D37" i="49"/>
  <c r="C37" i="49"/>
  <c r="AB36" i="49"/>
  <c r="T36" i="49"/>
  <c r="S36" i="49"/>
  <c r="R36" i="49"/>
  <c r="Q36" i="49"/>
  <c r="D36" i="49"/>
  <c r="D35" i="49"/>
  <c r="AB34" i="49"/>
  <c r="T34" i="49"/>
  <c r="S34" i="49"/>
  <c r="R34" i="49"/>
  <c r="Q34" i="49"/>
  <c r="P34" i="49"/>
  <c r="O34" i="49"/>
  <c r="N34" i="49"/>
  <c r="M34" i="49"/>
  <c r="L34" i="49"/>
  <c r="K34" i="49"/>
  <c r="J34" i="49"/>
  <c r="I34" i="49"/>
  <c r="H34" i="49"/>
  <c r="G34" i="49"/>
  <c r="F34" i="49"/>
  <c r="E34" i="49"/>
  <c r="D34" i="49"/>
  <c r="C34" i="49"/>
  <c r="AB33" i="49"/>
  <c r="T33" i="49"/>
  <c r="S33" i="49"/>
  <c r="R33" i="49"/>
  <c r="Q33" i="49"/>
  <c r="G33" i="49"/>
  <c r="E33" i="49"/>
  <c r="D33" i="49"/>
  <c r="AB32" i="49"/>
  <c r="T32" i="49"/>
  <c r="S32" i="49"/>
  <c r="R32" i="49"/>
  <c r="Q32" i="49"/>
  <c r="E32" i="49"/>
  <c r="D32" i="49"/>
  <c r="D31" i="49"/>
  <c r="T30" i="49"/>
  <c r="S30" i="49"/>
  <c r="R30" i="49"/>
  <c r="Q30" i="49"/>
  <c r="P30" i="49"/>
  <c r="O30" i="49"/>
  <c r="N30" i="49"/>
  <c r="M30" i="49"/>
  <c r="L30" i="49"/>
  <c r="K30" i="49"/>
  <c r="J30" i="49"/>
  <c r="I30" i="49"/>
  <c r="H30" i="49"/>
  <c r="G30" i="49"/>
  <c r="F30" i="49"/>
  <c r="E30" i="49"/>
  <c r="D30" i="49"/>
  <c r="C30" i="49"/>
  <c r="T29" i="49"/>
  <c r="S29" i="49"/>
  <c r="R29" i="49"/>
  <c r="Q29" i="49"/>
  <c r="I29" i="49"/>
  <c r="E29" i="49"/>
  <c r="D29" i="49"/>
  <c r="T28" i="49"/>
  <c r="S28" i="49"/>
  <c r="R28" i="49"/>
  <c r="Q28" i="49"/>
  <c r="D28" i="49"/>
  <c r="T27" i="49"/>
  <c r="S27" i="49"/>
  <c r="R27" i="49"/>
  <c r="Q27" i="49"/>
  <c r="D27" i="49"/>
  <c r="T26" i="49"/>
  <c r="S26" i="49"/>
  <c r="R26" i="49"/>
  <c r="Q26" i="49"/>
  <c r="D26" i="49"/>
  <c r="T25" i="49"/>
  <c r="R25" i="49"/>
  <c r="Q25" i="49"/>
  <c r="D25" i="49"/>
  <c r="T24" i="49"/>
  <c r="S24" i="49"/>
  <c r="R24" i="49"/>
  <c r="Q24" i="49"/>
  <c r="D24" i="49"/>
  <c r="T23" i="49"/>
  <c r="S23" i="49"/>
  <c r="R23" i="49"/>
  <c r="Q23" i="49"/>
  <c r="D23" i="49"/>
  <c r="T22" i="49"/>
  <c r="R22" i="49"/>
  <c r="Q22" i="49"/>
  <c r="D22" i="49"/>
  <c r="C22" i="49"/>
  <c r="T21" i="49"/>
  <c r="S21" i="49"/>
  <c r="R21" i="49"/>
  <c r="Q21" i="49"/>
  <c r="D21" i="49"/>
  <c r="D20" i="49"/>
  <c r="T19" i="49"/>
  <c r="S19" i="49"/>
  <c r="R19" i="49"/>
  <c r="Q19" i="49"/>
  <c r="P19" i="49"/>
  <c r="O19" i="49"/>
  <c r="N19" i="49"/>
  <c r="M19" i="49"/>
  <c r="L19" i="49"/>
  <c r="K19" i="49"/>
  <c r="J19" i="49"/>
  <c r="I19" i="49"/>
  <c r="H19" i="49"/>
  <c r="G19" i="49"/>
  <c r="F19" i="49"/>
  <c r="E19" i="49"/>
  <c r="D19" i="49"/>
  <c r="C19" i="49"/>
  <c r="T18" i="49"/>
  <c r="S18" i="49"/>
  <c r="R18" i="49"/>
  <c r="Q18" i="49"/>
  <c r="D18" i="49"/>
  <c r="T17" i="49"/>
  <c r="S17" i="49"/>
  <c r="R17" i="49"/>
  <c r="Q17" i="49"/>
  <c r="D17" i="49"/>
  <c r="T16" i="49"/>
  <c r="S16" i="49"/>
  <c r="R16" i="49"/>
  <c r="Q16" i="49"/>
  <c r="D16" i="49"/>
  <c r="T15" i="49"/>
  <c r="S15" i="49"/>
  <c r="R15" i="49"/>
  <c r="Q15" i="49"/>
  <c r="D15" i="49"/>
  <c r="T14" i="49"/>
  <c r="S14" i="49"/>
  <c r="R14" i="49"/>
  <c r="Q14" i="49"/>
  <c r="D14" i="49"/>
  <c r="T13" i="49"/>
  <c r="S13" i="49"/>
  <c r="R13" i="49"/>
  <c r="Q13" i="49"/>
  <c r="I13" i="49"/>
  <c r="G13" i="49"/>
  <c r="D13" i="49"/>
  <c r="AK12" i="49"/>
  <c r="AC12" i="49"/>
  <c r="T12" i="49"/>
  <c r="S12" i="49"/>
  <c r="R12" i="49"/>
  <c r="Q12" i="49"/>
  <c r="D12" i="49"/>
  <c r="AK11" i="49"/>
  <c r="AC11" i="49"/>
  <c r="T11" i="49"/>
  <c r="S11" i="49"/>
  <c r="R11" i="49"/>
  <c r="Q11" i="49"/>
  <c r="D11" i="49"/>
  <c r="AK10" i="49"/>
  <c r="AC10" i="49"/>
  <c r="AF8" i="49"/>
  <c r="T8" i="49"/>
  <c r="S8" i="49"/>
  <c r="R8" i="49"/>
  <c r="Q8" i="49"/>
  <c r="P8" i="49"/>
  <c r="O8" i="49"/>
  <c r="N8" i="49"/>
  <c r="M8" i="49"/>
  <c r="K8" i="49"/>
  <c r="J8" i="49"/>
  <c r="I8" i="49"/>
  <c r="G8" i="49"/>
  <c r="F8" i="49"/>
  <c r="E8" i="49"/>
  <c r="D8" i="49"/>
  <c r="C8" i="49"/>
  <c r="T7" i="49"/>
  <c r="S7" i="49"/>
  <c r="R7" i="49"/>
  <c r="Q7" i="49"/>
  <c r="D7" i="49"/>
  <c r="T6" i="49"/>
  <c r="S6" i="49"/>
  <c r="R6" i="49"/>
  <c r="Q6" i="49"/>
  <c r="I6" i="49"/>
  <c r="H6" i="49"/>
  <c r="E6" i="49"/>
  <c r="D6" i="49"/>
  <c r="C99" i="48"/>
  <c r="C92" i="48"/>
  <c r="C90" i="48"/>
  <c r="C86" i="48"/>
  <c r="C79" i="48"/>
  <c r="C77" i="48"/>
  <c r="S68" i="48"/>
  <c r="I68" i="48"/>
  <c r="I67" i="48"/>
  <c r="H67" i="48"/>
  <c r="G67" i="48"/>
  <c r="F67" i="48"/>
  <c r="T66" i="48"/>
  <c r="S66" i="48"/>
  <c r="R66" i="48"/>
  <c r="P66" i="48"/>
  <c r="O66" i="48"/>
  <c r="N66" i="48"/>
  <c r="M66" i="48"/>
  <c r="K66" i="48"/>
  <c r="J66" i="48"/>
  <c r="I66" i="48"/>
  <c r="H66" i="48"/>
  <c r="G66" i="48"/>
  <c r="F66" i="48"/>
  <c r="E66" i="48"/>
  <c r="D66" i="48"/>
  <c r="C66" i="48"/>
  <c r="S64" i="48"/>
  <c r="R64" i="48"/>
  <c r="I64" i="48"/>
  <c r="S63" i="48"/>
  <c r="R63" i="48"/>
  <c r="S62" i="48"/>
  <c r="R62" i="48"/>
  <c r="S61" i="48"/>
  <c r="R61" i="48"/>
  <c r="H61" i="48"/>
  <c r="G61" i="48"/>
  <c r="F61" i="48"/>
  <c r="E61" i="48"/>
  <c r="S60" i="48"/>
  <c r="R60" i="48"/>
  <c r="T59" i="48"/>
  <c r="S59" i="48"/>
  <c r="R59" i="48"/>
  <c r="Q59" i="48"/>
  <c r="P59" i="48"/>
  <c r="O59" i="48"/>
  <c r="N59" i="48"/>
  <c r="M59" i="48"/>
  <c r="L59" i="48"/>
  <c r="K59" i="48"/>
  <c r="J59" i="48"/>
  <c r="I59" i="48"/>
  <c r="H59" i="48"/>
  <c r="G59" i="48"/>
  <c r="F59" i="48"/>
  <c r="E59" i="48"/>
  <c r="C59" i="48"/>
  <c r="T57" i="48"/>
  <c r="S57" i="48"/>
  <c r="R57" i="48"/>
  <c r="Q57" i="48"/>
  <c r="P57" i="48"/>
  <c r="O57" i="48"/>
  <c r="N57" i="48"/>
  <c r="M57" i="48"/>
  <c r="L57" i="48"/>
  <c r="K57" i="48"/>
  <c r="J57" i="48"/>
  <c r="I57" i="48"/>
  <c r="H57" i="48"/>
  <c r="G57" i="48"/>
  <c r="F57" i="48"/>
  <c r="E57" i="48"/>
  <c r="D57" i="48"/>
  <c r="C57" i="48"/>
  <c r="T56" i="48"/>
  <c r="S56" i="48"/>
  <c r="R56" i="48"/>
  <c r="Q56" i="48"/>
  <c r="I56" i="48"/>
  <c r="H56" i="48"/>
  <c r="G56" i="48"/>
  <c r="F56" i="48"/>
  <c r="E56" i="48"/>
  <c r="D56" i="48"/>
  <c r="C56" i="48"/>
  <c r="T55" i="48"/>
  <c r="S55" i="48"/>
  <c r="R55" i="48"/>
  <c r="Q55" i="48"/>
  <c r="D55" i="48"/>
  <c r="T54" i="48"/>
  <c r="S54" i="48"/>
  <c r="R54" i="48"/>
  <c r="Q54" i="48"/>
  <c r="D54" i="48"/>
  <c r="T53" i="48"/>
  <c r="S53" i="48"/>
  <c r="R53" i="48"/>
  <c r="Q53" i="48"/>
  <c r="D53" i="48"/>
  <c r="T52" i="48"/>
  <c r="S52" i="48"/>
  <c r="R52" i="48"/>
  <c r="Q52" i="48"/>
  <c r="D52" i="48"/>
  <c r="T51" i="48"/>
  <c r="S51" i="48"/>
  <c r="R51" i="48"/>
  <c r="Q51" i="48"/>
  <c r="D51" i="48"/>
  <c r="T50" i="48"/>
  <c r="S50" i="48"/>
  <c r="R50" i="48"/>
  <c r="Q50" i="48"/>
  <c r="D50" i="48"/>
  <c r="T49" i="48"/>
  <c r="S49" i="48"/>
  <c r="R49" i="48"/>
  <c r="Q49" i="48"/>
  <c r="D49" i="48"/>
  <c r="T48" i="48"/>
  <c r="S48" i="48"/>
  <c r="R48" i="48"/>
  <c r="Q48" i="48"/>
  <c r="D48" i="48"/>
  <c r="T47" i="48"/>
  <c r="S47" i="48"/>
  <c r="R47" i="48"/>
  <c r="Q47" i="48"/>
  <c r="D47" i="48"/>
  <c r="T46" i="48"/>
  <c r="S46" i="48"/>
  <c r="R46" i="48"/>
  <c r="Q46" i="48"/>
  <c r="D46" i="48"/>
  <c r="S45" i="48"/>
  <c r="T44" i="48"/>
  <c r="S44" i="48"/>
  <c r="R44" i="48"/>
  <c r="Q44" i="48"/>
  <c r="P44" i="48"/>
  <c r="O44" i="48"/>
  <c r="N44" i="48"/>
  <c r="M44" i="48"/>
  <c r="L44" i="48"/>
  <c r="K44" i="48"/>
  <c r="J44" i="48"/>
  <c r="I44" i="48"/>
  <c r="H44" i="48"/>
  <c r="G44" i="48"/>
  <c r="F44" i="48"/>
  <c r="E44" i="48"/>
  <c r="D44" i="48"/>
  <c r="C44" i="48"/>
  <c r="T43" i="48"/>
  <c r="R43" i="48"/>
  <c r="Q43" i="48"/>
  <c r="T42" i="48"/>
  <c r="S42" i="48"/>
  <c r="R42" i="48"/>
  <c r="Q42" i="48"/>
  <c r="D42" i="48"/>
  <c r="C42" i="48"/>
  <c r="T41" i="48"/>
  <c r="S41" i="48"/>
  <c r="R41" i="48"/>
  <c r="Q41" i="48"/>
  <c r="D41" i="48"/>
  <c r="T40" i="48"/>
  <c r="R40" i="48"/>
  <c r="Q40" i="48"/>
  <c r="D40" i="48"/>
  <c r="C40" i="48"/>
  <c r="T39" i="48"/>
  <c r="S39" i="48"/>
  <c r="R39" i="48"/>
  <c r="Q39" i="48"/>
  <c r="D39" i="48"/>
  <c r="T38" i="48"/>
  <c r="S38" i="48"/>
  <c r="R38" i="48"/>
  <c r="Q38" i="48"/>
  <c r="D38" i="48"/>
  <c r="T37" i="48"/>
  <c r="S37" i="48"/>
  <c r="R37" i="48"/>
  <c r="Q37" i="48"/>
  <c r="D37" i="48"/>
  <c r="C37" i="48"/>
  <c r="T36" i="48"/>
  <c r="S36" i="48"/>
  <c r="R36" i="48"/>
  <c r="Q36" i="48"/>
  <c r="D36" i="48"/>
  <c r="D35" i="48"/>
  <c r="T34" i="48"/>
  <c r="S34" i="48"/>
  <c r="R34" i="48"/>
  <c r="Q34" i="48"/>
  <c r="P34" i="48"/>
  <c r="O34" i="48"/>
  <c r="N34" i="48"/>
  <c r="M34" i="48"/>
  <c r="L34" i="48"/>
  <c r="K34" i="48"/>
  <c r="J34" i="48"/>
  <c r="I34" i="48"/>
  <c r="H34" i="48"/>
  <c r="G34" i="48"/>
  <c r="F34" i="48"/>
  <c r="E34" i="48"/>
  <c r="D34" i="48"/>
  <c r="C34" i="48"/>
  <c r="T33" i="48"/>
  <c r="S33" i="48"/>
  <c r="R33" i="48"/>
  <c r="Q33" i="48"/>
  <c r="G33" i="48"/>
  <c r="E33" i="48"/>
  <c r="D33" i="48"/>
  <c r="T32" i="48"/>
  <c r="S32" i="48"/>
  <c r="R32" i="48"/>
  <c r="Q32" i="48"/>
  <c r="E32" i="48"/>
  <c r="D32" i="48"/>
  <c r="D31" i="48"/>
  <c r="T30" i="48"/>
  <c r="S30" i="48"/>
  <c r="R30" i="48"/>
  <c r="Q30" i="48"/>
  <c r="P30" i="48"/>
  <c r="O30" i="48"/>
  <c r="N30" i="48"/>
  <c r="M30" i="48"/>
  <c r="L30" i="48"/>
  <c r="K30" i="48"/>
  <c r="J30" i="48"/>
  <c r="I30" i="48"/>
  <c r="H30" i="48"/>
  <c r="G30" i="48"/>
  <c r="F30" i="48"/>
  <c r="E30" i="48"/>
  <c r="D30" i="48"/>
  <c r="C30" i="48"/>
  <c r="T29" i="48"/>
  <c r="S29" i="48"/>
  <c r="R29" i="48"/>
  <c r="Q29" i="48"/>
  <c r="I29" i="48"/>
  <c r="E29" i="48"/>
  <c r="D29" i="48"/>
  <c r="T28" i="48"/>
  <c r="S28" i="48"/>
  <c r="R28" i="48"/>
  <c r="Q28" i="48"/>
  <c r="D28" i="48"/>
  <c r="T27" i="48"/>
  <c r="S27" i="48"/>
  <c r="R27" i="48"/>
  <c r="Q27" i="48"/>
  <c r="D27" i="48"/>
  <c r="T26" i="48"/>
  <c r="S26" i="48"/>
  <c r="R26" i="48"/>
  <c r="Q26" i="48"/>
  <c r="D26" i="48"/>
  <c r="T25" i="48"/>
  <c r="R25" i="48"/>
  <c r="Q25" i="48"/>
  <c r="D25" i="48"/>
  <c r="T24" i="48"/>
  <c r="S24" i="48"/>
  <c r="R24" i="48"/>
  <c r="Q24" i="48"/>
  <c r="D24" i="48"/>
  <c r="T23" i="48"/>
  <c r="S23" i="48"/>
  <c r="R23" i="48"/>
  <c r="Q23" i="48"/>
  <c r="D23" i="48"/>
  <c r="T22" i="48"/>
  <c r="R22" i="48"/>
  <c r="Q22" i="48"/>
  <c r="D22" i="48"/>
  <c r="C22" i="48"/>
  <c r="T21" i="48"/>
  <c r="S21" i="48"/>
  <c r="R21" i="48"/>
  <c r="Q21" i="48"/>
  <c r="D21" i="48"/>
  <c r="D20" i="48"/>
  <c r="T19" i="48"/>
  <c r="S19" i="48"/>
  <c r="R19" i="48"/>
  <c r="Q19" i="48"/>
  <c r="P19" i="48"/>
  <c r="O19" i="48"/>
  <c r="N19" i="48"/>
  <c r="M19" i="48"/>
  <c r="L19" i="48"/>
  <c r="K19" i="48"/>
  <c r="J19" i="48"/>
  <c r="I19" i="48"/>
  <c r="H19" i="48"/>
  <c r="G19" i="48"/>
  <c r="F19" i="48"/>
  <c r="E19" i="48"/>
  <c r="D19" i="48"/>
  <c r="C19" i="48"/>
  <c r="T18" i="48"/>
  <c r="S18" i="48"/>
  <c r="R18" i="48"/>
  <c r="Q18" i="48"/>
  <c r="D18" i="48"/>
  <c r="T17" i="48"/>
  <c r="S17" i="48"/>
  <c r="R17" i="48"/>
  <c r="Q17" i="48"/>
  <c r="D17" i="48"/>
  <c r="T16" i="48"/>
  <c r="S16" i="48"/>
  <c r="R16" i="48"/>
  <c r="Q16" i="48"/>
  <c r="D16" i="48"/>
  <c r="T15" i="48"/>
  <c r="S15" i="48"/>
  <c r="R15" i="48"/>
  <c r="Q15" i="48"/>
  <c r="D15" i="48"/>
  <c r="T14" i="48"/>
  <c r="S14" i="48"/>
  <c r="R14" i="48"/>
  <c r="Q14" i="48"/>
  <c r="D14" i="48"/>
  <c r="T13" i="48"/>
  <c r="S13" i="48"/>
  <c r="R13" i="48"/>
  <c r="Q13" i="48"/>
  <c r="I13" i="48"/>
  <c r="G13" i="48"/>
  <c r="D13" i="48"/>
  <c r="T12" i="48"/>
  <c r="S12" i="48"/>
  <c r="R12" i="48"/>
  <c r="Q12" i="48"/>
  <c r="D12" i="48"/>
  <c r="T11" i="48"/>
  <c r="S11" i="48"/>
  <c r="R11" i="48"/>
  <c r="Q11" i="48"/>
  <c r="D11" i="48"/>
  <c r="T8" i="48"/>
  <c r="S8" i="48"/>
  <c r="R8" i="48"/>
  <c r="Q8" i="48"/>
  <c r="P8" i="48"/>
  <c r="O8" i="48"/>
  <c r="N8" i="48"/>
  <c r="M8" i="48"/>
  <c r="K8" i="48"/>
  <c r="J8" i="48"/>
  <c r="I8" i="48"/>
  <c r="G8" i="48"/>
  <c r="F8" i="48"/>
  <c r="E8" i="48"/>
  <c r="D8" i="48"/>
  <c r="C8" i="48"/>
  <c r="T7" i="48"/>
  <c r="S7" i="48"/>
  <c r="R7" i="48"/>
  <c r="Q7" i="48"/>
  <c r="D7" i="48"/>
  <c r="T6" i="48"/>
  <c r="S6" i="48"/>
  <c r="R6" i="48"/>
  <c r="Q6" i="48"/>
  <c r="I6" i="48"/>
  <c r="H6" i="48"/>
  <c r="E6" i="48"/>
  <c r="D6" i="48"/>
  <c r="E53" i="44"/>
  <c r="G51" i="44"/>
  <c r="E51" i="44"/>
  <c r="D47" i="44"/>
  <c r="C47" i="44"/>
  <c r="E46" i="44"/>
  <c r="G45" i="44"/>
  <c r="E45" i="44"/>
  <c r="D45" i="44"/>
  <c r="C45" i="44"/>
  <c r="B45" i="44"/>
  <c r="E43" i="44"/>
  <c r="D43" i="44"/>
  <c r="C43" i="44"/>
  <c r="G41" i="44"/>
  <c r="E41" i="44"/>
  <c r="D41" i="44"/>
  <c r="C41" i="44"/>
  <c r="B41" i="44"/>
  <c r="G37" i="44"/>
  <c r="G52" i="44" s="1"/>
  <c r="E37" i="44"/>
  <c r="E52" i="44" s="1"/>
  <c r="D37" i="44"/>
  <c r="G36" i="44"/>
  <c r="G35" i="44"/>
  <c r="D35" i="44"/>
  <c r="E31" i="44"/>
  <c r="D31" i="44"/>
  <c r="E29" i="44"/>
  <c r="G27" i="44"/>
  <c r="E27" i="44"/>
  <c r="D27" i="44"/>
  <c r="C27" i="44"/>
  <c r="B27" i="44"/>
  <c r="G23" i="44"/>
  <c r="E23" i="44"/>
  <c r="D23" i="44"/>
  <c r="C23" i="44"/>
  <c r="B23" i="44"/>
  <c r="J17" i="44"/>
  <c r="G17" i="44"/>
  <c r="E17" i="44"/>
  <c r="D17" i="44"/>
  <c r="G15" i="44"/>
  <c r="E15" i="44"/>
  <c r="D15" i="44"/>
  <c r="C15" i="44"/>
  <c r="G13" i="44"/>
  <c r="E13" i="44"/>
  <c r="D13" i="44"/>
  <c r="C13" i="44"/>
  <c r="B13" i="44"/>
  <c r="C11" i="44"/>
  <c r="C17" i="44" s="1"/>
  <c r="G9" i="44"/>
  <c r="E9" i="44"/>
  <c r="D9" i="44"/>
  <c r="C9" i="44"/>
  <c r="B9" i="44"/>
  <c r="G7" i="44"/>
  <c r="E7" i="44"/>
  <c r="D7" i="44"/>
  <c r="C7" i="44"/>
  <c r="B7" i="44"/>
  <c r="G5" i="44"/>
  <c r="E5" i="44"/>
  <c r="D5" i="44"/>
  <c r="C5" i="44"/>
  <c r="B5" i="44"/>
  <c r="F84" i="47"/>
  <c r="F83" i="47"/>
  <c r="F81" i="47"/>
  <c r="C81" i="47"/>
  <c r="F74" i="47"/>
  <c r="C74" i="47"/>
  <c r="F72" i="47"/>
  <c r="C72" i="47"/>
  <c r="E64" i="47"/>
  <c r="E62" i="47"/>
  <c r="D62" i="47"/>
  <c r="E60" i="47"/>
  <c r="D60" i="47"/>
  <c r="C58" i="47"/>
  <c r="C60" i="47" s="1"/>
  <c r="G57" i="47"/>
  <c r="H56" i="47"/>
  <c r="G56" i="47"/>
  <c r="H53" i="47"/>
  <c r="G53" i="47"/>
  <c r="E53" i="47"/>
  <c r="C53" i="47"/>
  <c r="G52" i="47"/>
  <c r="E52" i="47"/>
  <c r="C52" i="47"/>
  <c r="G51" i="47"/>
  <c r="H48" i="47"/>
  <c r="G48" i="47"/>
  <c r="E48" i="47"/>
  <c r="C48" i="47"/>
  <c r="G47" i="47"/>
  <c r="G46" i="47"/>
  <c r="G45" i="47"/>
  <c r="G44" i="47"/>
  <c r="H40" i="47"/>
  <c r="G40" i="47"/>
  <c r="E40" i="47"/>
  <c r="C40" i="47"/>
  <c r="H38" i="47"/>
  <c r="G38" i="47"/>
  <c r="H37" i="47"/>
  <c r="G37" i="47"/>
  <c r="E37" i="47"/>
  <c r="H32" i="47"/>
  <c r="G32" i="47"/>
  <c r="E32" i="47"/>
  <c r="C32" i="47"/>
  <c r="H30" i="47"/>
  <c r="G30" i="47"/>
  <c r="G28" i="47"/>
  <c r="G26" i="47"/>
  <c r="G25" i="47"/>
  <c r="H23" i="47"/>
  <c r="G23" i="47"/>
  <c r="E23" i="47"/>
  <c r="C23" i="47"/>
  <c r="G22" i="47"/>
  <c r="H21" i="47"/>
  <c r="G21" i="47"/>
  <c r="H16" i="47"/>
  <c r="G16" i="47"/>
  <c r="E16" i="47"/>
  <c r="C16" i="47"/>
  <c r="H15" i="47"/>
  <c r="G15" i="47"/>
  <c r="H11" i="47"/>
  <c r="G11" i="47"/>
  <c r="E11" i="47"/>
  <c r="C11" i="47"/>
  <c r="H10" i="47"/>
  <c r="G10" i="47"/>
  <c r="H9" i="47"/>
  <c r="G9" i="47"/>
  <c r="E55" i="56"/>
  <c r="E52" i="56"/>
  <c r="E51" i="56"/>
  <c r="C51" i="56"/>
  <c r="D51" i="56" s="1"/>
  <c r="E50" i="56"/>
  <c r="C50" i="56"/>
  <c r="D50" i="56" s="1"/>
  <c r="E49" i="56"/>
  <c r="C49" i="56"/>
  <c r="D49" i="56" s="1"/>
  <c r="E48" i="56"/>
  <c r="C48" i="56"/>
  <c r="D48" i="56" s="1"/>
  <c r="E47" i="56"/>
  <c r="C47" i="56"/>
  <c r="D47" i="56" s="1"/>
  <c r="E46" i="56"/>
  <c r="C46" i="56"/>
  <c r="D46" i="56" s="1"/>
  <c r="H46" i="56" s="1"/>
  <c r="E45" i="56"/>
  <c r="C45" i="56"/>
  <c r="D45" i="56" s="1"/>
  <c r="E44" i="56"/>
  <c r="C44" i="56"/>
  <c r="D44" i="56" s="1"/>
  <c r="E43" i="56"/>
  <c r="C43" i="56"/>
  <c r="D43" i="56" s="1"/>
  <c r="E42" i="56"/>
  <c r="C42" i="56"/>
  <c r="G41" i="56"/>
  <c r="F41" i="56"/>
  <c r="C41" i="56"/>
  <c r="E40" i="56"/>
  <c r="C40" i="56"/>
  <c r="D40" i="56" s="1"/>
  <c r="E39" i="56"/>
  <c r="E38" i="56"/>
  <c r="C38" i="56"/>
  <c r="D38" i="56" s="1"/>
  <c r="E37" i="56"/>
  <c r="C37" i="56"/>
  <c r="D37" i="56" s="1"/>
  <c r="E36" i="56"/>
  <c r="C36" i="56"/>
  <c r="D36" i="56" s="1"/>
  <c r="E35" i="56"/>
  <c r="C35" i="56"/>
  <c r="D35" i="56" s="1"/>
  <c r="E34" i="56"/>
  <c r="C34" i="56"/>
  <c r="D34" i="56" s="1"/>
  <c r="E33" i="56"/>
  <c r="C33" i="56"/>
  <c r="D33" i="56" s="1"/>
  <c r="E32" i="56"/>
  <c r="C32" i="56"/>
  <c r="D32" i="56" s="1"/>
  <c r="E31" i="56"/>
  <c r="C31" i="56"/>
  <c r="D31" i="56" s="1"/>
  <c r="E30" i="56"/>
  <c r="C30" i="56"/>
  <c r="D30" i="56" s="1"/>
  <c r="E29" i="56"/>
  <c r="C29" i="56"/>
  <c r="D29" i="56" s="1"/>
  <c r="E28" i="56"/>
  <c r="C28" i="56"/>
  <c r="D28" i="56" s="1"/>
  <c r="E27" i="56"/>
  <c r="C27" i="56"/>
  <c r="D27" i="56" s="1"/>
  <c r="E26" i="56"/>
  <c r="C26" i="56"/>
  <c r="D26" i="56" s="1"/>
  <c r="E25" i="56"/>
  <c r="C25" i="56"/>
  <c r="D25" i="56" s="1"/>
  <c r="E24" i="56"/>
  <c r="C24" i="56"/>
  <c r="D24" i="56" s="1"/>
  <c r="E23" i="56"/>
  <c r="C23" i="56"/>
  <c r="D23" i="56" s="1"/>
  <c r="E22" i="56"/>
  <c r="C22" i="56"/>
  <c r="D22" i="56" s="1"/>
  <c r="E21" i="56"/>
  <c r="C21" i="56"/>
  <c r="D21" i="56" s="1"/>
  <c r="E20" i="56"/>
  <c r="C20" i="56"/>
  <c r="D20" i="56" s="1"/>
  <c r="E19" i="56"/>
  <c r="C19" i="56"/>
  <c r="D19" i="56" s="1"/>
  <c r="E18" i="56"/>
  <c r="C18" i="56"/>
  <c r="D18" i="56" s="1"/>
  <c r="E17" i="56"/>
  <c r="C17" i="56"/>
  <c r="D17" i="56" s="1"/>
  <c r="E16" i="56"/>
  <c r="C16" i="56"/>
  <c r="D16" i="56" s="1"/>
  <c r="C15" i="56"/>
  <c r="D15" i="56" s="1"/>
  <c r="E14" i="56"/>
  <c r="C14" i="56"/>
  <c r="D14" i="56" s="1"/>
  <c r="E13" i="56"/>
  <c r="C13" i="56"/>
  <c r="D13" i="56" s="1"/>
  <c r="E12" i="56"/>
  <c r="C12" i="56"/>
  <c r="D12" i="56" s="1"/>
  <c r="E11" i="56"/>
  <c r="C11" i="56"/>
  <c r="D11" i="56" s="1"/>
  <c r="E10" i="56"/>
  <c r="C10" i="56"/>
  <c r="D10" i="56" s="1"/>
  <c r="E9" i="56"/>
  <c r="C9" i="56"/>
  <c r="D9" i="56" s="1"/>
  <c r="E8" i="56"/>
  <c r="C8" i="56"/>
  <c r="D8" i="56" s="1"/>
  <c r="E7" i="56"/>
  <c r="C7" i="56"/>
  <c r="D7" i="56" s="1"/>
  <c r="AB144" i="53"/>
  <c r="AA128" i="53"/>
  <c r="AA124" i="53"/>
  <c r="AI121" i="53"/>
  <c r="AA120" i="53"/>
  <c r="AI117" i="53"/>
  <c r="AA116" i="53"/>
  <c r="AI113" i="53"/>
  <c r="AA112" i="53"/>
  <c r="AI109" i="53"/>
  <c r="AF109" i="53"/>
  <c r="AA109" i="53"/>
  <c r="AP108" i="53"/>
  <c r="AI105" i="53"/>
  <c r="AA104" i="53"/>
  <c r="AB102" i="53"/>
  <c r="AB101" i="53"/>
  <c r="AB99" i="53"/>
  <c r="AB97" i="53"/>
  <c r="G77" i="53"/>
  <c r="F77" i="53"/>
  <c r="E77" i="53"/>
  <c r="D77" i="53"/>
  <c r="C77" i="53"/>
  <c r="E76" i="53"/>
  <c r="E75" i="53"/>
  <c r="E74" i="53"/>
  <c r="R70" i="53"/>
  <c r="J68" i="53"/>
  <c r="I68" i="53"/>
  <c r="AB67" i="53"/>
  <c r="I67" i="53"/>
  <c r="H67" i="53"/>
  <c r="G67" i="53"/>
  <c r="F67" i="53"/>
  <c r="T66" i="53"/>
  <c r="R66" i="53"/>
  <c r="P66" i="53"/>
  <c r="O66" i="53"/>
  <c r="N66" i="53"/>
  <c r="M66" i="53"/>
  <c r="K66" i="53"/>
  <c r="J66" i="53"/>
  <c r="I66" i="53"/>
  <c r="H66" i="53"/>
  <c r="G66" i="53"/>
  <c r="F66" i="53"/>
  <c r="E66" i="53"/>
  <c r="D66" i="53"/>
  <c r="C66" i="53"/>
  <c r="AI65" i="53"/>
  <c r="AB65" i="53"/>
  <c r="S64" i="53"/>
  <c r="R64" i="53"/>
  <c r="I64" i="53"/>
  <c r="S63" i="53"/>
  <c r="R63" i="53"/>
  <c r="AI62" i="53"/>
  <c r="AB62" i="53"/>
  <c r="S62" i="53"/>
  <c r="R62" i="53"/>
  <c r="S61" i="53"/>
  <c r="R61" i="53"/>
  <c r="H61" i="53"/>
  <c r="G61" i="53"/>
  <c r="F61" i="53"/>
  <c r="E61" i="53"/>
  <c r="AI60" i="53"/>
  <c r="AB60" i="53"/>
  <c r="S60" i="53"/>
  <c r="R60" i="53"/>
  <c r="T59" i="53"/>
  <c r="S59" i="53"/>
  <c r="R59" i="53"/>
  <c r="Q59" i="53"/>
  <c r="P59" i="53"/>
  <c r="O59" i="53"/>
  <c r="N59" i="53"/>
  <c r="M59" i="53"/>
  <c r="L59" i="53"/>
  <c r="K59" i="53"/>
  <c r="J59" i="53"/>
  <c r="I59" i="53"/>
  <c r="H59" i="53"/>
  <c r="G59" i="53"/>
  <c r="F59" i="53"/>
  <c r="E59" i="53"/>
  <c r="C59" i="53"/>
  <c r="AI58" i="53"/>
  <c r="AC58" i="53"/>
  <c r="AB58" i="53"/>
  <c r="T57" i="53"/>
  <c r="S57" i="53"/>
  <c r="S66" i="53" s="1"/>
  <c r="S68" i="53" s="1"/>
  <c r="R57" i="53"/>
  <c r="Q57" i="53"/>
  <c r="P57" i="53"/>
  <c r="O57" i="53"/>
  <c r="N57" i="53"/>
  <c r="M57" i="53"/>
  <c r="L57" i="53"/>
  <c r="K57" i="53"/>
  <c r="J57" i="53"/>
  <c r="I57" i="53"/>
  <c r="H57" i="53"/>
  <c r="G57" i="53"/>
  <c r="F57" i="53"/>
  <c r="E57" i="53"/>
  <c r="D57" i="53"/>
  <c r="C57" i="53"/>
  <c r="T56" i="53"/>
  <c r="R56" i="53"/>
  <c r="Q56" i="53"/>
  <c r="J56" i="53"/>
  <c r="I56" i="53"/>
  <c r="H56" i="53"/>
  <c r="G56" i="53"/>
  <c r="F56" i="53"/>
  <c r="E56" i="53"/>
  <c r="D56" i="53"/>
  <c r="C56" i="53"/>
  <c r="AP55" i="53"/>
  <c r="T55" i="53"/>
  <c r="S55" i="53"/>
  <c r="R55" i="53"/>
  <c r="Q55" i="53"/>
  <c r="D55" i="53"/>
  <c r="T54" i="53"/>
  <c r="R54" i="53"/>
  <c r="Q54" i="53"/>
  <c r="D54" i="53"/>
  <c r="AP53" i="53"/>
  <c r="T53" i="53"/>
  <c r="S53" i="53"/>
  <c r="R53" i="53"/>
  <c r="Q53" i="53"/>
  <c r="D53" i="53"/>
  <c r="T52" i="53"/>
  <c r="S52" i="53"/>
  <c r="R52" i="53"/>
  <c r="Q52" i="53"/>
  <c r="D52" i="53"/>
  <c r="T51" i="53"/>
  <c r="S51" i="53"/>
  <c r="R51" i="53"/>
  <c r="Q51" i="53"/>
  <c r="D51" i="53"/>
  <c r="T50" i="53"/>
  <c r="S50" i="53"/>
  <c r="R50" i="53"/>
  <c r="Q50" i="53"/>
  <c r="D50" i="53"/>
  <c r="AB49" i="53"/>
  <c r="T49" i="53"/>
  <c r="S49" i="53"/>
  <c r="R49" i="53"/>
  <c r="Q49" i="53"/>
  <c r="D49" i="53"/>
  <c r="AB48" i="53"/>
  <c r="T48" i="53"/>
  <c r="S48" i="53"/>
  <c r="R48" i="53"/>
  <c r="Q48" i="53"/>
  <c r="D48" i="53"/>
  <c r="T47" i="53"/>
  <c r="S47" i="53"/>
  <c r="R47" i="53"/>
  <c r="Q47" i="53"/>
  <c r="D47" i="53"/>
  <c r="AB46" i="53"/>
  <c r="T46" i="53"/>
  <c r="S46" i="53"/>
  <c r="R46" i="53"/>
  <c r="Q46" i="53"/>
  <c r="D46" i="53"/>
  <c r="AB45" i="53"/>
  <c r="S45" i="53"/>
  <c r="AB44" i="53"/>
  <c r="T44" i="53"/>
  <c r="S44" i="53"/>
  <c r="R44" i="53"/>
  <c r="Q44" i="53"/>
  <c r="P44" i="53"/>
  <c r="O44" i="53"/>
  <c r="N44" i="53"/>
  <c r="M44" i="53"/>
  <c r="L44" i="53"/>
  <c r="K44" i="53"/>
  <c r="J44" i="53"/>
  <c r="I44" i="53"/>
  <c r="H44" i="53"/>
  <c r="G44" i="53"/>
  <c r="F44" i="53"/>
  <c r="E44" i="53"/>
  <c r="D44" i="53"/>
  <c r="C44" i="53"/>
  <c r="T43" i="53"/>
  <c r="R43" i="53"/>
  <c r="Q43" i="53"/>
  <c r="AB42" i="53"/>
  <c r="T42" i="53"/>
  <c r="S42" i="53"/>
  <c r="R42" i="53"/>
  <c r="Q42" i="53"/>
  <c r="D42" i="53"/>
  <c r="C42" i="53"/>
  <c r="AB41" i="53"/>
  <c r="T41" i="53"/>
  <c r="S41" i="53"/>
  <c r="R41" i="53"/>
  <c r="Q41" i="53"/>
  <c r="D41" i="53"/>
  <c r="AB40" i="53"/>
  <c r="T40" i="53"/>
  <c r="R40" i="53"/>
  <c r="Q40" i="53"/>
  <c r="D40" i="53"/>
  <c r="C40" i="53"/>
  <c r="T39" i="53"/>
  <c r="S39" i="53"/>
  <c r="R39" i="53"/>
  <c r="Q39" i="53"/>
  <c r="D39" i="53"/>
  <c r="AB38" i="53"/>
  <c r="T38" i="53"/>
  <c r="S38" i="53"/>
  <c r="R38" i="53"/>
  <c r="Q38" i="53"/>
  <c r="D38" i="53"/>
  <c r="AB37" i="53"/>
  <c r="T37" i="53"/>
  <c r="S37" i="53"/>
  <c r="R37" i="53"/>
  <c r="Q37" i="53"/>
  <c r="D37" i="53"/>
  <c r="C37" i="53"/>
  <c r="AB36" i="53"/>
  <c r="T36" i="53"/>
  <c r="S36" i="53"/>
  <c r="R36" i="53"/>
  <c r="Q36" i="53"/>
  <c r="D36" i="53"/>
  <c r="D35" i="53"/>
  <c r="AB34" i="53"/>
  <c r="T34" i="53"/>
  <c r="S34" i="53"/>
  <c r="R34" i="53"/>
  <c r="Q34" i="53"/>
  <c r="P34" i="53"/>
  <c r="O34" i="53"/>
  <c r="N34" i="53"/>
  <c r="M34" i="53"/>
  <c r="L34" i="53"/>
  <c r="K34" i="53"/>
  <c r="J34" i="53"/>
  <c r="I34" i="53"/>
  <c r="H34" i="53"/>
  <c r="G34" i="53"/>
  <c r="F34" i="53"/>
  <c r="E34" i="53"/>
  <c r="D34" i="53"/>
  <c r="C34" i="53"/>
  <c r="AB33" i="53"/>
  <c r="T33" i="53"/>
  <c r="S33" i="53"/>
  <c r="R33" i="53"/>
  <c r="Q33" i="53"/>
  <c r="G33" i="53"/>
  <c r="E33" i="53"/>
  <c r="D33" i="53"/>
  <c r="AB32" i="53"/>
  <c r="T32" i="53"/>
  <c r="S32" i="53"/>
  <c r="R32" i="53"/>
  <c r="Q32" i="53"/>
  <c r="E32" i="53"/>
  <c r="D32" i="53"/>
  <c r="D31" i="53"/>
  <c r="T30" i="53"/>
  <c r="R30" i="53"/>
  <c r="Q30" i="53"/>
  <c r="P30" i="53"/>
  <c r="O30" i="53"/>
  <c r="N30" i="53"/>
  <c r="M30" i="53"/>
  <c r="L30" i="53"/>
  <c r="K30" i="53"/>
  <c r="J30" i="53"/>
  <c r="I30" i="53"/>
  <c r="H30" i="53"/>
  <c r="G30" i="53"/>
  <c r="F30" i="53"/>
  <c r="E30" i="53"/>
  <c r="D30" i="53"/>
  <c r="C30" i="53"/>
  <c r="T29" i="53"/>
  <c r="S29" i="53"/>
  <c r="R29" i="53"/>
  <c r="Q29" i="53"/>
  <c r="J29" i="53"/>
  <c r="I29" i="53"/>
  <c r="E29" i="53"/>
  <c r="D29" i="53"/>
  <c r="T28" i="53"/>
  <c r="S28" i="53"/>
  <c r="R28" i="53"/>
  <c r="Q28" i="53"/>
  <c r="D28" i="53"/>
  <c r="T27" i="53"/>
  <c r="R27" i="53"/>
  <c r="Q27" i="53"/>
  <c r="D27" i="53"/>
  <c r="T26" i="53"/>
  <c r="S26" i="53"/>
  <c r="R26" i="53"/>
  <c r="Q26" i="53"/>
  <c r="D26" i="53"/>
  <c r="T25" i="53"/>
  <c r="R25" i="53"/>
  <c r="Q25" i="53"/>
  <c r="D25" i="53"/>
  <c r="T24" i="53"/>
  <c r="S24" i="53"/>
  <c r="R24" i="53"/>
  <c r="Q24" i="53"/>
  <c r="D24" i="53"/>
  <c r="T23" i="53"/>
  <c r="S23" i="53"/>
  <c r="R23" i="53"/>
  <c r="Q23" i="53"/>
  <c r="D23" i="53"/>
  <c r="T22" i="53"/>
  <c r="R22" i="53"/>
  <c r="Q22" i="53"/>
  <c r="D22" i="53"/>
  <c r="C22" i="53"/>
  <c r="T21" i="53"/>
  <c r="S21" i="53"/>
  <c r="R21" i="53"/>
  <c r="Q21" i="53"/>
  <c r="D21" i="53"/>
  <c r="D20" i="53"/>
  <c r="T19" i="53"/>
  <c r="S19" i="53"/>
  <c r="R19" i="53"/>
  <c r="Q19" i="53"/>
  <c r="P19" i="53"/>
  <c r="O19" i="53"/>
  <c r="N19" i="53"/>
  <c r="M19" i="53"/>
  <c r="L19" i="53"/>
  <c r="K19" i="53"/>
  <c r="J19" i="53"/>
  <c r="I19" i="53"/>
  <c r="H19" i="53"/>
  <c r="G19" i="53"/>
  <c r="F19" i="53"/>
  <c r="E19" i="53"/>
  <c r="D19" i="53"/>
  <c r="C19" i="53"/>
  <c r="T18" i="53"/>
  <c r="S18" i="53"/>
  <c r="R18" i="53"/>
  <c r="Q18" i="53"/>
  <c r="D18" i="53"/>
  <c r="T17" i="53"/>
  <c r="S17" i="53"/>
  <c r="R17" i="53"/>
  <c r="Q17" i="53"/>
  <c r="D17" i="53"/>
  <c r="T16" i="53"/>
  <c r="S16" i="53"/>
  <c r="R16" i="53"/>
  <c r="Q16" i="53"/>
  <c r="D16" i="53"/>
  <c r="T15" i="53"/>
  <c r="S15" i="53"/>
  <c r="R15" i="53"/>
  <c r="Q15" i="53"/>
  <c r="D15" i="53"/>
  <c r="T14" i="53"/>
  <c r="S14" i="53"/>
  <c r="R14" i="53"/>
  <c r="Q14" i="53"/>
  <c r="D14" i="53"/>
  <c r="T13" i="53"/>
  <c r="S13" i="53"/>
  <c r="R13" i="53"/>
  <c r="Q13" i="53"/>
  <c r="I13" i="53"/>
  <c r="G13" i="53"/>
  <c r="D13" i="53"/>
  <c r="AK12" i="53"/>
  <c r="AC12" i="53"/>
  <c r="T12" i="53"/>
  <c r="S12" i="53"/>
  <c r="R12" i="53"/>
  <c r="Q12" i="53"/>
  <c r="D12" i="53"/>
  <c r="AK11" i="53"/>
  <c r="AC11" i="53"/>
  <c r="T11" i="53"/>
  <c r="S11" i="53"/>
  <c r="R11" i="53"/>
  <c r="Q11" i="53"/>
  <c r="D11" i="53"/>
  <c r="AK10" i="53"/>
  <c r="AC10" i="53"/>
  <c r="AF8" i="53"/>
  <c r="T8" i="53"/>
  <c r="S8" i="53"/>
  <c r="R8" i="53"/>
  <c r="Q8" i="53"/>
  <c r="P8" i="53"/>
  <c r="O8" i="53"/>
  <c r="N8" i="53"/>
  <c r="M8" i="53"/>
  <c r="K8" i="53"/>
  <c r="I8" i="53"/>
  <c r="G8" i="53"/>
  <c r="F8" i="53"/>
  <c r="E8" i="53"/>
  <c r="D8" i="53"/>
  <c r="C8" i="53"/>
  <c r="T7" i="53"/>
  <c r="S7" i="53"/>
  <c r="R7" i="53"/>
  <c r="Q7" i="53"/>
  <c r="D7" i="53"/>
  <c r="T6" i="53"/>
  <c r="S6" i="53"/>
  <c r="R6" i="53"/>
  <c r="Q6" i="53"/>
  <c r="J6" i="53"/>
  <c r="I6" i="53"/>
  <c r="H6" i="53"/>
  <c r="E6" i="53"/>
  <c r="D6" i="53"/>
  <c r="C99" i="62"/>
  <c r="C92" i="62"/>
  <c r="C90" i="62"/>
  <c r="C86" i="62"/>
  <c r="C79" i="62"/>
  <c r="C77" i="62"/>
  <c r="K75" i="62"/>
  <c r="J75" i="62"/>
  <c r="S68" i="62"/>
  <c r="K68" i="62"/>
  <c r="J68" i="62"/>
  <c r="I68" i="62"/>
  <c r="I67" i="62"/>
  <c r="H67" i="62"/>
  <c r="G67" i="62"/>
  <c r="F67" i="62"/>
  <c r="T66" i="62"/>
  <c r="S66" i="62"/>
  <c r="Q66" i="62"/>
  <c r="P66" i="62"/>
  <c r="O66" i="62"/>
  <c r="N66" i="62"/>
  <c r="M66" i="62"/>
  <c r="K66" i="62"/>
  <c r="J66" i="62"/>
  <c r="I66" i="62"/>
  <c r="H66" i="62"/>
  <c r="G66" i="62"/>
  <c r="F66" i="62"/>
  <c r="E66" i="62"/>
  <c r="D66" i="62"/>
  <c r="C66" i="62"/>
  <c r="Q65" i="62"/>
  <c r="S64" i="62"/>
  <c r="Q64" i="62"/>
  <c r="I64" i="62"/>
  <c r="S63" i="62"/>
  <c r="Q63" i="62"/>
  <c r="S62" i="62"/>
  <c r="Q62" i="62"/>
  <c r="S61" i="62"/>
  <c r="Q61" i="62"/>
  <c r="K61" i="62"/>
  <c r="H61" i="62"/>
  <c r="G61" i="62"/>
  <c r="F61" i="62"/>
  <c r="E61" i="62"/>
  <c r="S60" i="62"/>
  <c r="Q60" i="62"/>
  <c r="T59" i="62"/>
  <c r="S59" i="62"/>
  <c r="R59" i="62"/>
  <c r="Q59" i="62"/>
  <c r="P59" i="62"/>
  <c r="O59" i="62"/>
  <c r="N59" i="62"/>
  <c r="M59" i="62"/>
  <c r="L59" i="62"/>
  <c r="K59" i="62"/>
  <c r="J59" i="62"/>
  <c r="I59" i="62"/>
  <c r="H59" i="62"/>
  <c r="G59" i="62"/>
  <c r="F59" i="62"/>
  <c r="E59" i="62"/>
  <c r="C59" i="62"/>
  <c r="T57" i="62"/>
  <c r="S57" i="62"/>
  <c r="R57" i="62"/>
  <c r="Q57" i="62"/>
  <c r="P57" i="62"/>
  <c r="O57" i="62"/>
  <c r="N57" i="62"/>
  <c r="M57" i="62"/>
  <c r="L57" i="62"/>
  <c r="K57" i="62"/>
  <c r="J57" i="62"/>
  <c r="I57" i="62"/>
  <c r="H57" i="62"/>
  <c r="G57" i="62"/>
  <c r="F57" i="62"/>
  <c r="E57" i="62"/>
  <c r="D57" i="62"/>
  <c r="C57" i="62"/>
  <c r="T56" i="62"/>
  <c r="S56" i="62"/>
  <c r="R56" i="62"/>
  <c r="Q56" i="62"/>
  <c r="K56" i="62"/>
  <c r="J56" i="62"/>
  <c r="I56" i="62"/>
  <c r="H56" i="62"/>
  <c r="G56" i="62"/>
  <c r="F56" i="62"/>
  <c r="E56" i="62"/>
  <c r="D56" i="62"/>
  <c r="C56" i="62"/>
  <c r="T55" i="62"/>
  <c r="S55" i="62"/>
  <c r="R55" i="62"/>
  <c r="Q55" i="62"/>
  <c r="D55" i="62"/>
  <c r="T54" i="62"/>
  <c r="S54" i="62"/>
  <c r="R54" i="62"/>
  <c r="Q54" i="62"/>
  <c r="D54" i="62"/>
  <c r="T53" i="62"/>
  <c r="S53" i="62"/>
  <c r="R53" i="62"/>
  <c r="Q53" i="62"/>
  <c r="D53" i="62"/>
  <c r="T52" i="62"/>
  <c r="S52" i="62"/>
  <c r="R52" i="62"/>
  <c r="Q52" i="62"/>
  <c r="D52" i="62"/>
  <c r="T51" i="62"/>
  <c r="S51" i="62"/>
  <c r="R51" i="62"/>
  <c r="Q51" i="62"/>
  <c r="D51" i="62"/>
  <c r="T50" i="62"/>
  <c r="S50" i="62"/>
  <c r="R50" i="62"/>
  <c r="Q50" i="62"/>
  <c r="D50" i="62"/>
  <c r="T49" i="62"/>
  <c r="S49" i="62"/>
  <c r="R49" i="62"/>
  <c r="Q49" i="62"/>
  <c r="D49" i="62"/>
  <c r="T48" i="62"/>
  <c r="S48" i="62"/>
  <c r="R48" i="62"/>
  <c r="Q48" i="62"/>
  <c r="D48" i="62"/>
  <c r="T47" i="62"/>
  <c r="S47" i="62"/>
  <c r="R47" i="62"/>
  <c r="Q47" i="62"/>
  <c r="D47" i="62"/>
  <c r="T46" i="62"/>
  <c r="S46" i="62"/>
  <c r="R46" i="62"/>
  <c r="Q46" i="62"/>
  <c r="D46" i="62"/>
  <c r="S45" i="62"/>
  <c r="T44" i="62"/>
  <c r="S44" i="62"/>
  <c r="R44" i="62"/>
  <c r="Q44" i="62"/>
  <c r="P44" i="62"/>
  <c r="O44" i="62"/>
  <c r="N44" i="62"/>
  <c r="M44" i="62"/>
  <c r="L44" i="62"/>
  <c r="K44" i="62"/>
  <c r="J44" i="62"/>
  <c r="I44" i="62"/>
  <c r="H44" i="62"/>
  <c r="G44" i="62"/>
  <c r="F44" i="62"/>
  <c r="E44" i="62"/>
  <c r="D44" i="62"/>
  <c r="C44" i="62"/>
  <c r="T43" i="62"/>
  <c r="R43" i="62"/>
  <c r="Q43" i="62"/>
  <c r="T42" i="62"/>
  <c r="S42" i="62"/>
  <c r="R42" i="62"/>
  <c r="Q42" i="62"/>
  <c r="D42" i="62"/>
  <c r="C42" i="62"/>
  <c r="T41" i="62"/>
  <c r="S41" i="62"/>
  <c r="R41" i="62"/>
  <c r="Q41" i="62"/>
  <c r="D41" i="62"/>
  <c r="T40" i="62"/>
  <c r="R40" i="62"/>
  <c r="Q40" i="62"/>
  <c r="D40" i="62"/>
  <c r="C40" i="62"/>
  <c r="T39" i="62"/>
  <c r="S39" i="62"/>
  <c r="R39" i="62"/>
  <c r="Q39" i="62"/>
  <c r="D39" i="62"/>
  <c r="T38" i="62"/>
  <c r="S38" i="62"/>
  <c r="R38" i="62"/>
  <c r="Q38" i="62"/>
  <c r="K38" i="62"/>
  <c r="D38" i="62"/>
  <c r="T37" i="62"/>
  <c r="S37" i="62"/>
  <c r="R37" i="62"/>
  <c r="Q37" i="62"/>
  <c r="K37" i="62"/>
  <c r="D37" i="62"/>
  <c r="C37" i="62"/>
  <c r="T36" i="62"/>
  <c r="S36" i="62"/>
  <c r="R36" i="62"/>
  <c r="Q36" i="62"/>
  <c r="D36" i="62"/>
  <c r="D35" i="62"/>
  <c r="T34" i="62"/>
  <c r="S34" i="62"/>
  <c r="R34" i="62"/>
  <c r="Q34" i="62"/>
  <c r="P34" i="62"/>
  <c r="O34" i="62"/>
  <c r="N34" i="62"/>
  <c r="M34" i="62"/>
  <c r="L34" i="62"/>
  <c r="K34" i="62"/>
  <c r="J34" i="62"/>
  <c r="I34" i="62"/>
  <c r="H34" i="62"/>
  <c r="G34" i="62"/>
  <c r="F34" i="62"/>
  <c r="E34" i="62"/>
  <c r="D34" i="62"/>
  <c r="C34" i="62"/>
  <c r="T33" i="62"/>
  <c r="S33" i="62"/>
  <c r="R33" i="62"/>
  <c r="Q33" i="62"/>
  <c r="G33" i="62"/>
  <c r="E33" i="62"/>
  <c r="D33" i="62"/>
  <c r="T32" i="62"/>
  <c r="S32" i="62"/>
  <c r="R32" i="62"/>
  <c r="Q32" i="62"/>
  <c r="E32" i="62"/>
  <c r="D32" i="62"/>
  <c r="D31" i="62"/>
  <c r="T30" i="62"/>
  <c r="S30" i="62"/>
  <c r="R30" i="62"/>
  <c r="Q30" i="62"/>
  <c r="P30" i="62"/>
  <c r="O30" i="62"/>
  <c r="N30" i="62"/>
  <c r="M30" i="62"/>
  <c r="L30" i="62"/>
  <c r="K30" i="62"/>
  <c r="J30" i="62"/>
  <c r="I30" i="62"/>
  <c r="H30" i="62"/>
  <c r="G30" i="62"/>
  <c r="F30" i="62"/>
  <c r="E30" i="62"/>
  <c r="D30" i="62"/>
  <c r="C30" i="62"/>
  <c r="T29" i="62"/>
  <c r="S29" i="62"/>
  <c r="R29" i="62"/>
  <c r="Q29" i="62"/>
  <c r="J29" i="62"/>
  <c r="I29" i="62"/>
  <c r="E29" i="62"/>
  <c r="D29" i="62"/>
  <c r="T28" i="62"/>
  <c r="S28" i="62"/>
  <c r="R28" i="62"/>
  <c r="Q28" i="62"/>
  <c r="D28" i="62"/>
  <c r="T27" i="62"/>
  <c r="S27" i="62"/>
  <c r="R27" i="62"/>
  <c r="Q27" i="62"/>
  <c r="D27" i="62"/>
  <c r="T26" i="62"/>
  <c r="S26" i="62"/>
  <c r="R26" i="62"/>
  <c r="Q26" i="62"/>
  <c r="K26" i="62"/>
  <c r="D26" i="62"/>
  <c r="T25" i="62"/>
  <c r="R25" i="62"/>
  <c r="Q25" i="62"/>
  <c r="D25" i="62"/>
  <c r="T24" i="62"/>
  <c r="S24" i="62"/>
  <c r="R24" i="62"/>
  <c r="Q24" i="62"/>
  <c r="D24" i="62"/>
  <c r="T23" i="62"/>
  <c r="S23" i="62"/>
  <c r="R23" i="62"/>
  <c r="Q23" i="62"/>
  <c r="D23" i="62"/>
  <c r="T22" i="62"/>
  <c r="R22" i="62"/>
  <c r="Q22" i="62"/>
  <c r="D22" i="62"/>
  <c r="C22" i="62"/>
  <c r="T21" i="62"/>
  <c r="S21" i="62"/>
  <c r="R21" i="62"/>
  <c r="Q21" i="62"/>
  <c r="D21" i="62"/>
  <c r="D20" i="62"/>
  <c r="T19" i="62"/>
  <c r="S19" i="62"/>
  <c r="R19" i="62"/>
  <c r="Q19" i="62"/>
  <c r="P19" i="62"/>
  <c r="O19" i="62"/>
  <c r="N19" i="62"/>
  <c r="M19" i="62"/>
  <c r="L19" i="62"/>
  <c r="K19" i="62"/>
  <c r="J19" i="62"/>
  <c r="I19" i="62"/>
  <c r="H19" i="62"/>
  <c r="G19" i="62"/>
  <c r="F19" i="62"/>
  <c r="E19" i="62"/>
  <c r="D19" i="62"/>
  <c r="C19" i="62"/>
  <c r="T18" i="62"/>
  <c r="S18" i="62"/>
  <c r="R18" i="62"/>
  <c r="Q18" i="62"/>
  <c r="D18" i="62"/>
  <c r="T17" i="62"/>
  <c r="S17" i="62"/>
  <c r="R17" i="62"/>
  <c r="Q17" i="62"/>
  <c r="D17" i="62"/>
  <c r="T16" i="62"/>
  <c r="S16" i="62"/>
  <c r="R16" i="62"/>
  <c r="Q16" i="62"/>
  <c r="D16" i="62"/>
  <c r="T15" i="62"/>
  <c r="S15" i="62"/>
  <c r="R15" i="62"/>
  <c r="Q15" i="62"/>
  <c r="D15" i="62"/>
  <c r="T14" i="62"/>
  <c r="S14" i="62"/>
  <c r="R14" i="62"/>
  <c r="Q14" i="62"/>
  <c r="D14" i="62"/>
  <c r="T13" i="62"/>
  <c r="S13" i="62"/>
  <c r="R13" i="62"/>
  <c r="Q13" i="62"/>
  <c r="I13" i="62"/>
  <c r="G13" i="62"/>
  <c r="D13" i="62"/>
  <c r="T12" i="62"/>
  <c r="S12" i="62"/>
  <c r="R12" i="62"/>
  <c r="Q12" i="62"/>
  <c r="D12" i="62"/>
  <c r="T11" i="62"/>
  <c r="S11" i="62"/>
  <c r="R11" i="62"/>
  <c r="Q11" i="62"/>
  <c r="D11" i="62"/>
  <c r="T8" i="62"/>
  <c r="S8" i="62"/>
  <c r="R8" i="62"/>
  <c r="Q8" i="62"/>
  <c r="P8" i="62"/>
  <c r="O8" i="62"/>
  <c r="N8" i="62"/>
  <c r="M8" i="62"/>
  <c r="I8" i="62"/>
  <c r="G8" i="62"/>
  <c r="F8" i="62"/>
  <c r="E8" i="62"/>
  <c r="D8" i="62"/>
  <c r="C8" i="62"/>
  <c r="T7" i="62"/>
  <c r="S7" i="62"/>
  <c r="R7" i="62"/>
  <c r="Q7" i="62"/>
  <c r="D7" i="62"/>
  <c r="T6" i="62"/>
  <c r="S6" i="62"/>
  <c r="R6" i="62"/>
  <c r="Q6" i="62"/>
  <c r="K6" i="62"/>
  <c r="J6" i="62"/>
  <c r="I6" i="62"/>
  <c r="H6" i="62"/>
  <c r="E6" i="62"/>
  <c r="D6" i="62"/>
  <c r="AC149" i="63"/>
  <c r="AB133" i="63"/>
  <c r="AB129" i="63"/>
  <c r="AJ126" i="63"/>
  <c r="AJ122" i="63"/>
  <c r="AJ118" i="63"/>
  <c r="AJ114" i="63"/>
  <c r="AB114" i="63"/>
  <c r="AJ110" i="63"/>
  <c r="AQ113" i="63" s="1"/>
  <c r="AB109" i="63"/>
  <c r="AC106" i="63"/>
  <c r="AC104" i="63"/>
  <c r="AC100" i="63"/>
  <c r="J95" i="63"/>
  <c r="I95" i="63"/>
  <c r="H95" i="63"/>
  <c r="G95" i="63"/>
  <c r="F95" i="63"/>
  <c r="E95" i="63"/>
  <c r="J94" i="63"/>
  <c r="I94" i="63"/>
  <c r="H94" i="63"/>
  <c r="G94" i="63"/>
  <c r="F94" i="63"/>
  <c r="E94" i="63"/>
  <c r="J93" i="63"/>
  <c r="I93" i="63"/>
  <c r="J92" i="63"/>
  <c r="I92" i="63"/>
  <c r="H92" i="63"/>
  <c r="G92" i="63"/>
  <c r="F92" i="63"/>
  <c r="E92" i="63"/>
  <c r="P88" i="63"/>
  <c r="O88" i="63"/>
  <c r="N88" i="63"/>
  <c r="M88" i="63"/>
  <c r="L88" i="63"/>
  <c r="K86" i="63"/>
  <c r="K100" i="63" s="1"/>
  <c r="I86" i="63"/>
  <c r="I100" i="63" s="1"/>
  <c r="J81" i="63"/>
  <c r="H81" i="63"/>
  <c r="G77" i="63"/>
  <c r="F77" i="63"/>
  <c r="D77" i="63"/>
  <c r="C77" i="63"/>
  <c r="E76" i="63"/>
  <c r="E75" i="63"/>
  <c r="E74" i="63"/>
  <c r="E77" i="63" s="1"/>
  <c r="R70" i="63"/>
  <c r="K66" i="63"/>
  <c r="K65" i="63"/>
  <c r="K95" i="63" s="1"/>
  <c r="K64" i="63"/>
  <c r="I64" i="63"/>
  <c r="I59" i="63" s="1"/>
  <c r="I83" i="63" s="1"/>
  <c r="K63" i="63"/>
  <c r="R63" i="63" s="1"/>
  <c r="S63" i="63" s="1"/>
  <c r="K62" i="63"/>
  <c r="R62" i="63" s="1"/>
  <c r="S62" i="63" s="1"/>
  <c r="K61" i="63"/>
  <c r="K93" i="63" s="1"/>
  <c r="H61" i="63"/>
  <c r="H59" i="63" s="1"/>
  <c r="H83" i="63" s="1"/>
  <c r="G61" i="63"/>
  <c r="G93" i="63" s="1"/>
  <c r="F61" i="63"/>
  <c r="F93" i="63" s="1"/>
  <c r="E61" i="63"/>
  <c r="E93" i="63" s="1"/>
  <c r="K60" i="63"/>
  <c r="K92" i="63" s="1"/>
  <c r="Q59" i="63"/>
  <c r="P59" i="63"/>
  <c r="O59" i="63"/>
  <c r="N59" i="63"/>
  <c r="M59" i="63"/>
  <c r="K59" i="63"/>
  <c r="K83" i="63" s="1"/>
  <c r="J59" i="63"/>
  <c r="J83" i="63" s="1"/>
  <c r="C59" i="63"/>
  <c r="K58" i="63"/>
  <c r="K57" i="63"/>
  <c r="K87" i="63" s="1"/>
  <c r="K99" i="63" s="1"/>
  <c r="K56" i="63"/>
  <c r="K118" i="63" s="1"/>
  <c r="K119" i="63" s="1"/>
  <c r="J56" i="63"/>
  <c r="J118" i="63" s="1"/>
  <c r="J119" i="63" s="1"/>
  <c r="I56" i="63"/>
  <c r="I118" i="63" s="1"/>
  <c r="I119" i="63" s="1"/>
  <c r="H56" i="63"/>
  <c r="H118" i="63" s="1"/>
  <c r="H119" i="63" s="1"/>
  <c r="G56" i="63"/>
  <c r="G118" i="63" s="1"/>
  <c r="G119" i="63" s="1"/>
  <c r="F56" i="63"/>
  <c r="E56" i="63"/>
  <c r="C56" i="63"/>
  <c r="K55" i="63"/>
  <c r="R55" i="63" s="1"/>
  <c r="D55" i="63"/>
  <c r="Q55" i="63" s="1"/>
  <c r="K54" i="63"/>
  <c r="R54" i="63" s="1"/>
  <c r="D54" i="63"/>
  <c r="Q54" i="63" s="1"/>
  <c r="K53" i="63"/>
  <c r="R53" i="63" s="1"/>
  <c r="D53" i="63"/>
  <c r="Q53" i="63" s="1"/>
  <c r="K52" i="63"/>
  <c r="R52" i="63" s="1"/>
  <c r="D52" i="63"/>
  <c r="Q52" i="63" s="1"/>
  <c r="K51" i="63"/>
  <c r="R51" i="63" s="1"/>
  <c r="D51" i="63"/>
  <c r="Q51" i="63" s="1"/>
  <c r="K50" i="63"/>
  <c r="R50" i="63" s="1"/>
  <c r="D50" i="63"/>
  <c r="Q50" i="63" s="1"/>
  <c r="K49" i="63"/>
  <c r="R49" i="63" s="1"/>
  <c r="D49" i="63"/>
  <c r="Q49" i="63" s="1"/>
  <c r="K48" i="63"/>
  <c r="R48" i="63" s="1"/>
  <c r="D48" i="63"/>
  <c r="Q48" i="63" s="1"/>
  <c r="R47" i="63"/>
  <c r="K47" i="63"/>
  <c r="D47" i="63"/>
  <c r="Q47" i="63" s="1"/>
  <c r="K46" i="63"/>
  <c r="R46" i="63" s="1"/>
  <c r="D46" i="63"/>
  <c r="S45" i="63"/>
  <c r="K45" i="63"/>
  <c r="P44" i="63"/>
  <c r="O44" i="63"/>
  <c r="N44" i="63"/>
  <c r="M44" i="63"/>
  <c r="L44" i="63"/>
  <c r="K44" i="63"/>
  <c r="K114" i="63" s="1"/>
  <c r="K115" i="63" s="1"/>
  <c r="J44" i="63"/>
  <c r="J114" i="63" s="1"/>
  <c r="J115" i="63" s="1"/>
  <c r="I44" i="63"/>
  <c r="I114" i="63" s="1"/>
  <c r="I115" i="63" s="1"/>
  <c r="H44" i="63"/>
  <c r="H114" i="63" s="1"/>
  <c r="H115" i="63" s="1"/>
  <c r="G44" i="63"/>
  <c r="G114" i="63" s="1"/>
  <c r="G115" i="63" s="1"/>
  <c r="F44" i="63"/>
  <c r="F114" i="63" s="1"/>
  <c r="F115" i="63" s="1"/>
  <c r="E44" i="63"/>
  <c r="E114" i="63" s="1"/>
  <c r="Q43" i="63"/>
  <c r="K43" i="63"/>
  <c r="R43" i="63" s="1"/>
  <c r="K42" i="63"/>
  <c r="R42" i="63" s="1"/>
  <c r="C42" i="63"/>
  <c r="D42" i="63" s="1"/>
  <c r="Q42" i="63" s="1"/>
  <c r="K41" i="63"/>
  <c r="R41" i="63" s="1"/>
  <c r="D41" i="63"/>
  <c r="Q41" i="63" s="1"/>
  <c r="K40" i="63"/>
  <c r="R40" i="63" s="1"/>
  <c r="C40" i="63"/>
  <c r="D40" i="63" s="1"/>
  <c r="Q40" i="63" s="1"/>
  <c r="K39" i="63"/>
  <c r="R39" i="63" s="1"/>
  <c r="D39" i="63"/>
  <c r="Q39" i="63" s="1"/>
  <c r="K38" i="63"/>
  <c r="R38" i="63" s="1"/>
  <c r="D38" i="63"/>
  <c r="Q38" i="63" s="1"/>
  <c r="K37" i="63"/>
  <c r="R37" i="63" s="1"/>
  <c r="C37" i="63"/>
  <c r="D37" i="63" s="1"/>
  <c r="Q37" i="63" s="1"/>
  <c r="K36" i="63"/>
  <c r="R36" i="63" s="1"/>
  <c r="D36" i="63"/>
  <c r="Q36" i="63" s="1"/>
  <c r="K35" i="63"/>
  <c r="D35" i="63"/>
  <c r="P34" i="63"/>
  <c r="P122" i="63" s="1"/>
  <c r="O34" i="63"/>
  <c r="O122" i="63" s="1"/>
  <c r="N34" i="63"/>
  <c r="N122" i="63" s="1"/>
  <c r="M34" i="63"/>
  <c r="M122" i="63" s="1"/>
  <c r="L34" i="63"/>
  <c r="L122" i="63" s="1"/>
  <c r="K34" i="63"/>
  <c r="K122" i="63" s="1"/>
  <c r="K123" i="63" s="1"/>
  <c r="J34" i="63"/>
  <c r="J122" i="63" s="1"/>
  <c r="J123" i="63" s="1"/>
  <c r="I34" i="63"/>
  <c r="I122" i="63" s="1"/>
  <c r="I123" i="63" s="1"/>
  <c r="H34" i="63"/>
  <c r="H122" i="63" s="1"/>
  <c r="H123" i="63" s="1"/>
  <c r="F34" i="63"/>
  <c r="F122" i="63" s="1"/>
  <c r="F123" i="63" s="1"/>
  <c r="C34" i="63"/>
  <c r="D34" i="63" s="1"/>
  <c r="K33" i="63"/>
  <c r="G33" i="63"/>
  <c r="G34" i="63" s="1"/>
  <c r="G122" i="63" s="1"/>
  <c r="G123" i="63" s="1"/>
  <c r="D33" i="63"/>
  <c r="E33" i="63" s="1"/>
  <c r="R33" i="63" s="1"/>
  <c r="AC49" i="63" s="1"/>
  <c r="K32" i="63"/>
  <c r="D32" i="63"/>
  <c r="Q32" i="63" s="1"/>
  <c r="K31" i="63"/>
  <c r="D31" i="63"/>
  <c r="P30" i="63"/>
  <c r="O30" i="63"/>
  <c r="N30" i="63"/>
  <c r="M30" i="63"/>
  <c r="L30" i="63"/>
  <c r="K30" i="63"/>
  <c r="K106" i="63" s="1"/>
  <c r="K107" i="63" s="1"/>
  <c r="H30" i="63"/>
  <c r="H106" i="63" s="1"/>
  <c r="H107" i="63" s="1"/>
  <c r="G30" i="63"/>
  <c r="G106" i="63" s="1"/>
  <c r="G107" i="63" s="1"/>
  <c r="F30" i="63"/>
  <c r="F106" i="63" s="1"/>
  <c r="F107" i="63" s="1"/>
  <c r="K29" i="63"/>
  <c r="J29" i="63"/>
  <c r="J30" i="63" s="1"/>
  <c r="I29" i="63"/>
  <c r="I30" i="63" s="1"/>
  <c r="I106" i="63" s="1"/>
  <c r="I107" i="63" s="1"/>
  <c r="E29" i="63"/>
  <c r="E30" i="63" s="1"/>
  <c r="E106" i="63" s="1"/>
  <c r="D29" i="63"/>
  <c r="Q29" i="63" s="1"/>
  <c r="K28" i="63"/>
  <c r="R28" i="63" s="1"/>
  <c r="D28" i="63"/>
  <c r="Q28" i="63" s="1"/>
  <c r="K27" i="63"/>
  <c r="R27" i="63" s="1"/>
  <c r="D27" i="63"/>
  <c r="Q27" i="63" s="1"/>
  <c r="S27" i="63" s="1"/>
  <c r="Q26" i="63"/>
  <c r="K26" i="63"/>
  <c r="R26" i="63" s="1"/>
  <c r="T26" i="63" s="1"/>
  <c r="D26" i="63"/>
  <c r="K25" i="63"/>
  <c r="R25" i="63" s="1"/>
  <c r="D25" i="63"/>
  <c r="Q25" i="63" s="1"/>
  <c r="K24" i="63"/>
  <c r="R24" i="63" s="1"/>
  <c r="D24" i="63"/>
  <c r="Q24" i="63" s="1"/>
  <c r="R23" i="63"/>
  <c r="K23" i="63"/>
  <c r="D23" i="63"/>
  <c r="Q23" i="63" s="1"/>
  <c r="K22" i="63"/>
  <c r="R22" i="63" s="1"/>
  <c r="C22" i="63"/>
  <c r="D22" i="63" s="1"/>
  <c r="Q22" i="63" s="1"/>
  <c r="K21" i="63"/>
  <c r="R21" i="63" s="1"/>
  <c r="D21" i="63"/>
  <c r="Q21" i="63" s="1"/>
  <c r="K20" i="63"/>
  <c r="D20" i="63"/>
  <c r="P19" i="63"/>
  <c r="O19" i="63"/>
  <c r="N19" i="63"/>
  <c r="M19" i="63"/>
  <c r="L19" i="63"/>
  <c r="K19" i="63"/>
  <c r="K110" i="63" s="1"/>
  <c r="K111" i="63" s="1"/>
  <c r="J19" i="63"/>
  <c r="J110" i="63" s="1"/>
  <c r="J111" i="63" s="1"/>
  <c r="H19" i="63"/>
  <c r="H110" i="63" s="1"/>
  <c r="H111" i="63" s="1"/>
  <c r="F19" i="63"/>
  <c r="F110" i="63" s="1"/>
  <c r="F111" i="63" s="1"/>
  <c r="E19" i="63"/>
  <c r="E110" i="63" s="1"/>
  <c r="E111" i="63" s="1"/>
  <c r="C19" i="63"/>
  <c r="K18" i="63"/>
  <c r="R18" i="63" s="1"/>
  <c r="D18" i="63"/>
  <c r="Q18" i="63" s="1"/>
  <c r="AB125" i="63" s="1"/>
  <c r="K17" i="63"/>
  <c r="R17" i="63" s="1"/>
  <c r="D17" i="63"/>
  <c r="Q17" i="63" s="1"/>
  <c r="T17" i="63" s="1"/>
  <c r="K16" i="63"/>
  <c r="R16" i="63" s="1"/>
  <c r="D16" i="63"/>
  <c r="Q16" i="63" s="1"/>
  <c r="K15" i="63"/>
  <c r="R15" i="63" s="1"/>
  <c r="D15" i="63"/>
  <c r="Q15" i="63" s="1"/>
  <c r="K14" i="63"/>
  <c r="R14" i="63" s="1"/>
  <c r="D14" i="63"/>
  <c r="Q14" i="63" s="1"/>
  <c r="AB117" i="63" s="1"/>
  <c r="R13" i="63"/>
  <c r="K13" i="63"/>
  <c r="I13" i="63"/>
  <c r="I19" i="63" s="1"/>
  <c r="I110" i="63" s="1"/>
  <c r="I111" i="63" s="1"/>
  <c r="G13" i="63"/>
  <c r="G19" i="63" s="1"/>
  <c r="G110" i="63" s="1"/>
  <c r="G111" i="63" s="1"/>
  <c r="D13" i="63"/>
  <c r="Q13" i="63" s="1"/>
  <c r="K12" i="63"/>
  <c r="R12" i="63" s="1"/>
  <c r="D12" i="63"/>
  <c r="Q12" i="63" s="1"/>
  <c r="K11" i="63"/>
  <c r="R11" i="63" s="1"/>
  <c r="D11" i="63"/>
  <c r="Q11" i="63" s="1"/>
  <c r="P8" i="63"/>
  <c r="O8" i="63"/>
  <c r="N8" i="63"/>
  <c r="M8" i="63"/>
  <c r="K8" i="63"/>
  <c r="K81" i="63" s="1"/>
  <c r="G8" i="63"/>
  <c r="H86" i="63" s="1"/>
  <c r="H100" i="63" s="1"/>
  <c r="F8" i="63"/>
  <c r="G86" i="63" s="1"/>
  <c r="G100" i="63" s="1"/>
  <c r="E8" i="63"/>
  <c r="E81" i="63" s="1"/>
  <c r="C8" i="63"/>
  <c r="K7" i="63"/>
  <c r="R7" i="63" s="1"/>
  <c r="D7" i="63"/>
  <c r="Q7" i="63" s="1"/>
  <c r="K6" i="63"/>
  <c r="J6" i="63"/>
  <c r="I6" i="63"/>
  <c r="I8" i="63" s="1"/>
  <c r="H6" i="63"/>
  <c r="E6" i="63"/>
  <c r="R6" i="63" s="1"/>
  <c r="D6" i="63"/>
  <c r="D8" i="63" s="1"/>
  <c r="E53" i="61"/>
  <c r="I52" i="61"/>
  <c r="I51" i="61"/>
  <c r="G51" i="61"/>
  <c r="E51" i="61"/>
  <c r="D47" i="61"/>
  <c r="C47" i="61"/>
  <c r="E46" i="61"/>
  <c r="I45" i="61"/>
  <c r="G45" i="61"/>
  <c r="E45" i="61"/>
  <c r="D45" i="61"/>
  <c r="C45" i="61"/>
  <c r="B45" i="61"/>
  <c r="E43" i="61"/>
  <c r="D43" i="61"/>
  <c r="C43" i="61"/>
  <c r="I41" i="61"/>
  <c r="G41" i="61"/>
  <c r="E41" i="61"/>
  <c r="D41" i="61"/>
  <c r="C41" i="61"/>
  <c r="B41" i="61"/>
  <c r="I37" i="61"/>
  <c r="G37" i="61"/>
  <c r="G52" i="61" s="1"/>
  <c r="E37" i="61"/>
  <c r="E52" i="61" s="1"/>
  <c r="D37" i="61"/>
  <c r="I36" i="61"/>
  <c r="G36" i="61"/>
  <c r="I35" i="61"/>
  <c r="G35" i="61"/>
  <c r="D35" i="61"/>
  <c r="E31" i="61"/>
  <c r="D31" i="61"/>
  <c r="E29" i="61"/>
  <c r="I27" i="61"/>
  <c r="G27" i="61"/>
  <c r="E27" i="61"/>
  <c r="D27" i="61"/>
  <c r="C27" i="61"/>
  <c r="B27" i="61"/>
  <c r="I23" i="61"/>
  <c r="G23" i="61"/>
  <c r="E23" i="61"/>
  <c r="D23" i="61"/>
  <c r="C23" i="61"/>
  <c r="B23" i="61"/>
  <c r="L17" i="61"/>
  <c r="I17" i="61"/>
  <c r="G17" i="61"/>
  <c r="E17" i="61"/>
  <c r="D17" i="61"/>
  <c r="I15" i="61"/>
  <c r="G15" i="61"/>
  <c r="E15" i="61"/>
  <c r="D15" i="61"/>
  <c r="C15" i="61"/>
  <c r="G13" i="61"/>
  <c r="E13" i="61"/>
  <c r="D13" i="61"/>
  <c r="C13" i="61"/>
  <c r="B13" i="61"/>
  <c r="C11" i="61"/>
  <c r="C17" i="61" s="1"/>
  <c r="I9" i="61"/>
  <c r="G9" i="61"/>
  <c r="E9" i="61"/>
  <c r="D9" i="61"/>
  <c r="C9" i="61"/>
  <c r="B9" i="61"/>
  <c r="I7" i="61"/>
  <c r="G7" i="61"/>
  <c r="E7" i="61"/>
  <c r="D7" i="61"/>
  <c r="C7" i="61"/>
  <c r="B7" i="61"/>
  <c r="I5" i="61"/>
  <c r="G5" i="61"/>
  <c r="E5" i="61"/>
  <c r="D5" i="61"/>
  <c r="C5" i="61"/>
  <c r="B5" i="61"/>
  <c r="C99" i="54"/>
  <c r="C92" i="54"/>
  <c r="C90" i="54"/>
  <c r="C86" i="54"/>
  <c r="C79" i="54"/>
  <c r="C77" i="54"/>
  <c r="J75" i="54"/>
  <c r="S68" i="54"/>
  <c r="J68" i="54"/>
  <c r="I68" i="54"/>
  <c r="I67" i="54"/>
  <c r="H67" i="54"/>
  <c r="G67" i="54"/>
  <c r="F67" i="54"/>
  <c r="T66" i="54"/>
  <c r="S66" i="54"/>
  <c r="Q66" i="54"/>
  <c r="P66" i="54"/>
  <c r="O66" i="54"/>
  <c r="N66" i="54"/>
  <c r="M66" i="54"/>
  <c r="K66" i="54"/>
  <c r="J66" i="54"/>
  <c r="I66" i="54"/>
  <c r="H66" i="54"/>
  <c r="G66" i="54"/>
  <c r="F66" i="54"/>
  <c r="E66" i="54"/>
  <c r="D66" i="54"/>
  <c r="C66" i="54"/>
  <c r="S64" i="54"/>
  <c r="Q64" i="54"/>
  <c r="I64" i="54"/>
  <c r="S63" i="54"/>
  <c r="Q63" i="54"/>
  <c r="S62" i="54"/>
  <c r="Q62" i="54"/>
  <c r="S61" i="54"/>
  <c r="Q61" i="54"/>
  <c r="H61" i="54"/>
  <c r="G61" i="54"/>
  <c r="F61" i="54"/>
  <c r="E61" i="54"/>
  <c r="S60" i="54"/>
  <c r="Q60" i="54"/>
  <c r="T59" i="54"/>
  <c r="S59" i="54"/>
  <c r="R59" i="54"/>
  <c r="Q59" i="54"/>
  <c r="P59" i="54"/>
  <c r="O59" i="54"/>
  <c r="N59" i="54"/>
  <c r="M59" i="54"/>
  <c r="L59" i="54"/>
  <c r="K59" i="54"/>
  <c r="J59" i="54"/>
  <c r="I59" i="54"/>
  <c r="H59" i="54"/>
  <c r="G59" i="54"/>
  <c r="F59" i="54"/>
  <c r="E59" i="54"/>
  <c r="C59" i="54"/>
  <c r="T57" i="54"/>
  <c r="S57" i="54"/>
  <c r="R57" i="54"/>
  <c r="Q57" i="54"/>
  <c r="P57" i="54"/>
  <c r="O57" i="54"/>
  <c r="N57" i="54"/>
  <c r="M57" i="54"/>
  <c r="L57" i="54"/>
  <c r="K57" i="54"/>
  <c r="J57" i="54"/>
  <c r="I57" i="54"/>
  <c r="H57" i="54"/>
  <c r="G57" i="54"/>
  <c r="F57" i="54"/>
  <c r="E57" i="54"/>
  <c r="D57" i="54"/>
  <c r="C57" i="54"/>
  <c r="T56" i="54"/>
  <c r="S56" i="54"/>
  <c r="R56" i="54"/>
  <c r="Q56" i="54"/>
  <c r="J56" i="54"/>
  <c r="I56" i="54"/>
  <c r="H56" i="54"/>
  <c r="G56" i="54"/>
  <c r="F56" i="54"/>
  <c r="E56" i="54"/>
  <c r="D56" i="54"/>
  <c r="C56" i="54"/>
  <c r="T55" i="54"/>
  <c r="S55" i="54"/>
  <c r="R55" i="54"/>
  <c r="Q55" i="54"/>
  <c r="D55" i="54"/>
  <c r="T54" i="54"/>
  <c r="S54" i="54"/>
  <c r="R54" i="54"/>
  <c r="Q54" i="54"/>
  <c r="D54" i="54"/>
  <c r="T53" i="54"/>
  <c r="S53" i="54"/>
  <c r="R53" i="54"/>
  <c r="Q53" i="54"/>
  <c r="D53" i="54"/>
  <c r="T52" i="54"/>
  <c r="S52" i="54"/>
  <c r="R52" i="54"/>
  <c r="Q52" i="54"/>
  <c r="D52" i="54"/>
  <c r="T51" i="54"/>
  <c r="S51" i="54"/>
  <c r="R51" i="54"/>
  <c r="Q51" i="54"/>
  <c r="D51" i="54"/>
  <c r="T50" i="54"/>
  <c r="S50" i="54"/>
  <c r="R50" i="54"/>
  <c r="Q50" i="54"/>
  <c r="D50" i="54"/>
  <c r="T49" i="54"/>
  <c r="S49" i="54"/>
  <c r="R49" i="54"/>
  <c r="Q49" i="54"/>
  <c r="D49" i="54"/>
  <c r="T48" i="54"/>
  <c r="S48" i="54"/>
  <c r="R48" i="54"/>
  <c r="Q48" i="54"/>
  <c r="D48" i="54"/>
  <c r="T47" i="54"/>
  <c r="S47" i="54"/>
  <c r="R47" i="54"/>
  <c r="Q47" i="54"/>
  <c r="D47" i="54"/>
  <c r="T46" i="54"/>
  <c r="S46" i="54"/>
  <c r="R46" i="54"/>
  <c r="Q46" i="54"/>
  <c r="D46" i="54"/>
  <c r="S45" i="54"/>
  <c r="T44" i="54"/>
  <c r="S44" i="54"/>
  <c r="R44" i="54"/>
  <c r="Q44" i="54"/>
  <c r="P44" i="54"/>
  <c r="O44" i="54"/>
  <c r="N44" i="54"/>
  <c r="M44" i="54"/>
  <c r="L44" i="54"/>
  <c r="K44" i="54"/>
  <c r="J44" i="54"/>
  <c r="I44" i="54"/>
  <c r="H44" i="54"/>
  <c r="G44" i="54"/>
  <c r="F44" i="54"/>
  <c r="E44" i="54"/>
  <c r="D44" i="54"/>
  <c r="C44" i="54"/>
  <c r="T43" i="54"/>
  <c r="R43" i="54"/>
  <c r="Q43" i="54"/>
  <c r="T42" i="54"/>
  <c r="S42" i="54"/>
  <c r="R42" i="54"/>
  <c r="Q42" i="54"/>
  <c r="D42" i="54"/>
  <c r="C42" i="54"/>
  <c r="T41" i="54"/>
  <c r="S41" i="54"/>
  <c r="R41" i="54"/>
  <c r="Q41" i="54"/>
  <c r="D41" i="54"/>
  <c r="T40" i="54"/>
  <c r="R40" i="54"/>
  <c r="Q40" i="54"/>
  <c r="D40" i="54"/>
  <c r="C40" i="54"/>
  <c r="T39" i="54"/>
  <c r="S39" i="54"/>
  <c r="R39" i="54"/>
  <c r="Q39" i="54"/>
  <c r="D39" i="54"/>
  <c r="T38" i="54"/>
  <c r="S38" i="54"/>
  <c r="R38" i="54"/>
  <c r="Q38" i="54"/>
  <c r="D38" i="54"/>
  <c r="T37" i="54"/>
  <c r="S37" i="54"/>
  <c r="R37" i="54"/>
  <c r="Q37" i="54"/>
  <c r="D37" i="54"/>
  <c r="C37" i="54"/>
  <c r="T36" i="54"/>
  <c r="S36" i="54"/>
  <c r="R36" i="54"/>
  <c r="Q36" i="54"/>
  <c r="D36" i="54"/>
  <c r="D35" i="54"/>
  <c r="T34" i="54"/>
  <c r="S34" i="54"/>
  <c r="R34" i="54"/>
  <c r="Q34" i="54"/>
  <c r="P34" i="54"/>
  <c r="O34" i="54"/>
  <c r="N34" i="54"/>
  <c r="M34" i="54"/>
  <c r="L34" i="54"/>
  <c r="K34" i="54"/>
  <c r="J34" i="54"/>
  <c r="I34" i="54"/>
  <c r="H34" i="54"/>
  <c r="G34" i="54"/>
  <c r="F34" i="54"/>
  <c r="E34" i="54"/>
  <c r="D34" i="54"/>
  <c r="C34" i="54"/>
  <c r="T33" i="54"/>
  <c r="S33" i="54"/>
  <c r="R33" i="54"/>
  <c r="Q33" i="54"/>
  <c r="G33" i="54"/>
  <c r="E33" i="54"/>
  <c r="D33" i="54"/>
  <c r="T32" i="54"/>
  <c r="S32" i="54"/>
  <c r="R32" i="54"/>
  <c r="Q32" i="54"/>
  <c r="E32" i="54"/>
  <c r="D32" i="54"/>
  <c r="D31" i="54"/>
  <c r="T30" i="54"/>
  <c r="S30" i="54"/>
  <c r="R30" i="54"/>
  <c r="Q30" i="54"/>
  <c r="P30" i="54"/>
  <c r="O30" i="54"/>
  <c r="N30" i="54"/>
  <c r="M30" i="54"/>
  <c r="L30" i="54"/>
  <c r="K30" i="54"/>
  <c r="J30" i="54"/>
  <c r="I30" i="54"/>
  <c r="H30" i="54"/>
  <c r="G30" i="54"/>
  <c r="F30" i="54"/>
  <c r="E30" i="54"/>
  <c r="D30" i="54"/>
  <c r="C30" i="54"/>
  <c r="T29" i="54"/>
  <c r="S29" i="54"/>
  <c r="R29" i="54"/>
  <c r="Q29" i="54"/>
  <c r="J29" i="54"/>
  <c r="I29" i="54"/>
  <c r="E29" i="54"/>
  <c r="D29" i="54"/>
  <c r="T28" i="54"/>
  <c r="S28" i="54"/>
  <c r="R28" i="54"/>
  <c r="Q28" i="54"/>
  <c r="D28" i="54"/>
  <c r="T27" i="54"/>
  <c r="S27" i="54"/>
  <c r="R27" i="54"/>
  <c r="Q27" i="54"/>
  <c r="D27" i="54"/>
  <c r="T26" i="54"/>
  <c r="S26" i="54"/>
  <c r="R26" i="54"/>
  <c r="Q26" i="54"/>
  <c r="D26" i="54"/>
  <c r="T25" i="54"/>
  <c r="R25" i="54"/>
  <c r="Q25" i="54"/>
  <c r="D25" i="54"/>
  <c r="T24" i="54"/>
  <c r="S24" i="54"/>
  <c r="R24" i="54"/>
  <c r="Q24" i="54"/>
  <c r="D24" i="54"/>
  <c r="T23" i="54"/>
  <c r="S23" i="54"/>
  <c r="R23" i="54"/>
  <c r="Q23" i="54"/>
  <c r="D23" i="54"/>
  <c r="T22" i="54"/>
  <c r="R22" i="54"/>
  <c r="Q22" i="54"/>
  <c r="D22" i="54"/>
  <c r="C22" i="54"/>
  <c r="T21" i="54"/>
  <c r="S21" i="54"/>
  <c r="R21" i="54"/>
  <c r="Q21" i="54"/>
  <c r="D21" i="54"/>
  <c r="D20" i="54"/>
  <c r="T19" i="54"/>
  <c r="S19" i="54"/>
  <c r="R19" i="54"/>
  <c r="Q19" i="54"/>
  <c r="P19" i="54"/>
  <c r="O19" i="54"/>
  <c r="N19" i="54"/>
  <c r="M19" i="54"/>
  <c r="L19" i="54"/>
  <c r="K19" i="54"/>
  <c r="J19" i="54"/>
  <c r="I19" i="54"/>
  <c r="H19" i="54"/>
  <c r="G19" i="54"/>
  <c r="F19" i="54"/>
  <c r="E19" i="54"/>
  <c r="D19" i="54"/>
  <c r="C19" i="54"/>
  <c r="T18" i="54"/>
  <c r="S18" i="54"/>
  <c r="R18" i="54"/>
  <c r="Q18" i="54"/>
  <c r="D18" i="54"/>
  <c r="T17" i="54"/>
  <c r="S17" i="54"/>
  <c r="R17" i="54"/>
  <c r="Q17" i="54"/>
  <c r="D17" i="54"/>
  <c r="T16" i="54"/>
  <c r="S16" i="54"/>
  <c r="R16" i="54"/>
  <c r="Q16" i="54"/>
  <c r="D16" i="54"/>
  <c r="T15" i="54"/>
  <c r="S15" i="54"/>
  <c r="R15" i="54"/>
  <c r="Q15" i="54"/>
  <c r="D15" i="54"/>
  <c r="T14" i="54"/>
  <c r="S14" i="54"/>
  <c r="R14" i="54"/>
  <c r="Q14" i="54"/>
  <c r="D14" i="54"/>
  <c r="T13" i="54"/>
  <c r="S13" i="54"/>
  <c r="R13" i="54"/>
  <c r="Q13" i="54"/>
  <c r="I13" i="54"/>
  <c r="G13" i="54"/>
  <c r="D13" i="54"/>
  <c r="T12" i="54"/>
  <c r="S12" i="54"/>
  <c r="R12" i="54"/>
  <c r="Q12" i="54"/>
  <c r="D12" i="54"/>
  <c r="T11" i="54"/>
  <c r="S11" i="54"/>
  <c r="R11" i="54"/>
  <c r="Q11" i="54"/>
  <c r="D11" i="54"/>
  <c r="T8" i="54"/>
  <c r="S8" i="54"/>
  <c r="R8" i="54"/>
  <c r="Q8" i="54"/>
  <c r="P8" i="54"/>
  <c r="O8" i="54"/>
  <c r="N8" i="54"/>
  <c r="M8" i="54"/>
  <c r="K8" i="54"/>
  <c r="I8" i="54"/>
  <c r="G8" i="54"/>
  <c r="F8" i="54"/>
  <c r="E8" i="54"/>
  <c r="D8" i="54"/>
  <c r="C8" i="54"/>
  <c r="T7" i="54"/>
  <c r="S7" i="54"/>
  <c r="R7" i="54"/>
  <c r="Q7" i="54"/>
  <c r="D7" i="54"/>
  <c r="T6" i="54"/>
  <c r="S6" i="54"/>
  <c r="R6" i="54"/>
  <c r="Q6" i="54"/>
  <c r="J6" i="54"/>
  <c r="I6" i="54"/>
  <c r="H6" i="54"/>
  <c r="E6" i="54"/>
  <c r="D6" i="54"/>
  <c r="E53" i="55"/>
  <c r="I52" i="55"/>
  <c r="I51" i="55"/>
  <c r="G51" i="55"/>
  <c r="E51" i="55"/>
  <c r="D47" i="55"/>
  <c r="C47" i="55"/>
  <c r="E46" i="55"/>
  <c r="I45" i="55"/>
  <c r="G45" i="55"/>
  <c r="E45" i="55"/>
  <c r="D45" i="55"/>
  <c r="C45" i="55"/>
  <c r="B45" i="55"/>
  <c r="G43" i="55"/>
  <c r="G46" i="55" s="1"/>
  <c r="G53" i="55" s="1"/>
  <c r="E43" i="55"/>
  <c r="D43" i="55"/>
  <c r="C43" i="55"/>
  <c r="I41" i="55"/>
  <c r="G41" i="55"/>
  <c r="E41" i="55"/>
  <c r="D41" i="55"/>
  <c r="C41" i="55"/>
  <c r="B41" i="55"/>
  <c r="I37" i="55"/>
  <c r="G37" i="55"/>
  <c r="G52" i="55" s="1"/>
  <c r="E37" i="55"/>
  <c r="E52" i="55" s="1"/>
  <c r="D37" i="55"/>
  <c r="I36" i="55"/>
  <c r="G36" i="55"/>
  <c r="I35" i="55"/>
  <c r="G35" i="55"/>
  <c r="D35" i="55"/>
  <c r="E31" i="55"/>
  <c r="D31" i="55"/>
  <c r="E29" i="55"/>
  <c r="I27" i="55"/>
  <c r="G27" i="55"/>
  <c r="E27" i="55"/>
  <c r="D27" i="55"/>
  <c r="C27" i="55"/>
  <c r="B27" i="55"/>
  <c r="I23" i="55"/>
  <c r="G23" i="55"/>
  <c r="E23" i="55"/>
  <c r="D23" i="55"/>
  <c r="C23" i="55"/>
  <c r="B23" i="55"/>
  <c r="L17" i="55"/>
  <c r="I17" i="55"/>
  <c r="G17" i="55"/>
  <c r="E17" i="55"/>
  <c r="D17" i="55"/>
  <c r="I15" i="55"/>
  <c r="G15" i="55"/>
  <c r="E15" i="55"/>
  <c r="D15" i="55"/>
  <c r="C15" i="55"/>
  <c r="G13" i="55"/>
  <c r="E13" i="55"/>
  <c r="D13" i="55"/>
  <c r="C13" i="55"/>
  <c r="B13" i="55"/>
  <c r="C11" i="55"/>
  <c r="C17" i="55" s="1"/>
  <c r="I9" i="55"/>
  <c r="G9" i="55"/>
  <c r="E9" i="55"/>
  <c r="D9" i="55"/>
  <c r="C9" i="55"/>
  <c r="B9" i="55"/>
  <c r="I7" i="55"/>
  <c r="G7" i="55"/>
  <c r="E7" i="55"/>
  <c r="D7" i="55"/>
  <c r="C7" i="55"/>
  <c r="B7" i="55"/>
  <c r="I5" i="55"/>
  <c r="G5" i="55"/>
  <c r="E5" i="55"/>
  <c r="D5" i="55"/>
  <c r="C5" i="55"/>
  <c r="B5" i="55"/>
  <c r="C97" i="51"/>
  <c r="C96" i="51"/>
  <c r="C94" i="51"/>
  <c r="C87" i="51"/>
  <c r="C85" i="51"/>
  <c r="C81" i="51"/>
  <c r="K76" i="51"/>
  <c r="K75" i="51"/>
  <c r="K74" i="51"/>
  <c r="C74" i="51"/>
  <c r="C72" i="51"/>
  <c r="K67" i="51"/>
  <c r="K66" i="51"/>
  <c r="K64" i="51"/>
  <c r="E58" i="51"/>
  <c r="C58" i="51"/>
  <c r="I43" i="57" s="1"/>
  <c r="M57" i="51"/>
  <c r="K57" i="51"/>
  <c r="G57" i="51"/>
  <c r="H56" i="51"/>
  <c r="G56" i="51"/>
  <c r="N55" i="51"/>
  <c r="M55" i="51"/>
  <c r="K55" i="51"/>
  <c r="H53" i="51"/>
  <c r="G53" i="51"/>
  <c r="E53" i="51"/>
  <c r="C53" i="51"/>
  <c r="K52" i="51"/>
  <c r="G52" i="51"/>
  <c r="E52" i="51"/>
  <c r="C52" i="51"/>
  <c r="G51" i="51"/>
  <c r="H48" i="51"/>
  <c r="G48" i="51"/>
  <c r="E48" i="51"/>
  <c r="C48" i="51"/>
  <c r="G47" i="51"/>
  <c r="N46" i="51"/>
  <c r="M46" i="51"/>
  <c r="G46" i="51"/>
  <c r="K45" i="51"/>
  <c r="G45" i="51"/>
  <c r="G44" i="51"/>
  <c r="K43" i="51"/>
  <c r="H40" i="51"/>
  <c r="G40" i="51"/>
  <c r="E40" i="51"/>
  <c r="C40" i="51"/>
  <c r="H38" i="51"/>
  <c r="G38" i="51"/>
  <c r="E38" i="51"/>
  <c r="C38" i="51"/>
  <c r="H37" i="51"/>
  <c r="G37" i="51"/>
  <c r="H32" i="51"/>
  <c r="G32" i="51"/>
  <c r="E32" i="51"/>
  <c r="C32" i="51"/>
  <c r="H30" i="51"/>
  <c r="G30" i="51"/>
  <c r="G28" i="51"/>
  <c r="G26" i="51"/>
  <c r="G25" i="51"/>
  <c r="H23" i="51"/>
  <c r="G23" i="51"/>
  <c r="E23" i="51"/>
  <c r="C23" i="51"/>
  <c r="G22" i="51"/>
  <c r="H21" i="51"/>
  <c r="G21" i="51"/>
  <c r="H16" i="51"/>
  <c r="G16" i="51"/>
  <c r="E16" i="51"/>
  <c r="C16" i="51"/>
  <c r="H15" i="51"/>
  <c r="G15" i="51"/>
  <c r="H11" i="51"/>
  <c r="G11" i="51"/>
  <c r="E11" i="51"/>
  <c r="C11" i="51"/>
  <c r="H10" i="51"/>
  <c r="G10" i="51"/>
  <c r="H9" i="51"/>
  <c r="G9" i="51"/>
  <c r="C97" i="59"/>
  <c r="C96" i="59"/>
  <c r="C94" i="59"/>
  <c r="C87" i="59"/>
  <c r="C85" i="59"/>
  <c r="C81" i="59"/>
  <c r="K76" i="59"/>
  <c r="K75" i="59"/>
  <c r="K74" i="59"/>
  <c r="C74" i="59"/>
  <c r="C72" i="59"/>
  <c r="C69" i="59"/>
  <c r="K67" i="59"/>
  <c r="K66" i="59"/>
  <c r="K64" i="59"/>
  <c r="E64" i="59"/>
  <c r="E62" i="59"/>
  <c r="E60" i="59"/>
  <c r="C59" i="59"/>
  <c r="C58" i="59"/>
  <c r="C60" i="59" s="1"/>
  <c r="M57" i="59"/>
  <c r="K57" i="59"/>
  <c r="G57" i="59"/>
  <c r="H56" i="59"/>
  <c r="G56" i="59"/>
  <c r="N55" i="59"/>
  <c r="M55" i="59"/>
  <c r="K55" i="59"/>
  <c r="H53" i="59"/>
  <c r="G53" i="59"/>
  <c r="E53" i="59"/>
  <c r="C53" i="59"/>
  <c r="K52" i="59"/>
  <c r="G52" i="59"/>
  <c r="E52" i="59"/>
  <c r="C52" i="59"/>
  <c r="G51" i="59"/>
  <c r="H48" i="59"/>
  <c r="G48" i="59"/>
  <c r="E48" i="59"/>
  <c r="C48" i="59"/>
  <c r="G47" i="59"/>
  <c r="N46" i="59"/>
  <c r="M46" i="59"/>
  <c r="G46" i="59"/>
  <c r="K45" i="59"/>
  <c r="G45" i="59"/>
  <c r="G44" i="59"/>
  <c r="K43" i="59"/>
  <c r="H40" i="59"/>
  <c r="G40" i="59"/>
  <c r="E40" i="59"/>
  <c r="C40" i="59"/>
  <c r="H38" i="59"/>
  <c r="G38" i="59"/>
  <c r="E38" i="59"/>
  <c r="H37" i="59"/>
  <c r="G37" i="59"/>
  <c r="C37" i="59"/>
  <c r="H32" i="59"/>
  <c r="G32" i="59"/>
  <c r="E32" i="59"/>
  <c r="C32" i="59"/>
  <c r="H30" i="59"/>
  <c r="G30" i="59"/>
  <c r="G28" i="59"/>
  <c r="G26" i="59"/>
  <c r="G25" i="59"/>
  <c r="H23" i="59"/>
  <c r="G23" i="59"/>
  <c r="E23" i="59"/>
  <c r="C23" i="59"/>
  <c r="G22" i="59"/>
  <c r="H21" i="59"/>
  <c r="G21" i="59"/>
  <c r="H16" i="59"/>
  <c r="G16" i="59"/>
  <c r="E16" i="59"/>
  <c r="C16" i="59"/>
  <c r="H15" i="59"/>
  <c r="G15" i="59"/>
  <c r="H11" i="59"/>
  <c r="G11" i="59"/>
  <c r="E11" i="59"/>
  <c r="C11" i="59"/>
  <c r="H10" i="59"/>
  <c r="G10" i="59"/>
  <c r="C10" i="59"/>
  <c r="H9" i="59"/>
  <c r="G9" i="59"/>
  <c r="K45" i="57"/>
  <c r="I45" i="57"/>
  <c r="G45" i="57"/>
  <c r="E45" i="57"/>
  <c r="D45" i="57"/>
  <c r="C45" i="57"/>
  <c r="B45" i="57"/>
  <c r="E43" i="57"/>
  <c r="E46" i="57" s="1"/>
  <c r="E53" i="57" s="1"/>
  <c r="D43" i="57"/>
  <c r="C43" i="57"/>
  <c r="K41" i="57"/>
  <c r="I41" i="57"/>
  <c r="G41" i="57"/>
  <c r="E41" i="57"/>
  <c r="D41" i="57"/>
  <c r="D47" i="57" s="1"/>
  <c r="C41" i="57"/>
  <c r="C47" i="57" s="1"/>
  <c r="B41" i="57"/>
  <c r="K37" i="57"/>
  <c r="K52" i="57" s="1"/>
  <c r="K57" i="57" s="1"/>
  <c r="G37" i="57"/>
  <c r="G52" i="57" s="1"/>
  <c r="G57" i="57" s="1"/>
  <c r="E37" i="57"/>
  <c r="E52" i="57" s="1"/>
  <c r="D37" i="57"/>
  <c r="K36" i="57"/>
  <c r="I36" i="57"/>
  <c r="G36" i="57"/>
  <c r="K35" i="57"/>
  <c r="I35" i="57"/>
  <c r="G35" i="57"/>
  <c r="D35" i="57"/>
  <c r="K31" i="57"/>
  <c r="I31" i="57"/>
  <c r="E31" i="57"/>
  <c r="D31" i="57"/>
  <c r="E29" i="57"/>
  <c r="K27" i="57"/>
  <c r="I27" i="57"/>
  <c r="G27" i="57"/>
  <c r="E27" i="57"/>
  <c r="D27" i="57"/>
  <c r="C27" i="57"/>
  <c r="B27" i="57"/>
  <c r="K23" i="57"/>
  <c r="I23" i="57"/>
  <c r="I37" i="57" s="1"/>
  <c r="I52" i="57" s="1"/>
  <c r="I57" i="57" s="1"/>
  <c r="G23" i="57"/>
  <c r="E23" i="57"/>
  <c r="D23" i="57"/>
  <c r="C23" i="57"/>
  <c r="B23" i="57"/>
  <c r="M17" i="57"/>
  <c r="K17" i="57"/>
  <c r="K51" i="57" s="1"/>
  <c r="K56" i="57" s="1"/>
  <c r="I17" i="57"/>
  <c r="I51" i="57" s="1"/>
  <c r="I56" i="57" s="1"/>
  <c r="I58" i="57" s="1"/>
  <c r="K15" i="57"/>
  <c r="I15" i="57"/>
  <c r="G15" i="57"/>
  <c r="G17" i="57" s="1"/>
  <c r="G51" i="57" s="1"/>
  <c r="G56" i="57" s="1"/>
  <c r="E15" i="57"/>
  <c r="D15" i="57"/>
  <c r="C15" i="57"/>
  <c r="K13" i="57"/>
  <c r="G13" i="57"/>
  <c r="E13" i="57"/>
  <c r="D13" i="57"/>
  <c r="C13" i="57"/>
  <c r="B13" i="57"/>
  <c r="K11" i="57"/>
  <c r="C11" i="57"/>
  <c r="K9" i="57"/>
  <c r="I9" i="57"/>
  <c r="G9" i="57"/>
  <c r="E9" i="57"/>
  <c r="D9" i="57"/>
  <c r="C9" i="57"/>
  <c r="B9" i="57"/>
  <c r="K7" i="57"/>
  <c r="I7" i="57"/>
  <c r="G7" i="57"/>
  <c r="E7" i="57"/>
  <c r="D7" i="57"/>
  <c r="D17" i="57" s="1"/>
  <c r="C7" i="57"/>
  <c r="B7" i="57"/>
  <c r="K5" i="57"/>
  <c r="I5" i="57"/>
  <c r="G5" i="57"/>
  <c r="E5" i="57"/>
  <c r="E17" i="57" s="1"/>
  <c r="E51" i="57" s="1"/>
  <c r="D5" i="57"/>
  <c r="C5" i="57"/>
  <c r="B5" i="57"/>
  <c r="C80" i="26"/>
  <c r="C73" i="26"/>
  <c r="C71" i="26"/>
  <c r="C63" i="26"/>
  <c r="D61" i="26"/>
  <c r="C61" i="26"/>
  <c r="H59" i="26"/>
  <c r="G59" i="26"/>
  <c r="E59" i="26"/>
  <c r="D59" i="26"/>
  <c r="C59" i="26"/>
  <c r="E58" i="26"/>
  <c r="H57" i="26"/>
  <c r="G57" i="26"/>
  <c r="G56" i="26"/>
  <c r="H55" i="26"/>
  <c r="G55" i="26"/>
  <c r="C52" i="26"/>
  <c r="G51" i="26"/>
  <c r="E51" i="26"/>
  <c r="C51" i="26"/>
  <c r="G50" i="26"/>
  <c r="H47" i="26"/>
  <c r="G47" i="26"/>
  <c r="C47" i="26"/>
  <c r="E46" i="26"/>
  <c r="E35" i="44" s="1"/>
  <c r="G45" i="26"/>
  <c r="G44" i="26"/>
  <c r="H40" i="26"/>
  <c r="G40" i="26"/>
  <c r="E40" i="26"/>
  <c r="C40" i="26"/>
  <c r="H38" i="26"/>
  <c r="G38" i="26"/>
  <c r="H37" i="26"/>
  <c r="G37" i="26"/>
  <c r="C37" i="26"/>
  <c r="H32" i="26"/>
  <c r="G32" i="26"/>
  <c r="E32" i="26"/>
  <c r="C32" i="26"/>
  <c r="H30" i="26"/>
  <c r="G30" i="26"/>
  <c r="G28" i="26"/>
  <c r="G26" i="26"/>
  <c r="G25" i="26"/>
  <c r="H23" i="26"/>
  <c r="G23" i="26"/>
  <c r="E23" i="26"/>
  <c r="C23" i="26"/>
  <c r="G22" i="26"/>
  <c r="H21" i="26"/>
  <c r="G21" i="26"/>
  <c r="H16" i="26"/>
  <c r="G16" i="26"/>
  <c r="E16" i="26"/>
  <c r="C16" i="26"/>
  <c r="H15" i="26"/>
  <c r="G15" i="26"/>
  <c r="H11" i="26"/>
  <c r="G11" i="26"/>
  <c r="E11" i="26"/>
  <c r="C11" i="26"/>
  <c r="H10" i="26"/>
  <c r="G10" i="26"/>
  <c r="H9" i="26"/>
  <c r="G9" i="26"/>
  <c r="D63" i="46"/>
  <c r="E61" i="46"/>
  <c r="D61" i="46"/>
  <c r="H60" i="46"/>
  <c r="E60" i="46"/>
  <c r="C60" i="46"/>
  <c r="C59" i="46"/>
  <c r="C61" i="46" s="1"/>
  <c r="G61" i="46" s="1"/>
  <c r="H61" i="46" s="1"/>
  <c r="H58" i="46"/>
  <c r="G58" i="46"/>
  <c r="H57" i="46"/>
  <c r="G57" i="46"/>
  <c r="G53" i="46"/>
  <c r="E53" i="46"/>
  <c r="C53" i="46"/>
  <c r="G52" i="46"/>
  <c r="G49" i="46"/>
  <c r="E48" i="46"/>
  <c r="B35" i="61" s="1"/>
  <c r="B37" i="61" s="1"/>
  <c r="C48" i="46"/>
  <c r="C35" i="61" s="1"/>
  <c r="C37" i="61" s="1"/>
  <c r="H47" i="46"/>
  <c r="G47" i="46"/>
  <c r="H46" i="46"/>
  <c r="G46" i="46"/>
  <c r="H42" i="46"/>
  <c r="G42" i="46"/>
  <c r="E42" i="46"/>
  <c r="C42" i="46"/>
  <c r="H40" i="46"/>
  <c r="G40" i="46"/>
  <c r="H39" i="46"/>
  <c r="G39" i="46"/>
  <c r="E39" i="46"/>
  <c r="C39" i="46"/>
  <c r="C33" i="46"/>
  <c r="E31" i="46"/>
  <c r="B15" i="44" s="1"/>
  <c r="B17" i="44" s="1"/>
  <c r="G29" i="46"/>
  <c r="G27" i="46"/>
  <c r="G26" i="46"/>
  <c r="H24" i="46"/>
  <c r="G24" i="46"/>
  <c r="E24" i="46"/>
  <c r="C24" i="46"/>
  <c r="G23" i="46"/>
  <c r="H22" i="46"/>
  <c r="G22" i="46"/>
  <c r="H17" i="46"/>
  <c r="G17" i="46"/>
  <c r="E17" i="46"/>
  <c r="C17" i="46"/>
  <c r="H16" i="46"/>
  <c r="G16" i="46"/>
  <c r="H11" i="46"/>
  <c r="G11" i="46"/>
  <c r="E11" i="46"/>
  <c r="C11" i="46"/>
  <c r="H10" i="46"/>
  <c r="G10" i="46"/>
  <c r="H9" i="46"/>
  <c r="G9" i="46"/>
  <c r="G43" i="61" l="1"/>
  <c r="G46" i="61" s="1"/>
  <c r="G53" i="61" s="1"/>
  <c r="X36" i="45"/>
  <c r="Y34" i="45"/>
  <c r="Y36" i="45" s="1"/>
  <c r="BF34" i="45"/>
  <c r="BF40" i="45" s="1"/>
  <c r="W37" i="45"/>
  <c r="S54" i="63"/>
  <c r="T25" i="63"/>
  <c r="T43" i="63"/>
  <c r="K58" i="57"/>
  <c r="I46" i="57"/>
  <c r="I53" i="57" s="1"/>
  <c r="C17" i="57"/>
  <c r="G58" i="57"/>
  <c r="T39" i="63"/>
  <c r="AC107" i="63"/>
  <c r="C30" i="63"/>
  <c r="D30" i="63" s="1"/>
  <c r="Q6" i="63"/>
  <c r="T6" i="63" s="1"/>
  <c r="D56" i="63"/>
  <c r="T13" i="63"/>
  <c r="E59" i="63"/>
  <c r="E83" i="63" s="1"/>
  <c r="E82" i="63" s="1"/>
  <c r="F37" i="56"/>
  <c r="F12" i="28"/>
  <c r="F24" i="28"/>
  <c r="F7" i="56"/>
  <c r="F11" i="56"/>
  <c r="F36" i="56"/>
  <c r="F7" i="28"/>
  <c r="F11" i="28"/>
  <c r="F15" i="28"/>
  <c r="F19" i="28"/>
  <c r="F33" i="28"/>
  <c r="F37" i="28"/>
  <c r="G43" i="57"/>
  <c r="G46" i="57" s="1"/>
  <c r="G53" i="57" s="1"/>
  <c r="G28" i="56"/>
  <c r="G31" i="46"/>
  <c r="H31" i="46" s="1"/>
  <c r="G29" i="56"/>
  <c r="F23" i="28"/>
  <c r="F35" i="28"/>
  <c r="F28" i="56"/>
  <c r="G21" i="28"/>
  <c r="H25" i="56"/>
  <c r="H14" i="28"/>
  <c r="F10" i="56"/>
  <c r="F30" i="56"/>
  <c r="G30" i="28"/>
  <c r="G19" i="56"/>
  <c r="F31" i="28"/>
  <c r="E33" i="46"/>
  <c r="G33" i="46" s="1"/>
  <c r="H33" i="46" s="1"/>
  <c r="E49" i="46"/>
  <c r="E54" i="46" s="1"/>
  <c r="E63" i="46" s="1"/>
  <c r="E67" i="46" s="1"/>
  <c r="B35" i="57"/>
  <c r="B37" i="57" s="1"/>
  <c r="B43" i="61"/>
  <c r="B47" i="61" s="1"/>
  <c r="G12" i="28"/>
  <c r="G27" i="28"/>
  <c r="B15" i="55"/>
  <c r="B17" i="55" s="1"/>
  <c r="F10" i="28"/>
  <c r="F17" i="28"/>
  <c r="F28" i="28"/>
  <c r="H47" i="28"/>
  <c r="F33" i="56"/>
  <c r="F20" i="56"/>
  <c r="F17" i="56"/>
  <c r="F21" i="56"/>
  <c r="F34" i="56"/>
  <c r="G58" i="59"/>
  <c r="H58" i="59" s="1"/>
  <c r="F26" i="56"/>
  <c r="F32" i="56"/>
  <c r="AD36" i="45"/>
  <c r="AC37" i="45"/>
  <c r="G8" i="28"/>
  <c r="F8" i="28"/>
  <c r="H38" i="56"/>
  <c r="F38" i="56"/>
  <c r="G38" i="56"/>
  <c r="H22" i="56"/>
  <c r="G22" i="56"/>
  <c r="F22" i="56"/>
  <c r="H44" i="56"/>
  <c r="F44" i="56"/>
  <c r="G26" i="28"/>
  <c r="F26" i="28"/>
  <c r="G58" i="51"/>
  <c r="H58" i="51" s="1"/>
  <c r="G59" i="46"/>
  <c r="H59" i="46" s="1"/>
  <c r="E60" i="51"/>
  <c r="E62" i="51" s="1"/>
  <c r="H10" i="56"/>
  <c r="H17" i="56"/>
  <c r="G23" i="56"/>
  <c r="C35" i="44"/>
  <c r="C37" i="44" s="1"/>
  <c r="H10" i="28"/>
  <c r="H19" i="28"/>
  <c r="G28" i="28"/>
  <c r="N48" i="40"/>
  <c r="R48" i="40" s="1"/>
  <c r="H37" i="56"/>
  <c r="H7" i="28"/>
  <c r="G46" i="26"/>
  <c r="E35" i="57"/>
  <c r="B43" i="55"/>
  <c r="B47" i="55" s="1"/>
  <c r="H21" i="56"/>
  <c r="F24" i="56"/>
  <c r="C60" i="51"/>
  <c r="C62" i="51" s="1"/>
  <c r="C64" i="51" s="1"/>
  <c r="G34" i="56"/>
  <c r="E15" i="56"/>
  <c r="H15" i="56" s="1"/>
  <c r="H33" i="56"/>
  <c r="C52" i="56"/>
  <c r="D52" i="56" s="1"/>
  <c r="H8" i="28"/>
  <c r="C51" i="28"/>
  <c r="D51" i="28" s="1"/>
  <c r="H11" i="56"/>
  <c r="F25" i="56"/>
  <c r="G30" i="56"/>
  <c r="D42" i="56"/>
  <c r="H42" i="56" s="1"/>
  <c r="H11" i="28"/>
  <c r="F14" i="28"/>
  <c r="F30" i="28"/>
  <c r="G33" i="28"/>
  <c r="H12" i="28"/>
  <c r="G45" i="56"/>
  <c r="G15" i="28"/>
  <c r="B43" i="57"/>
  <c r="B47" i="57" s="1"/>
  <c r="B15" i="61"/>
  <c r="B17" i="61" s="1"/>
  <c r="G16" i="56"/>
  <c r="H34" i="56"/>
  <c r="H48" i="56"/>
  <c r="G17" i="28"/>
  <c r="F21" i="28"/>
  <c r="F27" i="28"/>
  <c r="G37" i="28"/>
  <c r="H41" i="28"/>
  <c r="H45" i="28"/>
  <c r="K46" i="57"/>
  <c r="K53" i="57" s="1"/>
  <c r="G60" i="59"/>
  <c r="H60" i="59" s="1"/>
  <c r="C62" i="59"/>
  <c r="C70" i="59"/>
  <c r="K43" i="57"/>
  <c r="H24" i="56"/>
  <c r="G13" i="28"/>
  <c r="F35" i="56"/>
  <c r="H35" i="56"/>
  <c r="H36" i="28"/>
  <c r="G36" i="28"/>
  <c r="F36" i="28"/>
  <c r="G35" i="56"/>
  <c r="F13" i="28"/>
  <c r="H13" i="28"/>
  <c r="G20" i="28"/>
  <c r="H20" i="28"/>
  <c r="F20" i="28"/>
  <c r="H23" i="28"/>
  <c r="G29" i="28"/>
  <c r="F29" i="28"/>
  <c r="H43" i="28"/>
  <c r="F8" i="56"/>
  <c r="H8" i="56"/>
  <c r="G8" i="56"/>
  <c r="F19" i="56"/>
  <c r="H19" i="56"/>
  <c r="H36" i="56"/>
  <c r="H47" i="56"/>
  <c r="H24" i="28"/>
  <c r="H44" i="28"/>
  <c r="H12" i="56"/>
  <c r="G12" i="56"/>
  <c r="F12" i="56"/>
  <c r="G31" i="56"/>
  <c r="F31" i="56"/>
  <c r="H25" i="28"/>
  <c r="F25" i="28"/>
  <c r="H34" i="28"/>
  <c r="G34" i="28"/>
  <c r="F34" i="28"/>
  <c r="F9" i="56"/>
  <c r="H9" i="56"/>
  <c r="G40" i="56"/>
  <c r="H40" i="56"/>
  <c r="F40" i="56"/>
  <c r="F9" i="28"/>
  <c r="H9" i="28"/>
  <c r="H18" i="28"/>
  <c r="G18" i="28"/>
  <c r="F18" i="28"/>
  <c r="H38" i="28"/>
  <c r="G38" i="28"/>
  <c r="F38" i="28"/>
  <c r="G9" i="56"/>
  <c r="F13" i="56"/>
  <c r="H13" i="56"/>
  <c r="H20" i="56"/>
  <c r="H26" i="56"/>
  <c r="G9" i="28"/>
  <c r="H22" i="28"/>
  <c r="G22" i="28"/>
  <c r="F22" i="28"/>
  <c r="H31" i="28"/>
  <c r="C62" i="47"/>
  <c r="G60" i="47"/>
  <c r="H60" i="47" s="1"/>
  <c r="G16" i="28"/>
  <c r="H16" i="28"/>
  <c r="F16" i="28"/>
  <c r="H18" i="56"/>
  <c r="G18" i="56"/>
  <c r="F18" i="56"/>
  <c r="G13" i="56"/>
  <c r="F23" i="56"/>
  <c r="H23" i="56"/>
  <c r="G27" i="56"/>
  <c r="F27" i="56"/>
  <c r="H32" i="56"/>
  <c r="H43" i="56"/>
  <c r="H49" i="56"/>
  <c r="G32" i="28"/>
  <c r="H32" i="28"/>
  <c r="F32" i="28"/>
  <c r="H35" i="28"/>
  <c r="H42" i="28"/>
  <c r="H46" i="28"/>
  <c r="B15" i="57"/>
  <c r="B17" i="57" s="1"/>
  <c r="E35" i="55"/>
  <c r="E35" i="61"/>
  <c r="H45" i="56"/>
  <c r="B35" i="44"/>
  <c r="B37" i="44" s="1"/>
  <c r="B43" i="44"/>
  <c r="B47" i="44" s="1"/>
  <c r="H17" i="28"/>
  <c r="H21" i="28"/>
  <c r="H33" i="28"/>
  <c r="H37" i="28"/>
  <c r="E47" i="26"/>
  <c r="E52" i="26" s="1"/>
  <c r="C35" i="57"/>
  <c r="C37" i="57" s="1"/>
  <c r="G19" i="28"/>
  <c r="G31" i="28"/>
  <c r="G35" i="28"/>
  <c r="D40" i="28"/>
  <c r="H40" i="28" s="1"/>
  <c r="G43" i="28"/>
  <c r="G48" i="46"/>
  <c r="G7" i="56"/>
  <c r="G11" i="56"/>
  <c r="G17" i="56"/>
  <c r="G21" i="56"/>
  <c r="G33" i="56"/>
  <c r="G37" i="56"/>
  <c r="G43" i="44"/>
  <c r="G46" i="44" s="1"/>
  <c r="G53" i="44" s="1"/>
  <c r="G7" i="28"/>
  <c r="G11" i="28"/>
  <c r="E52" i="28"/>
  <c r="C49" i="46"/>
  <c r="B35" i="55"/>
  <c r="B37" i="55" s="1"/>
  <c r="H7" i="56"/>
  <c r="G58" i="47"/>
  <c r="H58" i="47" s="1"/>
  <c r="C35" i="55"/>
  <c r="C37" i="55" s="1"/>
  <c r="I43" i="55"/>
  <c r="I46" i="55" s="1"/>
  <c r="I53" i="55" s="1"/>
  <c r="I43" i="61"/>
  <c r="I46" i="61" s="1"/>
  <c r="I53" i="61" s="1"/>
  <c r="G10" i="56"/>
  <c r="F16" i="56"/>
  <c r="G20" i="56"/>
  <c r="F29" i="56"/>
  <c r="G32" i="56"/>
  <c r="G36" i="56"/>
  <c r="G10" i="28"/>
  <c r="G14" i="28"/>
  <c r="S47" i="63"/>
  <c r="T47" i="63"/>
  <c r="S41" i="63"/>
  <c r="T41" i="63"/>
  <c r="S52" i="63"/>
  <c r="T52" i="63"/>
  <c r="S6" i="63"/>
  <c r="R64" i="63"/>
  <c r="S64" i="63" s="1"/>
  <c r="T21" i="63"/>
  <c r="S26" i="63"/>
  <c r="L57" i="63"/>
  <c r="R44" i="63"/>
  <c r="AC41" i="63" s="1"/>
  <c r="M57" i="63"/>
  <c r="Q46" i="63"/>
  <c r="F57" i="63"/>
  <c r="F87" i="63" s="1"/>
  <c r="F99" i="63" s="1"/>
  <c r="T22" i="63"/>
  <c r="R29" i="63"/>
  <c r="R30" i="63" s="1"/>
  <c r="AC33" i="63" s="1"/>
  <c r="N57" i="63"/>
  <c r="N66" i="63" s="1"/>
  <c r="P66" i="63"/>
  <c r="O57" i="63"/>
  <c r="O66" i="63" s="1"/>
  <c r="F59" i="63"/>
  <c r="F83" i="63" s="1"/>
  <c r="K94" i="63"/>
  <c r="D19" i="63"/>
  <c r="Q19" i="63" s="1"/>
  <c r="AC36" i="63" s="1"/>
  <c r="T40" i="63"/>
  <c r="P57" i="63"/>
  <c r="J82" i="63"/>
  <c r="T55" i="63"/>
  <c r="S53" i="63"/>
  <c r="T53" i="63"/>
  <c r="R8" i="63"/>
  <c r="K82" i="63"/>
  <c r="K88" i="63" s="1"/>
  <c r="Q30" i="63"/>
  <c r="E105" i="63"/>
  <c r="E107" i="63" s="1"/>
  <c r="T38" i="63"/>
  <c r="E117" i="63"/>
  <c r="Q56" i="63"/>
  <c r="S48" i="63"/>
  <c r="T48" i="63"/>
  <c r="K102" i="63"/>
  <c r="T16" i="63"/>
  <c r="S16" i="63"/>
  <c r="T51" i="63"/>
  <c r="S51" i="63"/>
  <c r="Q8" i="63"/>
  <c r="E86" i="63"/>
  <c r="E100" i="63" s="1"/>
  <c r="M66" i="63"/>
  <c r="S12" i="63"/>
  <c r="T12" i="63"/>
  <c r="T24" i="63"/>
  <c r="S24" i="63"/>
  <c r="T28" i="63"/>
  <c r="T36" i="63"/>
  <c r="S36" i="63"/>
  <c r="T46" i="63"/>
  <c r="S46" i="63"/>
  <c r="R56" i="63"/>
  <c r="T54" i="63"/>
  <c r="T7" i="63"/>
  <c r="S7" i="63"/>
  <c r="T14" i="63"/>
  <c r="S14" i="63"/>
  <c r="I81" i="63"/>
  <c r="I82" i="63" s="1"/>
  <c r="J86" i="63"/>
  <c r="J100" i="63" s="1"/>
  <c r="AB121" i="63"/>
  <c r="AG114" i="63" s="1"/>
  <c r="T15" i="63"/>
  <c r="S15" i="63"/>
  <c r="T27" i="63"/>
  <c r="T37" i="63"/>
  <c r="S37" i="63"/>
  <c r="H82" i="63"/>
  <c r="T49" i="63"/>
  <c r="S49" i="63"/>
  <c r="J57" i="63"/>
  <c r="J106" i="63"/>
  <c r="J107" i="63" s="1"/>
  <c r="T42" i="63"/>
  <c r="S42" i="63"/>
  <c r="R19" i="63"/>
  <c r="T11" i="63"/>
  <c r="S11" i="63"/>
  <c r="T18" i="63"/>
  <c r="S18" i="63"/>
  <c r="T23" i="63"/>
  <c r="S23" i="63"/>
  <c r="T50" i="63"/>
  <c r="Q33" i="63"/>
  <c r="C44" i="63"/>
  <c r="G57" i="63"/>
  <c r="G87" i="63" s="1"/>
  <c r="G99" i="63" s="1"/>
  <c r="G102" i="63" s="1"/>
  <c r="F81" i="63"/>
  <c r="F82" i="63" s="1"/>
  <c r="F88" i="63" s="1"/>
  <c r="H93" i="63"/>
  <c r="H57" i="63"/>
  <c r="G81" i="63"/>
  <c r="F118" i="63"/>
  <c r="F119" i="63" s="1"/>
  <c r="I57" i="63"/>
  <c r="I87" i="63" s="1"/>
  <c r="I99" i="63" s="1"/>
  <c r="I102" i="63" s="1"/>
  <c r="S13" i="63"/>
  <c r="S17" i="63"/>
  <c r="S21" i="63"/>
  <c r="S39" i="63"/>
  <c r="S55" i="63"/>
  <c r="R60" i="63"/>
  <c r="S28" i="63"/>
  <c r="E32" i="63"/>
  <c r="S38" i="63"/>
  <c r="S50" i="63"/>
  <c r="G59" i="63"/>
  <c r="G83" i="63" s="1"/>
  <c r="R61" i="63"/>
  <c r="S61" i="63" s="1"/>
  <c r="F86" i="63"/>
  <c r="F100" i="63" s="1"/>
  <c r="E118" i="63"/>
  <c r="Y37" i="45" l="1"/>
  <c r="S29" i="63"/>
  <c r="T19" i="63"/>
  <c r="F102" i="63"/>
  <c r="AJ60" i="63"/>
  <c r="F66" i="63"/>
  <c r="F52" i="28"/>
  <c r="C52" i="28"/>
  <c r="E53" i="56"/>
  <c r="C53" i="56"/>
  <c r="G15" i="56"/>
  <c r="G53" i="56"/>
  <c r="F15" i="56"/>
  <c r="F53" i="56" s="1"/>
  <c r="G62" i="51"/>
  <c r="H62" i="51" s="1"/>
  <c r="D53" i="56"/>
  <c r="H52" i="56"/>
  <c r="F43" i="28"/>
  <c r="E64" i="51"/>
  <c r="G60" i="51"/>
  <c r="H60" i="51" s="1"/>
  <c r="C64" i="59"/>
  <c r="G62" i="59"/>
  <c r="H62" i="59" s="1"/>
  <c r="C54" i="46"/>
  <c r="H49" i="46"/>
  <c r="G52" i="28"/>
  <c r="G52" i="26"/>
  <c r="H52" i="26" s="1"/>
  <c r="E61" i="26"/>
  <c r="G62" i="47"/>
  <c r="H62" i="47" s="1"/>
  <c r="C64" i="47"/>
  <c r="D52" i="28"/>
  <c r="H52" i="28" s="1"/>
  <c r="H51" i="28"/>
  <c r="AJ65" i="63"/>
  <c r="E119" i="63"/>
  <c r="S30" i="63"/>
  <c r="T29" i="63"/>
  <c r="S19" i="63"/>
  <c r="S56" i="63"/>
  <c r="S60" i="63"/>
  <c r="S59" i="63" s="1"/>
  <c r="R59" i="63"/>
  <c r="T59" i="63" s="1"/>
  <c r="C57" i="63"/>
  <c r="C66" i="63" s="1"/>
  <c r="D44" i="63"/>
  <c r="G82" i="63"/>
  <c r="G88" i="63" s="1"/>
  <c r="T33" i="63"/>
  <c r="S33" i="63"/>
  <c r="AC48" i="63"/>
  <c r="S44" i="63"/>
  <c r="AD10" i="63"/>
  <c r="T8" i="63"/>
  <c r="S8" i="63"/>
  <c r="I88" i="63"/>
  <c r="AJ58" i="63"/>
  <c r="AC37" i="63"/>
  <c r="AC58" i="63" s="1"/>
  <c r="I66" i="63"/>
  <c r="AD11" i="63"/>
  <c r="AJ62" i="63"/>
  <c r="J66" i="63"/>
  <c r="J87" i="63"/>
  <c r="E34" i="63"/>
  <c r="R32" i="63"/>
  <c r="Q34" i="63"/>
  <c r="T56" i="63"/>
  <c r="AC44" i="63"/>
  <c r="AC46" i="63" s="1"/>
  <c r="AC32" i="63"/>
  <c r="T30" i="63"/>
  <c r="H87" i="63"/>
  <c r="H99" i="63" s="1"/>
  <c r="H102" i="63" s="1"/>
  <c r="H66" i="63"/>
  <c r="G66" i="63"/>
  <c r="AC45" i="63"/>
  <c r="AC66" i="63"/>
  <c r="AC38" i="63" l="1"/>
  <c r="H53" i="56"/>
  <c r="F45" i="56"/>
  <c r="E63" i="26"/>
  <c r="G61" i="26"/>
  <c r="H61" i="26" s="1"/>
  <c r="C63" i="46"/>
  <c r="G54" i="46"/>
  <c r="H54" i="46" s="1"/>
  <c r="AC64" i="63"/>
  <c r="Q44" i="63"/>
  <c r="E113" i="63"/>
  <c r="E115" i="63" s="1"/>
  <c r="D57" i="63"/>
  <c r="AQ53" i="63"/>
  <c r="AG8" i="63"/>
  <c r="AD12" i="63"/>
  <c r="J99" i="63"/>
  <c r="J102" i="63" s="1"/>
  <c r="J88" i="63"/>
  <c r="AC34" i="63"/>
  <c r="AC60" i="63"/>
  <c r="H88" i="63"/>
  <c r="T32" i="63"/>
  <c r="S32" i="63"/>
  <c r="S34" i="63" s="1"/>
  <c r="S57" i="63" s="1"/>
  <c r="S66" i="63" s="1"/>
  <c r="R34" i="63"/>
  <c r="T34" i="63" s="1"/>
  <c r="E122" i="63"/>
  <c r="E123" i="63" s="1"/>
  <c r="E57" i="63"/>
  <c r="C67" i="46" l="1"/>
  <c r="G63" i="46"/>
  <c r="H63" i="46" s="1"/>
  <c r="Q57" i="63"/>
  <c r="AL10" i="63" s="1"/>
  <c r="D66" i="63"/>
  <c r="E87" i="63"/>
  <c r="E66" i="63"/>
  <c r="AQ55" i="63"/>
  <c r="AD58" i="63"/>
  <c r="R57" i="63"/>
  <c r="AC40" i="63"/>
  <c r="T44" i="63"/>
  <c r="T57" i="63" s="1"/>
  <c r="T66" i="63" s="1"/>
  <c r="G67" i="63" l="1"/>
  <c r="F67" i="63"/>
  <c r="J68" i="63"/>
  <c r="I68" i="63"/>
  <c r="I67" i="63"/>
  <c r="H67" i="63"/>
  <c r="AL11" i="63"/>
  <c r="AL12" i="63" s="1"/>
  <c r="R66" i="63"/>
  <c r="S68" i="63" s="1"/>
  <c r="AC42" i="63"/>
  <c r="AC62" i="63"/>
  <c r="E99" i="63"/>
  <c r="E102" i="63" s="1"/>
  <c r="E88" i="63"/>
  <c r="E16" i="44"/>
  <c r="E16" i="61"/>
  <c r="E16" i="57"/>
  <c r="E16" i="5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F1D330D9-A991-470B-AB09-288EB2B64F8A}">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18523A1A-BCAB-4C24-AFC9-2031BB90A860}">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425A6EF6-A0AC-4A99-B3CB-44270BF732C9}">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D53E23FF-4FC3-4B3D-803D-004BCF895DBC}">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479F540A-8E89-42A3-9688-C2E1F52AF224}">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8F561FDF-9DF4-4CDF-BC1D-CB40C9CA7386}">
      <text>
        <r>
          <rPr>
            <b/>
            <sz val="9"/>
            <color indexed="81"/>
            <rFont val="Tahoma"/>
            <family val="2"/>
          </rPr>
          <t>TANIA: Algunos presupuestos
Mto grama Cancha sintetica, señalización, mto gym, mto pintura reja 
mantenimiento contenedores, citofono</t>
        </r>
      </text>
    </comment>
    <comment ref="C14" authorId="0" shapeId="0" xr:uid="{12938E9C-B8A0-45D2-825C-6A295F7059FA}">
      <text>
        <r>
          <rPr>
            <b/>
            <sz val="9"/>
            <color indexed="81"/>
            <rFont val="Tahoma"/>
            <family val="2"/>
          </rPr>
          <t>Tania: 
inventario  repuestos
27 bombillas led 50w 
3 luminarias solares 150w 
1 reflector 200w solar  
1 luminaria 100 w 
Mano de obra electricos 1.500.000</t>
        </r>
      </text>
    </comment>
    <comment ref="D14" authorId="0" shapeId="0" xr:uid="{C37A2426-328A-4D9C-BC8F-C7F9416BB161}">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8008A863-ABB2-4150-9D81-4922344B6941}">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7ED604ED-45C7-4BF3-A590-4128C8999220}">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2256FA1D-CFF1-4581-A7E4-ED1774CBFF43}">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9C0DC75D-4343-49A5-8CA0-F304CC3598D0}">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49C4A6F1-B6EF-47FA-823F-C896470B9D04}">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AD5DFD9A-696D-4E65-B26F-43BEDD75E7AA}">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1" authorId="0" shapeId="0" xr:uid="{3D551CD9-6FDD-45E9-884C-48DB393B13EC}">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1" authorId="0" shapeId="0" xr:uid="{1E80E64C-4DEE-48DC-A6CB-C5B4F3E90878}">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2" authorId="0" shapeId="0" xr:uid="{80BDD1EC-C5CC-4545-8083-73F4E011DF98}">
      <text>
        <r>
          <rPr>
            <sz val="9"/>
            <color indexed="81"/>
            <rFont val="Tahoma"/>
            <family val="2"/>
          </rPr>
          <t xml:space="preserve">Refuerzo de vigilancia
Enero 2025 1 al 6  $ 1.751.531,17
Diciembre 2025  $2 225 540
12h diurno 25,28,
12h nocturno 24,25, 26, 27,28, 29, 30, 31
</t>
        </r>
      </text>
    </comment>
    <comment ref="C23" authorId="1" shapeId="0" xr:uid="{C2F8F519-F2AA-4F96-B806-F71CD233F29E}">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4" authorId="0" shapeId="0" xr:uid="{211DD5D3-BF27-471B-8D5C-798A1BF1D56F}">
      <text>
        <r>
          <rPr>
            <b/>
            <sz val="9"/>
            <color indexed="81"/>
            <rFont val="Tahoma"/>
            <family val="2"/>
          </rPr>
          <t>Tania:Mto preventivo sistema de seguridad. CCTV y cerca electrica</t>
        </r>
        <r>
          <rPr>
            <sz val="9"/>
            <color indexed="81"/>
            <rFont val="Tahoma"/>
            <family val="2"/>
          </rPr>
          <t xml:space="preserve">
$1341 006 anual ; $111.751/mes</t>
        </r>
      </text>
    </comment>
    <comment ref="D24" authorId="0" shapeId="0" xr:uid="{9063CC49-598F-4160-A1F7-A6E75546002E}">
      <text>
        <r>
          <rPr>
            <b/>
            <sz val="9"/>
            <color indexed="81"/>
            <rFont val="Tahoma"/>
            <family val="2"/>
          </rPr>
          <t>Tania:Mto preventivo sistema de seguridad. CCTV y cerca electrica</t>
        </r>
        <r>
          <rPr>
            <sz val="9"/>
            <color indexed="81"/>
            <rFont val="Tahoma"/>
            <family val="2"/>
          </rPr>
          <t xml:space="preserve">
$1265100 anual ; $105.425/mes</t>
        </r>
      </text>
    </comment>
    <comment ref="C25" authorId="0" shapeId="0" xr:uid="{D835008E-7CB1-4616-B66A-FE7A01B31CB5}">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6" authorId="0" shapeId="0" xr:uid="{7DA13ECF-8D7F-4D59-85EF-5FA248AFEC10}">
      <text>
        <r>
          <rPr>
            <b/>
            <sz val="9"/>
            <color indexed="81"/>
            <rFont val="Tahoma"/>
            <family val="2"/>
          </rPr>
          <t>Tania: Ejecucion-sostenimiento</t>
        </r>
        <r>
          <rPr>
            <sz val="9"/>
            <color indexed="81"/>
            <rFont val="Tahoma"/>
            <family val="2"/>
          </rPr>
          <t xml:space="preserve">
</t>
        </r>
      </text>
    </comment>
    <comment ref="D26" authorId="0" shapeId="0" xr:uid="{03CEB1FC-CE1C-4BBE-8EA0-D0BDF6C1113B}">
      <text>
        <r>
          <rPr>
            <b/>
            <sz val="9"/>
            <color indexed="81"/>
            <rFont val="Tahoma"/>
            <family val="2"/>
          </rPr>
          <t>Tania: Ejecucion-sostenimiento</t>
        </r>
        <r>
          <rPr>
            <sz val="9"/>
            <color indexed="81"/>
            <rFont val="Tahoma"/>
            <family val="2"/>
          </rPr>
          <t xml:space="preserve">
</t>
        </r>
      </text>
    </comment>
    <comment ref="C27" authorId="1" shapeId="0" xr:uid="{8B1400BC-3AAA-481E-B5F1-4C40554E23B8}">
      <text>
        <r>
          <rPr>
            <b/>
            <sz val="10"/>
            <color indexed="81"/>
            <rFont val="Tahoma"/>
            <family val="2"/>
          </rPr>
          <t>Tania Maria Angulo Romero:</t>
        </r>
        <r>
          <rPr>
            <sz val="10"/>
            <color indexed="81"/>
            <rFont val="Tahoma"/>
            <family val="2"/>
          </rPr>
          <t xml:space="preserve">
Recarga de extintores
</t>
        </r>
      </text>
    </comment>
    <comment ref="D27" authorId="1" shapeId="0" xr:uid="{8E6FCEAF-447D-4189-BBB7-EA4323772E1F}">
      <text>
        <r>
          <rPr>
            <b/>
            <sz val="10"/>
            <color indexed="81"/>
            <rFont val="Tahoma"/>
            <family val="2"/>
          </rPr>
          <t>Tania Maria Angulo Romero:</t>
        </r>
        <r>
          <rPr>
            <sz val="10"/>
            <color indexed="81"/>
            <rFont val="Tahoma"/>
            <family val="2"/>
          </rPr>
          <t xml:space="preserve">
mto extintores 12x $22000
Reposición de 2 extintores 280.000
</t>
        </r>
      </text>
    </comment>
    <comment ref="C28" authorId="0" shapeId="0" xr:uid="{80C5E778-8066-4AF7-A734-D147A6201F8C}">
      <text>
        <r>
          <rPr>
            <b/>
            <sz val="9"/>
            <color indexed="81"/>
            <rFont val="Tahoma"/>
            <family val="2"/>
          </rPr>
          <t xml:space="preserve">Tania: </t>
        </r>
        <r>
          <rPr>
            <sz val="9"/>
            <color indexed="81"/>
            <rFont val="Tahoma"/>
            <family val="2"/>
          </rPr>
          <t xml:space="preserve">
</t>
        </r>
      </text>
    </comment>
    <comment ref="D28" authorId="0" shapeId="0" xr:uid="{CF81C496-21CA-45E4-9643-14581341A6FB}">
      <text>
        <r>
          <rPr>
            <b/>
            <sz val="9"/>
            <color indexed="81"/>
            <rFont val="Tahoma"/>
            <family val="2"/>
          </rPr>
          <t xml:space="preserve">Tania: </t>
        </r>
        <r>
          <rPr>
            <sz val="9"/>
            <color indexed="81"/>
            <rFont val="Tahoma"/>
            <family val="2"/>
          </rPr>
          <t xml:space="preserve">
</t>
        </r>
      </text>
    </comment>
    <comment ref="C32" authorId="0" shapeId="0" xr:uid="{7908EF65-8752-41A6-B9EB-7520BC2ADA44}">
      <text>
        <r>
          <rPr>
            <b/>
            <sz val="9"/>
            <color indexed="81"/>
            <rFont val="Tahoma"/>
            <family val="2"/>
          </rPr>
          <t>Tania: $60.000 Celebraciones especiales
$200.000 decoracion navidad
$30000 Gastos asamblea</t>
        </r>
        <r>
          <rPr>
            <sz val="9"/>
            <color indexed="81"/>
            <rFont val="Tahoma"/>
            <family val="2"/>
          </rPr>
          <t xml:space="preserve">
</t>
        </r>
      </text>
    </comment>
    <comment ref="D32" authorId="0" shapeId="0" xr:uid="{6B3F453B-85C5-40FD-88CF-9245179920E4}">
      <text>
        <r>
          <rPr>
            <b/>
            <sz val="9"/>
            <color indexed="81"/>
            <rFont val="Tahoma"/>
            <family val="2"/>
          </rPr>
          <t>Tania: $60.000 Celebraciones especiales
$200.000 decoracion navidad
$30000 Gastos asamblea</t>
        </r>
        <r>
          <rPr>
            <sz val="9"/>
            <color indexed="81"/>
            <rFont val="Tahoma"/>
            <family val="2"/>
          </rPr>
          <t xml:space="preserve">
</t>
        </r>
      </text>
    </comment>
    <comment ref="C33" authorId="0" shapeId="0" xr:uid="{423E970E-A5F1-4982-AA7B-FA0FF4083DF7}">
      <text>
        <r>
          <rPr>
            <b/>
            <sz val="9"/>
            <color indexed="81"/>
            <rFont val="Tahoma"/>
            <family val="2"/>
          </rPr>
          <t>Tania: $30.000 gastos de asamblea</t>
        </r>
        <r>
          <rPr>
            <sz val="9"/>
            <color indexed="81"/>
            <rFont val="Tahoma"/>
            <family val="2"/>
          </rPr>
          <t xml:space="preserve">
</t>
        </r>
      </text>
    </comment>
    <comment ref="D33" authorId="0" shapeId="0" xr:uid="{CC6F1608-3BBA-4C9B-B4C5-C0A47100E254}">
      <text>
        <r>
          <rPr>
            <b/>
            <sz val="9"/>
            <color indexed="81"/>
            <rFont val="Tahoma"/>
            <family val="2"/>
          </rPr>
          <t>Tania: $30.000 gastos de asamblea</t>
        </r>
        <r>
          <rPr>
            <sz val="9"/>
            <color indexed="81"/>
            <rFont val="Tahoma"/>
            <family val="2"/>
          </rPr>
          <t xml:space="preserve">
</t>
        </r>
      </text>
    </comment>
    <comment ref="C36" authorId="0" shapeId="0" xr:uid="{69A44818-BBAD-425A-915B-D2D2BD8E35D1}">
      <text>
        <r>
          <rPr>
            <b/>
            <sz val="9"/>
            <color indexed="81"/>
            <rFont val="Tahoma"/>
            <family val="2"/>
          </rPr>
          <t>Tania: Ejecucion-sostenimiento</t>
        </r>
        <r>
          <rPr>
            <sz val="9"/>
            <color indexed="81"/>
            <rFont val="Tahoma"/>
            <family val="2"/>
          </rPr>
          <t xml:space="preserve">
2 fumigaciones
2 refuerzos </t>
        </r>
      </text>
    </comment>
    <comment ref="D36" authorId="0" shapeId="0" xr:uid="{F7A87150-F630-413D-A1B3-1A75287C55F6}">
      <text>
        <r>
          <rPr>
            <b/>
            <sz val="9"/>
            <color indexed="81"/>
            <rFont val="Tahoma"/>
            <family val="2"/>
          </rPr>
          <t>Tania: Ejecucion-sostenimiento</t>
        </r>
        <r>
          <rPr>
            <sz val="9"/>
            <color indexed="81"/>
            <rFont val="Tahoma"/>
            <family val="2"/>
          </rPr>
          <t xml:space="preserve">
</t>
        </r>
      </text>
    </comment>
    <comment ref="C37" authorId="0" shapeId="0" xr:uid="{2DDD4626-C5B8-45FA-BD86-B230D5B52226}">
      <text>
        <r>
          <rPr>
            <b/>
            <sz val="9"/>
            <color indexed="81"/>
            <rFont val="Tahoma"/>
            <family val="2"/>
          </rPr>
          <t>tania:
Energia</t>
        </r>
        <r>
          <rPr>
            <sz val="9"/>
            <color indexed="81"/>
            <rFont val="Tahoma"/>
            <family val="2"/>
          </rPr>
          <t xml:space="preserve">
la tarifa dic 2024 $907,59/kwh
tarifa Ener $891,09kwh
la tarifa feb 2023 $935,38/khw</t>
        </r>
      </text>
    </comment>
    <comment ref="D37" authorId="0" shapeId="0" xr:uid="{1EE58760-0D90-4358-8BFB-237F37F761AC}">
      <text>
        <r>
          <rPr>
            <b/>
            <sz val="9"/>
            <color indexed="81"/>
            <rFont val="Tahoma"/>
            <family val="2"/>
          </rPr>
          <t>tania:
Energia</t>
        </r>
        <r>
          <rPr>
            <sz val="9"/>
            <color indexed="81"/>
            <rFont val="Tahoma"/>
            <family val="2"/>
          </rPr>
          <t xml:space="preserve">
la tarifa dic 2022 $907,59/kwh
Ener $919,02kwh
la tarifa feb 2023 $935,38/khw</t>
        </r>
      </text>
    </comment>
    <comment ref="C38" authorId="1" shapeId="0" xr:uid="{BADCE6EE-823D-44B2-9A8A-AC71A861A5C6}">
      <text>
        <r>
          <rPr>
            <b/>
            <sz val="10"/>
            <color indexed="81"/>
            <rFont val="Tahoma"/>
            <family val="2"/>
          </rPr>
          <t>Tania Maria Angulo Romero:</t>
        </r>
        <r>
          <rPr>
            <sz val="10"/>
            <color indexed="81"/>
            <rFont val="Tahoma"/>
            <family val="2"/>
          </rPr>
          <t xml:space="preserve">
</t>
        </r>
      </text>
    </comment>
    <comment ref="C40" authorId="0" shapeId="0" xr:uid="{73CC51BC-DA52-4608-9F89-372C5FD2F93F}">
      <text>
        <r>
          <rPr>
            <b/>
            <sz val="9"/>
            <color indexed="81"/>
            <rFont val="Tahoma"/>
            <family val="2"/>
          </rPr>
          <t xml:space="preserve">Tania:
se tiene plan de telefonia ilimitada  plus e internet 100MG
El servicio incrementa mas del 10% respecto al año 2024 por </t>
        </r>
      </text>
    </comment>
    <comment ref="C41" authorId="0" shapeId="0" xr:uid="{6E2987F9-302A-4CE3-AD88-DAB20B0296D1}">
      <text>
        <r>
          <rPr>
            <b/>
            <sz val="9"/>
            <color indexed="81"/>
            <rFont val="Tahoma"/>
            <family val="2"/>
          </rPr>
          <t xml:space="preserve">Tania: </t>
        </r>
        <r>
          <rPr>
            <sz val="9"/>
            <color indexed="81"/>
            <rFont val="Tahoma"/>
            <family val="2"/>
          </rPr>
          <t xml:space="preserve">
Mto del PMIRS  de ley </t>
        </r>
      </text>
    </comment>
    <comment ref="D41" authorId="0" shapeId="0" xr:uid="{35954E22-48AB-4A02-8F26-3AE787708D31}">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2" authorId="1" shapeId="0" xr:uid="{E33E43A2-358D-4DC3-A2F5-522519BED9BB}">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3" authorId="0" shapeId="0" xr:uid="{CBB3FBAA-59E3-45F3-BD13-10ED0A1CF401}">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6" authorId="0" shapeId="0" xr:uid="{73A740DC-8B6E-418B-8136-308BEDA8FD27}">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6" authorId="0" shapeId="0" xr:uid="{91BC5A7F-07A8-47B7-AAAA-96DE288615FC}">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7" authorId="0" shapeId="0" xr:uid="{B8789438-A4E8-40D4-9795-608D38B4DE8B}">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7" authorId="0" shapeId="0" xr:uid="{9B026988-B2A5-4D95-A311-3CA1E1ABD011}">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9" authorId="0" shapeId="0" xr:uid="{166160D6-539E-48B4-A14F-27C7BC8F4CA8}">
      <text>
        <r>
          <rPr>
            <b/>
            <sz val="9"/>
            <color indexed="81"/>
            <rFont val="Tahoma"/>
            <family val="2"/>
          </rPr>
          <t>Tania:Mto preventivo sistema de seguridad. CCTV y cerca electrica</t>
        </r>
        <r>
          <rPr>
            <sz val="9"/>
            <color indexed="81"/>
            <rFont val="Tahoma"/>
            <family val="2"/>
          </rPr>
          <t xml:space="preserve">
$1341 006 anual ; $111.751/mes</t>
        </r>
      </text>
    </comment>
    <comment ref="D9" authorId="0" shapeId="0" xr:uid="{05B9D167-05D0-4504-9740-D61F31C31A6D}">
      <text>
        <r>
          <rPr>
            <b/>
            <sz val="9"/>
            <color indexed="81"/>
            <rFont val="Tahoma"/>
            <family val="2"/>
          </rPr>
          <t>Tania:Mto preventivo sistema de seguridad. CCTV y cerca electrica</t>
        </r>
        <r>
          <rPr>
            <sz val="9"/>
            <color indexed="81"/>
            <rFont val="Tahoma"/>
            <family val="2"/>
          </rPr>
          <t xml:space="preserve">
$1265100 anual ; $105.425/mes</t>
        </r>
      </text>
    </comment>
    <comment ref="C11" authorId="0" shapeId="0" xr:uid="{FC9601C3-1CC8-443E-86D7-5DA7E8610A7C}">
      <text>
        <r>
          <rPr>
            <b/>
            <sz val="9"/>
            <color indexed="81"/>
            <rFont val="Tahoma"/>
            <family val="2"/>
          </rPr>
          <t>Tania: $60.000 Celebraciones especiales
$200.000 decoracion navidad
$30000 Gastos asamblea</t>
        </r>
        <r>
          <rPr>
            <sz val="9"/>
            <color indexed="81"/>
            <rFont val="Tahoma"/>
            <family val="2"/>
          </rPr>
          <t xml:space="preserve">
</t>
        </r>
      </text>
    </comment>
    <comment ref="D11" authorId="0" shapeId="0" xr:uid="{2B77D9DC-22EC-4934-B22E-CEE4F1CACBD3}">
      <text>
        <r>
          <rPr>
            <b/>
            <sz val="9"/>
            <color indexed="81"/>
            <rFont val="Tahoma"/>
            <family val="2"/>
          </rPr>
          <t>Tania: $60.000 Celebraciones especiales
$200.000 decoracion navidad
$30000 Gastos asamblea</t>
        </r>
        <r>
          <rPr>
            <sz val="9"/>
            <color indexed="81"/>
            <rFont val="Tahoma"/>
            <family val="2"/>
          </rPr>
          <t xml:space="preserve">
</t>
        </r>
      </text>
    </comment>
    <comment ref="C12" authorId="0" shapeId="0" xr:uid="{E8A89B1C-F1C1-4ED3-B69B-180B9E087550}">
      <text>
        <r>
          <rPr>
            <b/>
            <sz val="9"/>
            <color indexed="81"/>
            <rFont val="Tahoma"/>
            <family val="2"/>
          </rPr>
          <t>Tania: $30.000 gastos de asamblea</t>
        </r>
        <r>
          <rPr>
            <sz val="9"/>
            <color indexed="81"/>
            <rFont val="Tahoma"/>
            <family val="2"/>
          </rPr>
          <t xml:space="preserve">
</t>
        </r>
      </text>
    </comment>
    <comment ref="D12" authorId="0" shapeId="0" xr:uid="{CBAE2C98-4849-415C-9F38-764C0BEC0D1C}">
      <text>
        <r>
          <rPr>
            <b/>
            <sz val="9"/>
            <color indexed="81"/>
            <rFont val="Tahoma"/>
            <family val="2"/>
          </rPr>
          <t>Tania: $30.000 gastos de asamblea</t>
        </r>
        <r>
          <rPr>
            <sz val="9"/>
            <color indexed="81"/>
            <rFont val="Tahoma"/>
            <family val="2"/>
          </rPr>
          <t xml:space="preserve">
</t>
        </r>
      </text>
    </comment>
    <comment ref="C14" authorId="0" shapeId="0" xr:uid="{A812AE50-77BB-413B-BC8E-7DB922543A36}">
      <text>
        <r>
          <rPr>
            <b/>
            <sz val="9"/>
            <color indexed="81"/>
            <rFont val="Tahoma"/>
            <family val="2"/>
          </rPr>
          <t>Tania: Ejecucion-sostenimiento</t>
        </r>
        <r>
          <rPr>
            <sz val="9"/>
            <color indexed="81"/>
            <rFont val="Tahoma"/>
            <family val="2"/>
          </rPr>
          <t xml:space="preserve">
2 fumigaciones
2 refuerzos </t>
        </r>
      </text>
    </comment>
    <comment ref="D14" authorId="0" shapeId="0" xr:uid="{FA24CDD4-0A18-48BD-882F-3936B24E9CEA}">
      <text>
        <r>
          <rPr>
            <b/>
            <sz val="9"/>
            <color indexed="81"/>
            <rFont val="Tahoma"/>
            <family val="2"/>
          </rPr>
          <t>Tania: Ejecucion-sostenimiento</t>
        </r>
        <r>
          <rPr>
            <sz val="9"/>
            <color indexed="81"/>
            <rFont val="Tahoma"/>
            <family val="2"/>
          </rPr>
          <t xml:space="preserve">
</t>
        </r>
      </text>
    </comment>
    <comment ref="C15" authorId="1" shapeId="0" xr:uid="{56DF8AFB-B782-4A18-B20B-CC8D25DD9B7D}">
      <text>
        <r>
          <rPr>
            <b/>
            <sz val="10"/>
            <color indexed="81"/>
            <rFont val="Tahoma"/>
            <family val="2"/>
          </rPr>
          <t>Tania Maria Angulo Romero:</t>
        </r>
        <r>
          <rPr>
            <sz val="10"/>
            <color indexed="81"/>
            <rFont val="Tahoma"/>
            <family val="2"/>
          </rPr>
          <t xml:space="preserve">
</t>
        </r>
      </text>
    </comment>
    <comment ref="C17" authorId="0" shapeId="0" xr:uid="{ED1262A7-B375-4429-83C1-E443FFB21D74}">
      <text>
        <r>
          <rPr>
            <b/>
            <sz val="9"/>
            <color indexed="81"/>
            <rFont val="Tahoma"/>
            <family val="2"/>
          </rPr>
          <t xml:space="preserve">Tania: </t>
        </r>
        <r>
          <rPr>
            <sz val="9"/>
            <color indexed="81"/>
            <rFont val="Tahoma"/>
            <family val="2"/>
          </rPr>
          <t xml:space="preserve">
Mto del PMIRS  de ley </t>
        </r>
      </text>
    </comment>
    <comment ref="D17" authorId="0" shapeId="0" xr:uid="{BF6640FF-224D-404B-9C35-35C64D9B4DCB}">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24" authorId="0" shapeId="0" xr:uid="{F2BE75C3-29F7-4E61-898D-C61CEBC3FACA}">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24" authorId="0" shapeId="0" xr:uid="{A968B2A2-24C8-4649-A9B6-9AD0191FFEA8}">
      <text>
        <r>
          <rPr>
            <b/>
            <sz val="9"/>
            <color indexed="81"/>
            <rFont val="Tahoma"/>
            <family val="2"/>
          </rPr>
          <t>TANIA: Algunos presupuestos
Mto grama Cancha sintetica, señalización, mto gym, mto pintura reja 
mantenimiento contenedores, citofono</t>
        </r>
      </text>
    </comment>
    <comment ref="C25" authorId="0" shapeId="0" xr:uid="{F2B38E3B-2C67-45A8-BB47-6C90D4C913C9}">
      <text>
        <r>
          <rPr>
            <b/>
            <sz val="9"/>
            <color indexed="81"/>
            <rFont val="Tahoma"/>
            <family val="2"/>
          </rPr>
          <t>Tania: 
inventario  repuestos
27 bombillas led 50w 
3 luminarias solares 150w 
1 reflector 200w solar  
1 luminaria 100 w 
Mano de obra electricos 1.500.000</t>
        </r>
      </text>
    </comment>
    <comment ref="D25" authorId="0" shapeId="0" xr:uid="{BEA0A197-08F4-42DD-8CA1-34EB57128787}">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26" authorId="0" shapeId="0" xr:uid="{1B36D5F7-9C46-48AD-BE9E-5B1F3DAACB15}">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26" authorId="0" shapeId="0" xr:uid="{541E621F-6324-441B-BBA6-632A2DF5C0DB}">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27" authorId="1" shapeId="0" xr:uid="{4658EE2A-C02D-43FE-BA35-47F9F8477523}">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27" authorId="1" shapeId="0" xr:uid="{47732F96-3362-49D9-BC85-58B1E63D0381}">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28" authorId="0" shapeId="0" xr:uid="{17AF74C7-44FC-4C5F-AC42-BFA929D5D645}">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28" authorId="0" shapeId="0" xr:uid="{6B844954-6E0A-4B7A-B33F-40C284F4CDCA}">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9" authorId="0" shapeId="0" xr:uid="{C6C9B882-8CDA-4FC2-8FA2-FB24A3E9BB1A}">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9" authorId="0" shapeId="0" xr:uid="{C07F6291-4A07-4A4A-B8F7-C9B9A44DB6ED}">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30" authorId="0" shapeId="0" xr:uid="{369482AE-664A-4859-A393-35A69FC77028}">
      <text>
        <r>
          <rPr>
            <sz val="9"/>
            <color indexed="81"/>
            <rFont val="Tahoma"/>
            <family val="2"/>
          </rPr>
          <t xml:space="preserve">Refuerzo de vigilancia
Enero 2025 1 al 6  $ 1.751.531,17
Diciembre 2025  $2 225 540
12h diurno 25,28,
12h nocturno 24,25, 26, 27,28, 29, 30, 31
</t>
        </r>
      </text>
    </comment>
    <comment ref="C31" authorId="1" shapeId="0" xr:uid="{2DE895CF-995E-499C-A60B-2E9B5BA55A36}">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32" authorId="0" shapeId="0" xr:uid="{3205EE63-B7F2-4508-B733-FC8FF3D3562B}">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33" authorId="0" shapeId="0" xr:uid="{76B1B75C-C461-404C-BF28-587C4AC49F47}">
      <text>
        <r>
          <rPr>
            <b/>
            <sz val="9"/>
            <color indexed="81"/>
            <rFont val="Tahoma"/>
            <family val="2"/>
          </rPr>
          <t>Tania: Ejecucion-sostenimiento</t>
        </r>
        <r>
          <rPr>
            <sz val="9"/>
            <color indexed="81"/>
            <rFont val="Tahoma"/>
            <family val="2"/>
          </rPr>
          <t xml:space="preserve">
</t>
        </r>
      </text>
    </comment>
    <comment ref="D33" authorId="0" shapeId="0" xr:uid="{5849C674-5104-4F7C-A15F-A8BDBEB8BF78}">
      <text>
        <r>
          <rPr>
            <b/>
            <sz val="9"/>
            <color indexed="81"/>
            <rFont val="Tahoma"/>
            <family val="2"/>
          </rPr>
          <t>Tania: Ejecucion-sostenimiento</t>
        </r>
        <r>
          <rPr>
            <sz val="9"/>
            <color indexed="81"/>
            <rFont val="Tahoma"/>
            <family val="2"/>
          </rPr>
          <t xml:space="preserve">
</t>
        </r>
      </text>
    </comment>
    <comment ref="C34" authorId="1" shapeId="0" xr:uid="{F037C88C-FB2D-4531-819F-45A50EBB0C34}">
      <text>
        <r>
          <rPr>
            <b/>
            <sz val="10"/>
            <color indexed="81"/>
            <rFont val="Tahoma"/>
            <family val="2"/>
          </rPr>
          <t>Tania Maria Angulo Romero:</t>
        </r>
        <r>
          <rPr>
            <sz val="10"/>
            <color indexed="81"/>
            <rFont val="Tahoma"/>
            <family val="2"/>
          </rPr>
          <t xml:space="preserve">
Recarga de extintores
</t>
        </r>
      </text>
    </comment>
    <comment ref="D34" authorId="1" shapeId="0" xr:uid="{C632FAF3-2AE0-451C-B836-FE45815403FD}">
      <text>
        <r>
          <rPr>
            <b/>
            <sz val="10"/>
            <color indexed="81"/>
            <rFont val="Tahoma"/>
            <family val="2"/>
          </rPr>
          <t>Tania Maria Angulo Romero:</t>
        </r>
        <r>
          <rPr>
            <sz val="10"/>
            <color indexed="81"/>
            <rFont val="Tahoma"/>
            <family val="2"/>
          </rPr>
          <t xml:space="preserve">
mto extintores 12x $22000
Reposición de 2 extintores 280.000
</t>
        </r>
      </text>
    </comment>
    <comment ref="C35" authorId="0" shapeId="0" xr:uid="{4A2A9797-C836-47C2-A7CE-13C51A03E197}">
      <text>
        <r>
          <rPr>
            <b/>
            <sz val="9"/>
            <color indexed="81"/>
            <rFont val="Tahoma"/>
            <family val="2"/>
          </rPr>
          <t xml:space="preserve">Tania: </t>
        </r>
        <r>
          <rPr>
            <sz val="9"/>
            <color indexed="81"/>
            <rFont val="Tahoma"/>
            <family val="2"/>
          </rPr>
          <t xml:space="preserve">
</t>
        </r>
      </text>
    </comment>
    <comment ref="D35" authorId="0" shapeId="0" xr:uid="{F902FB0F-FDEE-4570-A99D-18CFC017B426}">
      <text>
        <r>
          <rPr>
            <b/>
            <sz val="9"/>
            <color indexed="81"/>
            <rFont val="Tahoma"/>
            <family val="2"/>
          </rPr>
          <t xml:space="preserve">Tania: </t>
        </r>
        <r>
          <rPr>
            <sz val="9"/>
            <color indexed="81"/>
            <rFont val="Tahoma"/>
            <family val="2"/>
          </rPr>
          <t xml:space="preserve">
</t>
        </r>
      </text>
    </comment>
    <comment ref="C36" authorId="0" shapeId="0" xr:uid="{952D4124-9D5B-4E22-9BE0-B3C9D72B376A}">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7974B477-ED52-40C1-AF41-6855F134CB9B}">
      <text>
        <r>
          <rPr>
            <b/>
            <sz val="9"/>
            <color indexed="81"/>
            <rFont val="Tahoma"/>
            <family val="2"/>
          </rPr>
          <t>tania:
Energia</t>
        </r>
        <r>
          <rPr>
            <sz val="9"/>
            <color indexed="81"/>
            <rFont val="Tahoma"/>
            <family val="2"/>
          </rPr>
          <t xml:space="preserve">
la tarifa dic 2022 $907,59/kwh
Ener $919,02kwh
la tarifa feb 2023 $935,38/khw</t>
        </r>
      </text>
    </comment>
    <comment ref="C37" authorId="0" shapeId="0" xr:uid="{3B419BE9-FC28-4A4E-B057-5E91D6B5F37F}">
      <text>
        <r>
          <rPr>
            <b/>
            <sz val="9"/>
            <color indexed="81"/>
            <rFont val="Tahoma"/>
            <family val="2"/>
          </rPr>
          <t xml:space="preserve">Tania:
se tiene plan de telefonia ilimitada  plus e internet 100MG
El servicio incrementa mas del 10% respecto al año 2024 por </t>
        </r>
      </text>
    </comment>
    <comment ref="C38" authorId="1" shapeId="0" xr:uid="{C66FFE5D-7D72-4C84-80B9-14730819029A}">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364FA1DA-29C9-418E-BA5A-F615F240279A}">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9451B514-2453-4B16-9B01-E171358F2295}">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491FE0FC-3A9D-434E-980D-D0A62E07D533}">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72BA9597-CF50-4FE4-9514-115DAC7A3C32}">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F9E00F79-4CE1-4C0F-BE77-666C3A70EE1D}">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DC4C4603-B99D-4EA6-A473-E7C4FB20BBBC}">
      <text>
        <r>
          <rPr>
            <b/>
            <sz val="9"/>
            <color indexed="81"/>
            <rFont val="Tahoma"/>
            <family val="2"/>
          </rPr>
          <t>TANIA: Algunos presupuestos
Mto grama Cancha sintetica, señalización, mto gym, mto pintura reja 
mantenimiento contenedores, citofono</t>
        </r>
      </text>
    </comment>
    <comment ref="C14" authorId="0" shapeId="0" xr:uid="{B0417207-B99D-4386-BB8A-6F416A318180}">
      <text>
        <r>
          <rPr>
            <b/>
            <sz val="9"/>
            <color indexed="81"/>
            <rFont val="Tahoma"/>
            <family val="2"/>
          </rPr>
          <t>Tania: 
inventario  repuestos
27 bombillas led 50w 
3 luminarias solares 150w 
1 reflector 200w solar  
1 luminaria 100 w 
Mano de obra electricos 1.500.000</t>
        </r>
      </text>
    </comment>
    <comment ref="D14" authorId="0" shapeId="0" xr:uid="{057CA1C0-3DB7-4B5B-A986-15731B9849BA}">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FACF4E6C-F7D3-4F35-8D2A-AB5F0C5DD9E4}">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1836365B-A59D-4555-BA0E-A8243E92709D}">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464F2D8B-FD08-40E9-BB6D-A2C2D10ADA2A}">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F12BBDA4-96B3-4F20-ACE1-93F42F714DA3}">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761590C8-7792-4256-8849-617D69E03171}">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AAC7EC60-5E6B-4798-90AF-FB3AEFEA7E82}">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0" authorId="0" shapeId="0" xr:uid="{1B4E52E1-7F15-4B4D-B53F-9E0063E67D50}">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0" authorId="0" shapeId="0" xr:uid="{C90BEC97-699A-4F93-B533-E60FEE5CCD8D}">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1" authorId="0" shapeId="0" xr:uid="{A98304BD-BEC1-49AA-A179-26E059FC9BAD}">
      <text>
        <r>
          <rPr>
            <sz val="9"/>
            <color indexed="81"/>
            <rFont val="Tahoma"/>
            <family val="2"/>
          </rPr>
          <t xml:space="preserve">Refuerzo de vigilancia
Enero 2025 1 al 6  $ 1.751.531,17
Diciembre 2025  $2 225 540
12h diurno 25,28,
12h nocturno 24,25, 26, 27,28, 29, 30, 31
</t>
        </r>
      </text>
    </comment>
    <comment ref="C22" authorId="1" shapeId="0" xr:uid="{696AB9D2-E122-47F2-A509-0DECDA411F1F}">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3" authorId="0" shapeId="0" xr:uid="{4D5D71D2-4903-4D7B-B896-2F5F8936901F}">
      <text>
        <r>
          <rPr>
            <b/>
            <sz val="9"/>
            <color indexed="81"/>
            <rFont val="Tahoma"/>
            <family val="2"/>
          </rPr>
          <t>Tania:Mto preventivo sistema de seguridad. CCTV y cerca electrica</t>
        </r>
        <r>
          <rPr>
            <sz val="9"/>
            <color indexed="81"/>
            <rFont val="Tahoma"/>
            <family val="2"/>
          </rPr>
          <t xml:space="preserve">
$1341 006 anual ; $111.751/mes</t>
        </r>
      </text>
    </comment>
    <comment ref="D23" authorId="0" shapeId="0" xr:uid="{641A65AC-46AB-4B85-9D58-56221B014CB2}">
      <text>
        <r>
          <rPr>
            <b/>
            <sz val="9"/>
            <color indexed="81"/>
            <rFont val="Tahoma"/>
            <family val="2"/>
          </rPr>
          <t>Tania:Mto preventivo sistema de seguridad. CCTV y cerca electrica</t>
        </r>
        <r>
          <rPr>
            <sz val="9"/>
            <color indexed="81"/>
            <rFont val="Tahoma"/>
            <family val="2"/>
          </rPr>
          <t xml:space="preserve">
$1265100 anual ; $105.425/mes</t>
        </r>
      </text>
    </comment>
    <comment ref="C24" authorId="0" shapeId="0" xr:uid="{0F00E14E-F820-4EA7-9E71-A68C364B6350}">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5" authorId="0" shapeId="0" xr:uid="{9FBEF346-27E2-4944-ADAA-2B45DA29F92A}">
      <text>
        <r>
          <rPr>
            <b/>
            <sz val="9"/>
            <color indexed="81"/>
            <rFont val="Tahoma"/>
            <family val="2"/>
          </rPr>
          <t>Tania: Ejecucion-sostenimiento</t>
        </r>
        <r>
          <rPr>
            <sz val="9"/>
            <color indexed="81"/>
            <rFont val="Tahoma"/>
            <family val="2"/>
          </rPr>
          <t xml:space="preserve">
</t>
        </r>
      </text>
    </comment>
    <comment ref="D25" authorId="0" shapeId="0" xr:uid="{ACAD24F5-0C47-4DB7-A32B-5CEF79EB1F02}">
      <text>
        <r>
          <rPr>
            <b/>
            <sz val="9"/>
            <color indexed="81"/>
            <rFont val="Tahoma"/>
            <family val="2"/>
          </rPr>
          <t>Tania: Ejecucion-sostenimiento</t>
        </r>
        <r>
          <rPr>
            <sz val="9"/>
            <color indexed="81"/>
            <rFont val="Tahoma"/>
            <family val="2"/>
          </rPr>
          <t xml:space="preserve">
</t>
        </r>
      </text>
    </comment>
    <comment ref="C26" authorId="1" shapeId="0" xr:uid="{27B286DA-29E0-4658-B69F-4091C0B6FC0B}">
      <text>
        <r>
          <rPr>
            <b/>
            <sz val="10"/>
            <color indexed="81"/>
            <rFont val="Tahoma"/>
            <family val="2"/>
          </rPr>
          <t>Tania Maria Angulo Romero:</t>
        </r>
        <r>
          <rPr>
            <sz val="10"/>
            <color indexed="81"/>
            <rFont val="Tahoma"/>
            <family val="2"/>
          </rPr>
          <t xml:space="preserve">
Recarga de extintores
</t>
        </r>
      </text>
    </comment>
    <comment ref="D26" authorId="1" shapeId="0" xr:uid="{13273208-4A53-48C4-A2C9-8753DE6D45A4}">
      <text>
        <r>
          <rPr>
            <b/>
            <sz val="10"/>
            <color indexed="81"/>
            <rFont val="Tahoma"/>
            <family val="2"/>
          </rPr>
          <t>Tania Maria Angulo Romero:</t>
        </r>
        <r>
          <rPr>
            <sz val="10"/>
            <color indexed="81"/>
            <rFont val="Tahoma"/>
            <family val="2"/>
          </rPr>
          <t xml:space="preserve">
mto extintores 12x $22000
Reposición de 2 extintores 280.000
</t>
        </r>
      </text>
    </comment>
    <comment ref="C27" authorId="0" shapeId="0" xr:uid="{5D0A9CA4-C3B3-427B-9308-407CEFBF13F2}">
      <text>
        <r>
          <rPr>
            <b/>
            <sz val="9"/>
            <color indexed="81"/>
            <rFont val="Tahoma"/>
            <family val="2"/>
          </rPr>
          <t xml:space="preserve">Tania: </t>
        </r>
        <r>
          <rPr>
            <sz val="9"/>
            <color indexed="81"/>
            <rFont val="Tahoma"/>
            <family val="2"/>
          </rPr>
          <t xml:space="preserve">
</t>
        </r>
      </text>
    </comment>
    <comment ref="D27" authorId="0" shapeId="0" xr:uid="{87ED0D72-F2B8-4902-8EC2-39E944E10EEB}">
      <text>
        <r>
          <rPr>
            <b/>
            <sz val="9"/>
            <color indexed="81"/>
            <rFont val="Tahoma"/>
            <family val="2"/>
          </rPr>
          <t xml:space="preserve">Tania: </t>
        </r>
        <r>
          <rPr>
            <sz val="9"/>
            <color indexed="81"/>
            <rFont val="Tahoma"/>
            <family val="2"/>
          </rPr>
          <t xml:space="preserve">
</t>
        </r>
      </text>
    </comment>
    <comment ref="C31" authorId="0" shapeId="0" xr:uid="{FF9967EF-17E3-4FD7-8C96-5331E8578629}">
      <text>
        <r>
          <rPr>
            <b/>
            <sz val="9"/>
            <color indexed="81"/>
            <rFont val="Tahoma"/>
            <family val="2"/>
          </rPr>
          <t>Tania: $60.000 Celebraciones especiales
$200.000 decoracion navidad
$30000 Gastos asamblea</t>
        </r>
        <r>
          <rPr>
            <sz val="9"/>
            <color indexed="81"/>
            <rFont val="Tahoma"/>
            <family val="2"/>
          </rPr>
          <t xml:space="preserve">
</t>
        </r>
      </text>
    </comment>
    <comment ref="D31" authorId="0" shapeId="0" xr:uid="{E8E301FF-1E2E-43C8-AC79-228CEC3B7FAC}">
      <text>
        <r>
          <rPr>
            <b/>
            <sz val="9"/>
            <color indexed="81"/>
            <rFont val="Tahoma"/>
            <family val="2"/>
          </rPr>
          <t>Tania: $60.000 Celebraciones especiales
$200.000 decoracion navidad
$30000 Gastos asamblea</t>
        </r>
        <r>
          <rPr>
            <sz val="9"/>
            <color indexed="81"/>
            <rFont val="Tahoma"/>
            <family val="2"/>
          </rPr>
          <t xml:space="preserve">
</t>
        </r>
      </text>
    </comment>
    <comment ref="C32" authorId="0" shapeId="0" xr:uid="{0EB650E9-F9F1-4177-9231-86106A87E7F9}">
      <text>
        <r>
          <rPr>
            <b/>
            <sz val="9"/>
            <color indexed="81"/>
            <rFont val="Tahoma"/>
            <family val="2"/>
          </rPr>
          <t>Tania: $30.000 gastos de asamblea</t>
        </r>
        <r>
          <rPr>
            <sz val="9"/>
            <color indexed="81"/>
            <rFont val="Tahoma"/>
            <family val="2"/>
          </rPr>
          <t xml:space="preserve">
</t>
        </r>
      </text>
    </comment>
    <comment ref="D32" authorId="0" shapeId="0" xr:uid="{EEEAB615-AF59-4939-8834-4C4A296C346E}">
      <text>
        <r>
          <rPr>
            <b/>
            <sz val="9"/>
            <color indexed="81"/>
            <rFont val="Tahoma"/>
            <family val="2"/>
          </rPr>
          <t>Tania: $30.000 gastos de asamblea</t>
        </r>
        <r>
          <rPr>
            <sz val="9"/>
            <color indexed="81"/>
            <rFont val="Tahoma"/>
            <family val="2"/>
          </rPr>
          <t xml:space="preserve">
</t>
        </r>
      </text>
    </comment>
    <comment ref="C35" authorId="0" shapeId="0" xr:uid="{0A65112F-6031-478C-B013-AAB99B13B7CC}">
      <text>
        <r>
          <rPr>
            <b/>
            <sz val="9"/>
            <color indexed="81"/>
            <rFont val="Tahoma"/>
            <family val="2"/>
          </rPr>
          <t>Tania: Ejecucion-sostenimiento</t>
        </r>
        <r>
          <rPr>
            <sz val="9"/>
            <color indexed="81"/>
            <rFont val="Tahoma"/>
            <family val="2"/>
          </rPr>
          <t xml:space="preserve">
2 fumigaciones
2 refuerzos </t>
        </r>
      </text>
    </comment>
    <comment ref="D35" authorId="0" shapeId="0" xr:uid="{2DEEE714-A9AD-4EB4-B9DD-7A34054D8DDE}">
      <text>
        <r>
          <rPr>
            <b/>
            <sz val="9"/>
            <color indexed="81"/>
            <rFont val="Tahoma"/>
            <family val="2"/>
          </rPr>
          <t>Tania: Ejecucion-sostenimiento</t>
        </r>
        <r>
          <rPr>
            <sz val="9"/>
            <color indexed="81"/>
            <rFont val="Tahoma"/>
            <family val="2"/>
          </rPr>
          <t xml:space="preserve">
</t>
        </r>
      </text>
    </comment>
    <comment ref="C36" authorId="0" shapeId="0" xr:uid="{88F3BBB9-7A0D-49C5-9895-27EF6942A82F}">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A3818E87-F23B-4CE8-8E60-C82819C6485D}">
      <text>
        <r>
          <rPr>
            <b/>
            <sz val="9"/>
            <color indexed="81"/>
            <rFont val="Tahoma"/>
            <family val="2"/>
          </rPr>
          <t>tania:
Energia</t>
        </r>
        <r>
          <rPr>
            <sz val="9"/>
            <color indexed="81"/>
            <rFont val="Tahoma"/>
            <family val="2"/>
          </rPr>
          <t xml:space="preserve">
la tarifa dic 2022 $907,59/kwh
Ener $919,02kwh
la tarifa feb 2023 $935,38/khw</t>
        </r>
      </text>
    </comment>
    <comment ref="C37" authorId="1" shapeId="0" xr:uid="{F1712908-EA8E-4255-BEB4-D693CB7F69B9}">
      <text>
        <r>
          <rPr>
            <b/>
            <sz val="10"/>
            <color indexed="81"/>
            <rFont val="Tahoma"/>
            <family val="2"/>
          </rPr>
          <t>Tania Maria Angulo Romero:</t>
        </r>
        <r>
          <rPr>
            <sz val="10"/>
            <color indexed="81"/>
            <rFont val="Tahoma"/>
            <family val="2"/>
          </rPr>
          <t xml:space="preserve">
</t>
        </r>
      </text>
    </comment>
    <comment ref="C39" authorId="0" shapeId="0" xr:uid="{B942500F-A466-4B0B-B640-380EE9DE0D52}">
      <text>
        <r>
          <rPr>
            <b/>
            <sz val="9"/>
            <color indexed="81"/>
            <rFont val="Tahoma"/>
            <family val="2"/>
          </rPr>
          <t xml:space="preserve">Tania:
se tiene plan de telefonia ilimitada  plus e internet 100MG
El servicio incrementa mas del 10% respecto al año 2024 por </t>
        </r>
      </text>
    </comment>
    <comment ref="C40" authorId="0" shapeId="0" xr:uid="{A9FE1EC6-8E88-4AB7-A57A-E4C0AEC438C7}">
      <text>
        <r>
          <rPr>
            <b/>
            <sz val="9"/>
            <color indexed="81"/>
            <rFont val="Tahoma"/>
            <family val="2"/>
          </rPr>
          <t xml:space="preserve">Tania: </t>
        </r>
        <r>
          <rPr>
            <sz val="9"/>
            <color indexed="81"/>
            <rFont val="Tahoma"/>
            <family val="2"/>
          </rPr>
          <t xml:space="preserve">
Mto del PMIRS  de ley </t>
        </r>
      </text>
    </comment>
    <comment ref="D40" authorId="0" shapeId="0" xr:uid="{6E78C638-9983-4BC3-B21A-A9C6865BA4A5}">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1" authorId="1" shapeId="0" xr:uid="{EF17B7FC-F761-4230-A9C4-2919DFBE1E0E}">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2" authorId="0" shapeId="0" xr:uid="{6E594D17-1135-4CB3-A68E-8FD7419211EE}">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D8F9B600-990F-4EC7-8D25-7B9292C3EBFC}">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20FC69D4-F57A-4CCE-88FC-26B1654759E4}">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CCF24CCC-50FD-4A1D-A0EB-C1E9060B6B4A}">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116B1E02-85AE-4E57-9499-2915A38E2934}">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3CA3A887-0872-4181-8926-66A29E21FD91}">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CBFC0F9B-9EA2-4D6C-BB69-F7515ECC84C6}">
      <text>
        <r>
          <rPr>
            <b/>
            <sz val="9"/>
            <color indexed="81"/>
            <rFont val="Tahoma"/>
            <family val="2"/>
          </rPr>
          <t>TANIA: Algunos presupuestos
Mto grama Cancha sintetica, señalización, mto gym, mto pintura reja 
mantenimiento contenedores, citofono</t>
        </r>
      </text>
    </comment>
    <comment ref="C14" authorId="0" shapeId="0" xr:uid="{6E135785-DE3F-4643-B0FC-474BD3F0DC05}">
      <text>
        <r>
          <rPr>
            <b/>
            <sz val="9"/>
            <color indexed="81"/>
            <rFont val="Tahoma"/>
            <family val="2"/>
          </rPr>
          <t>Tania: 
inventario  repuestos
27 bombillas led 50w 
3 luminarias solares 150w 
1 reflector 200w solar  
1 luminaria 100 w 
Mano de obra electricos 1.500.000</t>
        </r>
      </text>
    </comment>
    <comment ref="D14" authorId="0" shapeId="0" xr:uid="{72073904-D925-4C24-96C1-F13BC081D233}">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2CE1A810-09F8-44BB-9066-3434164FF23B}">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7BD8C898-8AFE-464C-8672-D8B1B1215202}">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F573E5E3-C82F-4657-87BF-FA88ED3A02FD}">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CC3A2BE2-DE8A-478F-A654-B69D7E6C547A}">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3350C918-E538-4AEE-AF92-F85F8C7AAF54}">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9825435F-B9C3-45F6-A01F-11F6BF051273}">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0" authorId="0" shapeId="0" xr:uid="{0165D5C5-976C-4218-A24A-5F0B1FE03B37}">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0" authorId="0" shapeId="0" xr:uid="{C9E47C88-7206-4D4D-A9C0-B78ADE0623A8}">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1" authorId="0" shapeId="0" xr:uid="{FF0278CD-8AA8-4A94-9E7F-2E62CA225CD9}">
      <text>
        <r>
          <rPr>
            <sz val="9"/>
            <color indexed="81"/>
            <rFont val="Tahoma"/>
            <family val="2"/>
          </rPr>
          <t xml:space="preserve">Refuerzo de vigilancia
Enero 2025 1 al 6  $ 1.751.531,17
Diciembre 2025  $2 225 540
12h diurno 25,28,
12h nocturno 24,25, 26, 27,28, 29, 30, 31
</t>
        </r>
      </text>
    </comment>
    <comment ref="C22" authorId="1" shapeId="0" xr:uid="{6543E7EB-BD1E-41E5-BC9E-FD0D63490F76}">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3" authorId="0" shapeId="0" xr:uid="{D3903236-F30A-43DE-8049-10713378B172}">
      <text>
        <r>
          <rPr>
            <b/>
            <sz val="9"/>
            <color indexed="81"/>
            <rFont val="Tahoma"/>
            <family val="2"/>
          </rPr>
          <t>Tania:Mto preventivo sistema de seguridad. CCTV y cerca electrica</t>
        </r>
        <r>
          <rPr>
            <sz val="9"/>
            <color indexed="81"/>
            <rFont val="Tahoma"/>
            <family val="2"/>
          </rPr>
          <t xml:space="preserve">
$1341 006 anual ; $111.751/mes</t>
        </r>
      </text>
    </comment>
    <comment ref="D23" authorId="0" shapeId="0" xr:uid="{97AB5D18-A2EF-43D1-AB1C-1135E7AB1A77}">
      <text>
        <r>
          <rPr>
            <b/>
            <sz val="9"/>
            <color indexed="81"/>
            <rFont val="Tahoma"/>
            <family val="2"/>
          </rPr>
          <t>Tania:Mto preventivo sistema de seguridad. CCTV y cerca electrica</t>
        </r>
        <r>
          <rPr>
            <sz val="9"/>
            <color indexed="81"/>
            <rFont val="Tahoma"/>
            <family val="2"/>
          </rPr>
          <t xml:space="preserve">
$1265100 anual ; $105.425/mes</t>
        </r>
      </text>
    </comment>
    <comment ref="C24" authorId="0" shapeId="0" xr:uid="{4E73B54B-AEF6-4166-BEEC-6D605828E2B8}">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5" authorId="0" shapeId="0" xr:uid="{ED7942F5-4969-49F6-BDAD-812CC0F13366}">
      <text>
        <r>
          <rPr>
            <b/>
            <sz val="9"/>
            <color indexed="81"/>
            <rFont val="Tahoma"/>
            <family val="2"/>
          </rPr>
          <t>Tania: Ejecucion-sostenimiento</t>
        </r>
        <r>
          <rPr>
            <sz val="9"/>
            <color indexed="81"/>
            <rFont val="Tahoma"/>
            <family val="2"/>
          </rPr>
          <t xml:space="preserve">
</t>
        </r>
      </text>
    </comment>
    <comment ref="D25" authorId="0" shapeId="0" xr:uid="{ECCD076A-CDAA-4948-98C8-D56BBDCD07B7}">
      <text>
        <r>
          <rPr>
            <b/>
            <sz val="9"/>
            <color indexed="81"/>
            <rFont val="Tahoma"/>
            <family val="2"/>
          </rPr>
          <t>Tania: Ejecucion-sostenimiento</t>
        </r>
        <r>
          <rPr>
            <sz val="9"/>
            <color indexed="81"/>
            <rFont val="Tahoma"/>
            <family val="2"/>
          </rPr>
          <t xml:space="preserve">
</t>
        </r>
      </text>
    </comment>
    <comment ref="C26" authorId="1" shapeId="0" xr:uid="{36139D65-2B72-4E2E-9709-D1BA59FC5C6C}">
      <text>
        <r>
          <rPr>
            <b/>
            <sz val="10"/>
            <color indexed="81"/>
            <rFont val="Tahoma"/>
            <family val="2"/>
          </rPr>
          <t>Tania Maria Angulo Romero:</t>
        </r>
        <r>
          <rPr>
            <sz val="10"/>
            <color indexed="81"/>
            <rFont val="Tahoma"/>
            <family val="2"/>
          </rPr>
          <t xml:space="preserve">
Recarga de extintores
</t>
        </r>
      </text>
    </comment>
    <comment ref="D26" authorId="1" shapeId="0" xr:uid="{D53C50DD-A47B-43A0-B2E5-E7809782C043}">
      <text>
        <r>
          <rPr>
            <b/>
            <sz val="10"/>
            <color indexed="81"/>
            <rFont val="Tahoma"/>
            <family val="2"/>
          </rPr>
          <t>Tania Maria Angulo Romero:</t>
        </r>
        <r>
          <rPr>
            <sz val="10"/>
            <color indexed="81"/>
            <rFont val="Tahoma"/>
            <family val="2"/>
          </rPr>
          <t xml:space="preserve">
mto extintores 12x $22000
Reposición de 2 extintores 280.000
</t>
        </r>
      </text>
    </comment>
    <comment ref="C27" authorId="0" shapeId="0" xr:uid="{ACEFF7C8-3753-4C49-99A3-2BAF6A89A276}">
      <text>
        <r>
          <rPr>
            <b/>
            <sz val="9"/>
            <color indexed="81"/>
            <rFont val="Tahoma"/>
            <family val="2"/>
          </rPr>
          <t xml:space="preserve">Tania: </t>
        </r>
        <r>
          <rPr>
            <sz val="9"/>
            <color indexed="81"/>
            <rFont val="Tahoma"/>
            <family val="2"/>
          </rPr>
          <t xml:space="preserve">
</t>
        </r>
      </text>
    </comment>
    <comment ref="D27" authorId="0" shapeId="0" xr:uid="{C3F5B157-320E-47F7-A9E4-7487C1223C92}">
      <text>
        <r>
          <rPr>
            <b/>
            <sz val="9"/>
            <color indexed="81"/>
            <rFont val="Tahoma"/>
            <family val="2"/>
          </rPr>
          <t xml:space="preserve">Tania: </t>
        </r>
        <r>
          <rPr>
            <sz val="9"/>
            <color indexed="81"/>
            <rFont val="Tahoma"/>
            <family val="2"/>
          </rPr>
          <t xml:space="preserve">
</t>
        </r>
      </text>
    </comment>
    <comment ref="C31" authorId="0" shapeId="0" xr:uid="{13D2D11D-65F6-430F-951A-C1D5D2FDFC33}">
      <text>
        <r>
          <rPr>
            <b/>
            <sz val="9"/>
            <color indexed="81"/>
            <rFont val="Tahoma"/>
            <family val="2"/>
          </rPr>
          <t>Tania: $60.000 Celebraciones especiales
$200.000 decoracion navidad
$30000 Gastos asamblea</t>
        </r>
        <r>
          <rPr>
            <sz val="9"/>
            <color indexed="81"/>
            <rFont val="Tahoma"/>
            <family val="2"/>
          </rPr>
          <t xml:space="preserve">
</t>
        </r>
      </text>
    </comment>
    <comment ref="D31" authorId="0" shapeId="0" xr:uid="{98B4C068-65B8-4453-8316-9C114FC11F41}">
      <text>
        <r>
          <rPr>
            <b/>
            <sz val="9"/>
            <color indexed="81"/>
            <rFont val="Tahoma"/>
            <family val="2"/>
          </rPr>
          <t>Tania: $60.000 Celebraciones especiales
$200.000 decoracion navidad
$30000 Gastos asamblea</t>
        </r>
        <r>
          <rPr>
            <sz val="9"/>
            <color indexed="81"/>
            <rFont val="Tahoma"/>
            <family val="2"/>
          </rPr>
          <t xml:space="preserve">
</t>
        </r>
      </text>
    </comment>
    <comment ref="C32" authorId="0" shapeId="0" xr:uid="{ADDF3422-372A-42E0-8B65-39D9EF5AFC69}">
      <text>
        <r>
          <rPr>
            <b/>
            <sz val="9"/>
            <color indexed="81"/>
            <rFont val="Tahoma"/>
            <family val="2"/>
          </rPr>
          <t>Tania: $30.000 gastos de asamblea</t>
        </r>
        <r>
          <rPr>
            <sz val="9"/>
            <color indexed="81"/>
            <rFont val="Tahoma"/>
            <family val="2"/>
          </rPr>
          <t xml:space="preserve">
</t>
        </r>
      </text>
    </comment>
    <comment ref="D32" authorId="0" shapeId="0" xr:uid="{B0DEA3F2-0818-45A9-B3D6-4D9DF7FA3EE1}">
      <text>
        <r>
          <rPr>
            <b/>
            <sz val="9"/>
            <color indexed="81"/>
            <rFont val="Tahoma"/>
            <family val="2"/>
          </rPr>
          <t>Tania: $30.000 gastos de asamblea</t>
        </r>
        <r>
          <rPr>
            <sz val="9"/>
            <color indexed="81"/>
            <rFont val="Tahoma"/>
            <family val="2"/>
          </rPr>
          <t xml:space="preserve">
</t>
        </r>
      </text>
    </comment>
    <comment ref="C35" authorId="0" shapeId="0" xr:uid="{9984CCB8-E945-4E8A-85C9-81D7E0F9561C}">
      <text>
        <r>
          <rPr>
            <b/>
            <sz val="9"/>
            <color indexed="81"/>
            <rFont val="Tahoma"/>
            <family val="2"/>
          </rPr>
          <t>Tania: Ejecucion-sostenimiento</t>
        </r>
        <r>
          <rPr>
            <sz val="9"/>
            <color indexed="81"/>
            <rFont val="Tahoma"/>
            <family val="2"/>
          </rPr>
          <t xml:space="preserve">
2 fumigaciones
2 refuerzos </t>
        </r>
      </text>
    </comment>
    <comment ref="D35" authorId="0" shapeId="0" xr:uid="{BA307855-9209-4B34-8F5B-6AB018C7B17E}">
      <text>
        <r>
          <rPr>
            <b/>
            <sz val="9"/>
            <color indexed="81"/>
            <rFont val="Tahoma"/>
            <family val="2"/>
          </rPr>
          <t>Tania: Ejecucion-sostenimiento</t>
        </r>
        <r>
          <rPr>
            <sz val="9"/>
            <color indexed="81"/>
            <rFont val="Tahoma"/>
            <family val="2"/>
          </rPr>
          <t xml:space="preserve">
</t>
        </r>
      </text>
    </comment>
    <comment ref="C36" authorId="0" shapeId="0" xr:uid="{FF120834-21C1-4166-8E43-35D5AFBA5DE7}">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A6AA117A-AD12-4154-B112-03EEA8C486AC}">
      <text>
        <r>
          <rPr>
            <b/>
            <sz val="9"/>
            <color indexed="81"/>
            <rFont val="Tahoma"/>
            <family val="2"/>
          </rPr>
          <t>tania:
Energia</t>
        </r>
        <r>
          <rPr>
            <sz val="9"/>
            <color indexed="81"/>
            <rFont val="Tahoma"/>
            <family val="2"/>
          </rPr>
          <t xml:space="preserve">
la tarifa dic 2022 $907,59/kwh
Ener $919,02kwh
la tarifa feb 2023 $935,38/khw</t>
        </r>
      </text>
    </comment>
    <comment ref="C37" authorId="1" shapeId="0" xr:uid="{B30DDA00-1C80-4DE9-BCD5-E63C14D03BC0}">
      <text>
        <r>
          <rPr>
            <b/>
            <sz val="10"/>
            <color indexed="81"/>
            <rFont val="Tahoma"/>
            <family val="2"/>
          </rPr>
          <t>Tania Maria Angulo Romero:</t>
        </r>
        <r>
          <rPr>
            <sz val="10"/>
            <color indexed="81"/>
            <rFont val="Tahoma"/>
            <family val="2"/>
          </rPr>
          <t xml:space="preserve">
</t>
        </r>
      </text>
    </comment>
    <comment ref="C39" authorId="0" shapeId="0" xr:uid="{287EAB55-C518-405F-B845-CB7381E5EA93}">
      <text>
        <r>
          <rPr>
            <b/>
            <sz val="9"/>
            <color indexed="81"/>
            <rFont val="Tahoma"/>
            <family val="2"/>
          </rPr>
          <t xml:space="preserve">Tania:
se tiene plan de telefonia ilimitada  plus e internet 100MG
El servicio incrementa mas del 10% respecto al año 2024 por </t>
        </r>
      </text>
    </comment>
    <comment ref="C40" authorId="0" shapeId="0" xr:uid="{9F24F8A3-D201-4C73-B3AE-CBE709F3FDE8}">
      <text>
        <r>
          <rPr>
            <b/>
            <sz val="9"/>
            <color indexed="81"/>
            <rFont val="Tahoma"/>
            <family val="2"/>
          </rPr>
          <t xml:space="preserve">Tania: </t>
        </r>
        <r>
          <rPr>
            <sz val="9"/>
            <color indexed="81"/>
            <rFont val="Tahoma"/>
            <family val="2"/>
          </rPr>
          <t xml:space="preserve">
Mto del PMIRS  de ley </t>
        </r>
      </text>
    </comment>
    <comment ref="D40" authorId="0" shapeId="0" xr:uid="{444F221D-024F-4D01-A2F6-7E40C86731E2}">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1" authorId="1" shapeId="0" xr:uid="{A1C5A460-26EA-49B8-BA67-306377AD9071}">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2" authorId="0" shapeId="0" xr:uid="{A995261D-C29F-45B7-BCC3-9D1728F60051}">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B494136B-CA19-4C10-98D4-782258D55A81}">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1EA132FF-FE8B-4A79-BAD6-23A398F468B7}">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6B2B600D-B94E-4E05-A64C-3A7890DD813A}">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491DA076-0105-40B6-ABD2-FECB4634F009}">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9ADB741B-5DB3-4DD7-B8A3-2D5BF79F9674}">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E2ECE8EA-D279-45C0-80B7-836BCF0F905A}">
      <text>
        <r>
          <rPr>
            <b/>
            <sz val="9"/>
            <color indexed="81"/>
            <rFont val="Tahoma"/>
            <family val="2"/>
          </rPr>
          <t>TANIA: Algunos presupuestos
Mto grama Cancha sintetica, señalización, mto gym, mto pintura reja 
mantenimiento contenedores, citofono</t>
        </r>
      </text>
    </comment>
    <comment ref="C14" authorId="0" shapeId="0" xr:uid="{109959B6-630A-4E84-96C0-53E031BB7E7F}">
      <text>
        <r>
          <rPr>
            <b/>
            <sz val="9"/>
            <color indexed="81"/>
            <rFont val="Tahoma"/>
            <family val="2"/>
          </rPr>
          <t>Tania: 
inventario  repuestos
27 bombillas led 50w 
3 luminarias solares 150w 
1 reflector 200w solar  
1 luminaria 100 w 
Mano de obra electricos 1.500.000</t>
        </r>
      </text>
    </comment>
    <comment ref="D14" authorId="0" shapeId="0" xr:uid="{3CCF1A41-C75A-4FB7-A3F6-5A9D69F8C8A3}">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1A971051-D292-4446-A6A1-3FC09EDECC6A}">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B83B2F1B-D4DD-44F1-87DC-9A6B5D4A1D55}">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90EF7839-5F74-4438-96AE-3108529AD112}">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A00BFEB4-8F7F-4B38-BB15-44073C7DA764}">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FC88EC66-37A1-4A00-9F9B-6CC00716DA1F}">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F90E829B-C389-4883-A6E0-0AD460EAAB6A}">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1" authorId="0" shapeId="0" xr:uid="{0C2900C2-5A31-4CA9-98D9-29B27DA600EC}">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1" authorId="0" shapeId="0" xr:uid="{F908FB18-6A8F-4057-88FA-EE0C39CF4584}">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2" authorId="0" shapeId="0" xr:uid="{AAF9A08C-DCE4-434F-A2B7-9E2E37CDCEA9}">
      <text>
        <r>
          <rPr>
            <sz val="9"/>
            <color indexed="81"/>
            <rFont val="Tahoma"/>
            <family val="2"/>
          </rPr>
          <t xml:space="preserve">Refuerzo de vigilancia
Enero 2025 1 al 6  $ 1.751.531,17
Diciembre 2025  $2 225 540
12h diurno 25,28,
12h nocturno 24,25, 26, 27,28, 29, 30, 31
</t>
        </r>
      </text>
    </comment>
    <comment ref="C23" authorId="1" shapeId="0" xr:uid="{0058C39A-65DB-4E8D-A730-F16A5D33088E}">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4" authorId="0" shapeId="0" xr:uid="{FDCB9E5B-4D15-4459-81BC-4A98F29B44E6}">
      <text>
        <r>
          <rPr>
            <b/>
            <sz val="9"/>
            <color indexed="81"/>
            <rFont val="Tahoma"/>
            <family val="2"/>
          </rPr>
          <t>Tania:Mto preventivo sistema de seguridad. CCTV y cerca electrica</t>
        </r>
        <r>
          <rPr>
            <sz val="9"/>
            <color indexed="81"/>
            <rFont val="Tahoma"/>
            <family val="2"/>
          </rPr>
          <t xml:space="preserve">
$1341 006 anual ; $111.751/mes</t>
        </r>
      </text>
    </comment>
    <comment ref="D24" authorId="0" shapeId="0" xr:uid="{99AEAEC3-6BFB-44A2-9F2D-5282E392CEC6}">
      <text>
        <r>
          <rPr>
            <b/>
            <sz val="9"/>
            <color indexed="81"/>
            <rFont val="Tahoma"/>
            <family val="2"/>
          </rPr>
          <t>Tania:Mto preventivo sistema de seguridad. CCTV y cerca electrica</t>
        </r>
        <r>
          <rPr>
            <sz val="9"/>
            <color indexed="81"/>
            <rFont val="Tahoma"/>
            <family val="2"/>
          </rPr>
          <t xml:space="preserve">
$1265100 anual ; $105.425/mes</t>
        </r>
      </text>
    </comment>
    <comment ref="C25" authorId="0" shapeId="0" xr:uid="{E78A7DCC-2BF7-490C-BA9B-171332B4EEA0}">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6" authorId="0" shapeId="0" xr:uid="{09FB9D43-936E-4039-ABCF-BFF8C90FACB4}">
      <text>
        <r>
          <rPr>
            <b/>
            <sz val="9"/>
            <color indexed="81"/>
            <rFont val="Tahoma"/>
            <family val="2"/>
          </rPr>
          <t>Tania: Ejecucion-sostenimiento</t>
        </r>
        <r>
          <rPr>
            <sz val="9"/>
            <color indexed="81"/>
            <rFont val="Tahoma"/>
            <family val="2"/>
          </rPr>
          <t xml:space="preserve">
</t>
        </r>
      </text>
    </comment>
    <comment ref="D26" authorId="0" shapeId="0" xr:uid="{7563A8FA-F236-45A3-886E-A075B14C8246}">
      <text>
        <r>
          <rPr>
            <b/>
            <sz val="9"/>
            <color indexed="81"/>
            <rFont val="Tahoma"/>
            <family val="2"/>
          </rPr>
          <t>Tania: Ejecucion-sostenimiento</t>
        </r>
        <r>
          <rPr>
            <sz val="9"/>
            <color indexed="81"/>
            <rFont val="Tahoma"/>
            <family val="2"/>
          </rPr>
          <t xml:space="preserve">
</t>
        </r>
      </text>
    </comment>
    <comment ref="C27" authorId="1" shapeId="0" xr:uid="{6E954D9B-87A8-4FCE-BA6D-F23DAA360FEC}">
      <text>
        <r>
          <rPr>
            <b/>
            <sz val="10"/>
            <color indexed="81"/>
            <rFont val="Tahoma"/>
            <family val="2"/>
          </rPr>
          <t>Tania Maria Angulo Romero:</t>
        </r>
        <r>
          <rPr>
            <sz val="10"/>
            <color indexed="81"/>
            <rFont val="Tahoma"/>
            <family val="2"/>
          </rPr>
          <t xml:space="preserve">
Recarga de extintores
</t>
        </r>
      </text>
    </comment>
    <comment ref="D27" authorId="1" shapeId="0" xr:uid="{AA0988B5-9748-4F7C-93BD-4A140175B954}">
      <text>
        <r>
          <rPr>
            <b/>
            <sz val="10"/>
            <color indexed="81"/>
            <rFont val="Tahoma"/>
            <family val="2"/>
          </rPr>
          <t>Tania Maria Angulo Romero:</t>
        </r>
        <r>
          <rPr>
            <sz val="10"/>
            <color indexed="81"/>
            <rFont val="Tahoma"/>
            <family val="2"/>
          </rPr>
          <t xml:space="preserve">
mto extintores 12x $22000
Reposición de 2 extintores 280.000
</t>
        </r>
      </text>
    </comment>
    <comment ref="C28" authorId="0" shapeId="0" xr:uid="{0930D846-FCB6-4B62-AF7A-39E45DF3D98C}">
      <text>
        <r>
          <rPr>
            <b/>
            <sz val="9"/>
            <color indexed="81"/>
            <rFont val="Tahoma"/>
            <family val="2"/>
          </rPr>
          <t xml:space="preserve">Tania: </t>
        </r>
        <r>
          <rPr>
            <sz val="9"/>
            <color indexed="81"/>
            <rFont val="Tahoma"/>
            <family val="2"/>
          </rPr>
          <t xml:space="preserve">
</t>
        </r>
      </text>
    </comment>
    <comment ref="D28" authorId="0" shapeId="0" xr:uid="{5FDA09EE-0042-4213-A282-E97A339C79B2}">
      <text>
        <r>
          <rPr>
            <b/>
            <sz val="9"/>
            <color indexed="81"/>
            <rFont val="Tahoma"/>
            <family val="2"/>
          </rPr>
          <t xml:space="preserve">Tania: </t>
        </r>
        <r>
          <rPr>
            <sz val="9"/>
            <color indexed="81"/>
            <rFont val="Tahoma"/>
            <family val="2"/>
          </rPr>
          <t xml:space="preserve">
</t>
        </r>
      </text>
    </comment>
    <comment ref="C32" authorId="0" shapeId="0" xr:uid="{A8CD8C79-2743-4F36-AB68-20E830702E3F}">
      <text>
        <r>
          <rPr>
            <b/>
            <sz val="9"/>
            <color indexed="81"/>
            <rFont val="Tahoma"/>
            <family val="2"/>
          </rPr>
          <t>Tania: $60.000 Celebraciones especiales
$200.000 decoracion navidad
$30000 Gastos asamblea</t>
        </r>
        <r>
          <rPr>
            <sz val="9"/>
            <color indexed="81"/>
            <rFont val="Tahoma"/>
            <family val="2"/>
          </rPr>
          <t xml:space="preserve">
</t>
        </r>
      </text>
    </comment>
    <comment ref="D32" authorId="0" shapeId="0" xr:uid="{A92C8C63-CAB5-40E0-B10E-C8D25D67D5BA}">
      <text>
        <r>
          <rPr>
            <b/>
            <sz val="9"/>
            <color indexed="81"/>
            <rFont val="Tahoma"/>
            <family val="2"/>
          </rPr>
          <t>Tania: $60.000 Celebraciones especiales
$200.000 decoracion navidad
$30000 Gastos asamblea</t>
        </r>
        <r>
          <rPr>
            <sz val="9"/>
            <color indexed="81"/>
            <rFont val="Tahoma"/>
            <family val="2"/>
          </rPr>
          <t xml:space="preserve">
</t>
        </r>
      </text>
    </comment>
    <comment ref="C33" authorId="0" shapeId="0" xr:uid="{C3B66543-62BF-4E81-8D23-CE4190625D14}">
      <text>
        <r>
          <rPr>
            <b/>
            <sz val="9"/>
            <color indexed="81"/>
            <rFont val="Tahoma"/>
            <family val="2"/>
          </rPr>
          <t>Tania: $30.000 gastos de asamblea</t>
        </r>
        <r>
          <rPr>
            <sz val="9"/>
            <color indexed="81"/>
            <rFont val="Tahoma"/>
            <family val="2"/>
          </rPr>
          <t xml:space="preserve">
</t>
        </r>
      </text>
    </comment>
    <comment ref="D33" authorId="0" shapeId="0" xr:uid="{94632493-4746-4B16-A6FF-D54986C98D66}">
      <text>
        <r>
          <rPr>
            <b/>
            <sz val="9"/>
            <color indexed="81"/>
            <rFont val="Tahoma"/>
            <family val="2"/>
          </rPr>
          <t>Tania: $30.000 gastos de asamblea</t>
        </r>
        <r>
          <rPr>
            <sz val="9"/>
            <color indexed="81"/>
            <rFont val="Tahoma"/>
            <family val="2"/>
          </rPr>
          <t xml:space="preserve">
</t>
        </r>
      </text>
    </comment>
    <comment ref="C36" authorId="0" shapeId="0" xr:uid="{C554928F-D0C5-4042-90B6-5111D72DFB76}">
      <text>
        <r>
          <rPr>
            <b/>
            <sz val="9"/>
            <color indexed="81"/>
            <rFont val="Tahoma"/>
            <family val="2"/>
          </rPr>
          <t>Tania: Ejecucion-sostenimiento</t>
        </r>
        <r>
          <rPr>
            <sz val="9"/>
            <color indexed="81"/>
            <rFont val="Tahoma"/>
            <family val="2"/>
          </rPr>
          <t xml:space="preserve">
2 fumigaciones
2 refuerzos </t>
        </r>
      </text>
    </comment>
    <comment ref="D36" authorId="0" shapeId="0" xr:uid="{18CD20BC-BF5C-4587-A9DD-38F5DCC5EA2A}">
      <text>
        <r>
          <rPr>
            <b/>
            <sz val="9"/>
            <color indexed="81"/>
            <rFont val="Tahoma"/>
            <family val="2"/>
          </rPr>
          <t>Tania: Ejecucion-sostenimiento</t>
        </r>
        <r>
          <rPr>
            <sz val="9"/>
            <color indexed="81"/>
            <rFont val="Tahoma"/>
            <family val="2"/>
          </rPr>
          <t xml:space="preserve">
</t>
        </r>
      </text>
    </comment>
    <comment ref="C37" authorId="0" shapeId="0" xr:uid="{70F7EEA9-6D51-47AF-91A2-9E32D089C3F3}">
      <text>
        <r>
          <rPr>
            <b/>
            <sz val="9"/>
            <color indexed="81"/>
            <rFont val="Tahoma"/>
            <family val="2"/>
          </rPr>
          <t>tania:
Energia</t>
        </r>
        <r>
          <rPr>
            <sz val="9"/>
            <color indexed="81"/>
            <rFont val="Tahoma"/>
            <family val="2"/>
          </rPr>
          <t xml:space="preserve">
la tarifa dic 2024 $907,59/kwh
tarifa Ener $891,09kwh
la tarifa feb 2023 $935,38/khw</t>
        </r>
      </text>
    </comment>
    <comment ref="D37" authorId="0" shapeId="0" xr:uid="{857B614C-2BC9-4458-9CEB-5690D4B21FED}">
      <text>
        <r>
          <rPr>
            <b/>
            <sz val="9"/>
            <color indexed="81"/>
            <rFont val="Tahoma"/>
            <family val="2"/>
          </rPr>
          <t>tania:
Energia</t>
        </r>
        <r>
          <rPr>
            <sz val="9"/>
            <color indexed="81"/>
            <rFont val="Tahoma"/>
            <family val="2"/>
          </rPr>
          <t xml:space="preserve">
la tarifa dic 2022 $907,59/kwh
Ener $919,02kwh
la tarifa feb 2023 $935,38/khw</t>
        </r>
      </text>
    </comment>
    <comment ref="C38" authorId="1" shapeId="0" xr:uid="{59C6BDA4-48F8-461F-A191-2663FEE1DCCF}">
      <text>
        <r>
          <rPr>
            <b/>
            <sz val="10"/>
            <color indexed="81"/>
            <rFont val="Tahoma"/>
            <family val="2"/>
          </rPr>
          <t>Tania Maria Angulo Romero:</t>
        </r>
        <r>
          <rPr>
            <sz val="10"/>
            <color indexed="81"/>
            <rFont val="Tahoma"/>
            <family val="2"/>
          </rPr>
          <t xml:space="preserve">
</t>
        </r>
      </text>
    </comment>
    <comment ref="C40" authorId="0" shapeId="0" xr:uid="{0917BB43-D345-4258-9CDC-8C2E51DB8F43}">
      <text>
        <r>
          <rPr>
            <b/>
            <sz val="9"/>
            <color indexed="81"/>
            <rFont val="Tahoma"/>
            <family val="2"/>
          </rPr>
          <t xml:space="preserve">Tania:
se tiene plan de telefonia ilimitada  plus e internet 100MG
El servicio incrementa mas del 10% respecto al año 2024 por </t>
        </r>
      </text>
    </comment>
    <comment ref="C41" authorId="0" shapeId="0" xr:uid="{F5F2C598-EC7C-4694-BCAC-BCB7D6342808}">
      <text>
        <r>
          <rPr>
            <b/>
            <sz val="9"/>
            <color indexed="81"/>
            <rFont val="Tahoma"/>
            <family val="2"/>
          </rPr>
          <t xml:space="preserve">Tania: </t>
        </r>
        <r>
          <rPr>
            <sz val="9"/>
            <color indexed="81"/>
            <rFont val="Tahoma"/>
            <family val="2"/>
          </rPr>
          <t xml:space="preserve">
Mto del PMIRS  de ley </t>
        </r>
      </text>
    </comment>
    <comment ref="D41" authorId="0" shapeId="0" xr:uid="{83085284-31B9-4E4C-99E2-BB8FF6903722}">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2" authorId="1" shapeId="0" xr:uid="{2C3A4B85-C2CD-432F-A30D-8D791609BD22}">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3" authorId="0" shapeId="0" xr:uid="{6A4BB45D-C1D4-4B2A-8244-95A004B8E0EB}">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8" authorId="0" shapeId="0" xr:uid="{E058B5EB-9295-4FEA-9FD0-DE3D8273E25F}">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9" authorId="0" shapeId="0" xr:uid="{18F22113-C007-4CEA-8248-50F7A6D98421}">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20" authorId="0" shapeId="0" xr:uid="{C379B809-A296-4B2C-B911-24AD32F29517}">
      <text>
        <r>
          <rPr>
            <b/>
            <sz val="9"/>
            <color indexed="81"/>
            <rFont val="Tahoma"/>
            <family val="2"/>
          </rPr>
          <t>TANIA: Algunos presupuestos
Mto grama Cancha sintetica, señalización, mto gym, mto pintura reja 
mantenimiento contenedores, citofono</t>
        </r>
      </text>
    </comment>
    <comment ref="G20" authorId="1" shapeId="0" xr:uid="{FC5E5AC9-25B6-46D2-B80C-F49AEEB1DC8F}">
      <text>
        <r>
          <rPr>
            <b/>
            <sz val="10"/>
            <color indexed="81"/>
            <rFont val="Tahoma"/>
            <family val="2"/>
          </rPr>
          <t>Tania Maria Angulo Romero:</t>
        </r>
        <r>
          <rPr>
            <sz val="10"/>
            <color indexed="81"/>
            <rFont val="Tahoma"/>
            <family val="2"/>
          </rPr>
          <t xml:space="preserve">
Mantenimiento mesa pin ón y compra malla mesa pinpon</t>
        </r>
      </text>
    </comment>
    <comment ref="C21" authorId="0" shapeId="0" xr:uid="{998DE7EF-E2AD-45F2-B39C-9E5366B20845}">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22" authorId="0" shapeId="0" xr:uid="{141F83FD-3F66-40A8-9739-1DEA416D7DA5}">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E22" authorId="1" shapeId="0" xr:uid="{35B5480F-EE77-4B13-91ED-0C025653948A}">
      <text>
        <r>
          <rPr>
            <b/>
            <sz val="10"/>
            <color indexed="81"/>
            <rFont val="Tahoma"/>
            <family val="2"/>
          </rPr>
          <t>Tania Maria Angulo Romero:</t>
        </r>
        <r>
          <rPr>
            <sz val="10"/>
            <color indexed="81"/>
            <rFont val="Tahoma"/>
            <family val="2"/>
          </rPr>
          <t xml:space="preserve">
Insumos: Se realizó compra de Cloro al 70%
Análisis de laboratorio</t>
        </r>
      </text>
    </comment>
    <comment ref="G22" authorId="1" shapeId="0" xr:uid="{A68EC3C6-04DD-4D22-B3A9-06A31BFBFB9E}">
      <text>
        <r>
          <rPr>
            <b/>
            <sz val="10"/>
            <color indexed="81"/>
            <rFont val="Tahoma"/>
            <family val="2"/>
          </rPr>
          <t>Tania Maria Angulo Romero:</t>
        </r>
        <r>
          <rPr>
            <sz val="10"/>
            <color indexed="81"/>
            <rFont val="Tahoma"/>
            <family val="2"/>
          </rPr>
          <t xml:space="preserve">
omniquim Cmbio arena filtro $ 471.499.
Analisis piscina $240.202
APC Insumos quim $15000
Reposición telescopio $138516
Imprevisto motor revision $178500
$324473 energia bioclimatica mto calefacción
Mto turco $170568 Industras ovelma
</t>
        </r>
      </text>
    </comment>
    <comment ref="C23" authorId="1" shapeId="0" xr:uid="{841B0FC8-D2C5-4FDC-A805-FFFE3B509418}">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24" authorId="0" shapeId="0" xr:uid="{9841A587-6B7E-4132-84C4-25E772FB6F9B}">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7" authorId="0" shapeId="0" xr:uid="{B210E55A-1650-4F3C-A643-AEF3668048D8}">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supervisión
. El 15 de julio entra en vigencia el decreto 1561 de 2022, el cual establece la tarifa de los servicios de vigilancia se incrementa 9,06 salarios mínimos mensuales legales vigentes con el fin de cubrir costos laborales
Se dispone que los incrementos serán graduales cada año  en julio 2424 9,14 SMMLV , EN JULIO 2025 9,29SMMLV, en julio 15 de 2026 9,32 SMMLV  mas el 10% de del monto calculado para cubrir gastos administrativos y de supervisión
Tarifa del 01 de enero 2024 al 14 de julio 2024   $11.885.207  (incremento del 12,07% ajuste según la superintendencia)
Tarifa del 15 de julio/2024 al 31 de diciembre/2024   $ 11.992.174  (incremento del 0,9 + ajuste adicional según la superintendencia)
Acuerdo Comercial
Descuento 2%  $ 233.271 pronto pago primeros 15 días (actual)  desde enero 2024 al 14 de jul 2024
Descuento 2%   $235.371 /mes del 15 julio 2024 hasta 31 de diciembre de 2024
** .
</t>
        </r>
      </text>
    </comment>
    <comment ref="C30" authorId="0" shapeId="0" xr:uid="{4AA73BE3-312C-4BFC-A833-8CF7A8EBC793}">
      <text>
        <r>
          <rPr>
            <b/>
            <sz val="9"/>
            <color indexed="81"/>
            <rFont val="Tahoma"/>
            <family val="2"/>
          </rPr>
          <t>Tania:Mto preventivo sistema de seguridad. CCTV y cerca eléctrica</t>
        </r>
        <r>
          <rPr>
            <sz val="9"/>
            <color indexed="81"/>
            <rFont val="Tahoma"/>
            <family val="2"/>
          </rPr>
          <t xml:space="preserve">
$1265100 anual ; $105.425/mes</t>
        </r>
      </text>
    </comment>
    <comment ref="G31" authorId="1" shapeId="0" xr:uid="{BF33963A-7CC8-4927-88BC-15170FEC88E7}">
      <text>
        <r>
          <rPr>
            <b/>
            <sz val="10"/>
            <color indexed="81"/>
            <rFont val="Tahoma"/>
            <family val="2"/>
          </rPr>
          <t>Tania Maria Angulo Romero:</t>
        </r>
        <r>
          <rPr>
            <sz val="10"/>
            <color indexed="81"/>
            <rFont val="Tahoma"/>
            <family val="2"/>
          </rPr>
          <t xml:space="preserve">
Brazo espejo y reparación poste</t>
        </r>
      </text>
    </comment>
    <comment ref="C32" authorId="0" shapeId="0" xr:uid="{2C0F14FB-C89A-4CAB-99A3-CE249B056C5F}">
      <text>
        <r>
          <rPr>
            <b/>
            <sz val="9"/>
            <color indexed="81"/>
            <rFont val="Tahoma"/>
            <family val="2"/>
          </rPr>
          <t>Tania: Ejecución-sostenimiento</t>
        </r>
        <r>
          <rPr>
            <sz val="9"/>
            <color indexed="81"/>
            <rFont val="Tahoma"/>
            <family val="2"/>
          </rPr>
          <t xml:space="preserve">
</t>
        </r>
      </text>
    </comment>
    <comment ref="C33" authorId="1" shapeId="0" xr:uid="{7BABFFEA-B81B-453D-A95D-DDB40B26432E}">
      <text>
        <r>
          <rPr>
            <b/>
            <sz val="10"/>
            <color indexed="81"/>
            <rFont val="Tahoma"/>
            <family val="2"/>
          </rPr>
          <t>Tania Maria Angulo Romero:</t>
        </r>
        <r>
          <rPr>
            <sz val="10"/>
            <color indexed="81"/>
            <rFont val="Tahoma"/>
            <family val="2"/>
          </rPr>
          <t xml:space="preserve">
mmto extintores 12x $22000
Reposición de 2 extintores 280.000
</t>
        </r>
      </text>
    </comment>
    <comment ref="C34" authorId="0" shapeId="0" xr:uid="{2163678B-FCDA-4D63-9F5A-9F43EDDACCFA}">
      <text>
        <r>
          <rPr>
            <b/>
            <sz val="9"/>
            <color indexed="81"/>
            <rFont val="Tahoma"/>
            <family val="2"/>
          </rPr>
          <t xml:space="preserve">Tania: </t>
        </r>
        <r>
          <rPr>
            <sz val="9"/>
            <color indexed="81"/>
            <rFont val="Tahoma"/>
            <family val="2"/>
          </rPr>
          <t xml:space="preserve">
</t>
        </r>
      </text>
    </comment>
    <comment ref="C37" authorId="0" shapeId="0" xr:uid="{11798DC5-31EB-4A32-A3F8-FE73C6CC693E}">
      <text>
        <r>
          <rPr>
            <b/>
            <sz val="9"/>
            <color indexed="81"/>
            <rFont val="Tahoma"/>
            <family val="2"/>
          </rPr>
          <t>Tania: $60.000 Celebraciones especiales
$200.000 decoración navidad
$30000 Gastos asamblea</t>
        </r>
        <r>
          <rPr>
            <sz val="9"/>
            <color indexed="81"/>
            <rFont val="Tahoma"/>
            <family val="2"/>
          </rPr>
          <t xml:space="preserve">
</t>
        </r>
      </text>
    </comment>
    <comment ref="C38" authorId="0" shapeId="0" xr:uid="{C03FE561-A571-4198-9D6E-E992162940F4}">
      <text>
        <r>
          <rPr>
            <b/>
            <sz val="9"/>
            <color indexed="81"/>
            <rFont val="Tahoma"/>
            <family val="2"/>
          </rPr>
          <t>Tania: Decoración navidad</t>
        </r>
        <r>
          <rPr>
            <sz val="9"/>
            <color indexed="81"/>
            <rFont val="Tahoma"/>
            <family val="2"/>
          </rPr>
          <t xml:space="preserve">
</t>
        </r>
      </text>
    </comment>
    <comment ref="C39" authorId="0" shapeId="0" xr:uid="{F57342AF-7A8D-4A9D-8A72-C2A9EDA8463E}">
      <text>
        <r>
          <rPr>
            <b/>
            <sz val="9"/>
            <color indexed="81"/>
            <rFont val="Tahoma"/>
            <family val="2"/>
          </rPr>
          <t>Tania: $30.000 gastos de asamblea</t>
        </r>
        <r>
          <rPr>
            <sz val="9"/>
            <color indexed="81"/>
            <rFont val="Tahoma"/>
            <family val="2"/>
          </rPr>
          <t xml:space="preserve">
</t>
        </r>
      </text>
    </comment>
    <comment ref="C41" authorId="0" shapeId="0" xr:uid="{E7471534-916D-4888-A4FA-358208D54BBE}">
      <text>
        <r>
          <rPr>
            <b/>
            <sz val="9"/>
            <color indexed="81"/>
            <rFont val="Tahoma"/>
            <family val="2"/>
          </rPr>
          <t>Tania: Ejecución-sostenimiento</t>
        </r>
        <r>
          <rPr>
            <sz val="9"/>
            <color indexed="81"/>
            <rFont val="Tahoma"/>
            <family val="2"/>
          </rPr>
          <t xml:space="preserve">
</t>
        </r>
      </text>
    </comment>
    <comment ref="C42" authorId="0" shapeId="0" xr:uid="{EC3EBF4C-0191-4AF2-AD97-214331993897}">
      <text>
        <r>
          <rPr>
            <b/>
            <sz val="9"/>
            <color indexed="81"/>
            <rFont val="Tahoma"/>
            <family val="2"/>
          </rPr>
          <t>tania:
Energía</t>
        </r>
        <r>
          <rPr>
            <sz val="9"/>
            <color indexed="81"/>
            <rFont val="Tahoma"/>
            <family val="2"/>
          </rPr>
          <t xml:space="preserve">
la tarifa dic 2022 $907,59/kwh
Ener $919,02kwh
la tarifa feb 2023 $935,38/khw</t>
        </r>
      </text>
    </comment>
    <comment ref="C45" authorId="0" shapeId="0" xr:uid="{169125C6-AF8F-4CCE-ABD7-86469113D2FF}">
      <text>
        <r>
          <rPr>
            <b/>
            <sz val="9"/>
            <color indexed="81"/>
            <rFont val="Tahoma"/>
            <family val="2"/>
          </rPr>
          <t>Tania:
se tenia un plan telefonía ilimitada  internet 60m
se gestiono ante Tigo bussiness planes mas económicos y  obtamos por plan emprendedores telefonía ilimitada plus e internet 100mg  $ 75.000 a partir de la factura de mayo
radicado internet 140537087
radicado telefonía 140537153</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B0F02E03-7A77-4BF4-A548-52253CACE037}">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7A434CAB-385C-4037-8E63-C500122CAFF0}">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A479B120-51EE-4E2B-B0FD-7244E57D5115}">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67E96636-26B4-455C-AE1B-DFEE22BE9240}">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0B185A84-69C5-4CF8-867F-C4D8FD0E5070}">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25747C91-C978-468C-9749-D4790201B464}">
      <text>
        <r>
          <rPr>
            <b/>
            <sz val="9"/>
            <color indexed="81"/>
            <rFont val="Tahoma"/>
            <family val="2"/>
          </rPr>
          <t>TANIA: Algunos presupuestos
Mto grama Cancha sintetica, señalización, mto gym, mto pintura reja 
mantenimiento contenedores, citofono</t>
        </r>
      </text>
    </comment>
    <comment ref="C14" authorId="0" shapeId="0" xr:uid="{B9EDD78E-1674-43B2-9232-108CC3C1D979}">
      <text>
        <r>
          <rPr>
            <b/>
            <sz val="9"/>
            <color indexed="81"/>
            <rFont val="Tahoma"/>
            <family val="2"/>
          </rPr>
          <t>Tania: 
inventario  repuestos
27 bombillas led 50w 
3 luminarias solares 150w 
1 reflector 200w solar  
1 luminaria 100 w 
Mano de obra electricos 1.500.000</t>
        </r>
      </text>
    </comment>
    <comment ref="D14" authorId="0" shapeId="0" xr:uid="{EF78A01B-429D-45D7-8B62-F1165FD49234}">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B944AFD5-8EEC-4FC9-91E3-E60BBBD90765}">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1EFED54A-9F27-4A46-87CC-159DD1388B3D}">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72308A6C-1B9A-4322-BADF-BA0838ADF89A}">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01D961CF-DBF0-4C6C-979D-B497C1CAFF06}">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1EBFCE48-7E63-4CC8-969C-6F24A565B11D}">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3C3602AD-EC61-451C-8DF5-AE380459EA3D}">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1" authorId="0" shapeId="0" xr:uid="{6B135B2F-E39A-4522-8BBE-F1B4C0C6B42F}">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1" authorId="0" shapeId="0" xr:uid="{CD79237A-108D-4EA6-AC9B-2F1047C695B9}">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2" authorId="0" shapeId="0" xr:uid="{908A37D9-0F22-4D95-A0D5-241E81CDDE46}">
      <text>
        <r>
          <rPr>
            <sz val="9"/>
            <color indexed="81"/>
            <rFont val="Tahoma"/>
            <family val="2"/>
          </rPr>
          <t xml:space="preserve">Refuerzo de vigilancia
Enero 2025 1 al 6  $ 1.751.531,17
Diciembre 2025  $2 225 540
12h diurno 25,28,
12h nocturno 24,25, 26, 27,28, 29, 30, 31
</t>
        </r>
      </text>
    </comment>
    <comment ref="C23" authorId="1" shapeId="0" xr:uid="{EA170514-7201-4B21-8815-FE3EB4470F40}">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4" authorId="0" shapeId="0" xr:uid="{0AA2C40A-7992-47CE-A0D8-496225834FB2}">
      <text>
        <r>
          <rPr>
            <b/>
            <sz val="9"/>
            <color indexed="81"/>
            <rFont val="Tahoma"/>
            <family val="2"/>
          </rPr>
          <t>Tania:Mto preventivo sistema de seguridad. CCTV y cerca electrica</t>
        </r>
        <r>
          <rPr>
            <sz val="9"/>
            <color indexed="81"/>
            <rFont val="Tahoma"/>
            <family val="2"/>
          </rPr>
          <t xml:space="preserve">
$1341 006 anual ; $111.751/mes</t>
        </r>
      </text>
    </comment>
    <comment ref="D24" authorId="0" shapeId="0" xr:uid="{8BBBBA96-3607-4D2E-B212-06248351C1D4}">
      <text>
        <r>
          <rPr>
            <b/>
            <sz val="9"/>
            <color indexed="81"/>
            <rFont val="Tahoma"/>
            <family val="2"/>
          </rPr>
          <t>Tania:Mto preventivo sistema de seguridad. CCTV y cerca electrica</t>
        </r>
        <r>
          <rPr>
            <sz val="9"/>
            <color indexed="81"/>
            <rFont val="Tahoma"/>
            <family val="2"/>
          </rPr>
          <t xml:space="preserve">
$1265100 anual ; $105.425/mes</t>
        </r>
      </text>
    </comment>
    <comment ref="C25" authorId="0" shapeId="0" xr:uid="{4AF648B0-9875-4410-8845-9A8FAA294AC8}">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6" authorId="0" shapeId="0" xr:uid="{C177DC61-0F70-4D75-8D8A-5023AE2B226D}">
      <text>
        <r>
          <rPr>
            <b/>
            <sz val="9"/>
            <color indexed="81"/>
            <rFont val="Tahoma"/>
            <family val="2"/>
          </rPr>
          <t>Tania: Ejecucion-sostenimiento</t>
        </r>
        <r>
          <rPr>
            <sz val="9"/>
            <color indexed="81"/>
            <rFont val="Tahoma"/>
            <family val="2"/>
          </rPr>
          <t xml:space="preserve">
</t>
        </r>
      </text>
    </comment>
    <comment ref="D26" authorId="0" shapeId="0" xr:uid="{00382C17-9A38-4093-887E-FEA9D5309FB4}">
      <text>
        <r>
          <rPr>
            <b/>
            <sz val="9"/>
            <color indexed="81"/>
            <rFont val="Tahoma"/>
            <family val="2"/>
          </rPr>
          <t>Tania: Ejecucion-sostenimiento</t>
        </r>
        <r>
          <rPr>
            <sz val="9"/>
            <color indexed="81"/>
            <rFont val="Tahoma"/>
            <family val="2"/>
          </rPr>
          <t xml:space="preserve">
</t>
        </r>
      </text>
    </comment>
    <comment ref="C27" authorId="1" shapeId="0" xr:uid="{8432800F-A35B-4ED9-9BFB-E0DB5CB48148}">
      <text>
        <r>
          <rPr>
            <b/>
            <sz val="10"/>
            <color indexed="81"/>
            <rFont val="Tahoma"/>
            <family val="2"/>
          </rPr>
          <t>Tania Maria Angulo Romero:</t>
        </r>
        <r>
          <rPr>
            <sz val="10"/>
            <color indexed="81"/>
            <rFont val="Tahoma"/>
            <family val="2"/>
          </rPr>
          <t xml:space="preserve">
Recarga de extintores
</t>
        </r>
      </text>
    </comment>
    <comment ref="D27" authorId="1" shapeId="0" xr:uid="{BBC0CCD8-C095-45F0-BE4B-5EB3F1CD773B}">
      <text>
        <r>
          <rPr>
            <b/>
            <sz val="10"/>
            <color indexed="81"/>
            <rFont val="Tahoma"/>
            <family val="2"/>
          </rPr>
          <t>Tania Maria Angulo Romero:</t>
        </r>
        <r>
          <rPr>
            <sz val="10"/>
            <color indexed="81"/>
            <rFont val="Tahoma"/>
            <family val="2"/>
          </rPr>
          <t xml:space="preserve">
mto extintores 12x $22000
Reposición de 2 extintores 280.000
</t>
        </r>
      </text>
    </comment>
    <comment ref="C28" authorId="0" shapeId="0" xr:uid="{D4E2E9AD-8224-448B-B585-3D6D02CC7682}">
      <text>
        <r>
          <rPr>
            <b/>
            <sz val="9"/>
            <color indexed="81"/>
            <rFont val="Tahoma"/>
            <family val="2"/>
          </rPr>
          <t xml:space="preserve">Tania: </t>
        </r>
        <r>
          <rPr>
            <sz val="9"/>
            <color indexed="81"/>
            <rFont val="Tahoma"/>
            <family val="2"/>
          </rPr>
          <t xml:space="preserve">
</t>
        </r>
      </text>
    </comment>
    <comment ref="D28" authorId="0" shapeId="0" xr:uid="{813CBE33-4DF5-4E6E-8C90-9D4952561CAA}">
      <text>
        <r>
          <rPr>
            <b/>
            <sz val="9"/>
            <color indexed="81"/>
            <rFont val="Tahoma"/>
            <family val="2"/>
          </rPr>
          <t xml:space="preserve">Tania: </t>
        </r>
        <r>
          <rPr>
            <sz val="9"/>
            <color indexed="81"/>
            <rFont val="Tahoma"/>
            <family val="2"/>
          </rPr>
          <t xml:space="preserve">
</t>
        </r>
      </text>
    </comment>
    <comment ref="C32" authorId="0" shapeId="0" xr:uid="{CA76AFD2-A97B-4A5C-BAF1-CE2460C7C03C}">
      <text>
        <r>
          <rPr>
            <b/>
            <sz val="9"/>
            <color indexed="81"/>
            <rFont val="Tahoma"/>
            <family val="2"/>
          </rPr>
          <t>Tania: $60.000 Celebraciones especiales
$200.000 decoracion navidad
$30000 Gastos asamblea</t>
        </r>
        <r>
          <rPr>
            <sz val="9"/>
            <color indexed="81"/>
            <rFont val="Tahoma"/>
            <family val="2"/>
          </rPr>
          <t xml:space="preserve">
</t>
        </r>
      </text>
    </comment>
    <comment ref="D32" authorId="0" shapeId="0" xr:uid="{1952F264-FA9F-46B2-A94D-B087C0378F4B}">
      <text>
        <r>
          <rPr>
            <b/>
            <sz val="9"/>
            <color indexed="81"/>
            <rFont val="Tahoma"/>
            <family val="2"/>
          </rPr>
          <t>Tania: $60.000 Celebraciones especiales
$200.000 decoracion navidad
$30000 Gastos asamblea</t>
        </r>
        <r>
          <rPr>
            <sz val="9"/>
            <color indexed="81"/>
            <rFont val="Tahoma"/>
            <family val="2"/>
          </rPr>
          <t xml:space="preserve">
</t>
        </r>
      </text>
    </comment>
    <comment ref="C33" authorId="0" shapeId="0" xr:uid="{FAAACCFA-B00B-42DC-85F3-53A22A8B3278}">
      <text>
        <r>
          <rPr>
            <b/>
            <sz val="9"/>
            <color indexed="81"/>
            <rFont val="Tahoma"/>
            <family val="2"/>
          </rPr>
          <t>Tania: $30.000 gastos de asamblea</t>
        </r>
        <r>
          <rPr>
            <sz val="9"/>
            <color indexed="81"/>
            <rFont val="Tahoma"/>
            <family val="2"/>
          </rPr>
          <t xml:space="preserve">
</t>
        </r>
      </text>
    </comment>
    <comment ref="D33" authorId="0" shapeId="0" xr:uid="{AF2DCA60-B49C-4CBE-8EF8-AD4E32F36F04}">
      <text>
        <r>
          <rPr>
            <b/>
            <sz val="9"/>
            <color indexed="81"/>
            <rFont val="Tahoma"/>
            <family val="2"/>
          </rPr>
          <t>Tania: $30.000 gastos de asamblea</t>
        </r>
        <r>
          <rPr>
            <sz val="9"/>
            <color indexed="81"/>
            <rFont val="Tahoma"/>
            <family val="2"/>
          </rPr>
          <t xml:space="preserve">
</t>
        </r>
      </text>
    </comment>
    <comment ref="C36" authorId="0" shapeId="0" xr:uid="{EBAE79A9-7C33-4DDE-9067-D7F595CD63A3}">
      <text>
        <r>
          <rPr>
            <b/>
            <sz val="9"/>
            <color indexed="81"/>
            <rFont val="Tahoma"/>
            <family val="2"/>
          </rPr>
          <t>Tania: Ejecucion-sostenimiento</t>
        </r>
        <r>
          <rPr>
            <sz val="9"/>
            <color indexed="81"/>
            <rFont val="Tahoma"/>
            <family val="2"/>
          </rPr>
          <t xml:space="preserve">
2 fumigaciones
2 refuerzos </t>
        </r>
      </text>
    </comment>
    <comment ref="D36" authorId="0" shapeId="0" xr:uid="{C016AF51-DEA5-4F31-B243-2743EC87799A}">
      <text>
        <r>
          <rPr>
            <b/>
            <sz val="9"/>
            <color indexed="81"/>
            <rFont val="Tahoma"/>
            <family val="2"/>
          </rPr>
          <t>Tania: Ejecucion-sostenimiento</t>
        </r>
        <r>
          <rPr>
            <sz val="9"/>
            <color indexed="81"/>
            <rFont val="Tahoma"/>
            <family val="2"/>
          </rPr>
          <t xml:space="preserve">
</t>
        </r>
      </text>
    </comment>
    <comment ref="C37" authorId="0" shapeId="0" xr:uid="{ADE871E2-355F-4F76-8A17-74A28BD65F7C}">
      <text>
        <r>
          <rPr>
            <b/>
            <sz val="9"/>
            <color indexed="81"/>
            <rFont val="Tahoma"/>
            <family val="2"/>
          </rPr>
          <t>tania:
Energia</t>
        </r>
        <r>
          <rPr>
            <sz val="9"/>
            <color indexed="81"/>
            <rFont val="Tahoma"/>
            <family val="2"/>
          </rPr>
          <t xml:space="preserve">
la tarifa dic 2024 $907,59/kwh
tarifa Ener $891,09kwh
la tarifa feb 2023 $935,38/khw</t>
        </r>
      </text>
    </comment>
    <comment ref="D37" authorId="0" shapeId="0" xr:uid="{FBBD2CE0-6983-409C-B455-386B2C89B696}">
      <text>
        <r>
          <rPr>
            <b/>
            <sz val="9"/>
            <color indexed="81"/>
            <rFont val="Tahoma"/>
            <family val="2"/>
          </rPr>
          <t>tania:
Energia</t>
        </r>
        <r>
          <rPr>
            <sz val="9"/>
            <color indexed="81"/>
            <rFont val="Tahoma"/>
            <family val="2"/>
          </rPr>
          <t xml:space="preserve">
la tarifa dic 2022 $907,59/kwh
Ener $919,02kwh
la tarifa feb 2023 $935,38/khw</t>
        </r>
      </text>
    </comment>
    <comment ref="C38" authorId="1" shapeId="0" xr:uid="{593B7A2F-42B7-4E7F-B71A-D52CBFD99A28}">
      <text>
        <r>
          <rPr>
            <b/>
            <sz val="10"/>
            <color indexed="81"/>
            <rFont val="Tahoma"/>
            <family val="2"/>
          </rPr>
          <t>Tania Maria Angulo Romero:</t>
        </r>
        <r>
          <rPr>
            <sz val="10"/>
            <color indexed="81"/>
            <rFont val="Tahoma"/>
            <family val="2"/>
          </rPr>
          <t xml:space="preserve">
</t>
        </r>
      </text>
    </comment>
    <comment ref="C40" authorId="0" shapeId="0" xr:uid="{7B9ECB7C-BC59-4ECF-BC0D-BC50102BD3A0}">
      <text>
        <r>
          <rPr>
            <b/>
            <sz val="9"/>
            <color indexed="81"/>
            <rFont val="Tahoma"/>
            <family val="2"/>
          </rPr>
          <t xml:space="preserve">Tania:
se tiene plan de telefonia ilimitada  plus e internet 100MG
El servicio incrementa mas del 10% respecto al año 2024 por </t>
        </r>
      </text>
    </comment>
    <comment ref="C41" authorId="0" shapeId="0" xr:uid="{EE933ECE-E219-4558-A87C-6F6A86A07B72}">
      <text>
        <r>
          <rPr>
            <b/>
            <sz val="9"/>
            <color indexed="81"/>
            <rFont val="Tahoma"/>
            <family val="2"/>
          </rPr>
          <t xml:space="preserve">Tania: </t>
        </r>
        <r>
          <rPr>
            <sz val="9"/>
            <color indexed="81"/>
            <rFont val="Tahoma"/>
            <family val="2"/>
          </rPr>
          <t xml:space="preserve">
Mto del PMIRS  de ley </t>
        </r>
      </text>
    </comment>
    <comment ref="D41" authorId="0" shapeId="0" xr:uid="{3FF20713-4C01-4C9E-8281-E4351A258D57}">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2" authorId="1" shapeId="0" xr:uid="{F2D1E1D2-F479-42AF-B1FA-231F2757F5BA}">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3" authorId="0" shapeId="0" xr:uid="{BBB5D30D-C250-42D3-B5B5-72A7A88DC904}">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2B2EBD0C-A4C3-4DC5-A9A8-1D4004E4FE56}">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7866B8BD-BC10-4802-AD83-B96A698C4BD7}">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076EFE2E-BE01-4BED-8852-DE75455CAAD5}">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4BE517EA-29B0-43D5-B17C-5AD6FABCE6BA}">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D1AA6FFC-E9F0-4EAD-BCD0-4C88CFF832E8}">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3A7F3139-7F19-48CE-B307-8446116691C2}">
      <text>
        <r>
          <rPr>
            <b/>
            <sz val="9"/>
            <color indexed="81"/>
            <rFont val="Tahoma"/>
            <family val="2"/>
          </rPr>
          <t>TANIA: Algunos presupuestos
Mto grama Cancha sintetica, señalización, mto gym, mto pintura reja 
mantenimiento contenedores, citofono</t>
        </r>
      </text>
    </comment>
    <comment ref="C14" authorId="0" shapeId="0" xr:uid="{10A24768-2A85-44F4-8E15-483713EFC483}">
      <text>
        <r>
          <rPr>
            <b/>
            <sz val="9"/>
            <color indexed="81"/>
            <rFont val="Tahoma"/>
            <family val="2"/>
          </rPr>
          <t>Tania: 
inventario  repuestos
27 bombillas led 50w 
3 luminarias solares 150w 
1 reflector 200w solar  
1 luminaria 100 w 
Mano de obra electricos 1.500.000</t>
        </r>
      </text>
    </comment>
    <comment ref="D14" authorId="0" shapeId="0" xr:uid="{8C96E66F-A277-4821-BB56-F1C0F09D447A}">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535E90CA-842C-4B4D-8CA9-A3710BFEE1CA}">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202BF4F2-131B-493C-98B2-D5BE308B8A1F}">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7DBF94E2-0FC1-479B-B968-C91570D8C410}">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8E06AB26-2A78-492F-8F17-EFAC71006E91}">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F47FEE69-2047-4D1F-B855-BB926EC114B9}">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793E1187-C7EF-43A1-9B71-69EEEE459722}">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0" authorId="0" shapeId="0" xr:uid="{DA6D2FC8-CEBD-4D64-BB8F-D7A779BCABE2}">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0" authorId="0" shapeId="0" xr:uid="{C7D3C6F1-F887-4D4D-B005-C19A3337920E}">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1" authorId="0" shapeId="0" xr:uid="{977EE5B8-C318-4610-B646-64023ED05DAE}">
      <text>
        <r>
          <rPr>
            <sz val="9"/>
            <color indexed="81"/>
            <rFont val="Tahoma"/>
            <family val="2"/>
          </rPr>
          <t xml:space="preserve">Refuerzo de vigilancia
Enero 2025 1 al 6  $ 1.751.531,17
Diciembre 2025  $2 225 540
12h diurno 25,28,
12h nocturno 24,25, 26, 27,28, 29, 30, 31
</t>
        </r>
      </text>
    </comment>
    <comment ref="C22" authorId="1" shapeId="0" xr:uid="{74365A00-CA02-43B6-BD29-18BF7734AAFD}">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3" authorId="0" shapeId="0" xr:uid="{99EE7076-9F2E-47E0-B08F-3BF365E3B489}">
      <text>
        <r>
          <rPr>
            <b/>
            <sz val="9"/>
            <color indexed="81"/>
            <rFont val="Tahoma"/>
            <family val="2"/>
          </rPr>
          <t>Tania:Mto preventivo sistema de seguridad. CCTV y cerca electrica</t>
        </r>
        <r>
          <rPr>
            <sz val="9"/>
            <color indexed="81"/>
            <rFont val="Tahoma"/>
            <family val="2"/>
          </rPr>
          <t xml:space="preserve">
$1341 006 anual ; $111.751/mes</t>
        </r>
      </text>
    </comment>
    <comment ref="D23" authorId="0" shapeId="0" xr:uid="{9F6A8563-10C2-485F-9AB0-F0D472FBDB34}">
      <text>
        <r>
          <rPr>
            <b/>
            <sz val="9"/>
            <color indexed="81"/>
            <rFont val="Tahoma"/>
            <family val="2"/>
          </rPr>
          <t>Tania:Mto preventivo sistema de seguridad. CCTV y cerca electrica</t>
        </r>
        <r>
          <rPr>
            <sz val="9"/>
            <color indexed="81"/>
            <rFont val="Tahoma"/>
            <family val="2"/>
          </rPr>
          <t xml:space="preserve">
$1265100 anual ; $105.425/mes</t>
        </r>
      </text>
    </comment>
    <comment ref="C24" authorId="0" shapeId="0" xr:uid="{83E0DC57-A466-40A9-A843-4F5CCBA0B100}">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5" authorId="0" shapeId="0" xr:uid="{55706D7A-D657-4A03-A0F7-BEBFFE2D5B01}">
      <text>
        <r>
          <rPr>
            <b/>
            <sz val="9"/>
            <color indexed="81"/>
            <rFont val="Tahoma"/>
            <family val="2"/>
          </rPr>
          <t>Tania: Ejecucion-sostenimiento</t>
        </r>
        <r>
          <rPr>
            <sz val="9"/>
            <color indexed="81"/>
            <rFont val="Tahoma"/>
            <family val="2"/>
          </rPr>
          <t xml:space="preserve">
</t>
        </r>
      </text>
    </comment>
    <comment ref="D25" authorId="0" shapeId="0" xr:uid="{603F6EB0-A7E6-41E7-B851-B1C05714A76F}">
      <text>
        <r>
          <rPr>
            <b/>
            <sz val="9"/>
            <color indexed="81"/>
            <rFont val="Tahoma"/>
            <family val="2"/>
          </rPr>
          <t>Tania: Ejecucion-sostenimiento</t>
        </r>
        <r>
          <rPr>
            <sz val="9"/>
            <color indexed="81"/>
            <rFont val="Tahoma"/>
            <family val="2"/>
          </rPr>
          <t xml:space="preserve">
</t>
        </r>
      </text>
    </comment>
    <comment ref="C26" authorId="1" shapeId="0" xr:uid="{5253EF27-A8EA-4A8E-A36D-6E60BFD04120}">
      <text>
        <r>
          <rPr>
            <b/>
            <sz val="10"/>
            <color indexed="81"/>
            <rFont val="Tahoma"/>
            <family val="2"/>
          </rPr>
          <t>Tania Maria Angulo Romero:</t>
        </r>
        <r>
          <rPr>
            <sz val="10"/>
            <color indexed="81"/>
            <rFont val="Tahoma"/>
            <family val="2"/>
          </rPr>
          <t xml:space="preserve">
Recarga de extintores
</t>
        </r>
      </text>
    </comment>
    <comment ref="D26" authorId="1" shapeId="0" xr:uid="{75E5272A-52E4-4764-B287-DC5302B0A950}">
      <text>
        <r>
          <rPr>
            <b/>
            <sz val="10"/>
            <color indexed="81"/>
            <rFont val="Tahoma"/>
            <family val="2"/>
          </rPr>
          <t>Tania Maria Angulo Romero:</t>
        </r>
        <r>
          <rPr>
            <sz val="10"/>
            <color indexed="81"/>
            <rFont val="Tahoma"/>
            <family val="2"/>
          </rPr>
          <t xml:space="preserve">
mto extintores 12x $22000
Reposición de 2 extintores 280.000
</t>
        </r>
      </text>
    </comment>
    <comment ref="C27" authorId="0" shapeId="0" xr:uid="{3B556C13-630B-4F9F-8D61-3928EA6968CF}">
      <text>
        <r>
          <rPr>
            <b/>
            <sz val="9"/>
            <color indexed="81"/>
            <rFont val="Tahoma"/>
            <family val="2"/>
          </rPr>
          <t xml:space="preserve">Tania: </t>
        </r>
        <r>
          <rPr>
            <sz val="9"/>
            <color indexed="81"/>
            <rFont val="Tahoma"/>
            <family val="2"/>
          </rPr>
          <t xml:space="preserve">
</t>
        </r>
      </text>
    </comment>
    <comment ref="D27" authorId="0" shapeId="0" xr:uid="{9140BB24-26AA-4D9F-80C8-42CD26D12939}">
      <text>
        <r>
          <rPr>
            <b/>
            <sz val="9"/>
            <color indexed="81"/>
            <rFont val="Tahoma"/>
            <family val="2"/>
          </rPr>
          <t xml:space="preserve">Tania: </t>
        </r>
        <r>
          <rPr>
            <sz val="9"/>
            <color indexed="81"/>
            <rFont val="Tahoma"/>
            <family val="2"/>
          </rPr>
          <t xml:space="preserve">
</t>
        </r>
      </text>
    </comment>
    <comment ref="C31" authorId="0" shapeId="0" xr:uid="{4C2937BC-8A8A-4D83-BC6C-E7B3CE2597E7}">
      <text>
        <r>
          <rPr>
            <b/>
            <sz val="9"/>
            <color indexed="81"/>
            <rFont val="Tahoma"/>
            <family val="2"/>
          </rPr>
          <t>Tania: $60.000 Celebraciones especiales
$200.000 decoracion navidad
$30000 Gastos asamblea</t>
        </r>
        <r>
          <rPr>
            <sz val="9"/>
            <color indexed="81"/>
            <rFont val="Tahoma"/>
            <family val="2"/>
          </rPr>
          <t xml:space="preserve">
</t>
        </r>
      </text>
    </comment>
    <comment ref="D31" authorId="0" shapeId="0" xr:uid="{B12F7811-7D86-44F6-8A7E-4B7FD422E3B6}">
      <text>
        <r>
          <rPr>
            <b/>
            <sz val="9"/>
            <color indexed="81"/>
            <rFont val="Tahoma"/>
            <family val="2"/>
          </rPr>
          <t>Tania: $60.000 Celebraciones especiales
$200.000 decoracion navidad
$30000 Gastos asamblea</t>
        </r>
        <r>
          <rPr>
            <sz val="9"/>
            <color indexed="81"/>
            <rFont val="Tahoma"/>
            <family val="2"/>
          </rPr>
          <t xml:space="preserve">
</t>
        </r>
      </text>
    </comment>
    <comment ref="C32" authorId="0" shapeId="0" xr:uid="{ED660D70-A4DB-407C-929D-82A0B8EEDC16}">
      <text>
        <r>
          <rPr>
            <b/>
            <sz val="9"/>
            <color indexed="81"/>
            <rFont val="Tahoma"/>
            <family val="2"/>
          </rPr>
          <t>Tania: $30.000 gastos de asamblea</t>
        </r>
        <r>
          <rPr>
            <sz val="9"/>
            <color indexed="81"/>
            <rFont val="Tahoma"/>
            <family val="2"/>
          </rPr>
          <t xml:space="preserve">
</t>
        </r>
      </text>
    </comment>
    <comment ref="D32" authorId="0" shapeId="0" xr:uid="{C2C49ED4-520E-4388-875E-86F3EA4FAFAE}">
      <text>
        <r>
          <rPr>
            <b/>
            <sz val="9"/>
            <color indexed="81"/>
            <rFont val="Tahoma"/>
            <family val="2"/>
          </rPr>
          <t>Tania: $30.000 gastos de asamblea</t>
        </r>
        <r>
          <rPr>
            <sz val="9"/>
            <color indexed="81"/>
            <rFont val="Tahoma"/>
            <family val="2"/>
          </rPr>
          <t xml:space="preserve">
</t>
        </r>
      </text>
    </comment>
    <comment ref="C35" authorId="0" shapeId="0" xr:uid="{E4BD234F-5295-4D64-AA44-9F79E7D8726F}">
      <text>
        <r>
          <rPr>
            <b/>
            <sz val="9"/>
            <color indexed="81"/>
            <rFont val="Tahoma"/>
            <family val="2"/>
          </rPr>
          <t>Tania: Ejecucion-sostenimiento</t>
        </r>
        <r>
          <rPr>
            <sz val="9"/>
            <color indexed="81"/>
            <rFont val="Tahoma"/>
            <family val="2"/>
          </rPr>
          <t xml:space="preserve">
2 fumigaciones
2 refuerzos </t>
        </r>
      </text>
    </comment>
    <comment ref="D35" authorId="0" shapeId="0" xr:uid="{6C5A89B6-6745-4E1D-8A1E-8FB30F9CD5E0}">
      <text>
        <r>
          <rPr>
            <b/>
            <sz val="9"/>
            <color indexed="81"/>
            <rFont val="Tahoma"/>
            <family val="2"/>
          </rPr>
          <t>Tania: Ejecucion-sostenimiento</t>
        </r>
        <r>
          <rPr>
            <sz val="9"/>
            <color indexed="81"/>
            <rFont val="Tahoma"/>
            <family val="2"/>
          </rPr>
          <t xml:space="preserve">
</t>
        </r>
      </text>
    </comment>
    <comment ref="C36" authorId="0" shapeId="0" xr:uid="{98A2DFE1-CC03-44EF-9BB4-A4AF212EAA2C}">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16E30DA0-DC93-42BB-9496-C05638F3A865}">
      <text>
        <r>
          <rPr>
            <b/>
            <sz val="9"/>
            <color indexed="81"/>
            <rFont val="Tahoma"/>
            <family val="2"/>
          </rPr>
          <t>tania:
Energia</t>
        </r>
        <r>
          <rPr>
            <sz val="9"/>
            <color indexed="81"/>
            <rFont val="Tahoma"/>
            <family val="2"/>
          </rPr>
          <t xml:space="preserve">
la tarifa dic 2022 $907,59/kwh
Ener $919,02kwh
la tarifa feb 2023 $935,38/khw</t>
        </r>
      </text>
    </comment>
    <comment ref="C37" authorId="1" shapeId="0" xr:uid="{23B6D562-A70D-4140-9592-A00DE81342C2}">
      <text>
        <r>
          <rPr>
            <b/>
            <sz val="10"/>
            <color indexed="81"/>
            <rFont val="Tahoma"/>
            <family val="2"/>
          </rPr>
          <t>Tania Maria Angulo Romero:</t>
        </r>
        <r>
          <rPr>
            <sz val="10"/>
            <color indexed="81"/>
            <rFont val="Tahoma"/>
            <family val="2"/>
          </rPr>
          <t xml:space="preserve">
</t>
        </r>
      </text>
    </comment>
    <comment ref="C39" authorId="0" shapeId="0" xr:uid="{5B80B509-DB6A-4CAE-B45A-1AADAC499726}">
      <text>
        <r>
          <rPr>
            <b/>
            <sz val="9"/>
            <color indexed="81"/>
            <rFont val="Tahoma"/>
            <family val="2"/>
          </rPr>
          <t xml:space="preserve">Tania:
se tiene plan de telefonia ilimitada  plus e internet 100MG
El servicio incrementa mas del 10% respecto al año 2024 por </t>
        </r>
      </text>
    </comment>
    <comment ref="C40" authorId="0" shapeId="0" xr:uid="{FC8DB402-D404-435C-9E18-9B321B2D0217}">
      <text>
        <r>
          <rPr>
            <b/>
            <sz val="9"/>
            <color indexed="81"/>
            <rFont val="Tahoma"/>
            <family val="2"/>
          </rPr>
          <t xml:space="preserve">Tania: </t>
        </r>
        <r>
          <rPr>
            <sz val="9"/>
            <color indexed="81"/>
            <rFont val="Tahoma"/>
            <family val="2"/>
          </rPr>
          <t xml:space="preserve">
Mto del PMIRS  de ley </t>
        </r>
      </text>
    </comment>
    <comment ref="D40" authorId="0" shapeId="0" xr:uid="{4729B86F-27F1-4590-874A-FDF382B6035F}">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1" authorId="1" shapeId="0" xr:uid="{B830CB3B-D1BF-43E8-880C-107BDA46E6C6}">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2" authorId="0" shapeId="0" xr:uid="{54300F73-D3D8-4FD2-9DA8-6DFC8E6DFF7B}">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603C231F-9CF9-4AD0-B03A-8F807E62B6A8}">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A477292B-53F9-4776-ADE6-C009B9BF8CAC}">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FC21C744-ECCD-46E3-95B9-95D86940B135}">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BE868118-9A4B-4E10-80DC-D231D7D489A5}">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B094009B-F0B1-47FB-99A8-833EFA35B6A2}">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16C3377C-CEFE-401C-AFDD-00B3F523FFE6}">
      <text>
        <r>
          <rPr>
            <b/>
            <sz val="9"/>
            <color indexed="81"/>
            <rFont val="Tahoma"/>
            <family val="2"/>
          </rPr>
          <t>TANIA: Algunos presupuestos
Mto grama Cancha sintetica, señalización, mto gym, mto pintura reja 
mantenimiento contenedores, citofono</t>
        </r>
      </text>
    </comment>
    <comment ref="C14" authorId="0" shapeId="0" xr:uid="{1F270D25-63F9-4E1D-B9D4-30AE424F11F4}">
      <text>
        <r>
          <rPr>
            <b/>
            <sz val="9"/>
            <color indexed="81"/>
            <rFont val="Tahoma"/>
            <family val="2"/>
          </rPr>
          <t>Tania: 
inventario  repuestos
27 bombillas led 50w 
3 luminarias solares 150w 
1 reflector 200w solar  
1 luminaria 100 w 
Mano de obra electricos 1.500.000</t>
        </r>
      </text>
    </comment>
    <comment ref="D14" authorId="0" shapeId="0" xr:uid="{4F50E191-59C3-4DAB-84B5-5F0A7FD80896}">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AFF905F4-11E9-413D-A27A-865A89E584BC}">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298E70B9-227A-40F2-BB1D-0FB9BBEEADBE}">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B21D8613-845C-42D5-A0BF-12DA5C58C101}">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F1A81BF7-D4F3-428C-B42C-F9B3191BC96D}">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AAA7E6BE-0626-4213-A793-EE8BCC4FF8E7}">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8EC0081E-7DD6-4ED6-98A5-776D29894337}">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1" authorId="0" shapeId="0" xr:uid="{C2FA3248-712A-417F-ABD5-6F997289F669}">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1" authorId="0" shapeId="0" xr:uid="{BE7501FA-F721-4DDF-B5D5-BF5F48446F55}">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2" authorId="0" shapeId="0" xr:uid="{BD3BF59F-B54D-4BF5-BCC2-E4CF87B0A701}">
      <text>
        <r>
          <rPr>
            <sz val="9"/>
            <color indexed="81"/>
            <rFont val="Tahoma"/>
            <family val="2"/>
          </rPr>
          <t xml:space="preserve">Refuerzo de vigilancia
Enero 2025 1 al 6  $ 1.751.531,17
Diciembre 2025  $2 225 540
12h diurno 25,28,
12h nocturno 24,25, 26, 27,28, 29, 30, 31
</t>
        </r>
      </text>
    </comment>
    <comment ref="C23" authorId="1" shapeId="0" xr:uid="{D7DC1343-E88E-4A2E-871F-AAB2D4C2E565}">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4" authorId="0" shapeId="0" xr:uid="{32F5862A-4E9D-4AD1-ACB1-1CC8A1DC1B0C}">
      <text>
        <r>
          <rPr>
            <b/>
            <sz val="9"/>
            <color indexed="81"/>
            <rFont val="Tahoma"/>
            <family val="2"/>
          </rPr>
          <t>Tania:Mto preventivo sistema de seguridad. CCTV y cerca electrica</t>
        </r>
        <r>
          <rPr>
            <sz val="9"/>
            <color indexed="81"/>
            <rFont val="Tahoma"/>
            <family val="2"/>
          </rPr>
          <t xml:space="preserve">
$1341 006 anual ; $111.751/mes</t>
        </r>
      </text>
    </comment>
    <comment ref="D24" authorId="0" shapeId="0" xr:uid="{6ACBD45C-45FE-4BC4-8A06-F1969EF85F02}">
      <text>
        <r>
          <rPr>
            <b/>
            <sz val="9"/>
            <color indexed="81"/>
            <rFont val="Tahoma"/>
            <family val="2"/>
          </rPr>
          <t>Tania:Mto preventivo sistema de seguridad. CCTV y cerca electrica</t>
        </r>
        <r>
          <rPr>
            <sz val="9"/>
            <color indexed="81"/>
            <rFont val="Tahoma"/>
            <family val="2"/>
          </rPr>
          <t xml:space="preserve">
$1265100 anual ; $105.425/mes</t>
        </r>
      </text>
    </comment>
    <comment ref="C25" authorId="0" shapeId="0" xr:uid="{E1DAE5B0-67EE-45F7-A009-F3A960A47C2B}">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6" authorId="0" shapeId="0" xr:uid="{14C2576C-E359-43A3-A985-31D8CA912AD6}">
      <text>
        <r>
          <rPr>
            <b/>
            <sz val="9"/>
            <color indexed="81"/>
            <rFont val="Tahoma"/>
            <family val="2"/>
          </rPr>
          <t>Tania: Ejecucion-sostenimiento</t>
        </r>
        <r>
          <rPr>
            <sz val="9"/>
            <color indexed="81"/>
            <rFont val="Tahoma"/>
            <family val="2"/>
          </rPr>
          <t xml:space="preserve">
</t>
        </r>
      </text>
    </comment>
    <comment ref="D26" authorId="0" shapeId="0" xr:uid="{2E54121F-7DD3-4B0D-92CE-3F0B427A1087}">
      <text>
        <r>
          <rPr>
            <b/>
            <sz val="9"/>
            <color indexed="81"/>
            <rFont val="Tahoma"/>
            <family val="2"/>
          </rPr>
          <t>Tania: Ejecucion-sostenimiento</t>
        </r>
        <r>
          <rPr>
            <sz val="9"/>
            <color indexed="81"/>
            <rFont val="Tahoma"/>
            <family val="2"/>
          </rPr>
          <t xml:space="preserve">
</t>
        </r>
      </text>
    </comment>
    <comment ref="C27" authorId="1" shapeId="0" xr:uid="{5F27ED60-98EE-40BB-A749-55F982002B65}">
      <text>
        <r>
          <rPr>
            <b/>
            <sz val="10"/>
            <color indexed="81"/>
            <rFont val="Tahoma"/>
            <family val="2"/>
          </rPr>
          <t>Tania Maria Angulo Romero:</t>
        </r>
        <r>
          <rPr>
            <sz val="10"/>
            <color indexed="81"/>
            <rFont val="Tahoma"/>
            <family val="2"/>
          </rPr>
          <t xml:space="preserve">
Recarga de extintores
</t>
        </r>
      </text>
    </comment>
    <comment ref="D27" authorId="1" shapeId="0" xr:uid="{80379C48-2ADB-4591-A03A-37A4DDFA3C9C}">
      <text>
        <r>
          <rPr>
            <b/>
            <sz val="10"/>
            <color indexed="81"/>
            <rFont val="Tahoma"/>
            <family val="2"/>
          </rPr>
          <t>Tania Maria Angulo Romero:</t>
        </r>
        <r>
          <rPr>
            <sz val="10"/>
            <color indexed="81"/>
            <rFont val="Tahoma"/>
            <family val="2"/>
          </rPr>
          <t xml:space="preserve">
mto extintores 12x $22000
Reposición de 2 extintores 280.000
</t>
        </r>
      </text>
    </comment>
    <comment ref="C28" authorId="0" shapeId="0" xr:uid="{49BF2FD5-A29F-4242-9FAD-217832A51C48}">
      <text>
        <r>
          <rPr>
            <b/>
            <sz val="9"/>
            <color indexed="81"/>
            <rFont val="Tahoma"/>
            <family val="2"/>
          </rPr>
          <t xml:space="preserve">Tania: </t>
        </r>
        <r>
          <rPr>
            <sz val="9"/>
            <color indexed="81"/>
            <rFont val="Tahoma"/>
            <family val="2"/>
          </rPr>
          <t xml:space="preserve">
</t>
        </r>
      </text>
    </comment>
    <comment ref="D28" authorId="0" shapeId="0" xr:uid="{50E6F1D8-D8A2-45CE-B55A-3CFA7AEF5080}">
      <text>
        <r>
          <rPr>
            <b/>
            <sz val="9"/>
            <color indexed="81"/>
            <rFont val="Tahoma"/>
            <family val="2"/>
          </rPr>
          <t xml:space="preserve">Tania: </t>
        </r>
        <r>
          <rPr>
            <sz val="9"/>
            <color indexed="81"/>
            <rFont val="Tahoma"/>
            <family val="2"/>
          </rPr>
          <t xml:space="preserve">
</t>
        </r>
      </text>
    </comment>
    <comment ref="C32" authorId="0" shapeId="0" xr:uid="{6AB0DDC3-59F1-4175-89DB-BF6E87A44CC5}">
      <text>
        <r>
          <rPr>
            <b/>
            <sz val="9"/>
            <color indexed="81"/>
            <rFont val="Tahoma"/>
            <family val="2"/>
          </rPr>
          <t>Tania: $60.000 Celebraciones especiales
$200.000 decoracion navidad
$30000 Gastos asamblea</t>
        </r>
        <r>
          <rPr>
            <sz val="9"/>
            <color indexed="81"/>
            <rFont val="Tahoma"/>
            <family val="2"/>
          </rPr>
          <t xml:space="preserve">
</t>
        </r>
      </text>
    </comment>
    <comment ref="D32" authorId="0" shapeId="0" xr:uid="{DB93C0C8-EC93-4C16-950D-1DF88619BD6C}">
      <text>
        <r>
          <rPr>
            <b/>
            <sz val="9"/>
            <color indexed="81"/>
            <rFont val="Tahoma"/>
            <family val="2"/>
          </rPr>
          <t>Tania: $60.000 Celebraciones especiales
$200.000 decoracion navidad
$30000 Gastos asamblea</t>
        </r>
        <r>
          <rPr>
            <sz val="9"/>
            <color indexed="81"/>
            <rFont val="Tahoma"/>
            <family val="2"/>
          </rPr>
          <t xml:space="preserve">
</t>
        </r>
      </text>
    </comment>
    <comment ref="C33" authorId="0" shapeId="0" xr:uid="{613B113B-2559-4C6B-BDBB-C0771807DB8F}">
      <text>
        <r>
          <rPr>
            <b/>
            <sz val="9"/>
            <color indexed="81"/>
            <rFont val="Tahoma"/>
            <family val="2"/>
          </rPr>
          <t>Tania: $30.000 gastos de asamblea</t>
        </r>
        <r>
          <rPr>
            <sz val="9"/>
            <color indexed="81"/>
            <rFont val="Tahoma"/>
            <family val="2"/>
          </rPr>
          <t xml:space="preserve">
</t>
        </r>
      </text>
    </comment>
    <comment ref="D33" authorId="0" shapeId="0" xr:uid="{F57307D0-2BE3-4416-8CC6-05769E201C1C}">
      <text>
        <r>
          <rPr>
            <b/>
            <sz val="9"/>
            <color indexed="81"/>
            <rFont val="Tahoma"/>
            <family val="2"/>
          </rPr>
          <t>Tania: $30.000 gastos de asamblea</t>
        </r>
        <r>
          <rPr>
            <sz val="9"/>
            <color indexed="81"/>
            <rFont val="Tahoma"/>
            <family val="2"/>
          </rPr>
          <t xml:space="preserve">
</t>
        </r>
      </text>
    </comment>
    <comment ref="C36" authorId="0" shapeId="0" xr:uid="{0EB7213B-F884-4209-94BC-2F37E924AF1E}">
      <text>
        <r>
          <rPr>
            <b/>
            <sz val="9"/>
            <color indexed="81"/>
            <rFont val="Tahoma"/>
            <family val="2"/>
          </rPr>
          <t>Tania: Ejecucion-sostenimiento</t>
        </r>
        <r>
          <rPr>
            <sz val="9"/>
            <color indexed="81"/>
            <rFont val="Tahoma"/>
            <family val="2"/>
          </rPr>
          <t xml:space="preserve">
2 fumigaciones
2 refuerzos </t>
        </r>
      </text>
    </comment>
    <comment ref="D36" authorId="0" shapeId="0" xr:uid="{854DA013-6D8C-409F-A40B-C62B89F1C9CC}">
      <text>
        <r>
          <rPr>
            <b/>
            <sz val="9"/>
            <color indexed="81"/>
            <rFont val="Tahoma"/>
            <family val="2"/>
          </rPr>
          <t>Tania: Ejecucion-sostenimiento</t>
        </r>
        <r>
          <rPr>
            <sz val="9"/>
            <color indexed="81"/>
            <rFont val="Tahoma"/>
            <family val="2"/>
          </rPr>
          <t xml:space="preserve">
</t>
        </r>
      </text>
    </comment>
    <comment ref="C37" authorId="0" shapeId="0" xr:uid="{D8BEEB2D-9C7E-4C98-B64C-F3DCCE95C39E}">
      <text>
        <r>
          <rPr>
            <b/>
            <sz val="9"/>
            <color indexed="81"/>
            <rFont val="Tahoma"/>
            <family val="2"/>
          </rPr>
          <t>tania:
Energia</t>
        </r>
        <r>
          <rPr>
            <sz val="9"/>
            <color indexed="81"/>
            <rFont val="Tahoma"/>
            <family val="2"/>
          </rPr>
          <t xml:space="preserve">
la tarifa dic 2024 $907,59/kwh
tarifa Ener $891,09kwh
la tarifa feb 2023 $935,38/khw</t>
        </r>
      </text>
    </comment>
    <comment ref="D37" authorId="0" shapeId="0" xr:uid="{F7703BE0-5266-4978-8007-6AB2C7AAAF27}">
      <text>
        <r>
          <rPr>
            <b/>
            <sz val="9"/>
            <color indexed="81"/>
            <rFont val="Tahoma"/>
            <family val="2"/>
          </rPr>
          <t>tania:
Energia</t>
        </r>
        <r>
          <rPr>
            <sz val="9"/>
            <color indexed="81"/>
            <rFont val="Tahoma"/>
            <family val="2"/>
          </rPr>
          <t xml:space="preserve">
la tarifa dic 2022 $907,59/kwh
Ener $919,02kwh
la tarifa feb 2023 $935,38/khw</t>
        </r>
      </text>
    </comment>
    <comment ref="C38" authorId="1" shapeId="0" xr:uid="{F8C7F2F9-EB16-49C3-A51F-C907E24CD8B1}">
      <text>
        <r>
          <rPr>
            <b/>
            <sz val="10"/>
            <color indexed="81"/>
            <rFont val="Tahoma"/>
            <family val="2"/>
          </rPr>
          <t>Tania Maria Angulo Romero:</t>
        </r>
        <r>
          <rPr>
            <sz val="10"/>
            <color indexed="81"/>
            <rFont val="Tahoma"/>
            <family val="2"/>
          </rPr>
          <t xml:space="preserve">
</t>
        </r>
      </text>
    </comment>
    <comment ref="C40" authorId="0" shapeId="0" xr:uid="{97226E43-AB95-478E-9D6A-9130D57E200A}">
      <text>
        <r>
          <rPr>
            <b/>
            <sz val="9"/>
            <color indexed="81"/>
            <rFont val="Tahoma"/>
            <family val="2"/>
          </rPr>
          <t xml:space="preserve">Tania:
se tiene plan de telefonia ilimitada  plus e internet 100MG
El servicio incrementa mas del 10% respecto al año 2024 por </t>
        </r>
      </text>
    </comment>
    <comment ref="C41" authorId="0" shapeId="0" xr:uid="{655D82D4-9414-4F46-B7E5-2962F0E9FD42}">
      <text>
        <r>
          <rPr>
            <b/>
            <sz val="9"/>
            <color indexed="81"/>
            <rFont val="Tahoma"/>
            <family val="2"/>
          </rPr>
          <t xml:space="preserve">Tania: </t>
        </r>
        <r>
          <rPr>
            <sz val="9"/>
            <color indexed="81"/>
            <rFont val="Tahoma"/>
            <family val="2"/>
          </rPr>
          <t xml:space="preserve">
Mto del PMIRS  de ley </t>
        </r>
      </text>
    </comment>
    <comment ref="D41" authorId="0" shapeId="0" xr:uid="{7BF3DD9E-6C74-4F92-AF77-99D5A7D4E7D3}">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2" authorId="1" shapeId="0" xr:uid="{E0EDF0C4-ED9F-4F38-8A87-AECB3CF6EABB}">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3" authorId="0" shapeId="0" xr:uid="{3B6AD7E8-FBC9-47B0-BC9A-6DB4159ED2C2}">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243468DD-597D-462D-AB4D-449A4FC3219E}">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3557F828-C5B6-48BC-A756-A86D878FECF4}">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12DF2ED8-C8BA-48B3-9031-3986382AB39F}">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FBB350CD-C4B5-48A2-8120-970916A3CB7E}">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197EDF32-BECC-4BB0-96C5-CE02DBA25ECE}">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A87F55CD-880C-4A0B-9720-5E0942326A4D}">
      <text>
        <r>
          <rPr>
            <b/>
            <sz val="9"/>
            <color indexed="81"/>
            <rFont val="Tahoma"/>
            <family val="2"/>
          </rPr>
          <t>TANIA: Algunos presupuestos
Mto grama Cancha sintetica, señalización, mto gym, mto pintura reja 
mantenimiento contenedores, citofono</t>
        </r>
      </text>
    </comment>
    <comment ref="C14" authorId="0" shapeId="0" xr:uid="{C5ADC161-7B37-4FB3-A220-35012B64EF64}">
      <text>
        <r>
          <rPr>
            <b/>
            <sz val="9"/>
            <color indexed="81"/>
            <rFont val="Tahoma"/>
            <family val="2"/>
          </rPr>
          <t>Tania: 
inventario  repuestos
27 bombillas led 50w 
3 luminarias solares 150w 
1 reflector 200w solar  
1 luminaria 100 w 
Mano de obra electricos 1.500.000</t>
        </r>
      </text>
    </comment>
    <comment ref="D14" authorId="0" shapeId="0" xr:uid="{86BC591B-8955-4DAA-9BD8-23E0A06FB772}">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C86A6166-D5DF-4322-8EB3-038423862642}">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EF3CC1D3-FFC0-4EC3-BDFD-A1046ACB7532}">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E48CB719-01F8-4EF5-860A-DA70933D034C}">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8C879A6C-4178-4BF1-887D-E655E3FE74C9}">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6466FD45-5A50-4C83-ABCC-195A9470F8A5}">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F0F871F7-1F40-411E-A2F3-E58383D5687A}">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0" authorId="0" shapeId="0" xr:uid="{C8B61482-2707-4340-8419-5A3BE0F96269}">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0" authorId="0" shapeId="0" xr:uid="{4981D711-404C-46CA-98A3-ADA2CCD17DC8}">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1" authorId="0" shapeId="0" xr:uid="{4952BA8B-1C24-43DF-A503-A1ED4C2EA0E7}">
      <text>
        <r>
          <rPr>
            <sz val="9"/>
            <color indexed="81"/>
            <rFont val="Tahoma"/>
            <family val="2"/>
          </rPr>
          <t xml:space="preserve">Refuerzo de vigilancia
Enero 2025 1 al 6  $ 1.751.531,17
Diciembre 2025  $2 225 540
12h diurno 25,28,
12h nocturno 24,25, 26, 27,28, 29, 30, 31
</t>
        </r>
      </text>
    </comment>
    <comment ref="C22" authorId="1" shapeId="0" xr:uid="{3E65946C-96D2-40AE-8A01-478EF5F2BDFB}">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3" authorId="0" shapeId="0" xr:uid="{C094E657-CB1F-4B3B-98C3-7A0D7025F7C4}">
      <text>
        <r>
          <rPr>
            <b/>
            <sz val="9"/>
            <color indexed="81"/>
            <rFont val="Tahoma"/>
            <family val="2"/>
          </rPr>
          <t>Tania:Mto preventivo sistema de seguridad. CCTV y cerca electrica</t>
        </r>
        <r>
          <rPr>
            <sz val="9"/>
            <color indexed="81"/>
            <rFont val="Tahoma"/>
            <family val="2"/>
          </rPr>
          <t xml:space="preserve">
$1341 006 anual ; $111.751/mes</t>
        </r>
      </text>
    </comment>
    <comment ref="D23" authorId="0" shapeId="0" xr:uid="{1BB83368-8425-45AD-97DF-EE75A0C6F990}">
      <text>
        <r>
          <rPr>
            <b/>
            <sz val="9"/>
            <color indexed="81"/>
            <rFont val="Tahoma"/>
            <family val="2"/>
          </rPr>
          <t>Tania:Mto preventivo sistema de seguridad. CCTV y cerca electrica</t>
        </r>
        <r>
          <rPr>
            <sz val="9"/>
            <color indexed="81"/>
            <rFont val="Tahoma"/>
            <family val="2"/>
          </rPr>
          <t xml:space="preserve">
$1265100 anual ; $105.425/mes</t>
        </r>
      </text>
    </comment>
    <comment ref="C24" authorId="0" shapeId="0" xr:uid="{BE664617-8410-4CA5-9C27-8C08872E69CC}">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5" authorId="0" shapeId="0" xr:uid="{FD80620D-24C1-4F92-BB73-AE40AA023AF3}">
      <text>
        <r>
          <rPr>
            <b/>
            <sz val="9"/>
            <color indexed="81"/>
            <rFont val="Tahoma"/>
            <family val="2"/>
          </rPr>
          <t>Tania: Ejecucion-sostenimiento</t>
        </r>
        <r>
          <rPr>
            <sz val="9"/>
            <color indexed="81"/>
            <rFont val="Tahoma"/>
            <family val="2"/>
          </rPr>
          <t xml:space="preserve">
</t>
        </r>
      </text>
    </comment>
    <comment ref="D25" authorId="0" shapeId="0" xr:uid="{FD86999E-F900-4655-A6C3-DF243C762A28}">
      <text>
        <r>
          <rPr>
            <b/>
            <sz val="9"/>
            <color indexed="81"/>
            <rFont val="Tahoma"/>
            <family val="2"/>
          </rPr>
          <t>Tania: Ejecucion-sostenimiento</t>
        </r>
        <r>
          <rPr>
            <sz val="9"/>
            <color indexed="81"/>
            <rFont val="Tahoma"/>
            <family val="2"/>
          </rPr>
          <t xml:space="preserve">
</t>
        </r>
      </text>
    </comment>
    <comment ref="C26" authorId="1" shapeId="0" xr:uid="{5B212057-AD2B-40A4-86F6-EA13DEC322C8}">
      <text>
        <r>
          <rPr>
            <b/>
            <sz val="10"/>
            <color indexed="81"/>
            <rFont val="Tahoma"/>
            <family val="2"/>
          </rPr>
          <t>Tania Maria Angulo Romero:</t>
        </r>
        <r>
          <rPr>
            <sz val="10"/>
            <color indexed="81"/>
            <rFont val="Tahoma"/>
            <family val="2"/>
          </rPr>
          <t xml:space="preserve">
Recarga de extintores
</t>
        </r>
      </text>
    </comment>
    <comment ref="D26" authorId="1" shapeId="0" xr:uid="{8C96245E-9C7E-4562-9D03-2A36B63A2C11}">
      <text>
        <r>
          <rPr>
            <b/>
            <sz val="10"/>
            <color indexed="81"/>
            <rFont val="Tahoma"/>
            <family val="2"/>
          </rPr>
          <t>Tania Maria Angulo Romero:</t>
        </r>
        <r>
          <rPr>
            <sz val="10"/>
            <color indexed="81"/>
            <rFont val="Tahoma"/>
            <family val="2"/>
          </rPr>
          <t xml:space="preserve">
mto extintores 12x $22000
Reposición de 2 extintores 280.000
</t>
        </r>
      </text>
    </comment>
    <comment ref="C27" authorId="0" shapeId="0" xr:uid="{AFF6DBBC-3423-486C-9339-5A322B30E658}">
      <text>
        <r>
          <rPr>
            <b/>
            <sz val="9"/>
            <color indexed="81"/>
            <rFont val="Tahoma"/>
            <family val="2"/>
          </rPr>
          <t xml:space="preserve">Tania: </t>
        </r>
        <r>
          <rPr>
            <sz val="9"/>
            <color indexed="81"/>
            <rFont val="Tahoma"/>
            <family val="2"/>
          </rPr>
          <t xml:space="preserve">
</t>
        </r>
      </text>
    </comment>
    <comment ref="D27" authorId="0" shapeId="0" xr:uid="{6722B9C0-E3AF-4CB1-86D3-804BF1F2CD86}">
      <text>
        <r>
          <rPr>
            <b/>
            <sz val="9"/>
            <color indexed="81"/>
            <rFont val="Tahoma"/>
            <family val="2"/>
          </rPr>
          <t xml:space="preserve">Tania: </t>
        </r>
        <r>
          <rPr>
            <sz val="9"/>
            <color indexed="81"/>
            <rFont val="Tahoma"/>
            <family val="2"/>
          </rPr>
          <t xml:space="preserve">
</t>
        </r>
      </text>
    </comment>
    <comment ref="C31" authorId="0" shapeId="0" xr:uid="{B72D08F2-E73B-4C86-B0DF-60F11D31CBC9}">
      <text>
        <r>
          <rPr>
            <b/>
            <sz val="9"/>
            <color indexed="81"/>
            <rFont val="Tahoma"/>
            <family val="2"/>
          </rPr>
          <t>Tania: $60.000 Celebraciones especiales
$200.000 decoracion navidad
$30000 Gastos asamblea</t>
        </r>
        <r>
          <rPr>
            <sz val="9"/>
            <color indexed="81"/>
            <rFont val="Tahoma"/>
            <family val="2"/>
          </rPr>
          <t xml:space="preserve">
</t>
        </r>
      </text>
    </comment>
    <comment ref="D31" authorId="0" shapeId="0" xr:uid="{80960E86-7D27-4BA0-BAFC-23625EFB6C4A}">
      <text>
        <r>
          <rPr>
            <b/>
            <sz val="9"/>
            <color indexed="81"/>
            <rFont val="Tahoma"/>
            <family val="2"/>
          </rPr>
          <t>Tania: $60.000 Celebraciones especiales
$200.000 decoracion navidad
$30000 Gastos asamblea</t>
        </r>
        <r>
          <rPr>
            <sz val="9"/>
            <color indexed="81"/>
            <rFont val="Tahoma"/>
            <family val="2"/>
          </rPr>
          <t xml:space="preserve">
</t>
        </r>
      </text>
    </comment>
    <comment ref="C32" authorId="0" shapeId="0" xr:uid="{C2A0D939-CC36-45DC-B974-4112A26E9D2B}">
      <text>
        <r>
          <rPr>
            <b/>
            <sz val="9"/>
            <color indexed="81"/>
            <rFont val="Tahoma"/>
            <family val="2"/>
          </rPr>
          <t>Tania: $30.000 gastos de asamblea</t>
        </r>
        <r>
          <rPr>
            <sz val="9"/>
            <color indexed="81"/>
            <rFont val="Tahoma"/>
            <family val="2"/>
          </rPr>
          <t xml:space="preserve">
</t>
        </r>
      </text>
    </comment>
    <comment ref="D32" authorId="0" shapeId="0" xr:uid="{8D884295-2E54-4F02-B66D-6B20FD21D651}">
      <text>
        <r>
          <rPr>
            <b/>
            <sz val="9"/>
            <color indexed="81"/>
            <rFont val="Tahoma"/>
            <family val="2"/>
          </rPr>
          <t>Tania: $30.000 gastos de asamblea</t>
        </r>
        <r>
          <rPr>
            <sz val="9"/>
            <color indexed="81"/>
            <rFont val="Tahoma"/>
            <family val="2"/>
          </rPr>
          <t xml:space="preserve">
</t>
        </r>
      </text>
    </comment>
    <comment ref="C35" authorId="0" shapeId="0" xr:uid="{52C22A9F-6F51-4AD1-8DFA-9DA540C41B15}">
      <text>
        <r>
          <rPr>
            <b/>
            <sz val="9"/>
            <color indexed="81"/>
            <rFont val="Tahoma"/>
            <family val="2"/>
          </rPr>
          <t>Tania: Ejecucion-sostenimiento</t>
        </r>
        <r>
          <rPr>
            <sz val="9"/>
            <color indexed="81"/>
            <rFont val="Tahoma"/>
            <family val="2"/>
          </rPr>
          <t xml:space="preserve">
2 fumigaciones
2 refuerzos </t>
        </r>
      </text>
    </comment>
    <comment ref="D35" authorId="0" shapeId="0" xr:uid="{42526A1B-1AFB-404F-A6F1-458A84E9D16C}">
      <text>
        <r>
          <rPr>
            <b/>
            <sz val="9"/>
            <color indexed="81"/>
            <rFont val="Tahoma"/>
            <family val="2"/>
          </rPr>
          <t>Tania: Ejecucion-sostenimiento</t>
        </r>
        <r>
          <rPr>
            <sz val="9"/>
            <color indexed="81"/>
            <rFont val="Tahoma"/>
            <family val="2"/>
          </rPr>
          <t xml:space="preserve">
</t>
        </r>
      </text>
    </comment>
    <comment ref="C36" authorId="0" shapeId="0" xr:uid="{6C7452A8-4BDF-42C3-9E3F-F2F76ABF347D}">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36B76052-605F-4AAD-8D2C-56A0CEBF0539}">
      <text>
        <r>
          <rPr>
            <b/>
            <sz val="9"/>
            <color indexed="81"/>
            <rFont val="Tahoma"/>
            <family val="2"/>
          </rPr>
          <t>tania:
Energia</t>
        </r>
        <r>
          <rPr>
            <sz val="9"/>
            <color indexed="81"/>
            <rFont val="Tahoma"/>
            <family val="2"/>
          </rPr>
          <t xml:space="preserve">
la tarifa dic 2022 $907,59/kwh
Ener $919,02kwh
la tarifa feb 2023 $935,38/khw</t>
        </r>
      </text>
    </comment>
    <comment ref="C37" authorId="1" shapeId="0" xr:uid="{7820349A-557F-4361-A706-D1CA6FF25DD1}">
      <text>
        <r>
          <rPr>
            <b/>
            <sz val="10"/>
            <color indexed="81"/>
            <rFont val="Tahoma"/>
            <family val="2"/>
          </rPr>
          <t>Tania Maria Angulo Romero:</t>
        </r>
        <r>
          <rPr>
            <sz val="10"/>
            <color indexed="81"/>
            <rFont val="Tahoma"/>
            <family val="2"/>
          </rPr>
          <t xml:space="preserve">
</t>
        </r>
      </text>
    </comment>
    <comment ref="C39" authorId="0" shapeId="0" xr:uid="{624A13A3-D143-4F45-8890-F4CCAC1D7417}">
      <text>
        <r>
          <rPr>
            <b/>
            <sz val="9"/>
            <color indexed="81"/>
            <rFont val="Tahoma"/>
            <family val="2"/>
          </rPr>
          <t xml:space="preserve">Tania:
se tiene plan de telefonia ilimitada  plus e internet 100MG
El servicio incrementa mas del 10% respecto al año 2024 por </t>
        </r>
      </text>
    </comment>
    <comment ref="C40" authorId="0" shapeId="0" xr:uid="{6BDF5E9B-07A0-47FF-A08B-4CE0A172701B}">
      <text>
        <r>
          <rPr>
            <b/>
            <sz val="9"/>
            <color indexed="81"/>
            <rFont val="Tahoma"/>
            <family val="2"/>
          </rPr>
          <t xml:space="preserve">Tania: </t>
        </r>
        <r>
          <rPr>
            <sz val="9"/>
            <color indexed="81"/>
            <rFont val="Tahoma"/>
            <family val="2"/>
          </rPr>
          <t xml:space="preserve">
Mto del PMIRS  de ley </t>
        </r>
      </text>
    </comment>
    <comment ref="D40" authorId="0" shapeId="0" xr:uid="{37C97DF1-A963-4100-88D4-C8D7557CAEE1}">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1" authorId="1" shapeId="0" xr:uid="{C8AF6A57-533F-46E8-A3C6-9AC5F6341420}">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2" authorId="0" shapeId="0" xr:uid="{9AD584F5-7398-4ECA-8C76-C4060B01C813}">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2AAD59C3-0F86-4FF5-A59B-A8FB1655ED75}">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59DDA7A4-3791-498B-8BCC-95D80657BE1B}">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67FD2918-2081-4D48-BBA6-36B05D86C1F4}">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25799CA7-73E6-4A50-A960-B4411BAF4E14}">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921A69FD-A465-470D-A443-80B066247B29}">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3CD4E481-045B-4775-B106-266F35F91555}">
      <text>
        <r>
          <rPr>
            <b/>
            <sz val="9"/>
            <color indexed="81"/>
            <rFont val="Tahoma"/>
            <family val="2"/>
          </rPr>
          <t>TANIA: Algunos presupuestos
Mto grama Cancha sintetica, señalización, mto gym, mto pintura reja 
mantenimiento contenedores, citofono</t>
        </r>
      </text>
    </comment>
    <comment ref="C14" authorId="0" shapeId="0" xr:uid="{199130C8-59DE-42EE-BBB7-0B5C8AB453D3}">
      <text>
        <r>
          <rPr>
            <b/>
            <sz val="9"/>
            <color indexed="81"/>
            <rFont val="Tahoma"/>
            <family val="2"/>
          </rPr>
          <t>Tania: 
inventario  repuestos
27 bombillas led 50w 
3 luminarias solares 150w 
1 reflector 200w solar  
1 luminaria 100 w 
Mano de obra electricos 1.500.000</t>
        </r>
      </text>
    </comment>
    <comment ref="D14" authorId="0" shapeId="0" xr:uid="{72D3BD86-C34C-4DA7-8768-DD0DB27D4B69}">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3BDCA4CE-5C58-477A-BB72-B299A85043D8}">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16FF7101-7B3D-446B-AA28-92E5872B4B23}">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8534F5B3-8A07-4AC9-9C5B-03C56BE9393E}">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29992601-E4BD-41C7-A22C-5D6036E8587A}">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793DB485-B7F0-41B0-8290-430006813660}">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D9E2477E-EFD9-45D0-A883-C6F56FEAFA18}">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0" authorId="0" shapeId="0" xr:uid="{99CB4FB3-0784-40DC-8D4B-38E7BF6E8750}">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0" authorId="0" shapeId="0" xr:uid="{57F1FBA8-7F41-4952-8566-D3350843454B}">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1" authorId="0" shapeId="0" xr:uid="{BAA728E3-62EC-40F9-BC1D-5BDDBDA5A6E1}">
      <text>
        <r>
          <rPr>
            <sz val="9"/>
            <color indexed="81"/>
            <rFont val="Tahoma"/>
            <family val="2"/>
          </rPr>
          <t xml:space="preserve">Refuerzo de vigilancia
Enero 2025 1 al 6  $ 1.751.531,17
Diciembre 2025  $2 225 540
12h diurno 25,28,
12h nocturno 24,25, 26, 27,28, 29, 30, 31
</t>
        </r>
      </text>
    </comment>
    <comment ref="C22" authorId="1" shapeId="0" xr:uid="{486D4703-B423-4F11-AAB3-4074E87F4192}">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3" authorId="0" shapeId="0" xr:uid="{69111FB8-6053-492E-B303-1533F9C13507}">
      <text>
        <r>
          <rPr>
            <b/>
            <sz val="9"/>
            <color indexed="81"/>
            <rFont val="Tahoma"/>
            <family val="2"/>
          </rPr>
          <t>Tania:Mto preventivo sistema de seguridad. CCTV y cerca electrica</t>
        </r>
        <r>
          <rPr>
            <sz val="9"/>
            <color indexed="81"/>
            <rFont val="Tahoma"/>
            <family val="2"/>
          </rPr>
          <t xml:space="preserve">
$1341 006 anual ; $111.751/mes</t>
        </r>
      </text>
    </comment>
    <comment ref="D23" authorId="0" shapeId="0" xr:uid="{35894299-3568-46A7-B842-1D171D16D23F}">
      <text>
        <r>
          <rPr>
            <b/>
            <sz val="9"/>
            <color indexed="81"/>
            <rFont val="Tahoma"/>
            <family val="2"/>
          </rPr>
          <t>Tania:Mto preventivo sistema de seguridad. CCTV y cerca electrica</t>
        </r>
        <r>
          <rPr>
            <sz val="9"/>
            <color indexed="81"/>
            <rFont val="Tahoma"/>
            <family val="2"/>
          </rPr>
          <t xml:space="preserve">
$1265100 anual ; $105.425/mes</t>
        </r>
      </text>
    </comment>
    <comment ref="C24" authorId="0" shapeId="0" xr:uid="{E23545E1-B6FB-4F95-977B-E71A16C1BE8E}">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5" authorId="0" shapeId="0" xr:uid="{812C98E1-5A73-49E3-9422-2ECB624ADAB1}">
      <text>
        <r>
          <rPr>
            <b/>
            <sz val="9"/>
            <color indexed="81"/>
            <rFont val="Tahoma"/>
            <family val="2"/>
          </rPr>
          <t>Tania: Ejecucion-sostenimiento</t>
        </r>
        <r>
          <rPr>
            <sz val="9"/>
            <color indexed="81"/>
            <rFont val="Tahoma"/>
            <family val="2"/>
          </rPr>
          <t xml:space="preserve">
</t>
        </r>
      </text>
    </comment>
    <comment ref="D25" authorId="0" shapeId="0" xr:uid="{D2726316-638C-48C8-8768-5F7B674E81CA}">
      <text>
        <r>
          <rPr>
            <b/>
            <sz val="9"/>
            <color indexed="81"/>
            <rFont val="Tahoma"/>
            <family val="2"/>
          </rPr>
          <t>Tania: Ejecucion-sostenimiento</t>
        </r>
        <r>
          <rPr>
            <sz val="9"/>
            <color indexed="81"/>
            <rFont val="Tahoma"/>
            <family val="2"/>
          </rPr>
          <t xml:space="preserve">
</t>
        </r>
      </text>
    </comment>
    <comment ref="C26" authorId="1" shapeId="0" xr:uid="{04BBE102-7A6B-4825-AC39-10FB88577B33}">
      <text>
        <r>
          <rPr>
            <b/>
            <sz val="10"/>
            <color indexed="81"/>
            <rFont val="Tahoma"/>
            <family val="2"/>
          </rPr>
          <t>Tania Maria Angulo Romero:</t>
        </r>
        <r>
          <rPr>
            <sz val="10"/>
            <color indexed="81"/>
            <rFont val="Tahoma"/>
            <family val="2"/>
          </rPr>
          <t xml:space="preserve">
Recarga de extintores
</t>
        </r>
      </text>
    </comment>
    <comment ref="D26" authorId="1" shapeId="0" xr:uid="{65177A19-6270-4976-B80B-7CE3164533DA}">
      <text>
        <r>
          <rPr>
            <b/>
            <sz val="10"/>
            <color indexed="81"/>
            <rFont val="Tahoma"/>
            <family val="2"/>
          </rPr>
          <t>Tania Maria Angulo Romero:</t>
        </r>
        <r>
          <rPr>
            <sz val="10"/>
            <color indexed="81"/>
            <rFont val="Tahoma"/>
            <family val="2"/>
          </rPr>
          <t xml:space="preserve">
mto extintores 12x $22000
Reposición de 2 extintores 280.000
</t>
        </r>
      </text>
    </comment>
    <comment ref="C27" authorId="0" shapeId="0" xr:uid="{47C889B2-BFEE-40EC-8280-A7E8C3C6110A}">
      <text>
        <r>
          <rPr>
            <b/>
            <sz val="9"/>
            <color indexed="81"/>
            <rFont val="Tahoma"/>
            <family val="2"/>
          </rPr>
          <t xml:space="preserve">Tania: </t>
        </r>
        <r>
          <rPr>
            <sz val="9"/>
            <color indexed="81"/>
            <rFont val="Tahoma"/>
            <family val="2"/>
          </rPr>
          <t xml:space="preserve">
</t>
        </r>
      </text>
    </comment>
    <comment ref="D27" authorId="0" shapeId="0" xr:uid="{F3B0014D-29C4-4DF9-9B08-8B07BBB8294F}">
      <text>
        <r>
          <rPr>
            <b/>
            <sz val="9"/>
            <color indexed="81"/>
            <rFont val="Tahoma"/>
            <family val="2"/>
          </rPr>
          <t xml:space="preserve">Tania: </t>
        </r>
        <r>
          <rPr>
            <sz val="9"/>
            <color indexed="81"/>
            <rFont val="Tahoma"/>
            <family val="2"/>
          </rPr>
          <t xml:space="preserve">
</t>
        </r>
      </text>
    </comment>
    <comment ref="C31" authorId="0" shapeId="0" xr:uid="{A3DA6B12-7C8F-492E-A946-031FC484E709}">
      <text>
        <r>
          <rPr>
            <b/>
            <sz val="9"/>
            <color indexed="81"/>
            <rFont val="Tahoma"/>
            <family val="2"/>
          </rPr>
          <t>Tania: $60.000 Celebraciones especiales
$200.000 decoracion navidad
$30000 Gastos asamblea</t>
        </r>
        <r>
          <rPr>
            <sz val="9"/>
            <color indexed="81"/>
            <rFont val="Tahoma"/>
            <family val="2"/>
          </rPr>
          <t xml:space="preserve">
</t>
        </r>
      </text>
    </comment>
    <comment ref="D31" authorId="0" shapeId="0" xr:uid="{86E7AE16-0183-49E4-8B21-F8F8B3F4BB1C}">
      <text>
        <r>
          <rPr>
            <b/>
            <sz val="9"/>
            <color indexed="81"/>
            <rFont val="Tahoma"/>
            <family val="2"/>
          </rPr>
          <t>Tania: $60.000 Celebraciones especiales
$200.000 decoracion navidad
$30000 Gastos asamblea</t>
        </r>
        <r>
          <rPr>
            <sz val="9"/>
            <color indexed="81"/>
            <rFont val="Tahoma"/>
            <family val="2"/>
          </rPr>
          <t xml:space="preserve">
</t>
        </r>
      </text>
    </comment>
    <comment ref="C32" authorId="0" shapeId="0" xr:uid="{E96FCB07-4DD2-4FA9-9FBF-F5C4F7AECAD5}">
      <text>
        <r>
          <rPr>
            <b/>
            <sz val="9"/>
            <color indexed="81"/>
            <rFont val="Tahoma"/>
            <family val="2"/>
          </rPr>
          <t>Tania: $30.000 gastos de asamblea</t>
        </r>
        <r>
          <rPr>
            <sz val="9"/>
            <color indexed="81"/>
            <rFont val="Tahoma"/>
            <family val="2"/>
          </rPr>
          <t xml:space="preserve">
</t>
        </r>
      </text>
    </comment>
    <comment ref="D32" authorId="0" shapeId="0" xr:uid="{B058DF6C-61CF-4015-9332-040E5260437A}">
      <text>
        <r>
          <rPr>
            <b/>
            <sz val="9"/>
            <color indexed="81"/>
            <rFont val="Tahoma"/>
            <family val="2"/>
          </rPr>
          <t>Tania: $30.000 gastos de asamblea</t>
        </r>
        <r>
          <rPr>
            <sz val="9"/>
            <color indexed="81"/>
            <rFont val="Tahoma"/>
            <family val="2"/>
          </rPr>
          <t xml:space="preserve">
</t>
        </r>
      </text>
    </comment>
    <comment ref="C35" authorId="0" shapeId="0" xr:uid="{822AEC93-3711-44E5-947C-1814EA9403AB}">
      <text>
        <r>
          <rPr>
            <b/>
            <sz val="9"/>
            <color indexed="81"/>
            <rFont val="Tahoma"/>
            <family val="2"/>
          </rPr>
          <t>Tania: Ejecucion-sostenimiento</t>
        </r>
        <r>
          <rPr>
            <sz val="9"/>
            <color indexed="81"/>
            <rFont val="Tahoma"/>
            <family val="2"/>
          </rPr>
          <t xml:space="preserve">
2 fumigaciones
2 refuerzos </t>
        </r>
      </text>
    </comment>
    <comment ref="D35" authorId="0" shapeId="0" xr:uid="{489C9D90-7BFA-4DDF-B701-F5647D7D7515}">
      <text>
        <r>
          <rPr>
            <b/>
            <sz val="9"/>
            <color indexed="81"/>
            <rFont val="Tahoma"/>
            <family val="2"/>
          </rPr>
          <t>Tania: Ejecucion-sostenimiento</t>
        </r>
        <r>
          <rPr>
            <sz val="9"/>
            <color indexed="81"/>
            <rFont val="Tahoma"/>
            <family val="2"/>
          </rPr>
          <t xml:space="preserve">
</t>
        </r>
      </text>
    </comment>
    <comment ref="C36" authorId="0" shapeId="0" xr:uid="{EBB90910-471C-4A07-AED8-5776B39D0317}">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D057F2AF-AE3D-4477-8763-ACC6518277B0}">
      <text>
        <r>
          <rPr>
            <b/>
            <sz val="9"/>
            <color indexed="81"/>
            <rFont val="Tahoma"/>
            <family val="2"/>
          </rPr>
          <t>tania:
Energia</t>
        </r>
        <r>
          <rPr>
            <sz val="9"/>
            <color indexed="81"/>
            <rFont val="Tahoma"/>
            <family val="2"/>
          </rPr>
          <t xml:space="preserve">
la tarifa dic 2022 $907,59/kwh
Ener $919,02kwh
la tarifa feb 2023 $935,38/khw</t>
        </r>
      </text>
    </comment>
    <comment ref="C37" authorId="1" shapeId="0" xr:uid="{3B7341DA-06AC-4B22-8387-55022E7322CE}">
      <text>
        <r>
          <rPr>
            <b/>
            <sz val="10"/>
            <color indexed="81"/>
            <rFont val="Tahoma"/>
            <family val="2"/>
          </rPr>
          <t>Tania Maria Angulo Romero:</t>
        </r>
        <r>
          <rPr>
            <sz val="10"/>
            <color indexed="81"/>
            <rFont val="Tahoma"/>
            <family val="2"/>
          </rPr>
          <t xml:space="preserve">
</t>
        </r>
      </text>
    </comment>
    <comment ref="C39" authorId="0" shapeId="0" xr:uid="{C6F5A408-B325-4CD3-B72F-B6C1921556A5}">
      <text>
        <r>
          <rPr>
            <b/>
            <sz val="9"/>
            <color indexed="81"/>
            <rFont val="Tahoma"/>
            <family val="2"/>
          </rPr>
          <t xml:space="preserve">Tania:
se tiene plan de telefonia ilimitada  plus e internet 100MG
El servicio incrementa mas del 10% respecto al año 2024 por </t>
        </r>
      </text>
    </comment>
    <comment ref="C40" authorId="0" shapeId="0" xr:uid="{0728D5E4-4D17-490E-86C8-CCCB37FD9C8D}">
      <text>
        <r>
          <rPr>
            <b/>
            <sz val="9"/>
            <color indexed="81"/>
            <rFont val="Tahoma"/>
            <family val="2"/>
          </rPr>
          <t xml:space="preserve">Tania: </t>
        </r>
        <r>
          <rPr>
            <sz val="9"/>
            <color indexed="81"/>
            <rFont val="Tahoma"/>
            <family val="2"/>
          </rPr>
          <t xml:space="preserve">
Mto del PMIRS  de ley </t>
        </r>
      </text>
    </comment>
    <comment ref="D40" authorId="0" shapeId="0" xr:uid="{2AE3CA5C-5697-4DF1-AE89-8D484F2C2938}">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1" authorId="1" shapeId="0" xr:uid="{C4A195B8-B1C5-4943-9349-46FBBE092E52}">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2" authorId="0" shapeId="0" xr:uid="{7299162F-B1FB-4711-BE90-0A50F10F0A72}">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Gabiela Muñoz</author>
  </authors>
  <commentList>
    <comment ref="E40" authorId="0" shapeId="0" xr:uid="{00B2B1B6-49EF-4E33-A3FD-C78EC0E973E7}">
      <text>
        <r>
          <rPr>
            <b/>
            <sz val="9"/>
            <color indexed="81"/>
            <rFont val="Tahoma"/>
            <family val="2"/>
          </rPr>
          <t>Gabiela Muñoz:</t>
        </r>
        <r>
          <rPr>
            <sz val="9"/>
            <color indexed="81"/>
            <rFont val="Tahoma"/>
            <family val="2"/>
          </rPr>
          <t xml:space="preserve">
silla</t>
        </r>
      </text>
    </comment>
  </commentList>
</comments>
</file>

<file path=xl/sharedStrings.xml><?xml version="1.0" encoding="utf-8"?>
<sst xmlns="http://schemas.openxmlformats.org/spreadsheetml/2006/main" count="7964" uniqueCount="1636">
  <si>
    <t>ACTIVO</t>
  </si>
  <si>
    <t>CUENTAS POR COBRAR</t>
  </si>
  <si>
    <t>COPROPIETARIOS</t>
  </si>
  <si>
    <t>TOTAL ACTIVO</t>
  </si>
  <si>
    <t>PASIVO</t>
  </si>
  <si>
    <t>CUENTAS POR PAGAR</t>
  </si>
  <si>
    <t>TOTAL PASIVO</t>
  </si>
  <si>
    <t>PATRIMONIO</t>
  </si>
  <si>
    <t>TOTAL PASIVO Y PATRIMONIO</t>
  </si>
  <si>
    <t>DIF. $</t>
  </si>
  <si>
    <t>DIF. %</t>
  </si>
  <si>
    <t>RETENCION IMPUESTOS</t>
  </si>
  <si>
    <t>FONDO DE IMPREVISTOS</t>
  </si>
  <si>
    <t>CAJA MENOR</t>
  </si>
  <si>
    <t>REAL ENE.</t>
  </si>
  <si>
    <t>REAL FEB</t>
  </si>
  <si>
    <t>REAL ABR</t>
  </si>
  <si>
    <t>REAL MAY</t>
  </si>
  <si>
    <t>REAL JUN</t>
  </si>
  <si>
    <t>REAL JUL</t>
  </si>
  <si>
    <t>REAL AGO</t>
  </si>
  <si>
    <t>REAL SEP</t>
  </si>
  <si>
    <t>REAL OCT</t>
  </si>
  <si>
    <t>REAL NOV</t>
  </si>
  <si>
    <t>REAL DIC</t>
  </si>
  <si>
    <t>PTTO. ACUMUL.</t>
  </si>
  <si>
    <t>EJECUTADO ACUMUL.</t>
  </si>
  <si>
    <t>PRESUPUESTO ANUAL</t>
  </si>
  <si>
    <t>DIFERENCIA EN $</t>
  </si>
  <si>
    <t>%   CUMPLIMIENTO</t>
  </si>
  <si>
    <t>Los valores que estén por encima, están sobreejecutados.</t>
  </si>
  <si>
    <t>VALOR</t>
  </si>
  <si>
    <t>INVERSIONES</t>
  </si>
  <si>
    <t xml:space="preserve"> </t>
  </si>
  <si>
    <t>COSTOS Y GASTOS POR PAGAR</t>
  </si>
  <si>
    <t>EFECTIVO Y SUS EQUIVALENTES</t>
  </si>
  <si>
    <t>EFECTIVO RESTRINGIDO</t>
  </si>
  <si>
    <t>DEUDORES CORRIENTES</t>
  </si>
  <si>
    <t>SUPERAVIT-DEFICIT  EJERCIC. ANTER.</t>
  </si>
  <si>
    <t>TOTAL PATRIMONIO</t>
  </si>
  <si>
    <t>GABRIELA MUÑOZ MOLINA</t>
  </si>
  <si>
    <t>MAS:</t>
  </si>
  <si>
    <t>INGRESOS CUOTAS ADMINISTRACION</t>
  </si>
  <si>
    <t>CPTE EGRESO</t>
  </si>
  <si>
    <t>ANTICIPO PROVEEDORES</t>
  </si>
  <si>
    <t>CUOTAS DE ADMINISTRACION</t>
  </si>
  <si>
    <t>SOBRE O SUBEJECUCION</t>
  </si>
  <si>
    <t>GASTO</t>
  </si>
  <si>
    <t>Contadora</t>
  </si>
  <si>
    <t>SALIDAS DEL MES</t>
  </si>
  <si>
    <t>REPRESENTADO  EN:</t>
  </si>
  <si>
    <t>MENOS PAGOS:</t>
  </si>
  <si>
    <t>TOTAL DISPONIBLE</t>
  </si>
  <si>
    <t>INMUEBLE</t>
  </si>
  <si>
    <t>PROPIETARIO</t>
  </si>
  <si>
    <t xml:space="preserve"> Contadora</t>
  </si>
  <si>
    <t>PPTO MES</t>
  </si>
  <si>
    <t>OTROS PASIVOS</t>
  </si>
  <si>
    <t>CUOTA EXTRA 2023</t>
  </si>
  <si>
    <t>TOTAL OTROS PASIVOS</t>
  </si>
  <si>
    <t>BANCOLOMBIA CUENTA DE OPERACIÓN</t>
  </si>
  <si>
    <t>CONSIGNACIONES POR IDENTIFICAR</t>
  </si>
  <si>
    <t>Sin ppto</t>
  </si>
  <si>
    <t>SALDO CONTABILIDAD</t>
  </si>
  <si>
    <t>TOTAL CARTERA</t>
  </si>
  <si>
    <t>Contabilidad</t>
  </si>
  <si>
    <t>Energía</t>
  </si>
  <si>
    <t>Fumigación</t>
  </si>
  <si>
    <t>Ajuste Al Peso</t>
  </si>
  <si>
    <t>ENERO</t>
  </si>
  <si>
    <t>FEBRERO</t>
  </si>
  <si>
    <t>FIDUCUENTA</t>
  </si>
  <si>
    <t>DIFER.</t>
  </si>
  <si>
    <t>RETEICA</t>
  </si>
  <si>
    <t>INGRESOS RECIBIDOS DE TERCEROS</t>
  </si>
  <si>
    <t>CUOTA EXTRA 2022-RECONOCIMIENTO SEGURO</t>
  </si>
  <si>
    <t xml:space="preserve"> POLIZA SEGURO</t>
  </si>
  <si>
    <t>Gastos Operacionales</t>
  </si>
  <si>
    <t>Mantenimiento (Infraestructura)</t>
  </si>
  <si>
    <t>Aseo Y Piscina (Personal)</t>
  </si>
  <si>
    <t>Aseo (Insumos)</t>
  </si>
  <si>
    <t>Zonas Comunes General</t>
  </si>
  <si>
    <t>Mantenimento Electrico</t>
  </si>
  <si>
    <t>Piscina-Zona Húmeda-Turco</t>
  </si>
  <si>
    <t>Puerta Vehicular Y Peatonal</t>
  </si>
  <si>
    <t>Gimnasio</t>
  </si>
  <si>
    <t>Total Mantenimiento Y Mejoras</t>
  </si>
  <si>
    <t>Seguridad</t>
  </si>
  <si>
    <t>Vigilancia Privada</t>
  </si>
  <si>
    <t>Seguro Zonas Comunes</t>
  </si>
  <si>
    <t>Sistema De Seguridad Prev</t>
  </si>
  <si>
    <t>Sg-Sst, Requisto De Ley</t>
  </si>
  <si>
    <t>Extintores (Recarga)</t>
  </si>
  <si>
    <t>Planes De Ley Emerg, Trat Datos</t>
  </si>
  <si>
    <t>Total Riesgos Y Seguridad</t>
  </si>
  <si>
    <t>Convivencia</t>
  </si>
  <si>
    <t>Asamblea (Ley)</t>
  </si>
  <si>
    <t>Total Convivencia</t>
  </si>
  <si>
    <t>Ambiental</t>
  </si>
  <si>
    <t>Acueducto Y Alcantarillado</t>
  </si>
  <si>
    <t>Tasa De Aseo</t>
  </si>
  <si>
    <t>Telefonía E Internet</t>
  </si>
  <si>
    <t>Corte Cesped Y Mto Jardines Z. Comun</t>
  </si>
  <si>
    <t>Total Ambiental</t>
  </si>
  <si>
    <t>Administrativos</t>
  </si>
  <si>
    <t>Administración</t>
  </si>
  <si>
    <t>Informacion Exogena Y Niff</t>
  </si>
  <si>
    <t>Facturación</t>
  </si>
  <si>
    <t>Útiles,Papelería -Comunicación</t>
  </si>
  <si>
    <t>Cafeteria</t>
  </si>
  <si>
    <t>Transporte Trámites</t>
  </si>
  <si>
    <t>Gastos Bancarios</t>
  </si>
  <si>
    <t>Impuestos Asumidos</t>
  </si>
  <si>
    <t>Total Administrativos</t>
  </si>
  <si>
    <t>Asamblea Aprobo Adicional</t>
  </si>
  <si>
    <t>Vigilancia En Vacaciones</t>
  </si>
  <si>
    <t>Sistema De Seguridad Correctivo</t>
  </si>
  <si>
    <t>Total Agregado En Asamblea</t>
  </si>
  <si>
    <t>Total Egresos Operacionales Mes</t>
  </si>
  <si>
    <t>Administradora</t>
  </si>
  <si>
    <t>Ing x Fondo imprevistos</t>
  </si>
  <si>
    <t>Interes de Mora</t>
  </si>
  <si>
    <t>Intereses Financieros</t>
  </si>
  <si>
    <t>Dto pronto Pago</t>
  </si>
  <si>
    <t>Aprovechamientos</t>
  </si>
  <si>
    <t>TOTAL INGRESO OPERACIONAL</t>
  </si>
  <si>
    <r>
      <t>Reserva Estatutaria  1% Del Ppto (De</t>
    </r>
    <r>
      <rPr>
        <sz val="9"/>
        <color indexed="10"/>
        <rFont val="Arial"/>
        <family val="2"/>
      </rPr>
      <t xml:space="preserve"> Ley)</t>
    </r>
  </si>
  <si>
    <t xml:space="preserve">           101-6</t>
  </si>
  <si>
    <t xml:space="preserve">           102-3</t>
  </si>
  <si>
    <t xml:space="preserve">           103-0</t>
  </si>
  <si>
    <t xml:space="preserve">           104-8</t>
  </si>
  <si>
    <t xml:space="preserve">           105-5</t>
  </si>
  <si>
    <t xml:space="preserve">           106-2</t>
  </si>
  <si>
    <t xml:space="preserve">           107-1</t>
  </si>
  <si>
    <t xml:space="preserve">           108-7</t>
  </si>
  <si>
    <t xml:space="preserve">           109-4</t>
  </si>
  <si>
    <t xml:space="preserve">           110-2</t>
  </si>
  <si>
    <t xml:space="preserve">           111-1</t>
  </si>
  <si>
    <t xml:space="preserve">           112-7</t>
  </si>
  <si>
    <t xml:space="preserve">           113-4</t>
  </si>
  <si>
    <t xml:space="preserve">           114-1</t>
  </si>
  <si>
    <t xml:space="preserve">           115-9</t>
  </si>
  <si>
    <t xml:space="preserve">           116-6</t>
  </si>
  <si>
    <t xml:space="preserve">           117-3</t>
  </si>
  <si>
    <t xml:space="preserve">           118-0</t>
  </si>
  <si>
    <t xml:space="preserve">           119-8</t>
  </si>
  <si>
    <t xml:space="preserve">           120-6</t>
  </si>
  <si>
    <t xml:space="preserve">           121-3</t>
  </si>
  <si>
    <t xml:space="preserve">           122-0</t>
  </si>
  <si>
    <t xml:space="preserve">           123-8</t>
  </si>
  <si>
    <t xml:space="preserve">           124-5</t>
  </si>
  <si>
    <t xml:space="preserve">           125-2</t>
  </si>
  <si>
    <t xml:space="preserve">           126-1</t>
  </si>
  <si>
    <t xml:space="preserve">           127-7</t>
  </si>
  <si>
    <t xml:space="preserve">           128-4</t>
  </si>
  <si>
    <t xml:space="preserve">           129-1</t>
  </si>
  <si>
    <t>DIAN</t>
  </si>
  <si>
    <t>COTRASER</t>
  </si>
  <si>
    <t>ACUED. LOMA ESCOBERO</t>
  </si>
  <si>
    <t>FREDY AGUILAR</t>
  </si>
  <si>
    <t>PROYCOM SAS</t>
  </si>
  <si>
    <t>TANIA ANGULO</t>
  </si>
  <si>
    <t>GABRIELA MUÑOZ</t>
  </si>
  <si>
    <t>URBANIZACION MONTEVERDI P.H.</t>
  </si>
  <si>
    <t xml:space="preserve"> Relaciòn de EE.PP</t>
  </si>
  <si>
    <t>ACUEDUCTO ESCOBERO</t>
  </si>
  <si>
    <t>ENERGIA</t>
  </si>
  <si>
    <t>MES</t>
  </si>
  <si>
    <t>PERIODO CONSUMO</t>
  </si>
  <si>
    <t>M3</t>
  </si>
  <si>
    <t xml:space="preserve">valor  </t>
  </si>
  <si>
    <t>KW</t>
  </si>
  <si>
    <t>Contrato 6381842 INT5</t>
  </si>
  <si>
    <t>Contratpo 5438972 INT 2</t>
  </si>
  <si>
    <t>Contrato 5075088 INT 1</t>
  </si>
  <si>
    <t>Total KW</t>
  </si>
  <si>
    <t>Total Energia</t>
  </si>
  <si>
    <t>TASA ASEO-6381842</t>
  </si>
  <si>
    <t>TOTAL M3</t>
  </si>
  <si>
    <t>VR M3</t>
  </si>
  <si>
    <t>Total EE.PP</t>
  </si>
  <si>
    <t>DIC 30-ENE 30</t>
  </si>
  <si>
    <t>MARZO</t>
  </si>
  <si>
    <t>ENE 30-FEB 28</t>
  </si>
  <si>
    <t>ABRIL</t>
  </si>
  <si>
    <t>FEB 28-MARZO  30</t>
  </si>
  <si>
    <t>MAYO</t>
  </si>
  <si>
    <t>MAR30-ABRIL 30</t>
  </si>
  <si>
    <t>JUNIO</t>
  </si>
  <si>
    <t>ABRIL  MAYO</t>
  </si>
  <si>
    <t>JULIO</t>
  </si>
  <si>
    <t>MAYO JUNIO</t>
  </si>
  <si>
    <t>AGOSTO</t>
  </si>
  <si>
    <t>JUNIO-JULIO</t>
  </si>
  <si>
    <t>SEP</t>
  </si>
  <si>
    <t>JULIO-AGOSTO</t>
  </si>
  <si>
    <t>OCT.</t>
  </si>
  <si>
    <t>AGOSTO-SEP</t>
  </si>
  <si>
    <t>NOV</t>
  </si>
  <si>
    <t>SEP-OCT</t>
  </si>
  <si>
    <t>DIC.2023</t>
  </si>
  <si>
    <t>OCT-NOV</t>
  </si>
  <si>
    <t>MOV-DIC</t>
  </si>
  <si>
    <t>DIC-ENE</t>
  </si>
  <si>
    <t>ENE-FEB</t>
  </si>
  <si>
    <t>OJO CONTRATO 3437395</t>
  </si>
  <si>
    <t>0M3</t>
  </si>
  <si>
    <t>CONTRATO 3437395</t>
  </si>
  <si>
    <t>CONCEPTO GASTO</t>
  </si>
  <si>
    <t>PROVEEDOR</t>
  </si>
  <si>
    <t xml:space="preserve">MANTENIMIENTO PREVENTIVO      </t>
  </si>
  <si>
    <t>MMTO PREVENTIVO MES</t>
  </si>
  <si>
    <t xml:space="preserve">MANTENIMIENTO PISCINA         </t>
  </si>
  <si>
    <t xml:space="preserve">PROYCOM S.A.                  </t>
  </si>
  <si>
    <t xml:space="preserve">OMNIQUIMICA  S.A.S            </t>
  </si>
  <si>
    <t xml:space="preserve">ELEMENTOS DE ASEO             </t>
  </si>
  <si>
    <t xml:space="preserve">KOBA  COLOMBIA S.A,S.         </t>
  </si>
  <si>
    <t xml:space="preserve">FONDO IMPREV LEY 675          </t>
  </si>
  <si>
    <t>URBANIZACION MONTEVERDI P.H. NIT 900.317.187.5</t>
  </si>
  <si>
    <t>OTROS INGRESOS MARGINALES</t>
  </si>
  <si>
    <t>REINVERSIÓN 2023</t>
  </si>
  <si>
    <t>PROVISIÓN GASTO VIGILANCIA</t>
  </si>
  <si>
    <t>FIDUCUENTA BANCOLOMBIA</t>
  </si>
  <si>
    <t>GASTOS PAGADOS POR ANTICIPADO</t>
  </si>
  <si>
    <t>CUOTA EXTRA 2024</t>
  </si>
  <si>
    <t>DETALLE CARTERA CONTABILIDAD VS FACTURACIÓN</t>
  </si>
  <si>
    <t>FACTURACIÓN</t>
  </si>
  <si>
    <t>BANCOLOMBIA CUENTA OPERACIÓN</t>
  </si>
  <si>
    <t>Rendimientos Financieros</t>
  </si>
  <si>
    <t>FEB-MARZO</t>
  </si>
  <si>
    <t xml:space="preserve">CUOTA EXTRA 2024              </t>
  </si>
  <si>
    <t xml:space="preserve">ENTREJARDINES S.A.S.          </t>
  </si>
  <si>
    <t>RECUPERACI TALUD LATERAL CAS</t>
  </si>
  <si>
    <t xml:space="preserve">MANTTO Y REPARACIONES         </t>
  </si>
  <si>
    <t/>
  </si>
  <si>
    <t xml:space="preserve">INDUSTRIAS OVELMA S.A.        </t>
  </si>
  <si>
    <t xml:space="preserve">MMTO PREVENTIVO ZONA HUMEDA </t>
  </si>
  <si>
    <t xml:space="preserve">SERVIC TEC Y ELECTRONICOS S.A </t>
  </si>
  <si>
    <t xml:space="preserve">ENERGIA BIOCLIMATICA S.A.S.   </t>
  </si>
  <si>
    <t>MMTO PREVENTIVO BOMBA DE CAL</t>
  </si>
  <si>
    <t xml:space="preserve">REPARACIONES ELECTRICAS       </t>
  </si>
  <si>
    <t xml:space="preserve">MANCO ESCBAR EDISON           </t>
  </si>
  <si>
    <t>COMPRA REFLECTORES Y  BOMBIL</t>
  </si>
  <si>
    <t>MANO DE OBRA SER.ELECTRICO</t>
  </si>
  <si>
    <t xml:space="preserve">MTTO GIMNASIO                 </t>
  </si>
  <si>
    <t>EQUILIBRIUM SERV, TECNICO S.A.</t>
  </si>
  <si>
    <t>MMTO PREV. EQUIPOS GYM</t>
  </si>
  <si>
    <t xml:space="preserve">MANTENIMIENTO JARDIN          </t>
  </si>
  <si>
    <t>MMTO PRADOS Y TRANS MAT.VEGE</t>
  </si>
  <si>
    <t xml:space="preserve">REPRESENTACIONES APC LTDA     </t>
  </si>
  <si>
    <t xml:space="preserve">COMPRA INSUMOS PARA MANTENI </t>
  </si>
  <si>
    <t>ANALISIS AGUA PISCINA</t>
  </si>
  <si>
    <t xml:space="preserve">AQUALUM S.A.S.                </t>
  </si>
  <si>
    <t>SERVICIO TÉCNICO  MOTOR  PIS</t>
  </si>
  <si>
    <t>COMPRA ARENA FILTRO Y MO INS</t>
  </si>
  <si>
    <t xml:space="preserve">MANTEN CAMARAS CCTV           </t>
  </si>
  <si>
    <t>REPARACION POSTE Y ESPEJO DE</t>
  </si>
  <si>
    <t>GASTOSIMPREVISTOS MMTOS VARIOS</t>
  </si>
  <si>
    <t xml:space="preserve">MYR MMTO Y REP. DE EQUIPOS DE </t>
  </si>
  <si>
    <t>IMPREVISTOS MMTO VARIOS MESA</t>
  </si>
  <si>
    <t xml:space="preserve">IMPREVISTOS MALLA  MESA PIN </t>
  </si>
  <si>
    <t xml:space="preserve">LUBIN RODRIGUZ VILLA          </t>
  </si>
  <si>
    <t>COMPRA INS ASEO AXIÓN Y ESCO</t>
  </si>
  <si>
    <t>COMPRA INSUMOS  ASEO</t>
  </si>
  <si>
    <t xml:space="preserve">IMPLEMENTOS CAFETERIA         </t>
  </si>
  <si>
    <t>COMPRA INSUMOS  CAFETERIA</t>
  </si>
  <si>
    <t xml:space="preserve">VARIOS PROVISION              </t>
  </si>
  <si>
    <t>PROVISION LEY 675</t>
  </si>
  <si>
    <t>IMPUTACION GASTO</t>
  </si>
  <si>
    <t>Dotacion</t>
  </si>
  <si>
    <t>CONSIGNACION POR IDENTIFICAR DESDE 2023</t>
  </si>
  <si>
    <t>NACIONAL DE ASEO S.A.</t>
  </si>
  <si>
    <t>CUOTA MANEJO T.D.</t>
  </si>
  <si>
    <t>MAR-ABRIL</t>
  </si>
  <si>
    <t xml:space="preserve">FUMIGACION                    </t>
  </si>
  <si>
    <t xml:space="preserve">SERVIPLAGAS                   </t>
  </si>
  <si>
    <t>SERVICIO DE CONTROL Y PREVEN</t>
  </si>
  <si>
    <t xml:space="preserve">ZONAS COMUNES                 </t>
  </si>
  <si>
    <t xml:space="preserve">DEPOSITO LOS LONDOÑO          </t>
  </si>
  <si>
    <t>COMPRA PINTURA E INSUMOS PAR</t>
  </si>
  <si>
    <t xml:space="preserve">TORNISOLUCIONES SAS           </t>
  </si>
  <si>
    <t>"COMPRA TORNILLOS, ABRAZADER</t>
  </si>
  <si>
    <t>MMTO PREVENTIVO MES MAYO</t>
  </si>
  <si>
    <t xml:space="preserve">ELECTRO RUSSO                 </t>
  </si>
  <si>
    <t xml:space="preserve">COMPRA BOMBILLA LED BLANCA  </t>
  </si>
  <si>
    <t xml:space="preserve">FRANCISCO MURILLO S.A.S.      </t>
  </si>
  <si>
    <t>COMPRAS BOMBILLO E INSUMOS P</t>
  </si>
  <si>
    <t>COMPRA  LED  EMERGENCIA 2X1.</t>
  </si>
  <si>
    <t>MMTO PREV. EQUIPOS GYM MAYO</t>
  </si>
  <si>
    <t>TPORTE. BASURA ADICIONAL MES</t>
  </si>
  <si>
    <t xml:space="preserve">SUPERMERCADO EURO LA FRONTERA </t>
  </si>
  <si>
    <t>INVERSIONES EURO S.A. - EURO</t>
  </si>
  <si>
    <t xml:space="preserve">TAXIS Y BUSES                 </t>
  </si>
  <si>
    <t xml:space="preserve">ANGULO ROMERO TANIA MARIA     </t>
  </si>
  <si>
    <t>TRANSPORTE TRAMITES</t>
  </si>
  <si>
    <t xml:space="preserve">IMPLEMENTACION SS-SSGT        </t>
  </si>
  <si>
    <t>YOLIMA GISELA MURIEL RODRIGUEZ</t>
  </si>
  <si>
    <t>AUTOEVALUACION DEL SS  SSGT</t>
  </si>
  <si>
    <t xml:space="preserve">DOTACION UNIDAD               </t>
  </si>
  <si>
    <t xml:space="preserve">LILIANA ASTRID GALLEGO        </t>
  </si>
  <si>
    <t>COMPRA NEVERA PEQUEÑA PORTER</t>
  </si>
  <si>
    <t xml:space="preserve">PROVISION LEY 675  DEL MES  </t>
  </si>
  <si>
    <t xml:space="preserve">COBRO SERVICIOS DE RECAUDO    </t>
  </si>
  <si>
    <t xml:space="preserve">BANCOLOMBIA                   </t>
  </si>
  <si>
    <t>COMISION SERV RECAUDOS  Y PA</t>
  </si>
  <si>
    <t xml:space="preserve">MANEJO SUCURSAL VIRTUAL       </t>
  </si>
  <si>
    <t>CUOTA MANEJO SUC. VIRTUAL</t>
  </si>
  <si>
    <t>DETALLE GASTOS DE MANTENIMIENTO ABRIL</t>
  </si>
  <si>
    <t>DETALLE GASTOS DE MANTENIMIENTO Y DIVERSOS  MAYO</t>
  </si>
  <si>
    <t>CONTABILIDAD</t>
  </si>
  <si>
    <t>NOMBRES Y APELLIDOS O RAZON SOCIAL</t>
  </si>
  <si>
    <t>BANCO</t>
  </si>
  <si>
    <t>SUCURSAL</t>
  </si>
  <si>
    <t>MOVIMIENTO CONCILIADO</t>
  </si>
  <si>
    <t>BANCOLOMBIA</t>
  </si>
  <si>
    <t>CITYPLAZA</t>
  </si>
  <si>
    <t xml:space="preserve">                                                                                                                                                                                                                                                               </t>
  </si>
  <si>
    <t>SALDO SEGÚN EXTRACTO BANCARIO</t>
  </si>
  <si>
    <t>2  DETALLE CONSIGNACIONES NO ACREDITADAS</t>
  </si>
  <si>
    <t>SALDO SEGÚN LIBROS</t>
  </si>
  <si>
    <t>RECIBO</t>
  </si>
  <si>
    <t>CASA</t>
  </si>
  <si>
    <t>DIFERENCIA</t>
  </si>
  <si>
    <t>EXPLICACION DE LA DIFERENCIA</t>
  </si>
  <si>
    <t xml:space="preserve">CHEQUES SIN COBRAR (1) </t>
  </si>
  <si>
    <t>CONSIGNACIONES NO ACREDITADAS (2)</t>
  </si>
  <si>
    <t>NOTAS DEBITO NO CONTABILIZADAS (3)</t>
  </si>
  <si>
    <t>NOTAS CREDITO NO CONTABILIZADAS (4)</t>
  </si>
  <si>
    <t xml:space="preserve">DIFERENCIA CONCILIADA </t>
  </si>
  <si>
    <t>1  DETALLE DE CHEQUES SIN COBRAR</t>
  </si>
  <si>
    <t>FECHA</t>
  </si>
  <si>
    <t>No.</t>
  </si>
  <si>
    <t>BENERICIARIO</t>
  </si>
  <si>
    <t>TOTAL</t>
  </si>
  <si>
    <t>3  NOTAS DEBITO NO CONTABILIZADAS</t>
  </si>
  <si>
    <t>MOTIVO</t>
  </si>
  <si>
    <t>4  CONSIGNACIONES  NO CONTABILIZADAS</t>
  </si>
  <si>
    <t>TOTAL PAGINA</t>
  </si>
  <si>
    <t>PREPARADA</t>
  </si>
  <si>
    <t>APROBADA</t>
  </si>
  <si>
    <t>Vo. CONTABILIZADA</t>
  </si>
  <si>
    <t xml:space="preserve">CONCILIACION </t>
  </si>
  <si>
    <t>BANCARIA</t>
  </si>
  <si>
    <t>CUENTA</t>
  </si>
  <si>
    <t>436-000-1507</t>
  </si>
  <si>
    <t>FIDUCIARIABANCOLOMBIA</t>
  </si>
  <si>
    <t xml:space="preserve">  </t>
  </si>
  <si>
    <t>TOTAL GENERAL</t>
  </si>
  <si>
    <t>ANTICIPO OBRA TALUD-TUBERIAS</t>
  </si>
  <si>
    <t>UTILIZACIONES DE JUNIO</t>
  </si>
  <si>
    <t>SALDO A JUNIO 30-2024</t>
  </si>
  <si>
    <t>OMNIQUIMICAS S.A.S.</t>
  </si>
  <si>
    <t>GASTOS BANCARIOS</t>
  </si>
  <si>
    <t>ABRIL-MAYO</t>
  </si>
  <si>
    <t xml:space="preserve">ASESORIA FINANCIERA CONTAB    </t>
  </si>
  <si>
    <t xml:space="preserve">GABRIELA MUÑOZ MOLINA         </t>
  </si>
  <si>
    <t>CONTABLES JUNIO</t>
  </si>
  <si>
    <t xml:space="preserve">SEGURO ZONAS COMUNES          </t>
  </si>
  <si>
    <t xml:space="preserve">HEMISFERICA DE SEGUROS LTDA.  </t>
  </si>
  <si>
    <t>AMORTIZACION POLIZA MES 05-2</t>
  </si>
  <si>
    <t xml:space="preserve">SERVICIOS DE VIGILANCIA       </t>
  </si>
  <si>
    <t xml:space="preserve">COTRASER- COOPERATIVA         </t>
  </si>
  <si>
    <t>SERV.VIGILANCIA DEL 01 AL 30</t>
  </si>
  <si>
    <t xml:space="preserve">SERVICIOS DE ASEO             </t>
  </si>
  <si>
    <t xml:space="preserve">INDUASEO S.A.                 </t>
  </si>
  <si>
    <t>SERVICIOS ASEO</t>
  </si>
  <si>
    <t xml:space="preserve">RECOLECCION DE BASURAS        </t>
  </si>
  <si>
    <t xml:space="preserve">EPM                           </t>
  </si>
  <si>
    <t>TASA DE ASEO</t>
  </si>
  <si>
    <t xml:space="preserve">SERVICIOS DE ADMINISTRACION   </t>
  </si>
  <si>
    <t>SERVICIO DE ADMINISTRACION J</t>
  </si>
  <si>
    <t xml:space="preserve">FACTURACION                   </t>
  </si>
  <si>
    <t xml:space="preserve">FREDY ALBERTO AGUILAR JIMENEZ </t>
  </si>
  <si>
    <t>FACTURACION MES  MAYO</t>
  </si>
  <si>
    <t xml:space="preserve">ACUEDUCTO Y ALCANTARILLADO    </t>
  </si>
  <si>
    <t xml:space="preserve">ACUEDUCTO EL ESCOBERO         </t>
  </si>
  <si>
    <t>ACUED. LOMA ESCOBERO 2 M3 C</t>
  </si>
  <si>
    <t>7 M3 CONTRATO 5075088 acuedu</t>
  </si>
  <si>
    <t>7 M3 CONTRATO 5075088 alcant</t>
  </si>
  <si>
    <t>8 M3 CONTRATO 3437395 ACUEDU</t>
  </si>
  <si>
    <t>8 M3 CONTRATO 3437395 ALCANT</t>
  </si>
  <si>
    <t xml:space="preserve">ENERGIA ELECTRICA             </t>
  </si>
  <si>
    <t xml:space="preserve">1.897 KWH CONTRATO 6381842  </t>
  </si>
  <si>
    <t>561 KWH CONTRATO 5075088  en</t>
  </si>
  <si>
    <t>299 KWH CONTRAT 5438972</t>
  </si>
  <si>
    <t xml:space="preserve">TELEFONO                      </t>
  </si>
  <si>
    <t xml:space="preserve">EPM TELECOMUNICACIONES S.A.   </t>
  </si>
  <si>
    <t>TELEFONIA -INTERNET-CONT.173</t>
  </si>
  <si>
    <t xml:space="preserve">PINTURAS URIBE                </t>
  </si>
  <si>
    <t>INSUMOS DE MMTO AREA SOCIAL</t>
  </si>
  <si>
    <t>INSUMOS DE MMTO GRAL INFRAES</t>
  </si>
  <si>
    <t xml:space="preserve">MULTIMATERIALES               </t>
  </si>
  <si>
    <t>00000CM 1</t>
  </si>
  <si>
    <t>MTTO. GENERAL -COMPRA CEMENT</t>
  </si>
  <si>
    <t>MMTO PREVENTIVO MES JUNIO</t>
  </si>
  <si>
    <t>COMPRA  CANALETA   CON ADHES</t>
  </si>
  <si>
    <t>MANO DE OBRA</t>
  </si>
  <si>
    <t>MMTO PREV. EQUIPOS GYM JUNIO</t>
  </si>
  <si>
    <t>TPORTE. BASURA DESECHOS  VEG</t>
  </si>
  <si>
    <t>COMPRA INSUMOS MTTO DE LA PI</t>
  </si>
  <si>
    <t xml:space="preserve">BERPA SAS                     </t>
  </si>
  <si>
    <t>UTILES, PAPELERIA Y FOTOCOPIAS</t>
  </si>
  <si>
    <t xml:space="preserve">A Y M ENCUADERNACION          </t>
  </si>
  <si>
    <t>COMPRA FORMATOS CONTRATOS (5</t>
  </si>
  <si>
    <t>TRANSPORTE  COMPRAS VARIAS</t>
  </si>
  <si>
    <t>PROVISION LEY 675  DEL MES</t>
  </si>
  <si>
    <t>TOTAL GASTOS MES</t>
  </si>
  <si>
    <t xml:space="preserve">MARCELO VILLA QUIROZ          </t>
  </si>
  <si>
    <t xml:space="preserve">EQUIPOS Y EQUIPOS SAS         </t>
  </si>
  <si>
    <t>RONALD DAVID GONZALEZ CALDERON</t>
  </si>
  <si>
    <t>000FE5445</t>
  </si>
  <si>
    <t>0000FE176</t>
  </si>
  <si>
    <t xml:space="preserve">GASTOS OPERATIVOS             </t>
  </si>
  <si>
    <t>CONTABLES JULIO</t>
  </si>
  <si>
    <t>FACTURACION MES julio</t>
  </si>
  <si>
    <t>ACUED. LOMA ESCOBERO 17 M3 C</t>
  </si>
  <si>
    <t>0 M3 CONTRATO 3437395 ACUEDU</t>
  </si>
  <si>
    <t>0 M3 CONTRATO 3437395 ALCANT</t>
  </si>
  <si>
    <t xml:space="preserve">2.285 KWH CONTRATO 6381842  </t>
  </si>
  <si>
    <t>528 KWH CONTRATO 5075088  en</t>
  </si>
  <si>
    <t>240 KWH CONTRAT 5438972</t>
  </si>
  <si>
    <t>MANTENIMIENTAO GENERAL</t>
  </si>
  <si>
    <t>INSSUMOS MMTO CANCHA</t>
  </si>
  <si>
    <t>LOS LONDOÑO</t>
  </si>
  <si>
    <t>MMTO ELECTRICO COMPRA 3 BOMB</t>
  </si>
  <si>
    <t>MMTO PREVENTIVO MES JULIO</t>
  </si>
  <si>
    <t xml:space="preserve">PEREZ Y CARDONA S.A.S.        </t>
  </si>
  <si>
    <t>COMPRA INSUMOS MMTO JARDINES</t>
  </si>
  <si>
    <t xml:space="preserve">MUNICIPIO DE ENVIGADO         </t>
  </si>
  <si>
    <t>CERTIFICADO DE REPRESENTACIO</t>
  </si>
  <si>
    <t xml:space="preserve">ALVREZ COMERCIAL SS           </t>
  </si>
  <si>
    <t>COMPRA DE PAPELERIA VARIA</t>
  </si>
  <si>
    <t xml:space="preserve">AJUSTE AL PESO                </t>
  </si>
  <si>
    <t xml:space="preserve">DARIO POSADA                  </t>
  </si>
  <si>
    <t xml:space="preserve">DARIO POSADA                </t>
  </si>
  <si>
    <t>72024-5</t>
  </si>
  <si>
    <t>3605 JUNIO-10</t>
  </si>
  <si>
    <t>00000CM 1-5</t>
  </si>
  <si>
    <t>4942-1</t>
  </si>
  <si>
    <t>72024-10</t>
  </si>
  <si>
    <t>DETALLE GASTOS DE GEMERALES DE JULIO 2024</t>
  </si>
  <si>
    <t>DETALLE GASTOS DE  JUNIO 2024</t>
  </si>
  <si>
    <t>MAYO-JUNIO</t>
  </si>
  <si>
    <t>JULIO FACTURADO</t>
  </si>
  <si>
    <t>CUOTA 2</t>
  </si>
  <si>
    <t>DETALLE UTILIZACION CUOTA EXTRA 2024</t>
  </si>
  <si>
    <t>VALOR APLICADOS</t>
  </si>
  <si>
    <t>COMPRA PLÁSTICOS</t>
  </si>
  <si>
    <t>ENTRE JARDINES</t>
  </si>
  <si>
    <t>RECUPERACIÓN LATERAL TALUD CASA 101</t>
  </si>
  <si>
    <t>SALDO POR APLICAR DE CUOTA EXTRA 2024 AL CORTE DE MAYO</t>
  </si>
  <si>
    <t xml:space="preserve">DE PINTURAS S.A.S.           </t>
  </si>
  <si>
    <t xml:space="preserve">ENTRE JARDINES S.A.S.          </t>
  </si>
  <si>
    <t>LEGALIZACIÓN No. 1FE 176 DANIELA CÁRDENAS</t>
  </si>
  <si>
    <t>CUOTA EXTRA NO 1 FACTURADA EN MAYO</t>
  </si>
  <si>
    <t>MANTENIMIENTO ELECTRICO</t>
  </si>
  <si>
    <t xml:space="preserve"> TANIA MARIA ANGULO</t>
  </si>
  <si>
    <t>agosto</t>
  </si>
  <si>
    <t>SALDO A AGOSTO</t>
  </si>
  <si>
    <t>Junio-Julio</t>
  </si>
  <si>
    <t>Nombre</t>
  </si>
  <si>
    <t>Nombre Nit</t>
  </si>
  <si>
    <t>Documento</t>
  </si>
  <si>
    <t>Detalle</t>
  </si>
  <si>
    <t>SERVICIOS JUNIO EXÓGENA</t>
  </si>
  <si>
    <t>CONTABLES AGOSTO</t>
  </si>
  <si>
    <t>SERVICIO DE ADMINISTRACION A</t>
  </si>
  <si>
    <t>FACTURACION MES agosto</t>
  </si>
  <si>
    <t>ACUED. LOMA ESCOBERO 4 M3 C</t>
  </si>
  <si>
    <t>2 M3 CONTRATO 5075088 acuedu</t>
  </si>
  <si>
    <t>2 M3 CONTRATO 5075088 alcant</t>
  </si>
  <si>
    <t xml:space="preserve">"1,938 KWH CONTRATO 6381842 </t>
  </si>
  <si>
    <t>566 KWH CONTRATO 5075088  en</t>
  </si>
  <si>
    <t>361 KWH CONTRAT 5438972</t>
  </si>
  <si>
    <t>SERVIPLAGAS S.A.S.</t>
  </si>
  <si>
    <t xml:space="preserve">SIN BICHOS SAS                </t>
  </si>
  <si>
    <t>00000CM 2</t>
  </si>
  <si>
    <t>INSUMOS MANTTO. BROCA  CHAZO</t>
  </si>
  <si>
    <t>MANTTO. SIFON LAVAMANOS</t>
  </si>
  <si>
    <t>MMTO PREVENTIVO MES AGOSTO</t>
  </si>
  <si>
    <t xml:space="preserve">MMTO ELECTRICO BOMBILLO LED </t>
  </si>
  <si>
    <t>MMTO ELECTRICO PANEL LED RED</t>
  </si>
  <si>
    <t>MMTO GENERAL DE JULIO  EQUIP</t>
  </si>
  <si>
    <t>COMPRA BIG NUBE BLANCO X 250</t>
  </si>
  <si>
    <t>COMPRA INSUMOS CAFETERIA</t>
  </si>
  <si>
    <t xml:space="preserve">SURAMERCIA COMECIAL SAS       </t>
  </si>
  <si>
    <t>COMPRA INSUMOS DE ASEO</t>
  </si>
  <si>
    <t>COMPRA INSUMOS ASEO -ALVAREZ</t>
  </si>
  <si>
    <t xml:space="preserve">LIMPETT SAS                   </t>
  </si>
  <si>
    <t>COMPRA ROLLOS BOLSA PARA ESC</t>
  </si>
  <si>
    <t>COMPRA DE INSUMOS CAFETERIA</t>
  </si>
  <si>
    <t>GASTOS TRANSPORTE COMPRAS  V</t>
  </si>
  <si>
    <t>DETALLE GASTOS DE GENERALES DE AGOSTO 2024</t>
  </si>
  <si>
    <t>DEPOSITO MULTIMATERIALES LTD</t>
  </si>
  <si>
    <t>ENTREJARDINES SAS</t>
  </si>
  <si>
    <t>EQUILIBRUIM SERVICIO TÉCNICO</t>
  </si>
  <si>
    <t>SERVICIOS TECNICOS ELECTRONI</t>
  </si>
  <si>
    <t>NUEVO SALDO DISPONIBLE A AGOSTO 30</t>
  </si>
  <si>
    <t>CR URBANIZACION MONTEVERDI P.H. - 900.317.187-5</t>
  </si>
  <si>
    <t>Cuenta</t>
  </si>
  <si>
    <t>DEUDORES VARIOS</t>
  </si>
  <si>
    <t>Julio-agosto</t>
  </si>
  <si>
    <t>INFORME FLUJO DE CAJA - SEPBRE DE 2024</t>
  </si>
  <si>
    <t>SALDO 29-08-24</t>
  </si>
  <si>
    <t>Rendimientos Financieros ahorros Y FIDUCIA</t>
  </si>
  <si>
    <t>4992-5023</t>
  </si>
  <si>
    <t>RONALD DAVID GONZÁLEZ CALDER</t>
  </si>
  <si>
    <t>PROTOKIMICA  S.A.S.</t>
  </si>
  <si>
    <t>DANIELA CARDENAS GIRALDO</t>
  </si>
  <si>
    <t>MUNICIPIO DE ENVIGADO</t>
  </si>
  <si>
    <t>EMPRESAS PUBLICAS DE MEDELLI</t>
  </si>
  <si>
    <t>MATERIALES LA 44</t>
  </si>
  <si>
    <t>RUBEN DARIO LONDOÑO RESTREPO</t>
  </si>
  <si>
    <t>TERESA TIBADIJO</t>
  </si>
  <si>
    <t>SERGIO ALBEIRO GARCIA</t>
  </si>
  <si>
    <t>SIN BICHOS SAS</t>
  </si>
  <si>
    <t>JUAN RODRIGO  URIBE RUIZ</t>
  </si>
  <si>
    <t>3710A</t>
  </si>
  <si>
    <t>BANCARIOS MES</t>
  </si>
  <si>
    <t>DETALLE GASTOS A SEP-30-2024</t>
  </si>
  <si>
    <t xml:space="preserve"> Nit</t>
  </si>
  <si>
    <t xml:space="preserve">51-10-30-01                             </t>
  </si>
  <si>
    <t>SERVICIOS CONTABLES SEPTIEMB</t>
  </si>
  <si>
    <t xml:space="preserve">51-30-25-01                             </t>
  </si>
  <si>
    <t>AMORTIZACION POLIZA MES 09-2</t>
  </si>
  <si>
    <t xml:space="preserve">51-35-05-01                             </t>
  </si>
  <si>
    <t xml:space="preserve">51-35-05-02                             </t>
  </si>
  <si>
    <t xml:space="preserve">51-35-05-03                             </t>
  </si>
  <si>
    <t xml:space="preserve">51-35-15-01                             </t>
  </si>
  <si>
    <t>SERVICIO DE ADMINISTRACION S</t>
  </si>
  <si>
    <t xml:space="preserve">51-35-20-01                             </t>
  </si>
  <si>
    <t>FACTURACION MES septiembre</t>
  </si>
  <si>
    <t xml:space="preserve">51-35-25-01                             </t>
  </si>
  <si>
    <t>ACUED. LOMA ESCOBERO 34 M3 C</t>
  </si>
  <si>
    <t>0 M3 CONTRATO 5075088 acuedu</t>
  </si>
  <si>
    <t>0 M3 CONTRATO 5075088 alcant</t>
  </si>
  <si>
    <t xml:space="preserve">51-35-30-01                             </t>
  </si>
  <si>
    <t xml:space="preserve">"1,992 KWH CONTRATO 6381842 </t>
  </si>
  <si>
    <t>532 KWH CONTRATO 5075088  en</t>
  </si>
  <si>
    <t>346 KWH CONTRAT 5438972</t>
  </si>
  <si>
    <t xml:space="preserve">51-45-10-03                             </t>
  </si>
  <si>
    <t xml:space="preserve">51-45-95-01                             </t>
  </si>
  <si>
    <t>COMPRA AEROSOL CORNETA NEGRO</t>
  </si>
  <si>
    <t>"COMPRA AEROSOLES, CORREA  P</t>
  </si>
  <si>
    <t>DISCO TROZADOR MADERA</t>
  </si>
  <si>
    <t xml:space="preserve">51-45-95-02                             </t>
  </si>
  <si>
    <t>MTTO. PREVENT. SISTEMA DE SE</t>
  </si>
  <si>
    <t xml:space="preserve">51-45-95-04                             </t>
  </si>
  <si>
    <t>COMPRA  BOMBILLOS LED BLANCO</t>
  </si>
  <si>
    <t xml:space="preserve">51-45-95-05                             </t>
  </si>
  <si>
    <t xml:space="preserve">51-45-95-06                             </t>
  </si>
  <si>
    <t xml:space="preserve">51-45-95-07                             </t>
  </si>
  <si>
    <t xml:space="preserve">COMERCIAL MODELO LTDA.        </t>
  </si>
  <si>
    <t>INSUMOS PARA CAMBIO JUNTA PL</t>
  </si>
  <si>
    <t xml:space="preserve">COMPRA INSUMOS MTTO PISCINA </t>
  </si>
  <si>
    <t xml:space="preserve">51-45-95-10                             </t>
  </si>
  <si>
    <t xml:space="preserve">ISAZA ZAPATA ALEX YAIR        </t>
  </si>
  <si>
    <t>MTTO. GRAL PTA VHICULAR Y PE</t>
  </si>
  <si>
    <t xml:space="preserve">51-95-25-01                             </t>
  </si>
  <si>
    <t xml:space="preserve">PROTOKIMICA LTDA.             </t>
  </si>
  <si>
    <t>"LIMPIADOR, EUCALIPTO, DESEN</t>
  </si>
  <si>
    <t xml:space="preserve">51-95-95-90                             </t>
  </si>
  <si>
    <t xml:space="preserve">AJUSTE RET                  </t>
  </si>
  <si>
    <t xml:space="preserve">51-99-20-01                             </t>
  </si>
  <si>
    <t xml:space="preserve">53-05-05-01                             </t>
  </si>
  <si>
    <t xml:space="preserve">DESLIZMIENTO TALUD            </t>
  </si>
  <si>
    <t>RESULTADO PRESUPUESTAL MES/AÑO</t>
  </si>
  <si>
    <t>Agosto-Sep-</t>
  </si>
  <si>
    <t>PASIVOS DIFERIDOS</t>
  </si>
  <si>
    <t>TOTAL PASIVOS DIFERIDOS</t>
  </si>
  <si>
    <t>28150524</t>
  </si>
  <si>
    <t xml:space="preserve">CUOTA EXTRA AÑO 2024          </t>
  </si>
  <si>
    <t xml:space="preserve">OLGA DEL SOCORRO ALVAREZ      </t>
  </si>
  <si>
    <t xml:space="preserve">DIEGO GOMEZ                   </t>
  </si>
  <si>
    <t xml:space="preserve">JUAN CAMILO SOTO              </t>
  </si>
  <si>
    <t xml:space="preserve">ALVARO GOMEZ - GLORIA ZULUAGA </t>
  </si>
  <si>
    <t xml:space="preserve">VICTOR ALFONSO CARDONA        </t>
  </si>
  <si>
    <t xml:space="preserve">ZOILA MARGARITA MARTINEZ      </t>
  </si>
  <si>
    <t>WILLIAM CASTELLANOS- LISET GUE</t>
  </si>
  <si>
    <t>JUAN JOSE PELAEZ-LILIANA GALLE</t>
  </si>
  <si>
    <t xml:space="preserve">JIM PABEL ROMERO              </t>
  </si>
  <si>
    <t xml:space="preserve">JUAN FELIPE MAYA              </t>
  </si>
  <si>
    <t xml:space="preserve">JUAN CARLOS TAMAYO            </t>
  </si>
  <si>
    <t xml:space="preserve">JUAN CAMILO RENDON            </t>
  </si>
  <si>
    <t xml:space="preserve">ELENA ALVAREZ                 </t>
  </si>
  <si>
    <t xml:space="preserve">JUAN PABLO ARBELAEZ           </t>
  </si>
  <si>
    <t xml:space="preserve">JULIO CESAR DAVID             </t>
  </si>
  <si>
    <t xml:space="preserve">GLORIA BETANCUR-RAMON HENAO   </t>
  </si>
  <si>
    <t xml:space="preserve">OLGA BEATRIZ VILLA            </t>
  </si>
  <si>
    <t xml:space="preserve">GLORIA IDARRAGA               </t>
  </si>
  <si>
    <t xml:space="preserve">GABRIEL GOMEZ                 </t>
  </si>
  <si>
    <t xml:space="preserve">EDWIN GONZALEZ                </t>
  </si>
  <si>
    <t xml:space="preserve">ROBINSON VALDERRAMA           </t>
  </si>
  <si>
    <t xml:space="preserve">CARLOS RESTREPO               </t>
  </si>
  <si>
    <t>Documento Referencia</t>
  </si>
  <si>
    <t>SERVICIOS CONTABLES OCTUBRE</t>
  </si>
  <si>
    <t>AMORTIZACION POLIZA MES10-20</t>
  </si>
  <si>
    <t>SERVICIO DE ADMINISTRACION O</t>
  </si>
  <si>
    <t>FACTURACION MES OCTUBRE</t>
  </si>
  <si>
    <t>ACUED. LOMA ESCOBERO 36 M3 C</t>
  </si>
  <si>
    <t>1 M3 CONTRATO 5075088 acuedu</t>
  </si>
  <si>
    <t>1 M3 CONTRATO 5075088 alcant</t>
  </si>
  <si>
    <t>1 M3 CONTRATO 3437395 ACUEDU</t>
  </si>
  <si>
    <t>1 M3 CONTRATO 3437395 ALCANT</t>
  </si>
  <si>
    <t xml:space="preserve">"2,361 KWH CONTRATO 6381842 </t>
  </si>
  <si>
    <t>585 KWH CONTRATO 5075088  en</t>
  </si>
  <si>
    <t>314 KWH CONTRAT 5438972</t>
  </si>
  <si>
    <t>"COMPRA RACOR MANGUERA, EMP.</t>
  </si>
  <si>
    <t>ANTICIPO MARCELO VILLA QUIRO</t>
  </si>
  <si>
    <t>IMPERM ZONA HUMEDA ESC Y PLA</t>
  </si>
  <si>
    <t>INSUMOS PARA MANTTO. GENERAL</t>
  </si>
  <si>
    <t xml:space="preserve">COMPRA CABLE DE PODER 110   </t>
  </si>
  <si>
    <t>INSUMOS MANTENIMIENTO PISCIN</t>
  </si>
  <si>
    <t>000000CM1</t>
  </si>
  <si>
    <t>CM1  COMPRA INSUMOS DE ASEO-</t>
  </si>
  <si>
    <t>COMPRA TOALLAS  Y PAPEL HIGI</t>
  </si>
  <si>
    <t>COMPRA PILAS</t>
  </si>
  <si>
    <t>CM1 COMPRA CERT. REGISTROS A</t>
  </si>
  <si>
    <t>CM1 GASTOS DE TRANSPORTE TRA</t>
  </si>
  <si>
    <t xml:space="preserve">CELEBRACIONES ESPECIALES      </t>
  </si>
  <si>
    <t>PINTURA ESPANTAPÁJAROS Y 2 C</t>
  </si>
  <si>
    <t>"FIGURA HALLOWEEN, HENO Y DE</t>
  </si>
  <si>
    <t>COMPRA DULCES BON  BON BUM</t>
  </si>
  <si>
    <t>SERVICIO INFLABLE AVENTURA E</t>
  </si>
  <si>
    <t xml:space="preserve">AJUSTE SALDO                </t>
  </si>
  <si>
    <t>BANCARIOS</t>
  </si>
  <si>
    <t>DEPOSITO LOS LONDOÑO</t>
  </si>
  <si>
    <t>BUÑUELERIA LA INTERMEDIA</t>
  </si>
  <si>
    <t>COMPRA TABLEROS SEGÚN FACTUR</t>
  </si>
  <si>
    <t>ALQ. VIBROCOMPACTADOR TIPO R</t>
  </si>
  <si>
    <t>"""GASTOS REP TALUD ALQUILER</t>
  </si>
  <si>
    <t>FIBRAS INGENIERILES SAS</t>
  </si>
  <si>
    <t>MULTIMATERIALES</t>
  </si>
  <si>
    <t>"""COMPRA MATERIALES TRITURA</t>
  </si>
  <si>
    <t>REPARACION TALUD -MATERIALES</t>
  </si>
  <si>
    <t>"""ANTICIPO REPARACION TALUD</t>
  </si>
  <si>
    <t>"""COMPRA COSTALES FIBRA, AC</t>
  </si>
  <si>
    <t>COMPRA MAT. CONSTRUC Y ACARR</t>
  </si>
  <si>
    <t>COMPRA MAT. CONSTRUC Y PLAST</t>
  </si>
  <si>
    <t>COMPRA DISCO ABRACOL Y DISC</t>
  </si>
  <si>
    <t>MATERIALES CONSTRUCCION Y AC</t>
  </si>
  <si>
    <t>HOMECENTER SODIMAC-COLOMBIA</t>
  </si>
  <si>
    <t>ACUAMETRO S.A.</t>
  </si>
  <si>
    <t>REPARACION TALUD -MAT  BOLSA</t>
  </si>
  <si>
    <t>FERNADEZ Y CIA S A</t>
  </si>
  <si>
    <t>REPARACION DE CERCA ELECTRIC</t>
  </si>
  <si>
    <t>SERVIC TEC Y ELECTRONICOS S.</t>
  </si>
  <si>
    <t>INSUMOS MTTO CANO  CANACHA S</t>
  </si>
  <si>
    <t>COMPRA DE 140 MT GRAMA MACAN</t>
  </si>
  <si>
    <t>REPOSICION JARDIN TALUD  101</t>
  </si>
  <si>
    <t>JORNAL  PARA ORGANIZAR MURO</t>
  </si>
  <si>
    <t xml:space="preserve">SERVICIOS GENERALES Y TRANS </t>
  </si>
  <si>
    <t>TRANSPORTE</t>
  </si>
  <si>
    <t>ANTICIPO ASESORIA OBRA Y TRA</t>
  </si>
  <si>
    <t>LEGALISERVICIOS GENERALES Y</t>
  </si>
  <si>
    <t>MAURICIO ALEJANDRO MOLANO QU</t>
  </si>
  <si>
    <t>ORDEN DE ACTIVIDADES 4 DESLI</t>
  </si>
  <si>
    <t>DETALLE GASTOSO CTUBRE 2024</t>
  </si>
  <si>
    <t>GASTOS MES</t>
  </si>
  <si>
    <t>GASTOS TALUD</t>
  </si>
  <si>
    <t>GASTOS DESLIZAMIENATO TALUD</t>
  </si>
  <si>
    <t>DETALLE GASTOSO NOVIEMBRE 2024</t>
  </si>
  <si>
    <t>00005</t>
  </si>
  <si>
    <t>000112024</t>
  </si>
  <si>
    <t>SERVICIOS CONTABLES NOVIEMBR</t>
  </si>
  <si>
    <t>00010</t>
  </si>
  <si>
    <t>00002</t>
  </si>
  <si>
    <t>000003803</t>
  </si>
  <si>
    <t>000003819</t>
  </si>
  <si>
    <t>000003799</t>
  </si>
  <si>
    <t>000003820</t>
  </si>
  <si>
    <t>SERVICIO DE ADMINISTRACION N</t>
  </si>
  <si>
    <t>000003809</t>
  </si>
  <si>
    <t>FACTURACION MES NOVIEMBRE</t>
  </si>
  <si>
    <t>000003821</t>
  </si>
  <si>
    <t>ACUED. LOMA ESCOBERO 9 M3 Co</t>
  </si>
  <si>
    <t>ACUED. LOMA ESCOBERO 9 M3 Cc</t>
  </si>
  <si>
    <t>000003800</t>
  </si>
  <si>
    <t>4 M3 CONTRATO 5075088 acuedu</t>
  </si>
  <si>
    <t>4 M3 CONTRATO 5075088 alcant</t>
  </si>
  <si>
    <t>000003802</t>
  </si>
  <si>
    <t>5 M3 CONTRATO 3437395 ACUEDU</t>
  </si>
  <si>
    <t>5 M3 CONTRATO 3437395 ALCANT</t>
  </si>
  <si>
    <t xml:space="preserve">"2,364 KWH CONTRATO 6381842 </t>
  </si>
  <si>
    <t>559 KWH CONTRATO 5075088  en</t>
  </si>
  <si>
    <t>000003801</t>
  </si>
  <si>
    <t>253 KWH CONTRAT 5438972</t>
  </si>
  <si>
    <t>000003789</t>
  </si>
  <si>
    <t>000003798</t>
  </si>
  <si>
    <t>000003806</t>
  </si>
  <si>
    <t>COMPRA PROD PARA CONTROL Y P</t>
  </si>
  <si>
    <t>000003783</t>
  </si>
  <si>
    <t>COMPRA  KORAZA MANI Y SIKAFL</t>
  </si>
  <si>
    <t>000003814</t>
  </si>
  <si>
    <t>COMPRA INSUMOS MTTO. ZONA HU</t>
  </si>
  <si>
    <t xml:space="preserve">RETIRAR Y APLICAR SICA      </t>
  </si>
  <si>
    <t xml:space="preserve">PINTAR SALON SOLCIAL        </t>
  </si>
  <si>
    <t xml:space="preserve">LIJAR PASAMANOS PISCINA     </t>
  </si>
  <si>
    <t>NIVELAR LOSA Y MORTERO PENDI</t>
  </si>
  <si>
    <t>000003785</t>
  </si>
  <si>
    <t>COMPRA CEPILLO BRONCE MP TRU</t>
  </si>
  <si>
    <t>"COMPRA CONCOLOR, RASCADOR D</t>
  </si>
  <si>
    <t xml:space="preserve">HOMECENTER SODIMAC-COLOMBIA   </t>
  </si>
  <si>
    <t>000003792</t>
  </si>
  <si>
    <t>COMPRA PATTEX 100 GRMS</t>
  </si>
  <si>
    <t>COMPRA CARTULINA LEGAJADORA</t>
  </si>
  <si>
    <t xml:space="preserve">45 HUELLAS EN CONCRETO      </t>
  </si>
  <si>
    <t xml:space="preserve">JHON JAIRO ALVAREZ BERAL      </t>
  </si>
  <si>
    <t>000003794</t>
  </si>
  <si>
    <t>COMPRA CONECTOR Y AMARRES</t>
  </si>
  <si>
    <t>000003823</t>
  </si>
  <si>
    <t>000003808</t>
  </si>
  <si>
    <t>000003810</t>
  </si>
  <si>
    <t>000003822</t>
  </si>
  <si>
    <t>000003812</t>
  </si>
  <si>
    <t xml:space="preserve">INVERSIONES GAV SAS           </t>
  </si>
  <si>
    <t>000003805</t>
  </si>
  <si>
    <t xml:space="preserve">AQUALUXO SAS                  </t>
  </si>
  <si>
    <t>000003825</t>
  </si>
  <si>
    <t>000003826</t>
  </si>
  <si>
    <t>000003793</t>
  </si>
  <si>
    <t>COMPRA INSUMOS MTTO ASEO</t>
  </si>
  <si>
    <t>000003811</t>
  </si>
  <si>
    <t>COMPRA PAPELERIA</t>
  </si>
  <si>
    <t>000003813</t>
  </si>
  <si>
    <t xml:space="preserve">LINA MARIA GRIJALBA DUQUE     </t>
  </si>
  <si>
    <t>000003784</t>
  </si>
  <si>
    <t>CONSULTORIAS SST</t>
  </si>
  <si>
    <t xml:space="preserve">LONDOÑO GONZALEZ NATACHA      </t>
  </si>
  <si>
    <t>000003827</t>
  </si>
  <si>
    <t>AVISOS  SEÑALECTICA SG  SST</t>
  </si>
  <si>
    <t xml:space="preserve">ANA MARIA TORRES ESCOBAR      </t>
  </si>
  <si>
    <t>000003797</t>
  </si>
  <si>
    <t>VENTA ARREGLOS NAVIDEÑOS</t>
  </si>
  <si>
    <t>000003807</t>
  </si>
  <si>
    <t>VENTA ARREGLOS NAVIDEÑOS- DO</t>
  </si>
  <si>
    <t xml:space="preserve">NIDIA LUZ DUQUE DUQUE         </t>
  </si>
  <si>
    <t>000003816</t>
  </si>
  <si>
    <t>COMPRA JUGUETERIA</t>
  </si>
  <si>
    <t xml:space="preserve">BURICA S.A.                   </t>
  </si>
  <si>
    <t>000003788</t>
  </si>
  <si>
    <t>COMPRA ADORNOS DE NAVIDAD</t>
  </si>
  <si>
    <t xml:space="preserve">DECO HAUSE 3                  </t>
  </si>
  <si>
    <t>000003787</t>
  </si>
  <si>
    <t xml:space="preserve">ELECTRICOS EL PARQUE          </t>
  </si>
  <si>
    <t>000003791</t>
  </si>
  <si>
    <t>COMPRA  LUCES DE NAVIDAD</t>
  </si>
  <si>
    <t>PANAMERICANA LIBRERIA Y PAPELE</t>
  </si>
  <si>
    <t>000003786</t>
  </si>
  <si>
    <t>ARREGLOS NAVIDEÑOS- DOLLARCI</t>
  </si>
  <si>
    <t>Sep-Oct</t>
  </si>
  <si>
    <t xml:space="preserve">HUMBERTO GUEVARA CORRE        </t>
  </si>
  <si>
    <t>MARIANA GOMEZ-MARGARITA GONZAL</t>
  </si>
  <si>
    <t xml:space="preserve">JIOVANI JIMENEZ               </t>
  </si>
  <si>
    <t xml:space="preserve">RUSBEL ESPINOZA               </t>
  </si>
  <si>
    <t xml:space="preserve">PABLO MARQUEZ-ANGELA AGUIRRE  </t>
  </si>
  <si>
    <t xml:space="preserve">Guadalupe R.M                 </t>
  </si>
  <si>
    <t xml:space="preserve">MMTO EXTINTORES               </t>
  </si>
  <si>
    <t xml:space="preserve">IMPLEMENTACION HABEAS DATA    </t>
  </si>
  <si>
    <t>Celebraciones -Navidad</t>
  </si>
  <si>
    <t>DICIEMBRE</t>
  </si>
  <si>
    <t>JHON WILLIAM BETANCUR FERNANDZ</t>
  </si>
  <si>
    <t xml:space="preserve">MANCO ESCOBAR NELLY           </t>
  </si>
  <si>
    <t xml:space="preserve">ELKIN ARTURO MESA CARDENAS    </t>
  </si>
  <si>
    <t xml:space="preserve">URBANIZACION MONTEVERDI       </t>
  </si>
  <si>
    <t xml:space="preserve">JERONIMO MARTINS COLOMBIA SAS </t>
  </si>
  <si>
    <t xml:space="preserve">SANCHEZ MAYA CLAUDIA MARACEA  </t>
  </si>
  <si>
    <t xml:space="preserve">LILIANA MARIA MORA MEJIA      </t>
  </si>
  <si>
    <t xml:space="preserve">OLGA LUCIA SANCHEZ MOLINA     </t>
  </si>
  <si>
    <t xml:space="preserve">ALMACENES EXITO S.A.          </t>
  </si>
  <si>
    <t>DETALLE GASTOSO DICIEMBRE 2024</t>
  </si>
  <si>
    <t>INVERSION CDT</t>
  </si>
  <si>
    <t>SUPERAVIT-DEFICIT DEL EJERCICIO PPTAL</t>
  </si>
  <si>
    <t>GASTOS NO PRESUPUESTADOS X DEFINIR TALUD</t>
  </si>
  <si>
    <t xml:space="preserve">REFEUERZO VIGILANCIA          </t>
  </si>
  <si>
    <t xml:space="preserve">MANTEN CORREC.CAMARAS CCTV    </t>
  </si>
  <si>
    <t>Presupuesto ordinario acumulado</t>
  </si>
  <si>
    <t>Ingresos presupuestados</t>
  </si>
  <si>
    <t>Ingresos ejecutados</t>
  </si>
  <si>
    <t>Egresos ejecutados</t>
  </si>
  <si>
    <t>Diferencia</t>
  </si>
  <si>
    <t>Egresos presupuestados</t>
  </si>
  <si>
    <t>ejecutado</t>
  </si>
  <si>
    <t>Mto</t>
  </si>
  <si>
    <t>Ambien.</t>
  </si>
  <si>
    <t>Mantenimiento</t>
  </si>
  <si>
    <t>Riesgos y Seguridad</t>
  </si>
  <si>
    <t>Mantenimiento presupuestado</t>
  </si>
  <si>
    <t>Mantenimiento Ejecutado</t>
  </si>
  <si>
    <t>Seguridad presupuestado</t>
  </si>
  <si>
    <t>Cuota extra anteriores</t>
  </si>
  <si>
    <t>Cuota extra 2023</t>
  </si>
  <si>
    <t>Cuotas de administración</t>
  </si>
  <si>
    <t>Total mantenimiento</t>
  </si>
  <si>
    <t>Provisión acueducto escobero</t>
  </si>
  <si>
    <t>Recursos disponibles Acumulados para el gasto 2023</t>
  </si>
  <si>
    <t>Gasto Acumulados 2023</t>
  </si>
  <si>
    <t>Total Seguridad y riesgos</t>
  </si>
  <si>
    <t>Intereses de mora</t>
  </si>
  <si>
    <t>Intereses financieros</t>
  </si>
  <si>
    <t>Total ambiental</t>
  </si>
  <si>
    <t>Uso del salon social</t>
  </si>
  <si>
    <t>Descuentos por pronto pago</t>
  </si>
  <si>
    <t>Póliza de seguros</t>
  </si>
  <si>
    <t>Cubrmiento Deficit 2021- 2022</t>
  </si>
  <si>
    <t>Inversión CCTV pagados por cotraser</t>
  </si>
  <si>
    <t>Fondo de imprevistos</t>
  </si>
  <si>
    <t>Mto prev y correc sist seguridad (hasta oct incluídos en ejc pptal</t>
  </si>
  <si>
    <t>Reinversión</t>
  </si>
  <si>
    <t>10142698 ( no han ingresado a la cta de Monteverdi, pago a terceros $6.685.800)</t>
  </si>
  <si>
    <t>Saldo por recibir $</t>
  </si>
  <si>
    <t>Ingresos operacionales presupuestados</t>
  </si>
  <si>
    <t>Total ingresos</t>
  </si>
  <si>
    <t>Ingresos marginales</t>
  </si>
  <si>
    <t>Egresos operacionales reales</t>
  </si>
  <si>
    <t>Ambiental ppto</t>
  </si>
  <si>
    <t>Ambiental ejecutado</t>
  </si>
  <si>
    <t>Total</t>
  </si>
  <si>
    <t>Facturado vs Recaudo mes</t>
  </si>
  <si>
    <t>1 al 10</t>
  </si>
  <si>
    <t>11 al 20</t>
  </si>
  <si>
    <t>21 al 31</t>
  </si>
  <si>
    <t>Total Recaudo</t>
  </si>
  <si>
    <t>Promedio</t>
  </si>
  <si>
    <t>Facturado</t>
  </si>
  <si>
    <t>Cartera Mora</t>
  </si>
  <si>
    <t>sep</t>
  </si>
  <si>
    <t>oct</t>
  </si>
  <si>
    <t>casas con 1 cuota</t>
  </si>
  <si>
    <t>casas con 2 cuota</t>
  </si>
  <si>
    <t>casas con 3 cuota</t>
  </si>
  <si>
    <t>casas con 4 cuota</t>
  </si>
  <si>
    <t>Recaudo Mensual año 2024</t>
  </si>
  <si>
    <t>Cartera 2024</t>
  </si>
  <si>
    <t>DETALLE CARTERA CONTABILIDAD VS FACTURACIÓN NOV 2024</t>
  </si>
  <si>
    <t>DETALLE CARTERA CONTABILIDAD VS FACTURACIÓN DIC 2024</t>
  </si>
  <si>
    <t>OLGA DEL SOCORRO ARBELAEZ</t>
  </si>
  <si>
    <t>DIEGO GÓMEZ</t>
  </si>
  <si>
    <t>JUAN CAMILO SOTO</t>
  </si>
  <si>
    <t>ALVARO GOMEZ</t>
  </si>
  <si>
    <t>VICTOR ALFONSO CARDONA</t>
  </si>
  <si>
    <t>ZOILA MARGARITA INSIGNARES</t>
  </si>
  <si>
    <t>WILLIAM CASTELLANOS</t>
  </si>
  <si>
    <t>LILIANA GALLEGO/JUAN P. PELAEZ</t>
  </si>
  <si>
    <t>HUMBERTO GUEVARA CORREA</t>
  </si>
  <si>
    <t>JIM PABEL ROMERO</t>
  </si>
  <si>
    <t>JUAN FELIPE MAYA</t>
  </si>
  <si>
    <t>Juan Carlos Tamayo</t>
  </si>
  <si>
    <t>JUAN CAMILO RENDON</t>
  </si>
  <si>
    <t>MARIANA GOMEZ-MARGARITA GONZALEZ</t>
  </si>
  <si>
    <t>ELENA ALVAREZ</t>
  </si>
  <si>
    <t>INVER ARBELAEZ ESCOBAR S.A.S.</t>
  </si>
  <si>
    <t>JIOVANI JIMENEZ</t>
  </si>
  <si>
    <t>JULIO CESAR DAVID</t>
  </si>
  <si>
    <t>RUSBEL ESPINOZA</t>
  </si>
  <si>
    <t>PABLO MARQUEZ-ANGELA AGUIRRE</t>
  </si>
  <si>
    <t>DARIO POSADA</t>
  </si>
  <si>
    <t>Guadalupe R.M</t>
  </si>
  <si>
    <t>RAMON HENAO GLORIA BETANCUR</t>
  </si>
  <si>
    <t>OLGA BEATRIZ VILLA</t>
  </si>
  <si>
    <t>GLORIA IDARRAGA VALERIA GIRALDO</t>
  </si>
  <si>
    <t>GABRIEL GOMEZ</t>
  </si>
  <si>
    <t>EDWIN GONZALEZ</t>
  </si>
  <si>
    <t>ROBINSON VALDERRAMA</t>
  </si>
  <si>
    <t>CARLOS ESTEBAN RESTREPO</t>
  </si>
  <si>
    <t>DETALLE CARTERA CONTABILIDAD VS FACTURACIÓN OCT 2024</t>
  </si>
  <si>
    <t xml:space="preserve">Olga Del Socorro Álvarez      </t>
  </si>
  <si>
    <t xml:space="preserve">Diego Gómez                   </t>
  </si>
  <si>
    <t xml:space="preserve">Juan Camilo Soto              </t>
  </si>
  <si>
    <t xml:space="preserve">Álvaro Gómez - Gloria Zuluaga </t>
  </si>
  <si>
    <t xml:space="preserve">Víctor Alfonso Cardona        </t>
  </si>
  <si>
    <t xml:space="preserve">Zoila Margarita Martínez      </t>
  </si>
  <si>
    <t>William Castellanos- Lizet Gue</t>
  </si>
  <si>
    <t>Juan José Peláez-Liliana Galle</t>
  </si>
  <si>
    <t xml:space="preserve">Marlent Giraldo               </t>
  </si>
  <si>
    <t xml:space="preserve">Jim Pabel Romero              </t>
  </si>
  <si>
    <t xml:space="preserve">Juan Felipe Maya              </t>
  </si>
  <si>
    <t>Juan carlos Tamayo</t>
  </si>
  <si>
    <t xml:space="preserve">Juan Camilo Rendon            </t>
  </si>
  <si>
    <t>Margarita Gonzales</t>
  </si>
  <si>
    <t xml:space="preserve">Elena Álvarez                 </t>
  </si>
  <si>
    <t>Inversiones Arbeláez</t>
  </si>
  <si>
    <t>Jovani Jiménez</t>
  </si>
  <si>
    <t>Julio Cesar David</t>
  </si>
  <si>
    <t>Rusbel Espinoza</t>
  </si>
  <si>
    <t>Pablo Márquez</t>
  </si>
  <si>
    <t xml:space="preserve">Darío Posada                  </t>
  </si>
  <si>
    <t>Guadalupe RM SAS</t>
  </si>
  <si>
    <t xml:space="preserve">Gloria Betancur-Ramon Henao   </t>
  </si>
  <si>
    <t>Gustavo Galán</t>
  </si>
  <si>
    <t xml:space="preserve">Gloria Idárraga               </t>
  </si>
  <si>
    <t xml:space="preserve">Gabriel Gómez                 </t>
  </si>
  <si>
    <t xml:space="preserve">Edwin González                </t>
  </si>
  <si>
    <t xml:space="preserve">Robinson Valderrama           </t>
  </si>
  <si>
    <t xml:space="preserve">Carlos Restrepo              </t>
  </si>
  <si>
    <t>DETALLE CARTERA CONTABILIDAD VS FACTURACIÓN SEP2024</t>
  </si>
  <si>
    <t>DETALLE CARTERA CONTABILIDAD VS FACTURACIÓN jul 2024</t>
  </si>
  <si>
    <t>DETALLE CARTERA CONTABILIDAD VS FACTURACIÓN jun 2024</t>
  </si>
  <si>
    <t>DETALLE CARTERA CONTABILIDAD VS FACTURACIÓN may 2024</t>
  </si>
  <si>
    <t xml:space="preserve">               ACTIVOS</t>
  </si>
  <si>
    <t>Enero</t>
  </si>
  <si>
    <t>Febrero</t>
  </si>
  <si>
    <t>Marzo</t>
  </si>
  <si>
    <t>Abril</t>
  </si>
  <si>
    <t>Mayo</t>
  </si>
  <si>
    <t>Junio</t>
  </si>
  <si>
    <t>Julio</t>
  </si>
  <si>
    <t>Agosto</t>
  </si>
  <si>
    <t>Efectivo y sus equivalentes</t>
  </si>
  <si>
    <t>Fiducuenta Bancolombia</t>
  </si>
  <si>
    <t>CXC Administración</t>
  </si>
  <si>
    <t>Pagos sin identificar</t>
  </si>
  <si>
    <t>Reclamaciones a proveedores</t>
  </si>
  <si>
    <t>Gasto por anticipado póliza seguros</t>
  </si>
  <si>
    <t xml:space="preserve">                    PASIVOS</t>
  </si>
  <si>
    <t>CXP  honorarios</t>
  </si>
  <si>
    <t xml:space="preserve">CXP </t>
  </si>
  <si>
    <t>CXP Impuestos</t>
  </si>
  <si>
    <t>Reclamación Seguro</t>
  </si>
  <si>
    <t>Cuotas extras 2023</t>
  </si>
  <si>
    <t>Saldo Inversión vigilancia</t>
  </si>
  <si>
    <t>Cuota extra 2024</t>
  </si>
  <si>
    <t xml:space="preserve">                    PATRIMONIO</t>
  </si>
  <si>
    <t xml:space="preserve">                                                                                                                                                               </t>
  </si>
  <si>
    <t>Reserva de ley 675 2001</t>
  </si>
  <si>
    <t>Resultados del presente ejercicio</t>
  </si>
  <si>
    <t>DETALLE CARTERA CONTABILIDAD VS FACTURACIÓN abril 2024</t>
  </si>
  <si>
    <t>FACTURACON</t>
  </si>
  <si>
    <t xml:space="preserve">Olga Del Socorro Alvarez      </t>
  </si>
  <si>
    <t xml:space="preserve">Diego Gomez                   </t>
  </si>
  <si>
    <t xml:space="preserve">Alvaro Gomez - Gloria Zuluaga </t>
  </si>
  <si>
    <t xml:space="preserve">Victor Alfonso Cardona        </t>
  </si>
  <si>
    <t xml:space="preserve">Zoila Margarita Martinez      </t>
  </si>
  <si>
    <t>William Castellanos- Liset Gue</t>
  </si>
  <si>
    <t>Juan Jose Pelaez-Liliana Galle</t>
  </si>
  <si>
    <t xml:space="preserve">Juan Carlos Tamayo            </t>
  </si>
  <si>
    <t xml:space="preserve">Andres Mejia                  </t>
  </si>
  <si>
    <t xml:space="preserve">Elena Alvarez                 </t>
  </si>
  <si>
    <t xml:space="preserve">Juan Pablo Arbelaez           </t>
  </si>
  <si>
    <t xml:space="preserve">Gabriel Tamayo                </t>
  </si>
  <si>
    <t xml:space="preserve">Julio Cesar David             </t>
  </si>
  <si>
    <t xml:space="preserve">Ferney Gautan - Rosiris Rueda </t>
  </si>
  <si>
    <t xml:space="preserve">Laura Tobon                   </t>
  </si>
  <si>
    <t xml:space="preserve">Dario Posada                  </t>
  </si>
  <si>
    <t xml:space="preserve">Ruben Villa                   </t>
  </si>
  <si>
    <t xml:space="preserve">Olga Beatriz Villa            </t>
  </si>
  <si>
    <t xml:space="preserve">Gloria Idarraga               </t>
  </si>
  <si>
    <t xml:space="preserve">Gabriel Gomez                 </t>
  </si>
  <si>
    <t xml:space="preserve">Edwin Gonzalez                </t>
  </si>
  <si>
    <t>DETALLE CARTERA CONTABILIDAD VS FACTURACION mar 2024</t>
  </si>
  <si>
    <t>FACTURACION</t>
  </si>
  <si>
    <t>DETALLE CARTERA CONTABILIDAD VS FACTURACIÓN feb 2024</t>
  </si>
  <si>
    <t>Cartera</t>
  </si>
  <si>
    <t>Recaudo</t>
  </si>
  <si>
    <t>%cartera</t>
  </si>
  <si>
    <t>Prom</t>
  </si>
  <si>
    <t>ESTADO DE SITUACION FINANCIERA AÑO 2025</t>
  </si>
  <si>
    <t>ESTADO DE LA SITUACION FINANCIERA  COMPARATIVO:   *MARZO 2025-ABRIL 2025*</t>
  </si>
  <si>
    <t>28/04//2025</t>
  </si>
  <si>
    <t>28/03//2025</t>
  </si>
  <si>
    <t xml:space="preserve">NA </t>
  </si>
  <si>
    <t>NA</t>
  </si>
  <si>
    <t>DECISIONES ASAMBLEA</t>
  </si>
  <si>
    <t>DEFICIT PPTAL 2023</t>
  </si>
  <si>
    <t>TOTAL A CUBRIR</t>
  </si>
  <si>
    <t>CUBRIR ASI SEGÚN DECISIÓN ASAMBLEA</t>
  </si>
  <si>
    <t>RESULTADOS DE 2024</t>
  </si>
  <si>
    <t>total disposicion de fondos para cubrir</t>
  </si>
  <si>
    <t>Balance de Prueba por Cuenta (Normal)  Abr-30-2025</t>
  </si>
  <si>
    <t>Saldo Anterior</t>
  </si>
  <si>
    <t>Débitos</t>
  </si>
  <si>
    <t>Créditos</t>
  </si>
  <si>
    <t>Nuevo Saldo</t>
  </si>
  <si>
    <t xml:space="preserve">1                   </t>
  </si>
  <si>
    <t xml:space="preserve">ACTIVOS                       </t>
  </si>
  <si>
    <t xml:space="preserve">11                  </t>
  </si>
  <si>
    <t xml:space="preserve">DISPONIBLE                    </t>
  </si>
  <si>
    <t xml:space="preserve">1105                </t>
  </si>
  <si>
    <t xml:space="preserve">CAJA                          </t>
  </si>
  <si>
    <t>110510</t>
  </si>
  <si>
    <t xml:space="preserve">CAJAS MENORES                 </t>
  </si>
  <si>
    <t xml:space="preserve">1120                </t>
  </si>
  <si>
    <t xml:space="preserve">CUENTAS DE AHORRO             </t>
  </si>
  <si>
    <t xml:space="preserve">112005              </t>
  </si>
  <si>
    <t xml:space="preserve">BANCOS                        </t>
  </si>
  <si>
    <t>11200501</t>
  </si>
  <si>
    <t xml:space="preserve">BANCOLOMBIA CTA 436-544512-07 </t>
  </si>
  <si>
    <t xml:space="preserve">12                  </t>
  </si>
  <si>
    <t xml:space="preserve">INVERSIONES                   </t>
  </si>
  <si>
    <t xml:space="preserve">1245                </t>
  </si>
  <si>
    <t xml:space="preserve">DERECHOS FIDUCIARIOS          </t>
  </si>
  <si>
    <t>124505</t>
  </si>
  <si>
    <t xml:space="preserve">INVERSION MONEDA NACIONAL     </t>
  </si>
  <si>
    <t xml:space="preserve">13                  </t>
  </si>
  <si>
    <t xml:space="preserve">DEUDORES                      </t>
  </si>
  <si>
    <t xml:space="preserve">1345                </t>
  </si>
  <si>
    <t xml:space="preserve">INGRESOS POR COBRAR           </t>
  </si>
  <si>
    <t xml:space="preserve">134595              </t>
  </si>
  <si>
    <t xml:space="preserve">OTROS                         </t>
  </si>
  <si>
    <t>13459501</t>
  </si>
  <si>
    <t xml:space="preserve">CUOTAS DE ADMINISTRACION      </t>
  </si>
  <si>
    <t xml:space="preserve">1380                </t>
  </si>
  <si>
    <t xml:space="preserve">DEUDORES VARIOS               </t>
  </si>
  <si>
    <t xml:space="preserve">138095              </t>
  </si>
  <si>
    <t>13809501</t>
  </si>
  <si>
    <t xml:space="preserve">OTRAS CUENTAS POR COBRAR      </t>
  </si>
  <si>
    <t xml:space="preserve">17                  </t>
  </si>
  <si>
    <t xml:space="preserve">DIFERIDOS                     </t>
  </si>
  <si>
    <t xml:space="preserve">1705                </t>
  </si>
  <si>
    <t xml:space="preserve">GASTOS PAGADOS POR ANTICIPADO </t>
  </si>
  <si>
    <t xml:space="preserve">170520              </t>
  </si>
  <si>
    <t xml:space="preserve">SEGUROS Y FIANZAS             </t>
  </si>
  <si>
    <t>17052001</t>
  </si>
  <si>
    <t xml:space="preserve">2                   </t>
  </si>
  <si>
    <t xml:space="preserve">23                  </t>
  </si>
  <si>
    <t xml:space="preserve">CUENTAS POR PAGAR             </t>
  </si>
  <si>
    <t xml:space="preserve">2335                </t>
  </si>
  <si>
    <t xml:space="preserve">COSTOS Y GASTOS POR PAGAR     </t>
  </si>
  <si>
    <t xml:space="preserve">233525              </t>
  </si>
  <si>
    <t xml:space="preserve">HONORARIOS                    </t>
  </si>
  <si>
    <t>23352501</t>
  </si>
  <si>
    <t xml:space="preserve">233595              </t>
  </si>
  <si>
    <t>23359501</t>
  </si>
  <si>
    <t xml:space="preserve">2365                </t>
  </si>
  <si>
    <t xml:space="preserve">RETENCION EN LA FUENTE        </t>
  </si>
  <si>
    <t xml:space="preserve">236515              </t>
  </si>
  <si>
    <t xml:space="preserve">RET FTE POR PAGAR HONORARIOS  </t>
  </si>
  <si>
    <t>23651502</t>
  </si>
  <si>
    <t xml:space="preserve">RETE FUENTE HONORARIOS 11%    </t>
  </si>
  <si>
    <t xml:space="preserve">236525              </t>
  </si>
  <si>
    <t xml:space="preserve">RET FTE POR PAGAR SERVICIOS   </t>
  </si>
  <si>
    <t>23652502</t>
  </si>
  <si>
    <t>RET FTE POR PAG ASEO Y VIGILAN</t>
  </si>
  <si>
    <t>23652504</t>
  </si>
  <si>
    <t xml:space="preserve">RET FTE POR PAGAR SERVIC 4%   </t>
  </si>
  <si>
    <t>23652505</t>
  </si>
  <si>
    <t xml:space="preserve">RETEFUENTE SERV 1%            </t>
  </si>
  <si>
    <t>23652506</t>
  </si>
  <si>
    <t xml:space="preserve">RET FTE POR PAG SERVICIOS 6%  </t>
  </si>
  <si>
    <t xml:space="preserve">236530              </t>
  </si>
  <si>
    <t>RET FTE POR PAG ARRENDAMIENTOS</t>
  </si>
  <si>
    <t>23653004</t>
  </si>
  <si>
    <t xml:space="preserve">RET FTE X P ARR BIEN MUEB 4%  </t>
  </si>
  <si>
    <t>236598</t>
  </si>
  <si>
    <t xml:space="preserve">RETEFUENTE POR PAGAR          </t>
  </si>
  <si>
    <t xml:space="preserve">2368                </t>
  </si>
  <si>
    <t xml:space="preserve">IMPTO IND Y CCIO RETENIDO     </t>
  </si>
  <si>
    <t xml:space="preserve">236801              </t>
  </si>
  <si>
    <t xml:space="preserve">IMPTO RETENIDO RETE ICA       </t>
  </si>
  <si>
    <t>23680101</t>
  </si>
  <si>
    <t xml:space="preserve">RETEICA OCHO POR MIL          </t>
  </si>
  <si>
    <t>23680103</t>
  </si>
  <si>
    <t xml:space="preserve">RETEICA 10 POR MIL            </t>
  </si>
  <si>
    <t>23680104</t>
  </si>
  <si>
    <t xml:space="preserve">RETEICA 9POR MIL              </t>
  </si>
  <si>
    <t>236898</t>
  </si>
  <si>
    <t xml:space="preserve">PAGO RETE ICA                 </t>
  </si>
  <si>
    <t xml:space="preserve">28                  </t>
  </si>
  <si>
    <t xml:space="preserve">OTROS PASIVOS                 </t>
  </si>
  <si>
    <t xml:space="preserve">2815                </t>
  </si>
  <si>
    <t xml:space="preserve">INGRESOS RECIBIDOS PARA TERC  </t>
  </si>
  <si>
    <t xml:space="preserve">281505              </t>
  </si>
  <si>
    <t xml:space="preserve">VALORES RECIB PARA TERCEROS   </t>
  </si>
  <si>
    <t>28150503</t>
  </si>
  <si>
    <t xml:space="preserve">CUOTA EXTRA 2022-DOTACION     </t>
  </si>
  <si>
    <t>28150507</t>
  </si>
  <si>
    <t xml:space="preserve">POR REIVERSON 2023            </t>
  </si>
  <si>
    <t>28150523</t>
  </si>
  <si>
    <t xml:space="preserve">CUOTA EXTRA 2023-MURO Y CCTV  </t>
  </si>
  <si>
    <t xml:space="preserve">3                   </t>
  </si>
  <si>
    <t xml:space="preserve">33                  </t>
  </si>
  <si>
    <t xml:space="preserve">RESERVAS                      </t>
  </si>
  <si>
    <t xml:space="preserve">3305                </t>
  </si>
  <si>
    <t xml:space="preserve">RESERVAS OBLIGATORIAS         </t>
  </si>
  <si>
    <t xml:space="preserve">330595              </t>
  </si>
  <si>
    <t xml:space="preserve">OTRAS RESERVAS                </t>
  </si>
  <si>
    <t>33059501</t>
  </si>
  <si>
    <t xml:space="preserve">FONDO IMPREVISTOS LEY 675     </t>
  </si>
  <si>
    <t xml:space="preserve">36                  </t>
  </si>
  <si>
    <t xml:space="preserve">RESULTADOS DEL EJERCICIO      </t>
  </si>
  <si>
    <t xml:space="preserve">3605                </t>
  </si>
  <si>
    <t xml:space="preserve">EXCEDENTES DEL EJERCICIO      </t>
  </si>
  <si>
    <t xml:space="preserve">360505              </t>
  </si>
  <si>
    <t xml:space="preserve">EXEDENTES DEL EJERCICO        </t>
  </si>
  <si>
    <t>36050501</t>
  </si>
  <si>
    <t xml:space="preserve">EXEDENTES DEL EJERCICIO       </t>
  </si>
  <si>
    <t xml:space="preserve">37                  </t>
  </si>
  <si>
    <t>RESULTADOS DE EJERC ANTERIORES</t>
  </si>
  <si>
    <t xml:space="preserve">3705                </t>
  </si>
  <si>
    <t xml:space="preserve">UTILIDADES O EXCED ACUMULADOS </t>
  </si>
  <si>
    <t xml:space="preserve">370505              </t>
  </si>
  <si>
    <t>UTILIDADES O EXCEDEN ACUMULADO</t>
  </si>
  <si>
    <t>37050501</t>
  </si>
  <si>
    <t xml:space="preserve">4                   </t>
  </si>
  <si>
    <t xml:space="preserve">INGRESOS                      </t>
  </si>
  <si>
    <t xml:space="preserve">41                  </t>
  </si>
  <si>
    <t xml:space="preserve">OPERACIONALES                 </t>
  </si>
  <si>
    <t xml:space="preserve">4170                </t>
  </si>
  <si>
    <t>ACTIV SERVIC COMUNIT SOC Y PER</t>
  </si>
  <si>
    <t xml:space="preserve">417010              </t>
  </si>
  <si>
    <t xml:space="preserve">ACTIVIDADES DE ASOCIACION     </t>
  </si>
  <si>
    <t>41701001</t>
  </si>
  <si>
    <t xml:space="preserve">42                  </t>
  </si>
  <si>
    <t xml:space="preserve">NO OPERACIONALES              </t>
  </si>
  <si>
    <t xml:space="preserve">4210                </t>
  </si>
  <si>
    <t xml:space="preserve">FINANCIEROS                   </t>
  </si>
  <si>
    <t xml:space="preserve">421005              </t>
  </si>
  <si>
    <t xml:space="preserve">INTERESES                     </t>
  </si>
  <si>
    <t>42100501</t>
  </si>
  <si>
    <t xml:space="preserve">INTERESES CORRIENTES          </t>
  </si>
  <si>
    <t>42100502</t>
  </si>
  <si>
    <t xml:space="preserve">INTERESES FIDUCIA             </t>
  </si>
  <si>
    <t xml:space="preserve">421040              </t>
  </si>
  <si>
    <t xml:space="preserve">DESCUENTO CCIAL CONDICIONADO  </t>
  </si>
  <si>
    <t>42104001</t>
  </si>
  <si>
    <t xml:space="preserve">DESCUENTO POR PRONTO PAGO     </t>
  </si>
  <si>
    <t xml:space="preserve">421095              </t>
  </si>
  <si>
    <t>42109501</t>
  </si>
  <si>
    <t xml:space="preserve">INTERESES POR MORA            </t>
  </si>
  <si>
    <t xml:space="preserve">4295                </t>
  </si>
  <si>
    <t xml:space="preserve">DIVERSOS                      </t>
  </si>
  <si>
    <t xml:space="preserve">429505              </t>
  </si>
  <si>
    <t xml:space="preserve">APROVECHAMIENTOS              </t>
  </si>
  <si>
    <t>42950502</t>
  </si>
  <si>
    <t xml:space="preserve">5                   </t>
  </si>
  <si>
    <t xml:space="preserve">GASTOS                        </t>
  </si>
  <si>
    <t xml:space="preserve">51                  </t>
  </si>
  <si>
    <t xml:space="preserve">5110                </t>
  </si>
  <si>
    <t xml:space="preserve">511030              </t>
  </si>
  <si>
    <t xml:space="preserve">ASESORIA FINANCIERA           </t>
  </si>
  <si>
    <t>51103001</t>
  </si>
  <si>
    <t xml:space="preserve">5130                </t>
  </si>
  <si>
    <t xml:space="preserve">SEGUROS                       </t>
  </si>
  <si>
    <t xml:space="preserve">513025              </t>
  </si>
  <si>
    <t xml:space="preserve">INCENDIO                      </t>
  </si>
  <si>
    <t>51302501</t>
  </si>
  <si>
    <t xml:space="preserve">5135                </t>
  </si>
  <si>
    <t xml:space="preserve">SERVICIOS                     </t>
  </si>
  <si>
    <t xml:space="preserve">513505              </t>
  </si>
  <si>
    <t xml:space="preserve">ASEO Y VIGILANCIA             </t>
  </si>
  <si>
    <t>51350501</t>
  </si>
  <si>
    <t>51350502</t>
  </si>
  <si>
    <t>51350503</t>
  </si>
  <si>
    <t xml:space="preserve">513515              </t>
  </si>
  <si>
    <t xml:space="preserve">ASISTENCIA ADMINISTRATIVA     </t>
  </si>
  <si>
    <t>51351501</t>
  </si>
  <si>
    <t xml:space="preserve">513520              </t>
  </si>
  <si>
    <t xml:space="preserve">PROCES ELECTRON DE DATOS      </t>
  </si>
  <si>
    <t>51352001</t>
  </si>
  <si>
    <t xml:space="preserve">513525              </t>
  </si>
  <si>
    <t>51352501</t>
  </si>
  <si>
    <t xml:space="preserve">513530              </t>
  </si>
  <si>
    <t>51353001</t>
  </si>
  <si>
    <t xml:space="preserve">513535              </t>
  </si>
  <si>
    <t>51353501</t>
  </si>
  <si>
    <t xml:space="preserve">5145                </t>
  </si>
  <si>
    <t xml:space="preserve">514510              </t>
  </si>
  <si>
    <t xml:space="preserve">CONSTRUC Y EDIFICACIONES      </t>
  </si>
  <si>
    <t>51451003</t>
  </si>
  <si>
    <t xml:space="preserve">514595              </t>
  </si>
  <si>
    <t xml:space="preserve">MANTENIMIENTO OTROS           </t>
  </si>
  <si>
    <t>51459501</t>
  </si>
  <si>
    <t>51459502</t>
  </si>
  <si>
    <t>51459504</t>
  </si>
  <si>
    <t>51459505</t>
  </si>
  <si>
    <t>51459506</t>
  </si>
  <si>
    <t>51459507</t>
  </si>
  <si>
    <t>51459510</t>
  </si>
  <si>
    <t xml:space="preserve">MMTO PUERTA VEHICULAR         </t>
  </si>
  <si>
    <t xml:space="preserve">5150                </t>
  </si>
  <si>
    <t xml:space="preserve">ADECUACION E INSTALACIONES    </t>
  </si>
  <si>
    <t>515010</t>
  </si>
  <si>
    <t xml:space="preserve">5195                </t>
  </si>
  <si>
    <t xml:space="preserve">519525              </t>
  </si>
  <si>
    <t xml:space="preserve">ELEMENTOS DE ASEO Y CAFETERIA </t>
  </si>
  <si>
    <t>51952501</t>
  </si>
  <si>
    <t>51952502</t>
  </si>
  <si>
    <t xml:space="preserve">519530              </t>
  </si>
  <si>
    <t xml:space="preserve">UTILES PAPELERIA Y FOTOCOPIAS </t>
  </si>
  <si>
    <t>51953001</t>
  </si>
  <si>
    <t xml:space="preserve">519545              </t>
  </si>
  <si>
    <t>51954501</t>
  </si>
  <si>
    <t xml:space="preserve">519550              </t>
  </si>
  <si>
    <t xml:space="preserve">IMPLEMENTACION                </t>
  </si>
  <si>
    <t>51955001</t>
  </si>
  <si>
    <t>51955003</t>
  </si>
  <si>
    <t xml:space="preserve">PEMIRS                        </t>
  </si>
  <si>
    <t xml:space="preserve">519595              </t>
  </si>
  <si>
    <t>51959503</t>
  </si>
  <si>
    <t xml:space="preserve">GASTOS ASAMBLEA               </t>
  </si>
  <si>
    <t>51959590</t>
  </si>
  <si>
    <t xml:space="preserve">5199                </t>
  </si>
  <si>
    <t xml:space="preserve">PROVISIONES                   </t>
  </si>
  <si>
    <t xml:space="preserve">519920              </t>
  </si>
  <si>
    <t xml:space="preserve">FONDO DE IMPREVISTOS          </t>
  </si>
  <si>
    <t>51992001</t>
  </si>
  <si>
    <t xml:space="preserve">53                  </t>
  </si>
  <si>
    <t xml:space="preserve">5305                </t>
  </si>
  <si>
    <t xml:space="preserve">530505              </t>
  </si>
  <si>
    <t xml:space="preserve">GASTOS BANCARIOS              </t>
  </si>
  <si>
    <t>53050501</t>
  </si>
  <si>
    <t>53050503</t>
  </si>
  <si>
    <t xml:space="preserve">5315                </t>
  </si>
  <si>
    <t xml:space="preserve">GASTOS EXTRAORDINARIOS        </t>
  </si>
  <si>
    <t>531520</t>
  </si>
  <si>
    <t xml:space="preserve">IMPUESTOS ASUMIDOS            </t>
  </si>
  <si>
    <t xml:space="preserve">8                   </t>
  </si>
  <si>
    <t xml:space="preserve">CUENTAS DE ORDEN DEUD         </t>
  </si>
  <si>
    <t xml:space="preserve">83                  </t>
  </si>
  <si>
    <t xml:space="preserve">DEUDORAS DE CONTRO            </t>
  </si>
  <si>
    <t xml:space="preserve">8395                </t>
  </si>
  <si>
    <t>OTRAS CUENTAS DEUDORAS CONTROL</t>
  </si>
  <si>
    <t>839595</t>
  </si>
  <si>
    <t xml:space="preserve">CONTRO IVA                    </t>
  </si>
  <si>
    <t xml:space="preserve">86                  </t>
  </si>
  <si>
    <t xml:space="preserve">DEUDORAS CONTROL X CONTRA     </t>
  </si>
  <si>
    <t xml:space="preserve">8695                </t>
  </si>
  <si>
    <t>OTRAS CTAS DEUDORAS CONTRO X C</t>
  </si>
  <si>
    <t>869595</t>
  </si>
  <si>
    <t xml:space="preserve">CONTROL IVA                   </t>
  </si>
  <si>
    <t>ESTADO INTEGRAL DE RESULTADOS A 31 DE ABRIL  DE 2025</t>
  </si>
  <si>
    <t>PTTO.2025</t>
  </si>
  <si>
    <t>REAL MARZO</t>
  </si>
  <si>
    <t>VARIACION</t>
  </si>
  <si>
    <t>Refuerzo Vigilancia</t>
  </si>
  <si>
    <t>Sistema De Seg.Repuestos</t>
  </si>
  <si>
    <t>SGIRS Pemirs Ley</t>
  </si>
  <si>
    <t>Salon social</t>
  </si>
  <si>
    <t>PPTO ANUAL     2025</t>
  </si>
  <si>
    <t>Tasa de aseo</t>
  </si>
  <si>
    <t>SGIRS Pmirs Ley</t>
  </si>
  <si>
    <t>Egresos operacionales</t>
  </si>
  <si>
    <t>Partida</t>
  </si>
  <si>
    <t>Valor</t>
  </si>
  <si>
    <t>Seguridad Ejecutada</t>
  </si>
  <si>
    <t>Administrativos ppto</t>
  </si>
  <si>
    <t>Administrativos ejecutado</t>
  </si>
  <si>
    <t>% ejecución</t>
  </si>
  <si>
    <t>PPTO</t>
  </si>
  <si>
    <t>Distribución del gasto</t>
  </si>
  <si>
    <t xml:space="preserve">EJECUCIÓN PRESUPUESTAL A30 DE ABRIL DE 2025 </t>
  </si>
  <si>
    <t>EJECUCIÓN ACUMULADA</t>
  </si>
  <si>
    <t>% Ejecucion</t>
  </si>
  <si>
    <t>Sistema De Seguridad Repuestos</t>
  </si>
  <si>
    <t>sin ppto</t>
  </si>
  <si>
    <t>Al haber transcurrido TRES meses del año deberíamos tener una ejecución del 34%</t>
  </si>
  <si>
    <t>Cont.3437395</t>
  </si>
  <si>
    <t>MT3</t>
  </si>
  <si>
    <t>COSTO</t>
  </si>
  <si>
    <t>AÑO 2023-2024</t>
  </si>
  <si>
    <t>CONT.3437395</t>
  </si>
  <si>
    <t>ENE.2025</t>
  </si>
  <si>
    <t>NIV-DIC</t>
  </si>
  <si>
    <t>FEB.2025</t>
  </si>
  <si>
    <t>DIC-enero</t>
  </si>
  <si>
    <t>MAR.2025</t>
  </si>
  <si>
    <t xml:space="preserve">                                                                                                                                                                                                                                                                                       </t>
  </si>
  <si>
    <t>ajuste consumo</t>
  </si>
  <si>
    <t>ABRIL.2025</t>
  </si>
  <si>
    <t>DETALLE GASTOSO ENERO DE 2025</t>
  </si>
  <si>
    <t>VR GAST0</t>
  </si>
  <si>
    <t>SERVICIOS CONTABLES ENERO</t>
  </si>
  <si>
    <t>SERVICIO DE ADMINISTRACIÓN E</t>
  </si>
  <si>
    <t>FACTURACION MES ENERO</t>
  </si>
  <si>
    <t>ACUED. LOMA ESCOBERO  23  M3</t>
  </si>
  <si>
    <t xml:space="preserve">"2,568 KWH CONTRATO 6381842 </t>
  </si>
  <si>
    <t>629 KWH CONTRATO 5075088  en</t>
  </si>
  <si>
    <t>323 KWH CONTRAT 5438972</t>
  </si>
  <si>
    <t>"COMPRA DIABLOR ROJO, PLASTI</t>
  </si>
  <si>
    <t>"COMPRA BROCHAS,  SIERRA, LI</t>
  </si>
  <si>
    <t>COMPRA BROCHA CASTOR</t>
  </si>
  <si>
    <t>COMPRA MATERIALES MMTO.</t>
  </si>
  <si>
    <t xml:space="preserve">TIG S.A.S.                    </t>
  </si>
  <si>
    <t>SERVICIO MTTO TURCO MANGUERA</t>
  </si>
  <si>
    <t xml:space="preserve">MATERIALES Y QUIMICOS S.A.    </t>
  </si>
  <si>
    <t>COMPRA MATERIALES MMTO. PORT</t>
  </si>
  <si>
    <t xml:space="preserve">TIENDA PINTUCO SAN LUCAS      </t>
  </si>
  <si>
    <t xml:space="preserve">"COMPRA PINTURAS, RODILLO Y </t>
  </si>
  <si>
    <t xml:space="preserve">J&amp;D PINTURAS S.A.S.           </t>
  </si>
  <si>
    <t>COMPRA PRINTURAS YOTROS MMTO</t>
  </si>
  <si>
    <t xml:space="preserve">MTTO. PREVENTIVO CORRECTIVO </t>
  </si>
  <si>
    <t>COMPRA DE 30 MTS DE TUBERIA</t>
  </si>
  <si>
    <t xml:space="preserve">"M.O., COMPRA REFLECTOR LED </t>
  </si>
  <si>
    <t>COMPRA BOMBILLO LED BLANCO</t>
  </si>
  <si>
    <t>MMTO EQUIPOS DEL  GIMNASIO E</t>
  </si>
  <si>
    <t>COMPRA MTTO. EQUIPO DE CALEF</t>
  </si>
  <si>
    <t>COMPRA MTTO. PISCINA LIBRO P</t>
  </si>
  <si>
    <t>COMPRA TOALLAS  E INSUMOS  D</t>
  </si>
  <si>
    <t>COMPRA BOLSAS PAPELERA Y VER</t>
  </si>
  <si>
    <t>AJUSTE AL $PESO</t>
  </si>
  <si>
    <t>DETALLE GASTOS FEBRERO DE 2025</t>
  </si>
  <si>
    <t>SERV.VIGILANCIA DEL 01 AL 28</t>
  </si>
  <si>
    <t>SERV.VIGILANCIA DEL 01 AL 06</t>
  </si>
  <si>
    <t xml:space="preserve">SERVICIOS ASEO              </t>
  </si>
  <si>
    <t>SERVICIO DE ADMINISTRACIÓN F</t>
  </si>
  <si>
    <t>FACTURACION MES FEBRERO</t>
  </si>
  <si>
    <t>ACUED. LOMA ESCOBERO 19  M3</t>
  </si>
  <si>
    <t>2 M3 CONTRATO 3437395 ACUEDU</t>
  </si>
  <si>
    <t>2 M3 CONTRATO 3437395 ALCANT</t>
  </si>
  <si>
    <t>6 M3 CONTRATO 5075088 acuedu</t>
  </si>
  <si>
    <t>6 M3 CONTRATO 5075088 alcant</t>
  </si>
  <si>
    <t xml:space="preserve">"1,982 KWH CONTRATO 6381842 </t>
  </si>
  <si>
    <t>586 KWH CONTRATO 5075088  en</t>
  </si>
  <si>
    <t>382 KWH CONTRAT 5438972</t>
  </si>
  <si>
    <t xml:space="preserve">SEISAM SAS                    </t>
  </si>
  <si>
    <t xml:space="preserve">PAGO COMPRA REPUESTO Y MTTO </t>
  </si>
  <si>
    <t>COMPRA CLORO GRANULAR PARA M</t>
  </si>
  <si>
    <t xml:space="preserve">COMPRA HIPOCLORITO DE SODIO </t>
  </si>
  <si>
    <t>COMPRA 5  BOLSAS DE SAL OXAL</t>
  </si>
  <si>
    <t>PAGO MMTO GENERAL PUERTA VEH</t>
  </si>
  <si>
    <t>FRANCISCO ALVARO BETACUR PEREZ</t>
  </si>
  <si>
    <t>REPARACION SILLA PORTERIA</t>
  </si>
  <si>
    <t>COMPRA GUANTES TOALLAS  E IN</t>
  </si>
  <si>
    <t xml:space="preserve">COMPRA TRAPERO  LIMPIADORES </t>
  </si>
  <si>
    <t>COMPRA DETERGENTE AMBIENTE V</t>
  </si>
  <si>
    <t>COMPRA JABON LIQUIDO</t>
  </si>
  <si>
    <t xml:space="preserve">ALARMA DETECTORA Y SE       </t>
  </si>
  <si>
    <t>DETALLE GASTOS ABRIL DE 2025</t>
  </si>
  <si>
    <t>SERVICIOS CONTABLES MARZO</t>
  </si>
  <si>
    <t>ADMINISTRACIÓN MARZO</t>
  </si>
  <si>
    <t>FACTURACION MES MARZO</t>
  </si>
  <si>
    <t>ACUED. LOMA ESCOBERO 17  M3</t>
  </si>
  <si>
    <t>AJU CONC  FACT CONTRATO 3437</t>
  </si>
  <si>
    <t>2.146 KWH CONTRATO 6381842</t>
  </si>
  <si>
    <t>543 KWH CONTRATO 5075088  en</t>
  </si>
  <si>
    <t>318 KWH CONTRAT 5438972</t>
  </si>
  <si>
    <t>VETORES Y RODEDORES</t>
  </si>
  <si>
    <t xml:space="preserve">INS.MMTO LOCATIVO BANOs     </t>
  </si>
  <si>
    <t xml:space="preserve">MARIN TAMAYO DIEDO FERNANDO   </t>
  </si>
  <si>
    <t>MEDICION OBRA - EVALUA $</t>
  </si>
  <si>
    <t xml:space="preserve">TEXACO LA SEBASTIANA          </t>
  </si>
  <si>
    <t xml:space="preserve">GASOLINA                    </t>
  </si>
  <si>
    <t xml:space="preserve">FERROVALVULAS FERRETERIA      </t>
  </si>
  <si>
    <t>COMPRA ACCESORIOS  MVA Y CON</t>
  </si>
  <si>
    <t>COMPRA  DE ACCESORIOS ELECTR</t>
  </si>
  <si>
    <t xml:space="preserve">COMPRA BOMBILLO LED BLANCO  </t>
  </si>
  <si>
    <t xml:space="preserve">COMPRA 10 MTS DE  EXTENSION </t>
  </si>
  <si>
    <t>LONA PARA BANDA CAMINADORA</t>
  </si>
  <si>
    <t>MMTO EQUIPOS DEL  GIMNASIO M</t>
  </si>
  <si>
    <t>INSUMOS PARA  MMTO. PISCINA</t>
  </si>
  <si>
    <t>CANASTILLA PARA DESNATADOR F</t>
  </si>
  <si>
    <t>COMPRA DE  INSUMOS DE ASEO</t>
  </si>
  <si>
    <t>INSUMOS DE SEO</t>
  </si>
  <si>
    <t>COMPRA AZUCAR Y CAFÉ</t>
  </si>
  <si>
    <t xml:space="preserve">REPRESENTACION              </t>
  </si>
  <si>
    <t xml:space="preserve">MARIA EUGENIA SALAZAR MUNOZ   </t>
  </si>
  <si>
    <t xml:space="preserve">PARQUEADERO                 </t>
  </si>
  <si>
    <t xml:space="preserve">CATALINA ESPINAL CARDENAS     </t>
  </si>
  <si>
    <t>AVISOS  RUTA DE EVACUACIÓN</t>
  </si>
  <si>
    <t>REGLAMENTO PARQUE DE LOS NIÑ</t>
  </si>
  <si>
    <t>RECOLECCIOND E ESCOMBROS</t>
  </si>
  <si>
    <t xml:space="preserve">EMPANADAS                   </t>
  </si>
  <si>
    <t xml:space="preserve">TE Y AGUA                   </t>
  </si>
  <si>
    <t xml:space="preserve">CLASE ALPHA SAS               </t>
  </si>
  <si>
    <t>ALQUILER VIDEOBEAM CON PAANT</t>
  </si>
  <si>
    <t>IMPUESTOS ASUMIDOS</t>
  </si>
  <si>
    <t>TOTLA GASTOS MES</t>
  </si>
  <si>
    <t>SERVICIOS CONTABLES ABRIL</t>
  </si>
  <si>
    <t>ADMINISTRACIÓN ABRIL</t>
  </si>
  <si>
    <t>RETROACTIVO ADMINISTRACION E</t>
  </si>
  <si>
    <t>RETROACTIVO ADMINISTRACION M</t>
  </si>
  <si>
    <t>FACTURACION MES ABRIL</t>
  </si>
  <si>
    <t>ACUED. LOMA ESCOBERO 2 M3</t>
  </si>
  <si>
    <t>9 M3 CONTRATO 3437395 ACUEDU</t>
  </si>
  <si>
    <t>9 M3 CONTRATO 3437395 ALCANT</t>
  </si>
  <si>
    <t xml:space="preserve">"1,945 KWH CONTRATO 6381842 </t>
  </si>
  <si>
    <t>574 KWH CONTRATO 5075088  en</t>
  </si>
  <si>
    <t>352 KWH CONTRATO 5438972</t>
  </si>
  <si>
    <t>"PLANO   AMP GYM, VISTAS MIN</t>
  </si>
  <si>
    <t>GASOLINA HIDROLAV  FAC200577</t>
  </si>
  <si>
    <t>COMPRA GASOLINA PARA HIDROLA</t>
  </si>
  <si>
    <t xml:space="preserve">SERVICIO MTTO TURCO EN AREA </t>
  </si>
  <si>
    <t xml:space="preserve">ANALISIS AGUA PISCINA       </t>
  </si>
  <si>
    <t>COMPRA INSUMOS ASEO ESPONJAS</t>
  </si>
  <si>
    <t>COMPRA INSUMOS CAFETERIA AZÚ</t>
  </si>
  <si>
    <t>CERT.  REPRESEN LEGAL  SEGÚN</t>
  </si>
  <si>
    <t>SEÑALIZACION FOTOLUMINISCENT</t>
  </si>
  <si>
    <t>AJUSTE AL $</t>
  </si>
  <si>
    <t>DETALLE CARTERA CONTABILIDAD VS FACTURACIÓN DIC 2025</t>
  </si>
  <si>
    <t>DETALLE CARTERA CONTABILIDAD VS FACTURACIÓN NOV 2025</t>
  </si>
  <si>
    <t>DETALLE CARTERA CONTABILIDAD VS FACTURACIÓN OCT 2025</t>
  </si>
  <si>
    <t>DETALLE CARTERA CONTABILIDAD VS FACTURACIÓN jun 2025</t>
  </si>
  <si>
    <t>DETALLE CARTERA CONTABILIDAD VS FACTURACIÓN may 2025</t>
  </si>
  <si>
    <t>DETALLE CARTERA CONTABILIDAD VS FACTURACIÓN feb 2025</t>
  </si>
  <si>
    <t>DETALLE CARTERA CONTABILIDAD VS FACTURACION mar 2025</t>
  </si>
  <si>
    <t>ESTADO DE LA SITUACION FINANCIERA  COMPARATIVO:   **ENERO 2025-FEBRERO DE 2025*</t>
  </si>
  <si>
    <t>28/02//2025</t>
  </si>
  <si>
    <t>Balance de Prueba por Cuenta (Normal)  Feb-28-2025</t>
  </si>
  <si>
    <t xml:space="preserve">233550              </t>
  </si>
  <si>
    <t xml:space="preserve">SERVICIOS PUBLICOS            </t>
  </si>
  <si>
    <t>23355001</t>
  </si>
  <si>
    <t xml:space="preserve">26                  </t>
  </si>
  <si>
    <t xml:space="preserve">2695                </t>
  </si>
  <si>
    <t xml:space="preserve">OTRAS PROVISIONES             </t>
  </si>
  <si>
    <t xml:space="preserve">269505              </t>
  </si>
  <si>
    <t xml:space="preserve">PROVISION GASTOS              </t>
  </si>
  <si>
    <t>26950502</t>
  </si>
  <si>
    <t xml:space="preserve">PROVISION GASTO MMTO GENERAL  </t>
  </si>
  <si>
    <t>28/05//2025</t>
  </si>
  <si>
    <t>CUOTA EXTRA 2025</t>
  </si>
  <si>
    <t>EXCEDENTE DE RECONOCIIENTO TALUD</t>
  </si>
  <si>
    <t>REALIDAD DE LA APICACION</t>
  </si>
  <si>
    <t>RECIBIDO</t>
  </si>
  <si>
    <t>TOTAL PREVISTO PARA TALUD Y DEFIT</t>
  </si>
  <si>
    <t>DIFERECNIA</t>
  </si>
  <si>
    <t>Cuota extra 2025</t>
  </si>
  <si>
    <t>Excedente- reconocimiento talud</t>
  </si>
  <si>
    <t>ESTADO INTEGRAL DE RESULTADOS A 31 DE MAYO  DE 2025</t>
  </si>
  <si>
    <t>PPTO ANUAL2025</t>
  </si>
  <si>
    <t>Tasa de seguridad</t>
  </si>
  <si>
    <t>Saldo reclamcion talud</t>
  </si>
  <si>
    <t>Egresos operacionales presupuestados</t>
  </si>
  <si>
    <t>Reserva Estatutaria  1% Del Ppto (De Ley)</t>
  </si>
  <si>
    <t>Mantenimiento Ppto</t>
  </si>
  <si>
    <t>Ambiental Ppto</t>
  </si>
  <si>
    <t>Ambiental Ejecutada</t>
  </si>
  <si>
    <t>Administrativos Ppto</t>
  </si>
  <si>
    <t>Administrativo Ejectutado</t>
  </si>
  <si>
    <t>Convivencia ppto</t>
  </si>
  <si>
    <t>Convivencia Ejec</t>
  </si>
  <si>
    <t xml:space="preserve">Seguridad </t>
  </si>
  <si>
    <t>RELACIÓN DE CUENTAS POR PAGAR - ACREEDORES VARIOS A 30/05/2025</t>
  </si>
  <si>
    <t>CONCEPTO</t>
  </si>
  <si>
    <t>BENEFICIARIO</t>
  </si>
  <si>
    <t>Mafre Seguros</t>
  </si>
  <si>
    <t>Poliza</t>
  </si>
  <si>
    <t xml:space="preserve">Gabiela Munoz </t>
  </si>
  <si>
    <t>Honorarios</t>
  </si>
  <si>
    <t>Marcelo Villa</t>
  </si>
  <si>
    <t>saldo contrato</t>
  </si>
  <si>
    <t>Fra mes</t>
  </si>
  <si>
    <t>Dian</t>
  </si>
  <si>
    <t>Retenciones</t>
  </si>
  <si>
    <t>TOTAL CUENTAS POR PAGAR</t>
  </si>
  <si>
    <t>CR.JUNIO</t>
  </si>
  <si>
    <t>GUSTAVO GALAN</t>
  </si>
  <si>
    <t>-DETALLE DE CUOTA EXTRA 2024</t>
  </si>
  <si>
    <t>Nit</t>
  </si>
  <si>
    <t>VR COBRADO</t>
  </si>
  <si>
    <t xml:space="preserve">MARLENT GIRALDO               </t>
  </si>
  <si>
    <t xml:space="preserve">ANDRES MEJIA                  </t>
  </si>
  <si>
    <t xml:space="preserve">GABRIEL TAMAYO                </t>
  </si>
  <si>
    <t xml:space="preserve">FERNEY GAUTAN - ROSIRIS RUEDA </t>
  </si>
  <si>
    <t xml:space="preserve">LAURA TOBON                   </t>
  </si>
  <si>
    <t xml:space="preserve">RUBEN VILLA                   </t>
  </si>
  <si>
    <t>TOTAL FACTURADO</t>
  </si>
  <si>
    <t>TOTAL GASTADO</t>
  </si>
  <si>
    <t>03/28/2024</t>
  </si>
  <si>
    <t>EG3533</t>
  </si>
  <si>
    <t>04/30/2024</t>
  </si>
  <si>
    <t>EG3560</t>
  </si>
  <si>
    <t>10/30/2024</t>
  </si>
  <si>
    <t>EG 3760</t>
  </si>
  <si>
    <t>FRA 10495</t>
  </si>
  <si>
    <t>NC 1390</t>
  </si>
  <si>
    <t>FRA24795</t>
  </si>
  <si>
    <t>FRA 24796</t>
  </si>
  <si>
    <t>EG3769</t>
  </si>
  <si>
    <t>FRA 25030</t>
  </si>
  <si>
    <t>11/30/2024</t>
  </si>
  <si>
    <t>causacion</t>
  </si>
  <si>
    <t>112024</t>
  </si>
  <si>
    <t xml:space="preserve">LIMPIAR LOSA                </t>
  </si>
  <si>
    <t>EG 3782</t>
  </si>
  <si>
    <t>SODIMAC</t>
  </si>
  <si>
    <t>COMPRA HIELERA SILLA ASOLEAD</t>
  </si>
  <si>
    <t xml:space="preserve">2025 </t>
  </si>
  <si>
    <t>ENERO DE 2025</t>
  </si>
  <si>
    <t>MARCELO</t>
  </si>
  <si>
    <t>INTERV. MURO SOBRE CTO. DE B</t>
  </si>
  <si>
    <t>MTTO. LOCATIVO PORTERÍA</t>
  </si>
  <si>
    <t>+D91</t>
  </si>
  <si>
    <t>TOTAL UTILIZADO</t>
  </si>
  <si>
    <t>SALDO CUENTA EN BALANCE POR UTILIZAR</t>
  </si>
  <si>
    <t>RELACION DE DEUDORES VARIOS A ENERO DE 2025</t>
  </si>
  <si>
    <t>TOTAL DEUDORES VARIOS-SALDO PARA DESCONTAR AL PROVEEDOR</t>
  </si>
  <si>
    <t>ene</t>
  </si>
  <si>
    <t>feb</t>
  </si>
  <si>
    <t>marz</t>
  </si>
  <si>
    <t>abr</t>
  </si>
  <si>
    <t>may</t>
  </si>
  <si>
    <t>ESTADO DE LA SITUACION FINANCIERA  COMPARATIVO:   *MAYO 2025-JUNIO 2025*</t>
  </si>
  <si>
    <t>28/06//2025</t>
  </si>
  <si>
    <t>jun</t>
  </si>
  <si>
    <t>ESTADO INTEGRAL DE RESULTADOS A 31 DEJUNIO DE 2025</t>
  </si>
  <si>
    <t xml:space="preserve">EJECUCIÓN PRESUPUESTAL A30 DE JUNIO DE 2025 </t>
  </si>
  <si>
    <t>Al haber transcurrido TRES meses del año deberíamos tener una ejecución del 50%</t>
  </si>
  <si>
    <t>ESTADO DE LA SITUACION FINANCIERA  COMPARATIVO:   *JUNIO 2025-JULIO 2025*</t>
  </si>
  <si>
    <t>28/07//2025</t>
  </si>
  <si>
    <t>CXP  Gastos</t>
  </si>
  <si>
    <t>TOTAL PASIVOS</t>
  </si>
  <si>
    <t>Septiembre</t>
  </si>
  <si>
    <t>Octubre</t>
  </si>
  <si>
    <t>Noviembre</t>
  </si>
  <si>
    <t>Diciembre</t>
  </si>
  <si>
    <t>Inversiòn vigilancia</t>
  </si>
  <si>
    <t>Indice de liquidez</t>
  </si>
  <si>
    <t>Activo cte</t>
  </si>
  <si>
    <t>Pasivo cte</t>
  </si>
  <si>
    <t>Indice base</t>
  </si>
  <si>
    <t>Deudores varios</t>
  </si>
  <si>
    <t>Activo</t>
  </si>
  <si>
    <t>Pasivo</t>
  </si>
  <si>
    <t>Patrimonio</t>
  </si>
  <si>
    <t>IINDICADOR LIQUIDEZ</t>
  </si>
  <si>
    <t>Ingresos operacionales pptados</t>
  </si>
  <si>
    <t>Ingresos operacionales reales</t>
  </si>
  <si>
    <t>Descuentos pronto pago</t>
  </si>
  <si>
    <t>Resultados presupuestal</t>
  </si>
  <si>
    <t>INGRESOS MARGINALES</t>
  </si>
  <si>
    <t>Saldo indemnizacion talud</t>
  </si>
  <si>
    <t>ITEM</t>
  </si>
  <si>
    <t>pptoejecutado</t>
  </si>
  <si>
    <t>Ppto aprobado</t>
  </si>
  <si>
    <t>Indicador pptal</t>
  </si>
  <si>
    <t>Seguridad ppptada</t>
  </si>
  <si>
    <t>% ejec ambiental</t>
  </si>
  <si>
    <t>%  ejecuc seguuridad</t>
  </si>
  <si>
    <t>%ejec administrativos</t>
  </si>
  <si>
    <t>%ejec Seguridad</t>
  </si>
  <si>
    <t>Indicador  ejecuciòn</t>
  </si>
  <si>
    <t>% ejecuciòn  acumulado</t>
  </si>
  <si>
    <t>maximo</t>
  </si>
  <si>
    <t>minimo</t>
  </si>
  <si>
    <t>RELACIÓN DE CUENTAS POR PAGAR - ACREEDORES VARIOS A 30/07/2025</t>
  </si>
  <si>
    <t>Entrejardines</t>
  </si>
  <si>
    <t>saldo fra. Julio</t>
  </si>
  <si>
    <t xml:space="preserve">ANTICIPO A CONTRATISTA </t>
  </si>
  <si>
    <t>Dirgo Marin</t>
  </si>
  <si>
    <t>jul</t>
  </si>
  <si>
    <t>PROYECTO FLUJO CAJA AÑO 2025</t>
  </si>
  <si>
    <t>SEPTIEMBRE</t>
  </si>
  <si>
    <t>OCTUBRE</t>
  </si>
  <si>
    <t>NOVIEMBRE</t>
  </si>
  <si>
    <t xml:space="preserve">TOTAL </t>
  </si>
  <si>
    <t>INGRESOS OPERACIONALES:</t>
  </si>
  <si>
    <t>Cuotas de Administración PROYECTO INGRESO</t>
  </si>
  <si>
    <t>,</t>
  </si>
  <si>
    <t>RETROACTIVO</t>
  </si>
  <si>
    <t>CARTERA MES ANTERIOR</t>
  </si>
  <si>
    <t>CUOTA EXTRA</t>
  </si>
  <si>
    <t>SALDO INICIAL BANCOS</t>
  </si>
  <si>
    <t>TOTAL INGRESOS</t>
  </si>
  <si>
    <t>GASTOS OPERACIONALES</t>
  </si>
  <si>
    <t>MANTENIMIENTO (Infraestructura)</t>
  </si>
  <si>
    <t>ASEO Y PISCINA (PERSONAL)</t>
  </si>
  <si>
    <t>ASEO (INSUMOS)</t>
  </si>
  <si>
    <t>ZONAS COMUNES GENERAL INFRAESTRUC</t>
  </si>
  <si>
    <t>MANTENIMENTO ELECTRICO</t>
  </si>
  <si>
    <t>PISCINA-ZONA HÚMEDA-TURCO</t>
  </si>
  <si>
    <t>PUERTA VEHICULAR Y PEATONAL</t>
  </si>
  <si>
    <t>GIMNASIO</t>
  </si>
  <si>
    <t>DOTACIÓN-REPOSICIÓN-IMPREVISTOS</t>
  </si>
  <si>
    <t>SEGURIDAD</t>
  </si>
  <si>
    <t>VIGILANCIA PRIVADA</t>
  </si>
  <si>
    <t>REFUERZO VIGILANCIA- EN VACACIONES</t>
  </si>
  <si>
    <t>SEGURO ZONAS COMUNES</t>
  </si>
  <si>
    <t>SISTEMA DE SEGURIDAD PREV</t>
  </si>
  <si>
    <t>SISTEMA DE SEGURIDAD CORRECTIVA</t>
  </si>
  <si>
    <t>EXTINTORES (Recarga)</t>
  </si>
  <si>
    <t>PLANES DE LEY EMERG, TRAT DATOS</t>
  </si>
  <si>
    <t>RESERVA ESTATUTARIA  1% del ppto (de Ley)</t>
  </si>
  <si>
    <t>CONVIVENCIA</t>
  </si>
  <si>
    <t xml:space="preserve">CELEBRACIONES </t>
  </si>
  <si>
    <t>DECORACIÓN NAVIDAD  HALLOWEEN</t>
  </si>
  <si>
    <t>ASAMBLEA (LEY)</t>
  </si>
  <si>
    <t>AMBIENTAL</t>
  </si>
  <si>
    <t>FUMIGACIÓN</t>
  </si>
  <si>
    <t>ENERGÍA</t>
  </si>
  <si>
    <t>ACUEDUCTO Y ALCANTARILLADO</t>
  </si>
  <si>
    <t>TELEFONÍA E INTERNET</t>
  </si>
  <si>
    <t>PMIRS</t>
  </si>
  <si>
    <t>CORTE CÉSPED Y MMTO JARDINES Z. COMÚN</t>
  </si>
  <si>
    <t>ADMINISTRATIVOS</t>
  </si>
  <si>
    <t>ADMINISTRACIÓN</t>
  </si>
  <si>
    <t>INFORMACIÓN EXÓGENA Y NIF</t>
  </si>
  <si>
    <t>ÚTILES, PAPELERÍA -COMUNICACIÓN</t>
  </si>
  <si>
    <t>CAFETERÍA</t>
  </si>
  <si>
    <t>TRANSPORTE TRÁMITES</t>
  </si>
  <si>
    <t>AJUSTE AL PESO</t>
  </si>
  <si>
    <t>TOTAL EGRESOS OPERACIONALES MES</t>
  </si>
  <si>
    <t>FLUJO PROYECTADO   MES</t>
  </si>
  <si>
    <t>MENSUAL 2025</t>
  </si>
  <si>
    <t>Saldo inicial</t>
  </si>
  <si>
    <t>Ingresos</t>
  </si>
  <si>
    <t>Gastos</t>
  </si>
  <si>
    <t>Saldo final</t>
  </si>
  <si>
    <r>
      <t xml:space="preserve">SG-SST, </t>
    </r>
    <r>
      <rPr>
        <sz val="8"/>
        <rFont val="Arial Nova Light"/>
        <family val="2"/>
      </rPr>
      <t>Requisito de ley</t>
    </r>
  </si>
  <si>
    <t>Se le enviò comunicado</t>
  </si>
  <si>
    <t>Resultado presupuestal</t>
  </si>
  <si>
    <t>Transporte hidrolavadora</t>
  </si>
  <si>
    <t>Insumos para recuperar cancha squash</t>
  </si>
  <si>
    <t>Se ejecuta en la medida que se van necesitando cambiar bombillas</t>
  </si>
  <si>
    <t>Compra de insumos cada 3 meses</t>
  </si>
  <si>
    <t>Se realizò mto en agosto</t>
  </si>
  <si>
    <t>cumpliendo</t>
  </si>
  <si>
    <t>En agosto se inicia otro incremento por disminucion de jornada laboral</t>
  </si>
  <si>
    <t>Se realizò pago total y se amortiza mensulmente</t>
  </si>
  <si>
    <t>Gabriela debe reclasificar el matenimiento correccivo incluido en el preventivo</t>
  </si>
  <si>
    <t>PPTO acumulado</t>
  </si>
  <si>
    <t>31/07//2025</t>
  </si>
  <si>
    <t>Balance de Prueba por Cuenta (Normal)  Ago-31-2025</t>
  </si>
  <si>
    <t xml:space="preserve">1330                </t>
  </si>
  <si>
    <t>ANTICIPOS Y AVANCES A CONTRATI</t>
  </si>
  <si>
    <t xml:space="preserve">133010              </t>
  </si>
  <si>
    <t xml:space="preserve">A CONTRATISTAS                </t>
  </si>
  <si>
    <t>13301005</t>
  </si>
  <si>
    <t xml:space="preserve">CONTRATOS ZONAS COMUNES       </t>
  </si>
  <si>
    <t>13459505</t>
  </si>
  <si>
    <t>CONSIGNAC PEND POR IDENTIFICAR</t>
  </si>
  <si>
    <t>28150525</t>
  </si>
  <si>
    <t xml:space="preserve">CUOTA EAXTRA 2025             </t>
  </si>
  <si>
    <t>ESTADO DE LA SITUACION FINANCIERA  COMPARATIVO:   *AGOSTO 2025-JULIO*</t>
  </si>
  <si>
    <t>ESTADO INTEGRAL DE RESULTADOS A 31 DE AGOSTO  DE 2025</t>
  </si>
  <si>
    <t>ESTADO INTEGRAL DE RESULTADOS A 31 DEAGOSTO DE 2025</t>
  </si>
  <si>
    <t>42950501</t>
  </si>
  <si>
    <t>42950504</t>
  </si>
  <si>
    <t xml:space="preserve">INDEMIZACION ASEGURADORA      </t>
  </si>
  <si>
    <t xml:space="preserve">5115                </t>
  </si>
  <si>
    <t xml:space="preserve">IMPUESTOS                     </t>
  </si>
  <si>
    <t xml:space="preserve">511515              </t>
  </si>
  <si>
    <t xml:space="preserve">A LA PROPIEDAD RAIZ           </t>
  </si>
  <si>
    <t>51151502</t>
  </si>
  <si>
    <t xml:space="preserve">TASA SEGURIDAD                </t>
  </si>
  <si>
    <t xml:space="preserve">513521              </t>
  </si>
  <si>
    <t xml:space="preserve">SISTEMA SS-SGT                </t>
  </si>
  <si>
    <t>51352101</t>
  </si>
  <si>
    <t>51459508</t>
  </si>
  <si>
    <t>51959504</t>
  </si>
  <si>
    <t>53050502</t>
  </si>
  <si>
    <t xml:space="preserve">COMISION PAGO A PROVEEDORES   </t>
  </si>
  <si>
    <t>Corte cesped y mto jardines Z. Comun</t>
  </si>
  <si>
    <t>RELACIÓN DE CUENTAS POR PAGAR - ACREEDORES VARIOS A 30/08/2025</t>
  </si>
  <si>
    <t>RECIBO 5311  MAL ELABORADO</t>
  </si>
  <si>
    <t>RECIBO5317  MAL ELABORADO</t>
  </si>
  <si>
    <t>agos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</si>
</sst>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0_-;\-* #,##0_-;_-* &quot;-&quot;_-;_-@_-"/>
    <numFmt numFmtId="43" formatCode="_-* #,##0.00_-;\-* #,##0.00_-;_-* &quot;-&quot;??_-;_-@_-"/>
    <numFmt numFmtId="164" formatCode="&quot;$&quot;#,##0.00;[Red]\-&quot;$&quot;#,##0.00"/>
    <numFmt numFmtId="165" formatCode="_(* #,##0_);_(* \(#,##0\);_(* &quot;-&quot;_);_(@_)"/>
    <numFmt numFmtId="166" formatCode="_(* #,##0.00_);_(* \(#,##0.00\);_(* &quot;-&quot;??_);_(@_)"/>
    <numFmt numFmtId="167" formatCode="dd/mm/yy;@"/>
    <numFmt numFmtId="168" formatCode="##,###,###,###,##0.00"/>
    <numFmt numFmtId="169" formatCode="###,###,###,###,##0.00"/>
    <numFmt numFmtId="170" formatCode="_-* #,##0\ _€_-;\-* #,##0\ _€_-;_-* &quot;-&quot;??\ _€_-;_-@_-"/>
    <numFmt numFmtId="171" formatCode="_ * #,##0_ ;_ * \-#,##0_ ;_ * &quot;-&quot;??_ ;_ @_ "/>
    <numFmt numFmtId="172" formatCode="_(* #,##0_);_(* \(#,##0\);_(* &quot;-&quot;?_);_(@_)"/>
    <numFmt numFmtId="173" formatCode="#,##0_ ;[Red]\-#,##0\ "/>
    <numFmt numFmtId="174" formatCode="###0.00"/>
    <numFmt numFmtId="175" formatCode="#,##0;[Red]#,##0"/>
    <numFmt numFmtId="176" formatCode="dd/mm/yyyy;@"/>
    <numFmt numFmtId="177" formatCode="d/mm/yyyy;@"/>
    <numFmt numFmtId="178" formatCode="[$$-240A]\ #,##0"/>
    <numFmt numFmtId="179" formatCode="0.0%"/>
    <numFmt numFmtId="180" formatCode="[$-C0A]mmm\-yy;@"/>
    <numFmt numFmtId="181" formatCode="_(* #,##0_);_(* \(#,##0\);_(* &quot;-&quot;??_);_(@_)"/>
    <numFmt numFmtId="182" formatCode="#,##0.00_ ;[Red]\-#,##0.00\ "/>
  </numFmts>
  <fonts count="175" x14ac:knownFonts="1">
    <font>
      <sz val="10"/>
      <name val="Arial"/>
    </font>
    <font>
      <sz val="10"/>
      <name val="Arial"/>
    </font>
    <font>
      <sz val="10"/>
      <name val="Arial"/>
      <family val="2"/>
    </font>
    <font>
      <sz val="8"/>
      <name val="Arial"/>
      <family val="2"/>
    </font>
    <font>
      <b/>
      <i/>
      <u/>
      <sz val="8"/>
      <name val="Arial"/>
      <family val="2"/>
    </font>
    <font>
      <b/>
      <sz val="8"/>
      <name val="Arial"/>
      <family val="2"/>
    </font>
    <font>
      <i/>
      <sz val="8"/>
      <name val="Arial"/>
      <family val="2"/>
    </font>
    <font>
      <b/>
      <u/>
      <sz val="8"/>
      <name val="Arial"/>
      <family val="2"/>
    </font>
    <font>
      <u val="singleAccounting"/>
      <sz val="8"/>
      <name val="Arial"/>
      <family val="2"/>
    </font>
    <font>
      <sz val="9"/>
      <name val="Tahoma"/>
      <family val="2"/>
    </font>
    <font>
      <b/>
      <u/>
      <sz val="9"/>
      <name val="Tahoma"/>
      <family val="2"/>
    </font>
    <font>
      <b/>
      <i/>
      <sz val="8"/>
      <name val="Arial"/>
      <family val="2"/>
    </font>
    <font>
      <b/>
      <i/>
      <sz val="10"/>
      <name val="Arial"/>
      <family val="2"/>
    </font>
    <font>
      <b/>
      <sz val="9"/>
      <color indexed="81"/>
      <name val="Tahoma"/>
      <family val="2"/>
    </font>
    <font>
      <b/>
      <i/>
      <u/>
      <sz val="9"/>
      <name val="Arial"/>
      <family val="2"/>
    </font>
    <font>
      <sz val="9"/>
      <color indexed="81"/>
      <name val="Tahoma"/>
      <family val="2"/>
    </font>
    <font>
      <b/>
      <sz val="10"/>
      <name val="Arial"/>
      <family val="2"/>
    </font>
    <font>
      <b/>
      <sz val="9"/>
      <name val="Times New Roman"/>
      <family val="1"/>
    </font>
    <font>
      <sz val="9"/>
      <name val="Times New Roman"/>
      <family val="1"/>
    </font>
    <font>
      <b/>
      <sz val="10"/>
      <color indexed="81"/>
      <name val="Tahoma"/>
      <family val="2"/>
    </font>
    <font>
      <sz val="10"/>
      <color indexed="81"/>
      <name val="Tahoma"/>
      <family val="2"/>
    </font>
    <font>
      <b/>
      <i/>
      <sz val="9"/>
      <name val="Arial"/>
      <family val="2"/>
    </font>
    <font>
      <b/>
      <sz val="11"/>
      <name val="Arial"/>
      <family val="2"/>
    </font>
    <font>
      <sz val="9"/>
      <color indexed="10"/>
      <name val="Arial"/>
      <family val="2"/>
    </font>
    <font>
      <b/>
      <sz val="12"/>
      <name val="Calibri"/>
      <family val="2"/>
    </font>
    <font>
      <b/>
      <sz val="14"/>
      <name val="Arial"/>
      <family val="2"/>
    </font>
    <font>
      <sz val="10"/>
      <color indexed="8"/>
      <name val="Arial"/>
      <family val="2"/>
    </font>
    <font>
      <sz val="9"/>
      <color indexed="8"/>
      <name val="Tahoma"/>
      <family val="2"/>
    </font>
    <font>
      <b/>
      <i/>
      <sz val="11"/>
      <name val="Arial"/>
      <family val="2"/>
    </font>
    <font>
      <b/>
      <sz val="9"/>
      <name val="Arial"/>
      <family val="2"/>
    </font>
    <font>
      <b/>
      <i/>
      <sz val="14"/>
      <name val="Arial"/>
      <family val="2"/>
    </font>
    <font>
      <b/>
      <sz val="12"/>
      <name val="Arial"/>
      <family val="2"/>
    </font>
    <font>
      <sz val="9"/>
      <name val="Arial"/>
      <family val="2"/>
    </font>
    <font>
      <b/>
      <u/>
      <sz val="9"/>
      <name val="Arial"/>
      <family val="2"/>
    </font>
    <font>
      <b/>
      <i/>
      <sz val="9"/>
      <name val="Times New Roman"/>
      <family val="1"/>
    </font>
    <font>
      <b/>
      <sz val="11"/>
      <name val="Tahoma"/>
      <family val="2"/>
    </font>
    <font>
      <sz val="10"/>
      <name val="Calibri"/>
      <family val="2"/>
    </font>
    <font>
      <b/>
      <sz val="10"/>
      <name val="Calibri"/>
      <family val="2"/>
    </font>
    <font>
      <sz val="14"/>
      <name val="Arial"/>
      <family val="2"/>
    </font>
    <font>
      <sz val="7"/>
      <name val="Arial"/>
      <family val="2"/>
    </font>
    <font>
      <b/>
      <u/>
      <sz val="10"/>
      <name val="Calibri"/>
      <family val="2"/>
    </font>
    <font>
      <sz val="10"/>
      <name val="Arial"/>
      <family val="2"/>
    </font>
    <font>
      <i/>
      <sz val="9"/>
      <name val="Arial"/>
      <family val="2"/>
    </font>
    <font>
      <u/>
      <sz val="9"/>
      <name val="Arial"/>
      <family val="2"/>
    </font>
    <font>
      <i/>
      <u/>
      <sz val="9"/>
      <name val="Arial"/>
      <family val="2"/>
    </font>
    <font>
      <sz val="12"/>
      <name val="Arial"/>
      <family val="2"/>
    </font>
    <font>
      <u/>
      <sz val="9"/>
      <name val="Tahoma"/>
      <family val="2"/>
    </font>
    <font>
      <u val="singleAccounting"/>
      <sz val="9"/>
      <name val="Tahoma"/>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scheme val="minor"/>
    </font>
    <font>
      <sz val="11"/>
      <color rgb="FF9C0006"/>
      <name val="Calibri"/>
      <family val="2"/>
      <scheme val="minor"/>
    </font>
    <font>
      <sz val="11"/>
      <color rgb="FF9C57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b/>
      <sz val="13"/>
      <color theme="3"/>
      <name val="Calibri"/>
      <family val="2"/>
      <scheme val="minor"/>
    </font>
    <font>
      <sz val="18"/>
      <color theme="3"/>
      <name val="Cambria"/>
      <family val="2"/>
      <scheme val="major"/>
    </font>
    <font>
      <b/>
      <sz val="11"/>
      <color theme="1"/>
      <name val="Calibri"/>
      <family val="2"/>
      <scheme val="minor"/>
    </font>
    <font>
      <b/>
      <i/>
      <u/>
      <sz val="11"/>
      <color theme="1"/>
      <name val="Calibri"/>
      <family val="2"/>
      <scheme val="minor"/>
    </font>
    <font>
      <sz val="10"/>
      <color rgb="FF0070C0"/>
      <name val="Arial"/>
      <family val="2"/>
    </font>
    <font>
      <b/>
      <i/>
      <u/>
      <sz val="8"/>
      <color rgb="FF0070C0"/>
      <name val="Arial"/>
      <family val="2"/>
    </font>
    <font>
      <sz val="8"/>
      <color rgb="FF0070C0"/>
      <name val="Arial"/>
      <family val="2"/>
    </font>
    <font>
      <b/>
      <i/>
      <sz val="8"/>
      <color rgb="FF0070C0"/>
      <name val="Arial"/>
      <family val="2"/>
    </font>
    <font>
      <b/>
      <sz val="8"/>
      <color rgb="FF0070C0"/>
      <name val="Arial"/>
      <family val="2"/>
    </font>
    <font>
      <sz val="9"/>
      <color theme="1"/>
      <name val="Times New Roman"/>
      <family val="1"/>
    </font>
    <font>
      <b/>
      <sz val="14"/>
      <color rgb="FF000000"/>
      <name val="Times New Roman"/>
      <family val="1"/>
    </font>
    <font>
      <b/>
      <sz val="9"/>
      <color rgb="FF000000"/>
      <name val="Times New Roman"/>
      <family val="1"/>
    </font>
    <font>
      <b/>
      <i/>
      <sz val="10"/>
      <color rgb="FF000000"/>
      <name val="Times New Roman"/>
      <family val="1"/>
    </font>
    <font>
      <sz val="9"/>
      <color rgb="FF000000"/>
      <name val="Arial"/>
      <family val="2"/>
    </font>
    <font>
      <b/>
      <sz val="9"/>
      <color rgb="FF000000"/>
      <name val="Arial"/>
      <family val="2"/>
    </font>
    <font>
      <b/>
      <i/>
      <sz val="12"/>
      <color rgb="FF000000"/>
      <name val="Arial"/>
      <family val="2"/>
    </font>
    <font>
      <b/>
      <i/>
      <sz val="10"/>
      <color rgb="FF000000"/>
      <name val="Arial"/>
      <family val="2"/>
    </font>
    <font>
      <sz val="10"/>
      <name val="Calibri"/>
      <family val="2"/>
      <scheme val="minor"/>
    </font>
    <font>
      <b/>
      <sz val="10"/>
      <name val="Calibri"/>
      <family val="2"/>
      <scheme val="minor"/>
    </font>
    <font>
      <b/>
      <sz val="12"/>
      <name val="Calibri"/>
      <family val="2"/>
      <scheme val="minor"/>
    </font>
    <font>
      <sz val="8"/>
      <color theme="1"/>
      <name val="Arial"/>
      <family val="2"/>
    </font>
    <font>
      <b/>
      <i/>
      <sz val="8"/>
      <color theme="1"/>
      <name val="Arial"/>
      <family val="2"/>
    </font>
    <font>
      <sz val="9"/>
      <color theme="1"/>
      <name val="Tahoma"/>
      <family val="2"/>
    </font>
    <font>
      <sz val="9"/>
      <color theme="1"/>
      <name val="Arial"/>
      <family val="2"/>
    </font>
    <font>
      <b/>
      <sz val="8"/>
      <color rgb="FF000000"/>
      <name val="Arial"/>
      <family val="2"/>
    </font>
    <font>
      <b/>
      <sz val="10"/>
      <color rgb="FFFF0000"/>
      <name val="Calibri"/>
      <family val="2"/>
      <scheme val="minor"/>
    </font>
    <font>
      <sz val="10"/>
      <color rgb="FFFF0000"/>
      <name val="Arial"/>
      <family val="2"/>
    </font>
    <font>
      <b/>
      <sz val="8"/>
      <color theme="1"/>
      <name val="MS Sans Serif"/>
    </font>
    <font>
      <b/>
      <sz val="8"/>
      <color theme="1"/>
      <name val="Arial"/>
      <family val="2"/>
    </font>
    <font>
      <sz val="9"/>
      <color rgb="FFFF0000"/>
      <name val="Tahoma"/>
      <family val="2"/>
    </font>
    <font>
      <sz val="8"/>
      <color rgb="FFFF0000"/>
      <name val="Arial"/>
      <family val="2"/>
    </font>
    <font>
      <b/>
      <i/>
      <sz val="9"/>
      <color theme="1"/>
      <name val="Arial"/>
      <family val="2"/>
    </font>
    <font>
      <b/>
      <u/>
      <sz val="9"/>
      <color theme="1"/>
      <name val="Arial"/>
      <family val="2"/>
    </font>
    <font>
      <b/>
      <sz val="9"/>
      <color rgb="FFFF0000"/>
      <name val="Arial"/>
      <family val="2"/>
    </font>
    <font>
      <b/>
      <i/>
      <sz val="9"/>
      <color theme="1"/>
      <name val="Times New Roman"/>
      <family val="1"/>
    </font>
    <font>
      <b/>
      <sz val="9"/>
      <color rgb="FF0070C0"/>
      <name val="Arial"/>
      <family val="2"/>
    </font>
    <font>
      <sz val="9"/>
      <color rgb="FFFF0000"/>
      <name val="Arial"/>
      <family val="2"/>
    </font>
    <font>
      <sz val="8"/>
      <color theme="0"/>
      <name val="Arial"/>
      <family val="2"/>
    </font>
    <font>
      <sz val="9"/>
      <color theme="0"/>
      <name val="Arial"/>
      <family val="2"/>
    </font>
    <font>
      <b/>
      <sz val="8"/>
      <color theme="0"/>
      <name val="Arial"/>
      <family val="2"/>
    </font>
    <font>
      <sz val="9"/>
      <color rgb="FFC00000"/>
      <name val="Arial"/>
      <family val="2"/>
    </font>
    <font>
      <sz val="10"/>
      <color theme="0"/>
      <name val="Arial"/>
      <family val="2"/>
    </font>
    <font>
      <sz val="10"/>
      <color theme="1"/>
      <name val="Calibri"/>
      <family val="2"/>
      <scheme val="minor"/>
    </font>
    <font>
      <sz val="6"/>
      <color theme="1"/>
      <name val="Arial"/>
      <family val="2"/>
    </font>
    <font>
      <sz val="8"/>
      <color theme="1"/>
      <name val="MS Sans Serif"/>
    </font>
    <font>
      <b/>
      <sz val="8"/>
      <color theme="1"/>
      <name val="Aptos Serif"/>
      <family val="1"/>
    </font>
    <font>
      <b/>
      <sz val="9"/>
      <color theme="1"/>
      <name val="Times New Roman"/>
      <family val="1"/>
    </font>
    <font>
      <i/>
      <sz val="9"/>
      <color theme="1"/>
      <name val="Times New Roman"/>
      <family val="1"/>
    </font>
    <font>
      <b/>
      <sz val="10"/>
      <color rgb="FF000000"/>
      <name val="Arial"/>
      <family val="2"/>
    </font>
    <font>
      <b/>
      <sz val="9"/>
      <color theme="1"/>
      <name val="Arial"/>
      <family val="2"/>
    </font>
    <font>
      <b/>
      <sz val="11"/>
      <color theme="1"/>
      <name val="Arial"/>
      <family val="2"/>
    </font>
    <font>
      <sz val="10"/>
      <color rgb="FFC00000"/>
      <name val="Arial"/>
      <family val="2"/>
    </font>
    <font>
      <b/>
      <sz val="10"/>
      <color theme="1"/>
      <name val="Arial"/>
      <family val="2"/>
    </font>
    <font>
      <b/>
      <sz val="14"/>
      <color theme="1"/>
      <name val="Arial"/>
      <family val="2"/>
    </font>
    <font>
      <b/>
      <i/>
      <sz val="11"/>
      <color theme="1"/>
      <name val="Calibri"/>
      <family val="2"/>
      <scheme val="minor"/>
    </font>
    <font>
      <b/>
      <i/>
      <sz val="11"/>
      <color rgb="FF000000"/>
      <name val="Garamond"/>
      <family val="1"/>
    </font>
    <font>
      <b/>
      <i/>
      <sz val="8"/>
      <color rgb="FF000000"/>
      <name val="Verdana"/>
      <family val="2"/>
    </font>
    <font>
      <b/>
      <u/>
      <sz val="12"/>
      <name val="Arial"/>
      <family val="2"/>
    </font>
    <font>
      <i/>
      <sz val="10"/>
      <color rgb="FF000000"/>
      <name val="Arial"/>
      <family val="2"/>
    </font>
    <font>
      <sz val="8"/>
      <name val="Arial Nova Light"/>
      <family val="2"/>
    </font>
    <font>
      <b/>
      <sz val="8"/>
      <color theme="1"/>
      <name val="Arial Nova Light"/>
      <family val="2"/>
    </font>
    <font>
      <sz val="10"/>
      <name val="Arial Nova Light"/>
      <family val="2"/>
    </font>
    <font>
      <b/>
      <sz val="8"/>
      <color theme="3" tint="-0.249977111117893"/>
      <name val="Arial Nova Light"/>
      <family val="2"/>
    </font>
    <font>
      <b/>
      <sz val="8"/>
      <name val="Arial Nova Light"/>
      <family val="2"/>
    </font>
    <font>
      <b/>
      <i/>
      <sz val="8"/>
      <name val="Arial Nova Light"/>
      <family val="2"/>
    </font>
    <font>
      <sz val="8"/>
      <color theme="1"/>
      <name val="Arial Nova Light"/>
      <family val="2"/>
    </font>
    <font>
      <b/>
      <sz val="9"/>
      <name val="Calibri"/>
      <family val="2"/>
      <scheme val="minor"/>
    </font>
    <font>
      <sz val="8"/>
      <color rgb="FFFF0000"/>
      <name val="MS Sans Serif"/>
    </font>
    <font>
      <i/>
      <sz val="9"/>
      <name val="Times New Roman"/>
      <family val="1"/>
    </font>
    <font>
      <sz val="9"/>
      <name val="Calibri"/>
      <family val="2"/>
      <scheme val="minor"/>
    </font>
    <font>
      <i/>
      <sz val="9"/>
      <name val="Calibri"/>
      <family val="2"/>
      <scheme val="minor"/>
    </font>
    <font>
      <b/>
      <i/>
      <u/>
      <sz val="8"/>
      <name val="Calibri"/>
      <family val="2"/>
      <scheme val="minor"/>
    </font>
    <font>
      <sz val="8"/>
      <name val="Calibri"/>
      <family val="2"/>
      <scheme val="minor"/>
    </font>
    <font>
      <b/>
      <i/>
      <u/>
      <sz val="9"/>
      <name val="Calibri"/>
      <family val="2"/>
      <scheme val="minor"/>
    </font>
    <font>
      <b/>
      <u/>
      <sz val="8"/>
      <name val="Calibri"/>
      <family val="2"/>
      <scheme val="minor"/>
    </font>
    <font>
      <b/>
      <u/>
      <sz val="9"/>
      <name val="Calibri"/>
      <family val="2"/>
      <scheme val="minor"/>
    </font>
    <font>
      <b/>
      <i/>
      <sz val="9"/>
      <name val="Calibri"/>
      <family val="2"/>
      <scheme val="minor"/>
    </font>
    <font>
      <b/>
      <sz val="11"/>
      <name val="Calibri"/>
      <family val="2"/>
      <scheme val="minor"/>
    </font>
    <font>
      <b/>
      <sz val="9"/>
      <color rgb="FF0070C0"/>
      <name val="Calibri"/>
      <family val="2"/>
      <scheme val="minor"/>
    </font>
    <font>
      <b/>
      <i/>
      <sz val="12"/>
      <color rgb="FF000000"/>
      <name val="Calibri"/>
      <family val="2"/>
      <scheme val="minor"/>
    </font>
    <font>
      <b/>
      <sz val="9"/>
      <color rgb="FF000000"/>
      <name val="Calibri"/>
      <family val="2"/>
      <scheme val="minor"/>
    </font>
    <font>
      <sz val="7"/>
      <name val="Calibri"/>
      <family val="2"/>
      <scheme val="minor"/>
    </font>
    <font>
      <sz val="9"/>
      <color rgb="FF000000"/>
      <name val="Calibri"/>
      <family val="2"/>
      <scheme val="minor"/>
    </font>
    <font>
      <b/>
      <sz val="9"/>
      <color theme="1"/>
      <name val="Calibri"/>
      <family val="2"/>
      <scheme val="minor"/>
    </font>
    <font>
      <b/>
      <sz val="9"/>
      <color rgb="FFFF0000"/>
      <name val="Calibri"/>
      <family val="2"/>
      <scheme val="minor"/>
    </font>
    <font>
      <sz val="9"/>
      <color rgb="FFFF0000"/>
      <name val="Calibri"/>
      <family val="2"/>
      <scheme val="minor"/>
    </font>
    <font>
      <b/>
      <sz val="14"/>
      <name val="Calibri"/>
      <family val="2"/>
      <scheme val="minor"/>
    </font>
    <font>
      <sz val="12"/>
      <name val="Calibri"/>
      <family val="2"/>
      <scheme val="minor"/>
    </font>
    <font>
      <sz val="14"/>
      <name val="Calibri"/>
      <family val="2"/>
      <scheme val="minor"/>
    </font>
    <font>
      <i/>
      <sz val="10"/>
      <color rgb="FF000000"/>
      <name val="Calibri"/>
      <family val="2"/>
      <scheme val="minor"/>
    </font>
    <font>
      <b/>
      <i/>
      <sz val="9"/>
      <color theme="1"/>
      <name val="Calibri"/>
      <family val="2"/>
      <scheme val="minor"/>
    </font>
    <font>
      <sz val="10"/>
      <color rgb="FFFF0000"/>
      <name val="Calibri"/>
      <family val="2"/>
      <scheme val="minor"/>
    </font>
    <font>
      <b/>
      <sz val="8"/>
      <name val="Calibri"/>
      <family val="2"/>
      <scheme val="minor"/>
    </font>
    <font>
      <sz val="10"/>
      <color rgb="FF000000"/>
      <name val="Calibri"/>
      <family val="2"/>
      <scheme val="minor"/>
    </font>
    <font>
      <sz val="9"/>
      <color theme="1"/>
      <name val="Calibri"/>
      <family val="2"/>
      <scheme val="minor"/>
    </font>
    <font>
      <b/>
      <i/>
      <sz val="10"/>
      <color rgb="FF000000"/>
      <name val="Calibri"/>
      <family val="2"/>
      <scheme val="minor"/>
    </font>
    <font>
      <sz val="9"/>
      <color rgb="FF0070C0"/>
      <name val="Calibri"/>
      <family val="2"/>
      <scheme val="minor"/>
    </font>
    <font>
      <i/>
      <sz val="9"/>
      <color theme="1"/>
      <name val="Calibri"/>
      <family val="2"/>
      <scheme val="minor"/>
    </font>
    <font>
      <b/>
      <sz val="8"/>
      <color rgb="FF000000"/>
      <name val="Calibri"/>
      <family val="2"/>
      <scheme val="minor"/>
    </font>
    <font>
      <b/>
      <u/>
      <sz val="9"/>
      <color theme="1"/>
      <name val="Calibri"/>
      <family val="2"/>
      <scheme val="minor"/>
    </font>
    <font>
      <b/>
      <sz val="14"/>
      <color rgb="FF000000"/>
      <name val="Calibri"/>
      <family val="2"/>
      <scheme val="minor"/>
    </font>
    <font>
      <sz val="8"/>
      <color theme="0"/>
      <name val="Calibri"/>
      <family val="2"/>
      <scheme val="minor"/>
    </font>
    <font>
      <sz val="9"/>
      <color theme="0"/>
      <name val="Calibri"/>
      <family val="2"/>
      <scheme val="minor"/>
    </font>
    <font>
      <sz val="9"/>
      <color rgb="FFC00000"/>
      <name val="Calibri"/>
      <family val="2"/>
      <scheme val="minor"/>
    </font>
    <font>
      <sz val="10"/>
      <color rgb="FFC00000"/>
      <name val="Calibri"/>
      <family val="2"/>
      <scheme val="minor"/>
    </font>
    <font>
      <b/>
      <i/>
      <sz val="8"/>
      <name val="Calibri"/>
      <family val="2"/>
      <scheme val="minor"/>
    </font>
    <font>
      <b/>
      <sz val="8"/>
      <color theme="1"/>
      <name val="Calibri"/>
      <family val="2"/>
      <scheme val="minor"/>
    </font>
    <font>
      <sz val="8"/>
      <color rgb="FFFF0000"/>
      <name val="Calibri"/>
      <family val="2"/>
      <scheme val="minor"/>
    </font>
    <font>
      <sz val="8"/>
      <color theme="1"/>
      <name val="Calibri"/>
      <family val="2"/>
      <scheme val="minor"/>
    </font>
    <font>
      <b/>
      <i/>
      <sz val="8"/>
      <color theme="1"/>
      <name val="Calibri"/>
      <family val="2"/>
      <scheme val="minor"/>
    </font>
    <font>
      <sz val="8"/>
      <name val="MS Sans Serif"/>
    </font>
    <font>
      <i/>
      <sz val="10"/>
      <name val="Arial"/>
      <family val="2"/>
    </font>
  </fonts>
  <fills count="75">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rgb="FF18F3F8"/>
        <bgColor indexed="64"/>
      </patternFill>
    </fill>
    <fill>
      <patternFill patternType="solid">
        <fgColor rgb="FFD9D9D9"/>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FF00"/>
        <bgColor indexed="64"/>
      </patternFill>
    </fill>
    <fill>
      <patternFill patternType="solid">
        <fgColor theme="0"/>
        <bgColor indexed="64"/>
      </patternFill>
    </fill>
    <fill>
      <patternFill patternType="solid">
        <fgColor rgb="FFC4D79B"/>
        <bgColor indexed="64"/>
      </patternFill>
    </fill>
    <fill>
      <patternFill patternType="solid">
        <fgColor rgb="FFFFFFFF"/>
        <bgColor indexed="64"/>
      </patternFill>
    </fill>
    <fill>
      <patternFill patternType="solid">
        <fgColor rgb="FFB1A0C7"/>
        <bgColor indexed="64"/>
      </patternFill>
    </fill>
    <fill>
      <patternFill patternType="solid">
        <fgColor rgb="FFFFE5BF"/>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FFFF00"/>
        <bgColor indexed="64"/>
      </patternFill>
    </fill>
    <fill>
      <patternFill patternType="solid">
        <fgColor rgb="FFC0C0C0"/>
        <bgColor indexed="64"/>
      </patternFill>
    </fill>
    <fill>
      <patternFill patternType="solid">
        <fgColor theme="0"/>
        <bgColor indexed="9"/>
      </patternFill>
    </fill>
    <fill>
      <patternFill patternType="solid">
        <fgColor theme="4" tint="0.39997558519241921"/>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0000"/>
        <bgColor indexed="64"/>
      </patternFill>
    </fill>
    <fill>
      <patternFill patternType="solid">
        <fgColor theme="8" tint="0.59999389629810485"/>
        <bgColor indexed="64"/>
      </patternFill>
    </fill>
    <fill>
      <patternFill patternType="solid">
        <fgColor theme="1"/>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59999389629810485"/>
        <bgColor indexed="64"/>
      </patternFill>
    </fill>
    <fill>
      <patternFill patternType="solid">
        <fgColor theme="6" tint="-0.249977111117893"/>
        <bgColor indexed="64"/>
      </patternFill>
    </fill>
    <fill>
      <patternFill patternType="solid">
        <fgColor theme="3" tint="0.39997558519241921"/>
        <bgColor indexed="64"/>
      </patternFill>
    </fill>
    <fill>
      <patternFill patternType="solid">
        <fgColor theme="8" tint="0.39997558519241921"/>
        <bgColor indexed="64"/>
      </patternFill>
    </fill>
    <fill>
      <patternFill patternType="solid">
        <fgColor theme="6"/>
        <bgColor indexed="64"/>
      </patternFill>
    </fill>
    <fill>
      <patternFill patternType="solid">
        <fgColor theme="7" tint="0.59999389629810485"/>
        <bgColor indexed="64"/>
      </patternFill>
    </fill>
    <fill>
      <patternFill patternType="solid">
        <fgColor rgb="FF8DB4E2"/>
        <bgColor indexed="64"/>
      </patternFill>
    </fill>
    <fill>
      <patternFill patternType="solid">
        <fgColor theme="7" tint="0.39997558519241921"/>
        <bgColor indexed="64"/>
      </patternFill>
    </fill>
    <fill>
      <patternFill patternType="solid">
        <fgColor rgb="FF66FF66"/>
        <bgColor indexed="64"/>
      </patternFill>
    </fill>
    <fill>
      <patternFill patternType="solid">
        <fgColor theme="2" tint="-0.249977111117893"/>
        <bgColor indexed="64"/>
      </patternFill>
    </fill>
  </fills>
  <borders count="11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top/>
      <bottom style="double">
        <color indexed="64"/>
      </bottom>
      <diagonal/>
    </border>
    <border>
      <left/>
      <right/>
      <top style="thin">
        <color indexed="64"/>
      </top>
      <bottom style="double">
        <color indexed="64"/>
      </bottom>
      <diagonal/>
    </border>
    <border>
      <left/>
      <right style="thin">
        <color indexed="64"/>
      </right>
      <top/>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medium">
        <color indexed="64"/>
      </right>
      <top/>
      <bottom style="thin">
        <color indexed="64"/>
      </bottom>
      <diagonal/>
    </border>
    <border>
      <left style="medium">
        <color indexed="64"/>
      </left>
      <right/>
      <top/>
      <bottom style="thin">
        <color indexed="64"/>
      </bottom>
      <diagonal/>
    </border>
    <border>
      <left style="thin">
        <color indexed="64"/>
      </left>
      <right/>
      <top/>
      <bottom style="double">
        <color indexed="64"/>
      </bottom>
      <diagonal/>
    </border>
    <border>
      <left style="medium">
        <color indexed="64"/>
      </left>
      <right/>
      <top/>
      <bottom/>
      <diagonal/>
    </border>
    <border>
      <left/>
      <right style="medium">
        <color indexed="64"/>
      </right>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style="double">
        <color indexed="64"/>
      </bottom>
      <diagonal/>
    </border>
    <border>
      <left/>
      <right style="thin">
        <color indexed="64"/>
      </right>
      <top style="thin">
        <color indexed="64"/>
      </top>
      <bottom style="thin">
        <color indexed="64"/>
      </bottom>
      <diagonal/>
    </border>
    <border>
      <left style="double">
        <color indexed="64"/>
      </left>
      <right/>
      <top/>
      <bottom/>
      <diagonal/>
    </border>
    <border>
      <left/>
      <right style="double">
        <color indexed="64"/>
      </right>
      <top/>
      <bottom/>
      <diagonal/>
    </border>
    <border>
      <left style="double">
        <color indexed="64"/>
      </left>
      <right/>
      <top style="thin">
        <color indexed="64"/>
      </top>
      <bottom/>
      <diagonal/>
    </border>
    <border>
      <left style="thin">
        <color indexed="64"/>
      </left>
      <right style="double">
        <color indexed="64"/>
      </right>
      <top style="thin">
        <color indexed="64"/>
      </top>
      <bottom/>
      <diagonal/>
    </border>
    <border>
      <left/>
      <right style="double">
        <color indexed="64"/>
      </right>
      <top style="thin">
        <color indexed="64"/>
      </top>
      <bottom/>
      <diagonal/>
    </border>
    <border>
      <left style="thin">
        <color indexed="64"/>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indexed="64"/>
      </left>
      <right style="thin">
        <color rgb="FFC0C0C0"/>
      </right>
      <top style="thin">
        <color rgb="FFC0C0C0"/>
      </top>
      <bottom style="thin">
        <color rgb="FFC0C0C0"/>
      </bottom>
      <diagonal/>
    </border>
    <border>
      <left style="thin">
        <color rgb="FFC0C0C0"/>
      </left>
      <right style="thin">
        <color indexed="64"/>
      </right>
      <top style="thin">
        <color rgb="FFC0C0C0"/>
      </top>
      <bottom style="thin">
        <color rgb="FFC0C0C0"/>
      </bottom>
      <diagonal/>
    </border>
    <border>
      <left style="thin">
        <color indexed="64"/>
      </left>
      <right style="thin">
        <color rgb="FFC0C0C0"/>
      </right>
      <top style="thin">
        <color rgb="FFC0C0C0"/>
      </top>
      <bottom style="thin">
        <color indexed="64"/>
      </bottom>
      <diagonal/>
    </border>
    <border>
      <left style="thin">
        <color rgb="FFC0C0C0"/>
      </left>
      <right style="thin">
        <color rgb="FFC0C0C0"/>
      </right>
      <top style="thin">
        <color rgb="FFC0C0C0"/>
      </top>
      <bottom style="thin">
        <color indexed="64"/>
      </bottom>
      <diagonal/>
    </border>
    <border>
      <left style="thin">
        <color rgb="FFC0C0C0"/>
      </left>
      <right style="thin">
        <color indexed="64"/>
      </right>
      <top style="thin">
        <color rgb="FFC0C0C0"/>
      </top>
      <bottom style="thin">
        <color indexed="64"/>
      </bottom>
      <diagonal/>
    </border>
    <border>
      <left style="thin">
        <color indexed="64"/>
      </left>
      <right style="thin">
        <color rgb="FFC0C0C0"/>
      </right>
      <top style="thin">
        <color indexed="64"/>
      </top>
      <bottom style="thin">
        <color indexed="64"/>
      </bottom>
      <diagonal/>
    </border>
    <border>
      <left style="thin">
        <color rgb="FFC0C0C0"/>
      </left>
      <right style="thin">
        <color rgb="FFC0C0C0"/>
      </right>
      <top style="thin">
        <color indexed="64"/>
      </top>
      <bottom style="thin">
        <color indexed="64"/>
      </bottom>
      <diagonal/>
    </border>
    <border>
      <left/>
      <right style="thin">
        <color rgb="FFC0C0C0"/>
      </right>
      <top style="thin">
        <color rgb="FFC0C0C0"/>
      </top>
      <bottom style="thin">
        <color rgb="FFC0C0C0"/>
      </bottom>
      <diagonal/>
    </border>
    <border>
      <left style="thin">
        <color indexed="64"/>
      </left>
      <right style="thin">
        <color rgb="FFC0C0C0"/>
      </right>
      <top/>
      <bottom style="thin">
        <color rgb="FFC0C0C0"/>
      </bottom>
      <diagonal/>
    </border>
    <border>
      <left style="thin">
        <color rgb="FFC0C0C0"/>
      </left>
      <right style="thin">
        <color rgb="FFC0C0C0"/>
      </right>
      <top/>
      <bottom style="thin">
        <color rgb="FFC0C0C0"/>
      </bottom>
      <diagonal/>
    </border>
    <border>
      <left style="thin">
        <color indexed="64"/>
      </left>
      <right style="thin">
        <color rgb="FFC0C0C0"/>
      </right>
      <top style="thin">
        <color rgb="FFC0C0C0"/>
      </top>
      <bottom/>
      <diagonal/>
    </border>
    <border>
      <left style="thin">
        <color rgb="FFC0C0C0"/>
      </left>
      <right style="thin">
        <color rgb="FFC0C0C0"/>
      </right>
      <top style="thin">
        <color rgb="FFC0C0C0"/>
      </top>
      <bottom/>
      <diagonal/>
    </border>
    <border>
      <left style="thin">
        <color rgb="FFC0C0C0"/>
      </left>
      <right style="thin">
        <color rgb="FFC0C0C0"/>
      </right>
      <top style="thin">
        <color indexed="64"/>
      </top>
      <bottom style="double">
        <color indexed="64"/>
      </bottom>
      <diagonal/>
    </border>
    <border>
      <left style="thin">
        <color indexed="64"/>
      </left>
      <right/>
      <top/>
      <bottom style="thin">
        <color rgb="FFC0C0C0"/>
      </bottom>
      <diagonal/>
    </border>
    <border>
      <left style="thin">
        <color indexed="64"/>
      </left>
      <right style="thin">
        <color indexed="64"/>
      </right>
      <top style="thin">
        <color indexed="64"/>
      </top>
      <bottom style="thin">
        <color rgb="FFC0C0C0"/>
      </bottom>
      <diagonal/>
    </border>
    <border>
      <left/>
      <right style="thin">
        <color indexed="64"/>
      </right>
      <top style="thin">
        <color indexed="64"/>
      </top>
      <bottom style="thin">
        <color rgb="FFC0C0C0"/>
      </bottom>
      <diagonal/>
    </border>
    <border>
      <left style="thin">
        <color indexed="64"/>
      </left>
      <right style="thin">
        <color indexed="64"/>
      </right>
      <top/>
      <bottom style="thin">
        <color rgb="FFC0C0C0"/>
      </bottom>
      <diagonal/>
    </border>
    <border>
      <left/>
      <right style="thin">
        <color indexed="64"/>
      </right>
      <top/>
      <bottom style="thin">
        <color rgb="FFC0C0C0"/>
      </bottom>
      <diagonal/>
    </border>
    <border>
      <left style="thin">
        <color rgb="FFC0C0C0"/>
      </left>
      <right style="thin">
        <color indexed="64"/>
      </right>
      <top style="thin">
        <color rgb="FFC0C0C0"/>
      </top>
      <bottom style="double">
        <color indexed="64"/>
      </bottom>
      <diagonal/>
    </border>
    <border>
      <left style="thin">
        <color indexed="64"/>
      </left>
      <right style="thin">
        <color rgb="FFC0C0C0"/>
      </right>
      <top/>
      <bottom/>
      <diagonal/>
    </border>
    <border>
      <left style="thin">
        <color rgb="FFC0C0C0"/>
      </left>
      <right style="thin">
        <color indexed="64"/>
      </right>
      <top style="thin">
        <color rgb="FFC0C0C0"/>
      </top>
      <bottom/>
      <diagonal/>
    </border>
    <border>
      <left/>
      <right style="thin">
        <color rgb="FFC0C0C0"/>
      </right>
      <top/>
      <bottom style="thin">
        <color rgb="FFC0C0C0"/>
      </bottom>
      <diagonal/>
    </border>
    <border>
      <left/>
      <right style="thin">
        <color indexed="64"/>
      </right>
      <top style="thin">
        <color rgb="FFC0C0C0"/>
      </top>
      <bottom/>
      <diagonal/>
    </border>
    <border>
      <left/>
      <right/>
      <top/>
      <bottom style="thin">
        <color rgb="FFC0C0C0"/>
      </bottom>
      <diagonal/>
    </border>
    <border>
      <left/>
      <right style="thin">
        <color rgb="FFC0C0C0"/>
      </right>
      <top style="thin">
        <color indexed="64"/>
      </top>
      <bottom style="thin">
        <color indexed="64"/>
      </bottom>
      <diagonal/>
    </border>
    <border>
      <left style="thin">
        <color rgb="FFC0C0C0"/>
      </left>
      <right style="thin">
        <color indexed="64"/>
      </right>
      <top style="thin">
        <color indexed="64"/>
      </top>
      <bottom style="thin">
        <color indexed="64"/>
      </bottom>
      <diagonal/>
    </border>
    <border>
      <left style="double">
        <color indexed="64"/>
      </left>
      <right style="thin">
        <color indexed="64"/>
      </right>
      <top style="double">
        <color indexed="64"/>
      </top>
      <bottom/>
      <diagonal/>
    </border>
    <border>
      <left style="double">
        <color indexed="64"/>
      </left>
      <right style="thin">
        <color indexed="64"/>
      </right>
      <top style="thin">
        <color indexed="64"/>
      </top>
      <bottom/>
      <diagonal/>
    </border>
    <border>
      <left style="double">
        <color indexed="64"/>
      </left>
      <right style="thin">
        <color indexed="64"/>
      </right>
      <top style="thin">
        <color indexed="64"/>
      </top>
      <bottom style="thin">
        <color indexed="64"/>
      </bottom>
      <diagonal/>
    </border>
    <border>
      <left style="double">
        <color indexed="64"/>
      </left>
      <right style="thin">
        <color theme="0"/>
      </right>
      <top style="thin">
        <color indexed="64"/>
      </top>
      <bottom style="thin">
        <color indexed="64"/>
      </bottom>
      <diagonal/>
    </border>
    <border>
      <left style="double">
        <color indexed="64"/>
      </left>
      <right style="thin">
        <color theme="0"/>
      </right>
      <top/>
      <bottom/>
      <diagonal/>
    </border>
    <border>
      <left style="double">
        <color indexed="64"/>
      </left>
      <right style="thin">
        <color indexed="64"/>
      </right>
      <top style="thin">
        <color indexed="64"/>
      </top>
      <bottom style="double">
        <color indexed="64"/>
      </bottom>
      <diagonal/>
    </border>
    <border>
      <left style="double">
        <color indexed="64"/>
      </left>
      <right/>
      <top/>
      <bottom style="thin">
        <color indexed="64"/>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style="double">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double">
        <color indexed="64"/>
      </right>
      <top style="double">
        <color indexed="64"/>
      </top>
      <bottom/>
      <diagonal/>
    </border>
  </borders>
  <cellStyleXfs count="58">
    <xf numFmtId="0" fontId="0" fillId="0" borderId="0"/>
    <xf numFmtId="0" fontId="48" fillId="4" borderId="0" applyNumberFormat="0" applyBorder="0" applyAlignment="0" applyProtection="0"/>
    <xf numFmtId="0" fontId="48" fillId="5" borderId="0" applyNumberFormat="0" applyBorder="0" applyAlignment="0" applyProtection="0"/>
    <xf numFmtId="0" fontId="48" fillId="6" borderId="0" applyNumberFormat="0" applyBorder="0" applyAlignment="0" applyProtection="0"/>
    <xf numFmtId="0" fontId="48" fillId="7" borderId="0" applyNumberFormat="0" applyBorder="0" applyAlignment="0" applyProtection="0"/>
    <xf numFmtId="0" fontId="48" fillId="8" borderId="0" applyNumberFormat="0" applyBorder="0" applyAlignment="0" applyProtection="0"/>
    <xf numFmtId="0" fontId="48" fillId="9" borderId="0" applyNumberFormat="0" applyBorder="0" applyAlignment="0" applyProtection="0"/>
    <xf numFmtId="0" fontId="48" fillId="10" borderId="0" applyNumberFormat="0" applyBorder="0" applyAlignment="0" applyProtection="0"/>
    <xf numFmtId="0" fontId="48" fillId="11" borderId="0" applyNumberFormat="0" applyBorder="0" applyAlignment="0" applyProtection="0"/>
    <xf numFmtId="0" fontId="48" fillId="12" borderId="0" applyNumberFormat="0" applyBorder="0" applyAlignment="0" applyProtection="0"/>
    <xf numFmtId="0" fontId="48" fillId="13" borderId="0" applyNumberFormat="0" applyBorder="0" applyAlignment="0" applyProtection="0"/>
    <xf numFmtId="0" fontId="48" fillId="14" borderId="0" applyNumberFormat="0" applyBorder="0" applyAlignment="0" applyProtection="0"/>
    <xf numFmtId="0" fontId="48" fillId="15" borderId="0" applyNumberFormat="0" applyBorder="0" applyAlignment="0" applyProtection="0"/>
    <xf numFmtId="0" fontId="48" fillId="16" borderId="0" applyNumberFormat="0" applyBorder="0" applyAlignment="0" applyProtection="0"/>
    <xf numFmtId="0" fontId="48" fillId="17" borderId="0" applyNumberFormat="0" applyBorder="0" applyAlignment="0" applyProtection="0"/>
    <xf numFmtId="0" fontId="48" fillId="18" borderId="0" applyNumberFormat="0" applyBorder="0" applyAlignment="0" applyProtection="0"/>
    <xf numFmtId="0" fontId="48" fillId="19" borderId="0" applyNumberFormat="0" applyBorder="0" applyAlignment="0" applyProtection="0"/>
    <xf numFmtId="0" fontId="48" fillId="20" borderId="0" applyNumberFormat="0" applyBorder="0" applyAlignment="0" applyProtection="0"/>
    <xf numFmtId="0" fontId="48" fillId="21" borderId="0" applyNumberFormat="0" applyBorder="0" applyAlignment="0" applyProtection="0"/>
    <xf numFmtId="0" fontId="50" fillId="22" borderId="0" applyNumberFormat="0" applyBorder="0" applyAlignment="0" applyProtection="0"/>
    <xf numFmtId="0" fontId="51" fillId="23" borderId="58" applyNumberFormat="0" applyAlignment="0" applyProtection="0"/>
    <xf numFmtId="0" fontId="52" fillId="24" borderId="59" applyNumberFormat="0" applyAlignment="0" applyProtection="0"/>
    <xf numFmtId="0" fontId="53" fillId="0" borderId="60" applyNumberFormat="0" applyFill="0" applyAlignment="0" applyProtection="0"/>
    <xf numFmtId="0" fontId="54" fillId="0" borderId="61" applyNumberFormat="0" applyFill="0" applyAlignment="0" applyProtection="0"/>
    <xf numFmtId="0" fontId="55" fillId="0" borderId="0" applyNumberFormat="0" applyFill="0" applyBorder="0" applyAlignment="0" applyProtection="0"/>
    <xf numFmtId="0" fontId="49" fillId="25" borderId="0" applyNumberFormat="0" applyBorder="0" applyAlignment="0" applyProtection="0"/>
    <xf numFmtId="0" fontId="49" fillId="26" borderId="0" applyNumberFormat="0" applyBorder="0" applyAlignment="0" applyProtection="0"/>
    <xf numFmtId="0" fontId="49" fillId="27" borderId="0" applyNumberFormat="0" applyBorder="0" applyAlignment="0" applyProtection="0"/>
    <xf numFmtId="0" fontId="49" fillId="28" borderId="0" applyNumberFormat="0" applyBorder="0" applyAlignment="0" applyProtection="0"/>
    <xf numFmtId="0" fontId="49" fillId="29" borderId="0" applyNumberFormat="0" applyBorder="0" applyAlignment="0" applyProtection="0"/>
    <xf numFmtId="0" fontId="49" fillId="30" borderId="0" applyNumberFormat="0" applyBorder="0" applyAlignment="0" applyProtection="0"/>
    <xf numFmtId="0" fontId="56" fillId="31" borderId="58" applyNumberFormat="0" applyAlignment="0" applyProtection="0"/>
    <xf numFmtId="0" fontId="57" fillId="0" borderId="0" applyNumberFormat="0" applyFill="0" applyBorder="0" applyAlignment="0" applyProtection="0"/>
    <xf numFmtId="0" fontId="58" fillId="32" borderId="0" applyNumberFormat="0" applyBorder="0" applyAlignment="0" applyProtection="0"/>
    <xf numFmtId="166" fontId="1" fillId="0" borderId="0" applyFont="0" applyFill="0" applyBorder="0" applyAlignment="0" applyProtection="0"/>
    <xf numFmtId="165" fontId="1"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2" fillId="0" borderId="0" applyFont="0" applyFill="0" applyBorder="0" applyAlignment="0" applyProtection="0"/>
    <xf numFmtId="0" fontId="59" fillId="33" borderId="0" applyNumberFormat="0" applyBorder="0" applyAlignment="0" applyProtection="0"/>
    <xf numFmtId="0" fontId="48" fillId="0" borderId="0"/>
    <xf numFmtId="0" fontId="2" fillId="0" borderId="0"/>
    <xf numFmtId="0" fontId="26" fillId="0" borderId="0"/>
    <xf numFmtId="0" fontId="48" fillId="34" borderId="62" applyNumberFormat="0" applyFont="0" applyAlignment="0" applyProtection="0"/>
    <xf numFmtId="9" fontId="1" fillId="0" borderId="0" applyFont="0" applyFill="0" applyBorder="0" applyAlignment="0" applyProtection="0"/>
    <xf numFmtId="0" fontId="60" fillId="23" borderId="63" applyNumberFormat="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63" fillId="0" borderId="64" applyNumberFormat="0" applyFill="0" applyAlignment="0" applyProtection="0"/>
    <xf numFmtId="0" fontId="55" fillId="0" borderId="65" applyNumberFormat="0" applyFill="0" applyAlignment="0" applyProtection="0"/>
    <xf numFmtId="0" fontId="64" fillId="0" borderId="0" applyNumberFormat="0" applyFill="0" applyBorder="0" applyAlignment="0" applyProtection="0"/>
    <xf numFmtId="0" fontId="65" fillId="0" borderId="66" applyNumberFormat="0" applyFill="0" applyAlignment="0" applyProtection="0"/>
  </cellStyleXfs>
  <cellXfs count="1827">
    <xf numFmtId="0" fontId="0" fillId="0" borderId="0" xfId="0"/>
    <xf numFmtId="0" fontId="2" fillId="0" borderId="0" xfId="0" applyFont="1"/>
    <xf numFmtId="0" fontId="3" fillId="0" borderId="0" xfId="0" applyFont="1"/>
    <xf numFmtId="166" fontId="3" fillId="0" borderId="0" xfId="0" applyNumberFormat="1" applyFont="1"/>
    <xf numFmtId="0" fontId="6" fillId="0" borderId="0" xfId="0" applyFont="1" applyAlignment="1">
      <alignment horizontal="left"/>
    </xf>
    <xf numFmtId="166" fontId="3" fillId="0" borderId="0" xfId="0" applyNumberFormat="1" applyFont="1" applyAlignment="1">
      <alignment horizontal="left"/>
    </xf>
    <xf numFmtId="0" fontId="4" fillId="0" borderId="0" xfId="0" applyFont="1" applyAlignment="1">
      <alignment horizontal="center"/>
    </xf>
    <xf numFmtId="0" fontId="7" fillId="0" borderId="0" xfId="0" applyFont="1"/>
    <xf numFmtId="0" fontId="5" fillId="0" borderId="0" xfId="0" applyFont="1"/>
    <xf numFmtId="166" fontId="8" fillId="0" borderId="0" xfId="0" applyNumberFormat="1" applyFont="1" applyAlignment="1">
      <alignment horizontal="center"/>
    </xf>
    <xf numFmtId="10" fontId="3" fillId="0" borderId="0" xfId="0" applyNumberFormat="1" applyFont="1"/>
    <xf numFmtId="167" fontId="8" fillId="0" borderId="0" xfId="0" applyNumberFormat="1" applyFont="1" applyAlignment="1">
      <alignment horizontal="center"/>
    </xf>
    <xf numFmtId="0" fontId="7" fillId="0" borderId="0" xfId="0" applyFont="1" applyAlignment="1">
      <alignment horizontal="center"/>
    </xf>
    <xf numFmtId="0" fontId="3" fillId="0" borderId="1" xfId="0" applyFont="1" applyBorder="1"/>
    <xf numFmtId="0" fontId="0" fillId="0" borderId="1" xfId="0" applyBorder="1"/>
    <xf numFmtId="10" fontId="8" fillId="0" borderId="0" xfId="0" applyNumberFormat="1" applyFont="1" applyAlignment="1">
      <alignment horizontal="center"/>
    </xf>
    <xf numFmtId="10" fontId="0" fillId="0" borderId="0" xfId="0" applyNumberFormat="1"/>
    <xf numFmtId="0" fontId="11" fillId="0" borderId="0" xfId="0" applyFont="1"/>
    <xf numFmtId="41" fontId="0" fillId="0" borderId="0" xfId="0" applyNumberFormat="1"/>
    <xf numFmtId="166" fontId="5" fillId="0" borderId="0" xfId="0" applyNumberFormat="1" applyFont="1"/>
    <xf numFmtId="166" fontId="5" fillId="0" borderId="2" xfId="0" applyNumberFormat="1" applyFont="1" applyBorder="1"/>
    <xf numFmtId="10" fontId="3" fillId="0" borderId="2" xfId="0" applyNumberFormat="1" applyFont="1" applyBorder="1"/>
    <xf numFmtId="0" fontId="2" fillId="0" borderId="0" xfId="0" applyFont="1" applyAlignment="1">
      <alignment horizontal="left"/>
    </xf>
    <xf numFmtId="41" fontId="3" fillId="0" borderId="0" xfId="0" applyNumberFormat="1" applyFont="1"/>
    <xf numFmtId="0" fontId="66" fillId="0" borderId="0" xfId="0" applyFont="1"/>
    <xf numFmtId="0" fontId="67" fillId="0" borderId="0" xfId="0" applyFont="1"/>
    <xf numFmtId="0" fontId="68" fillId="0" borderId="0" xfId="0" applyFont="1"/>
    <xf numFmtId="0" fontId="69" fillId="0" borderId="0" xfId="0" applyFont="1"/>
    <xf numFmtId="0" fontId="0" fillId="0" borderId="3" xfId="0" applyBorder="1"/>
    <xf numFmtId="0" fontId="9" fillId="0" borderId="3" xfId="0" applyFont="1" applyBorder="1"/>
    <xf numFmtId="0" fontId="9" fillId="0" borderId="4" xfId="0" applyFont="1" applyBorder="1"/>
    <xf numFmtId="166" fontId="70" fillId="0" borderId="2" xfId="0" applyNumberFormat="1" applyFont="1" applyBorder="1"/>
    <xf numFmtId="166" fontId="70" fillId="0" borderId="0" xfId="0" applyNumberFormat="1" applyFont="1"/>
    <xf numFmtId="10" fontId="70" fillId="0" borderId="2" xfId="0" applyNumberFormat="1" applyFont="1" applyBorder="1"/>
    <xf numFmtId="166" fontId="70" fillId="0" borderId="5" xfId="0" applyNumberFormat="1" applyFont="1" applyBorder="1"/>
    <xf numFmtId="166" fontId="70" fillId="0" borderId="6" xfId="0" applyNumberFormat="1" applyFont="1" applyBorder="1"/>
    <xf numFmtId="10" fontId="70" fillId="0" borderId="6" xfId="0" applyNumberFormat="1" applyFont="1" applyBorder="1"/>
    <xf numFmtId="10" fontId="70" fillId="0" borderId="7" xfId="0" applyNumberFormat="1" applyFont="1" applyBorder="1"/>
    <xf numFmtId="0" fontId="70" fillId="0" borderId="0" xfId="0" applyFont="1"/>
    <xf numFmtId="0" fontId="4" fillId="0" borderId="0" xfId="0" applyFont="1"/>
    <xf numFmtId="166" fontId="71" fillId="0" borderId="2" xfId="0" applyNumberFormat="1" applyFont="1" applyBorder="1"/>
    <xf numFmtId="3" fontId="3" fillId="0" borderId="1" xfId="0" applyNumberFormat="1" applyFont="1" applyBorder="1"/>
    <xf numFmtId="3" fontId="0" fillId="0" borderId="0" xfId="0" applyNumberFormat="1"/>
    <xf numFmtId="0" fontId="0" fillId="0" borderId="8" xfId="0" applyBorder="1"/>
    <xf numFmtId="0" fontId="0" fillId="0" borderId="9" xfId="0" applyBorder="1"/>
    <xf numFmtId="3" fontId="72" fillId="0" borderId="1" xfId="0" applyNumberFormat="1" applyFont="1" applyBorder="1"/>
    <xf numFmtId="3" fontId="18" fillId="0" borderId="1" xfId="0" applyNumberFormat="1" applyFont="1" applyBorder="1"/>
    <xf numFmtId="3" fontId="72" fillId="0" borderId="2" xfId="0" applyNumberFormat="1" applyFont="1" applyBorder="1"/>
    <xf numFmtId="3" fontId="72" fillId="35" borderId="2" xfId="0" applyNumberFormat="1" applyFont="1" applyFill="1" applyBorder="1"/>
    <xf numFmtId="0" fontId="73" fillId="35" borderId="1" xfId="0" applyFont="1" applyFill="1" applyBorder="1" applyAlignment="1">
      <alignment vertical="center"/>
    </xf>
    <xf numFmtId="0" fontId="74" fillId="0" borderId="1" xfId="0" applyFont="1" applyBorder="1" applyAlignment="1">
      <alignment vertical="center"/>
    </xf>
    <xf numFmtId="0" fontId="75" fillId="35" borderId="1" xfId="0" applyFont="1" applyFill="1" applyBorder="1" applyAlignment="1">
      <alignment vertical="center"/>
    </xf>
    <xf numFmtId="0" fontId="74" fillId="36" borderId="1" xfId="0" applyFont="1" applyFill="1" applyBorder="1" applyAlignment="1">
      <alignment vertical="center"/>
    </xf>
    <xf numFmtId="0" fontId="21" fillId="0" borderId="1" xfId="0" applyFont="1" applyBorder="1"/>
    <xf numFmtId="0" fontId="16" fillId="0" borderId="0" xfId="0" applyFont="1"/>
    <xf numFmtId="0" fontId="76" fillId="37" borderId="1" xfId="0" applyFont="1" applyFill="1" applyBorder="1" applyAlignment="1">
      <alignment vertical="center"/>
    </xf>
    <xf numFmtId="0" fontId="76" fillId="38" borderId="1" xfId="0" applyFont="1" applyFill="1" applyBorder="1" applyAlignment="1">
      <alignment vertical="center"/>
    </xf>
    <xf numFmtId="0" fontId="77" fillId="39" borderId="1" xfId="0" applyFont="1" applyFill="1" applyBorder="1" applyAlignment="1">
      <alignment vertical="center"/>
    </xf>
    <xf numFmtId="0" fontId="76" fillId="39" borderId="1" xfId="0" applyFont="1" applyFill="1" applyBorder="1" applyAlignment="1">
      <alignment vertical="center"/>
    </xf>
    <xf numFmtId="0" fontId="78" fillId="40" borderId="1" xfId="0" applyFont="1" applyFill="1" applyBorder="1" applyAlignment="1">
      <alignment vertical="center"/>
    </xf>
    <xf numFmtId="0" fontId="77" fillId="40" borderId="1" xfId="0" applyFont="1" applyFill="1" applyBorder="1" applyAlignment="1">
      <alignment vertical="center"/>
    </xf>
    <xf numFmtId="0" fontId="76" fillId="41" borderId="1" xfId="0" applyFont="1" applyFill="1" applyBorder="1" applyAlignment="1">
      <alignment vertical="center"/>
    </xf>
    <xf numFmtId="0" fontId="76" fillId="0" borderId="1" xfId="0" applyFont="1" applyBorder="1" applyAlignment="1">
      <alignment vertical="center"/>
    </xf>
    <xf numFmtId="0" fontId="79" fillId="40" borderId="1" xfId="0" applyFont="1" applyFill="1" applyBorder="1" applyAlignment="1">
      <alignment vertical="center"/>
    </xf>
    <xf numFmtId="0" fontId="76" fillId="42" borderId="1" xfId="0" applyFont="1" applyFill="1" applyBorder="1" applyAlignment="1">
      <alignment vertical="center"/>
    </xf>
    <xf numFmtId="0" fontId="77" fillId="43" borderId="1" xfId="0" applyFont="1" applyFill="1" applyBorder="1" applyAlignment="1">
      <alignment vertical="center"/>
    </xf>
    <xf numFmtId="0" fontId="76" fillId="44" borderId="1" xfId="0" applyFont="1" applyFill="1" applyBorder="1" applyAlignment="1">
      <alignment vertical="center"/>
    </xf>
    <xf numFmtId="0" fontId="79" fillId="0" borderId="1" xfId="0" applyFont="1" applyBorder="1" applyAlignment="1">
      <alignment vertical="center"/>
    </xf>
    <xf numFmtId="0" fontId="77" fillId="36" borderId="1" xfId="0" applyFont="1" applyFill="1" applyBorder="1" applyAlignment="1">
      <alignment vertical="center"/>
    </xf>
    <xf numFmtId="0" fontId="11" fillId="0" borderId="1" xfId="0" applyFont="1" applyBorder="1" applyAlignment="1">
      <alignment horizontal="center"/>
    </xf>
    <xf numFmtId="0" fontId="80" fillId="0" borderId="0" xfId="0" applyFont="1"/>
    <xf numFmtId="166" fontId="80" fillId="0" borderId="0" xfId="34" applyFont="1"/>
    <xf numFmtId="170" fontId="80" fillId="0" borderId="0" xfId="0" applyNumberFormat="1" applyFont="1"/>
    <xf numFmtId="171" fontId="81" fillId="45" borderId="1" xfId="34" applyNumberFormat="1" applyFont="1" applyFill="1" applyBorder="1" applyAlignment="1">
      <alignment vertical="distributed"/>
    </xf>
    <xf numFmtId="0" fontId="81" fillId="0" borderId="1" xfId="0" applyFont="1" applyBorder="1" applyAlignment="1">
      <alignment horizontal="center" vertical="top" wrapText="1"/>
    </xf>
    <xf numFmtId="0" fontId="81" fillId="0" borderId="1" xfId="0" applyFont="1" applyBorder="1" applyAlignment="1">
      <alignment horizontal="center" vertical="justify"/>
    </xf>
    <xf numFmtId="166" fontId="81" fillId="0" borderId="1" xfId="34" applyFont="1" applyFill="1" applyBorder="1" applyAlignment="1">
      <alignment horizontal="center" vertical="justify"/>
    </xf>
    <xf numFmtId="0" fontId="81" fillId="46" borderId="1" xfId="0" applyFont="1" applyFill="1" applyBorder="1" applyAlignment="1">
      <alignment horizontal="center" vertical="justify"/>
    </xf>
    <xf numFmtId="0" fontId="81" fillId="47" borderId="1" xfId="0" applyFont="1" applyFill="1" applyBorder="1" applyAlignment="1">
      <alignment horizontal="center" vertical="justify"/>
    </xf>
    <xf numFmtId="0" fontId="81" fillId="37" borderId="1" xfId="0" applyFont="1" applyFill="1" applyBorder="1" applyAlignment="1">
      <alignment horizontal="center" vertical="justify"/>
    </xf>
    <xf numFmtId="170" fontId="81" fillId="37" borderId="1" xfId="0" applyNumberFormat="1" applyFont="1" applyFill="1" applyBorder="1" applyAlignment="1">
      <alignment horizontal="center" vertical="justify"/>
    </xf>
    <xf numFmtId="0" fontId="82" fillId="0" borderId="10" xfId="0" applyFont="1" applyBorder="1" applyAlignment="1">
      <alignment vertical="distributed"/>
    </xf>
    <xf numFmtId="0" fontId="82" fillId="0" borderId="11" xfId="0" applyFont="1" applyBorder="1" applyAlignment="1">
      <alignment vertical="distributed"/>
    </xf>
    <xf numFmtId="0" fontId="80" fillId="0" borderId="1" xfId="0" applyFont="1" applyBorder="1" applyAlignment="1">
      <alignment vertical="distributed"/>
    </xf>
    <xf numFmtId="165" fontId="80" fillId="44" borderId="1" xfId="34" applyNumberFormat="1" applyFont="1" applyFill="1" applyBorder="1"/>
    <xf numFmtId="165" fontId="80" fillId="38" borderId="1" xfId="34" applyNumberFormat="1" applyFont="1" applyFill="1" applyBorder="1" applyAlignment="1">
      <alignment vertical="center"/>
    </xf>
    <xf numFmtId="165" fontId="80" fillId="48" borderId="1" xfId="34" applyNumberFormat="1" applyFont="1" applyFill="1" applyBorder="1" applyAlignment="1">
      <alignment vertical="center"/>
    </xf>
    <xf numFmtId="165" fontId="80" fillId="48" borderId="1" xfId="34" applyNumberFormat="1" applyFont="1" applyFill="1" applyBorder="1"/>
    <xf numFmtId="165" fontId="80" fillId="37" borderId="9" xfId="34" applyNumberFormat="1" applyFont="1" applyFill="1" applyBorder="1" applyAlignment="1">
      <alignment horizontal="center" vertical="justify"/>
    </xf>
    <xf numFmtId="165" fontId="80" fillId="46" borderId="9" xfId="35" applyFont="1" applyFill="1" applyBorder="1"/>
    <xf numFmtId="165" fontId="80" fillId="46" borderId="9" xfId="34" applyNumberFormat="1" applyFont="1" applyFill="1" applyBorder="1"/>
    <xf numFmtId="165" fontId="80" fillId="35" borderId="9" xfId="35" applyFont="1" applyFill="1" applyBorder="1"/>
    <xf numFmtId="165" fontId="80" fillId="0" borderId="9" xfId="34" applyNumberFormat="1" applyFont="1" applyFill="1" applyBorder="1"/>
    <xf numFmtId="0" fontId="80" fillId="40" borderId="1" xfId="0" applyFont="1" applyFill="1" applyBorder="1" applyAlignment="1">
      <alignment vertical="distributed"/>
    </xf>
    <xf numFmtId="165" fontId="80" fillId="40" borderId="9" xfId="34" applyNumberFormat="1" applyFont="1" applyFill="1" applyBorder="1"/>
    <xf numFmtId="0" fontId="80" fillId="40" borderId="0" xfId="0" applyFont="1" applyFill="1"/>
    <xf numFmtId="166" fontId="80" fillId="40" borderId="0" xfId="34" applyFont="1" applyFill="1"/>
    <xf numFmtId="170" fontId="80" fillId="40" borderId="0" xfId="0" applyNumberFormat="1" applyFont="1" applyFill="1"/>
    <xf numFmtId="43" fontId="0" fillId="0" borderId="0" xfId="0" applyNumberFormat="1"/>
    <xf numFmtId="0" fontId="2" fillId="0" borderId="3" xfId="0" applyFont="1" applyBorder="1"/>
    <xf numFmtId="0" fontId="2" fillId="0" borderId="12" xfId="0" applyFont="1" applyBorder="1"/>
    <xf numFmtId="165" fontId="80" fillId="0" borderId="1" xfId="34" applyNumberFormat="1" applyFont="1" applyFill="1" applyBorder="1"/>
    <xf numFmtId="49" fontId="83" fillId="0" borderId="67" xfId="0" applyNumberFormat="1" applyFont="1" applyBorder="1" applyAlignment="1">
      <alignment horizontal="left"/>
    </xf>
    <xf numFmtId="49" fontId="83" fillId="0" borderId="68" xfId="0" applyNumberFormat="1" applyFont="1" applyBorder="1" applyAlignment="1">
      <alignment horizontal="left"/>
    </xf>
    <xf numFmtId="0" fontId="3" fillId="0" borderId="4" xfId="0" applyFont="1" applyBorder="1"/>
    <xf numFmtId="0" fontId="7" fillId="0" borderId="4" xfId="0" applyFont="1" applyBorder="1" applyAlignment="1">
      <alignment horizontal="center"/>
    </xf>
    <xf numFmtId="0" fontId="72" fillId="0" borderId="1" xfId="0" applyFont="1" applyBorder="1"/>
    <xf numFmtId="0" fontId="9" fillId="0" borderId="13" xfId="0" applyFont="1" applyBorder="1"/>
    <xf numFmtId="0" fontId="0" fillId="0" borderId="14" xfId="0" applyBorder="1"/>
    <xf numFmtId="49" fontId="83" fillId="0" borderId="1" xfId="0" applyNumberFormat="1" applyFont="1" applyBorder="1" applyAlignment="1">
      <alignment horizontal="right"/>
    </xf>
    <xf numFmtId="0" fontId="0" fillId="40" borderId="1" xfId="0" applyFill="1" applyBorder="1"/>
    <xf numFmtId="0" fontId="80" fillId="0" borderId="0" xfId="0" applyFont="1" applyAlignment="1">
      <alignment horizontal="left"/>
    </xf>
    <xf numFmtId="0" fontId="81" fillId="0" borderId="1" xfId="0" applyFont="1" applyBorder="1" applyAlignment="1">
      <alignment horizontal="left" vertical="top"/>
    </xf>
    <xf numFmtId="0" fontId="80" fillId="0" borderId="1" xfId="0" applyFont="1" applyBorder="1" applyAlignment="1">
      <alignment horizontal="left" vertical="distributed"/>
    </xf>
    <xf numFmtId="0" fontId="80" fillId="40" borderId="1" xfId="0" applyFont="1" applyFill="1" applyBorder="1" applyAlignment="1">
      <alignment horizontal="left" vertical="distributed"/>
    </xf>
    <xf numFmtId="0" fontId="0" fillId="0" borderId="0" xfId="0" applyAlignment="1">
      <alignment horizontal="left"/>
    </xf>
    <xf numFmtId="0" fontId="80" fillId="40" borderId="1" xfId="0" applyFont="1" applyFill="1" applyBorder="1" applyAlignment="1">
      <alignment horizontal="left"/>
    </xf>
    <xf numFmtId="17" fontId="80" fillId="40" borderId="1" xfId="0" applyNumberFormat="1" applyFont="1" applyFill="1" applyBorder="1" applyAlignment="1">
      <alignment horizontal="left"/>
    </xf>
    <xf numFmtId="49" fontId="83" fillId="49" borderId="67" xfId="0" applyNumberFormat="1" applyFont="1" applyFill="1" applyBorder="1" applyAlignment="1">
      <alignment horizontal="left"/>
    </xf>
    <xf numFmtId="49" fontId="83" fillId="48" borderId="67" xfId="0" applyNumberFormat="1" applyFont="1" applyFill="1" applyBorder="1" applyAlignment="1">
      <alignment horizontal="left"/>
    </xf>
    <xf numFmtId="49" fontId="83" fillId="50" borderId="67" xfId="0" applyNumberFormat="1" applyFont="1" applyFill="1" applyBorder="1" applyAlignment="1">
      <alignment horizontal="left"/>
    </xf>
    <xf numFmtId="49" fontId="83" fillId="51" borderId="67" xfId="0" applyNumberFormat="1" applyFont="1" applyFill="1" applyBorder="1" applyAlignment="1">
      <alignment horizontal="left"/>
    </xf>
    <xf numFmtId="49" fontId="83" fillId="52" borderId="67" xfId="0" applyNumberFormat="1" applyFont="1" applyFill="1" applyBorder="1" applyAlignment="1">
      <alignment horizontal="left"/>
    </xf>
    <xf numFmtId="0" fontId="6" fillId="0" borderId="4" xfId="0" applyFont="1" applyBorder="1"/>
    <xf numFmtId="49" fontId="84" fillId="0" borderId="4" xfId="0" applyNumberFormat="1" applyFont="1" applyBorder="1" applyAlignment="1">
      <alignment horizontal="left"/>
    </xf>
    <xf numFmtId="49" fontId="84" fillId="0" borderId="0" xfId="0" applyNumberFormat="1" applyFont="1" applyAlignment="1">
      <alignment horizontal="left"/>
    </xf>
    <xf numFmtId="0" fontId="6" fillId="0" borderId="0" xfId="0" applyFont="1"/>
    <xf numFmtId="0" fontId="3" fillId="0" borderId="8" xfId="0" applyFont="1" applyBorder="1"/>
    <xf numFmtId="168" fontId="84" fillId="0" borderId="8" xfId="0" applyNumberFormat="1" applyFont="1" applyBorder="1" applyAlignment="1">
      <alignment horizontal="right"/>
    </xf>
    <xf numFmtId="49" fontId="83" fillId="49" borderId="68" xfId="0" applyNumberFormat="1" applyFont="1" applyFill="1" applyBorder="1" applyAlignment="1">
      <alignment horizontal="left"/>
    </xf>
    <xf numFmtId="168" fontId="83" fillId="49" borderId="69" xfId="0" applyNumberFormat="1" applyFont="1" applyFill="1" applyBorder="1" applyAlignment="1">
      <alignment horizontal="right"/>
    </xf>
    <xf numFmtId="49" fontId="3" fillId="0" borderId="68" xfId="0" applyNumberFormat="1" applyFont="1" applyBorder="1" applyAlignment="1">
      <alignment horizontal="left"/>
    </xf>
    <xf numFmtId="168" fontId="83" fillId="0" borderId="69" xfId="0" applyNumberFormat="1" applyFont="1" applyBorder="1" applyAlignment="1">
      <alignment horizontal="right"/>
    </xf>
    <xf numFmtId="49" fontId="83" fillId="48" borderId="68" xfId="0" applyNumberFormat="1" applyFont="1" applyFill="1" applyBorder="1" applyAlignment="1">
      <alignment horizontal="left"/>
    </xf>
    <xf numFmtId="168" fontId="83" fillId="48" borderId="69" xfId="0" applyNumberFormat="1" applyFont="1" applyFill="1" applyBorder="1" applyAlignment="1">
      <alignment horizontal="right"/>
    </xf>
    <xf numFmtId="49" fontId="83" fillId="50" borderId="68" xfId="0" applyNumberFormat="1" applyFont="1" applyFill="1" applyBorder="1" applyAlignment="1">
      <alignment horizontal="left"/>
    </xf>
    <xf numFmtId="168" fontId="83" fillId="50" borderId="69" xfId="0" applyNumberFormat="1" applyFont="1" applyFill="1" applyBorder="1" applyAlignment="1">
      <alignment horizontal="right"/>
    </xf>
    <xf numFmtId="49" fontId="83" fillId="51" borderId="68" xfId="0" applyNumberFormat="1" applyFont="1" applyFill="1" applyBorder="1" applyAlignment="1">
      <alignment horizontal="left"/>
    </xf>
    <xf numFmtId="168" fontId="83" fillId="51" borderId="69" xfId="0" applyNumberFormat="1" applyFont="1" applyFill="1" applyBorder="1" applyAlignment="1">
      <alignment horizontal="right"/>
    </xf>
    <xf numFmtId="49" fontId="83" fillId="52" borderId="68" xfId="0" applyNumberFormat="1" applyFont="1" applyFill="1" applyBorder="1" applyAlignment="1">
      <alignment horizontal="left"/>
    </xf>
    <xf numFmtId="168" fontId="83" fillId="52" borderId="69" xfId="0" applyNumberFormat="1" applyFont="1" applyFill="1" applyBorder="1" applyAlignment="1">
      <alignment horizontal="right"/>
    </xf>
    <xf numFmtId="0" fontId="6" fillId="0" borderId="13" xfId="0" applyFont="1" applyBorder="1"/>
    <xf numFmtId="41" fontId="3" fillId="0" borderId="5" xfId="0" applyNumberFormat="1" applyFont="1" applyBorder="1"/>
    <xf numFmtId="0" fontId="3" fillId="0" borderId="5" xfId="0" applyFont="1" applyBorder="1"/>
    <xf numFmtId="0" fontId="3" fillId="0" borderId="15" xfId="0" applyFont="1" applyBorder="1"/>
    <xf numFmtId="0" fontId="0" fillId="40" borderId="0" xfId="0" applyFill="1"/>
    <xf numFmtId="165" fontId="80" fillId="37" borderId="1" xfId="34" applyNumberFormat="1" applyFont="1" applyFill="1" applyBorder="1" applyAlignment="1">
      <alignment horizontal="center" vertical="justify"/>
    </xf>
    <xf numFmtId="165" fontId="80" fillId="46" borderId="1" xfId="35" applyFont="1" applyFill="1" applyBorder="1"/>
    <xf numFmtId="165" fontId="80" fillId="35" borderId="1" xfId="35" applyFont="1" applyFill="1" applyBorder="1"/>
    <xf numFmtId="49" fontId="83" fillId="0" borderId="70" xfId="0" applyNumberFormat="1" applyFont="1" applyBorder="1" applyAlignment="1">
      <alignment horizontal="left"/>
    </xf>
    <xf numFmtId="49" fontId="83" fillId="0" borderId="71" xfId="0" applyNumberFormat="1" applyFont="1" applyBorder="1" applyAlignment="1">
      <alignment horizontal="left"/>
    </xf>
    <xf numFmtId="168" fontId="83" fillId="0" borderId="72" xfId="0" applyNumberFormat="1" applyFont="1" applyBorder="1" applyAlignment="1">
      <alignment horizontal="right"/>
    </xf>
    <xf numFmtId="49" fontId="83" fillId="53" borderId="68" xfId="0" applyNumberFormat="1" applyFont="1" applyFill="1" applyBorder="1" applyAlignment="1">
      <alignment horizontal="left"/>
    </xf>
    <xf numFmtId="49" fontId="83" fillId="54" borderId="68" xfId="0" applyNumberFormat="1" applyFont="1" applyFill="1" applyBorder="1" applyAlignment="1">
      <alignment horizontal="left"/>
    </xf>
    <xf numFmtId="0" fontId="6" fillId="0" borderId="1" xfId="0" applyFont="1" applyBorder="1"/>
    <xf numFmtId="41" fontId="3" fillId="0" borderId="1" xfId="0" applyNumberFormat="1" applyFont="1" applyBorder="1"/>
    <xf numFmtId="168" fontId="83" fillId="0" borderId="1" xfId="0" applyNumberFormat="1" applyFont="1" applyBorder="1" applyAlignment="1">
      <alignment horizontal="right"/>
    </xf>
    <xf numFmtId="4" fontId="25" fillId="0" borderId="1" xfId="0" applyNumberFormat="1" applyFont="1" applyBorder="1"/>
    <xf numFmtId="0" fontId="9" fillId="40" borderId="3" xfId="0" applyFont="1" applyFill="1" applyBorder="1"/>
    <xf numFmtId="0" fontId="9" fillId="40" borderId="12" xfId="0" applyFont="1" applyFill="1" applyBorder="1"/>
    <xf numFmtId="0" fontId="9" fillId="40" borderId="16" xfId="0" applyFont="1" applyFill="1" applyBorder="1"/>
    <xf numFmtId="0" fontId="9" fillId="40" borderId="17" xfId="0" applyFont="1" applyFill="1" applyBorder="1"/>
    <xf numFmtId="3" fontId="9" fillId="40" borderId="18" xfId="0" applyNumberFormat="1" applyFont="1" applyFill="1" applyBorder="1" applyAlignment="1">
      <alignment horizontal="right"/>
    </xf>
    <xf numFmtId="0" fontId="9" fillId="40" borderId="0" xfId="0" applyFont="1" applyFill="1"/>
    <xf numFmtId="3" fontId="9" fillId="40" borderId="8" xfId="0" applyNumberFormat="1" applyFont="1" applyFill="1" applyBorder="1" applyAlignment="1">
      <alignment horizontal="right"/>
    </xf>
    <xf numFmtId="0" fontId="9" fillId="40" borderId="13" xfId="0" applyFont="1" applyFill="1" applyBorder="1"/>
    <xf numFmtId="0" fontId="9" fillId="40" borderId="5" xfId="0" applyFont="1" applyFill="1" applyBorder="1"/>
    <xf numFmtId="0" fontId="9" fillId="40" borderId="19" xfId="0" applyFont="1" applyFill="1" applyBorder="1"/>
    <xf numFmtId="0" fontId="9" fillId="40" borderId="20" xfId="0" applyFont="1" applyFill="1" applyBorder="1"/>
    <xf numFmtId="3" fontId="9" fillId="40" borderId="15" xfId="0" applyNumberFormat="1" applyFont="1" applyFill="1" applyBorder="1" applyAlignment="1">
      <alignment horizontal="right"/>
    </xf>
    <xf numFmtId="0" fontId="9" fillId="40" borderId="21" xfId="0" applyFont="1" applyFill="1" applyBorder="1"/>
    <xf numFmtId="0" fontId="9" fillId="40" borderId="6" xfId="0" applyFont="1" applyFill="1" applyBorder="1"/>
    <xf numFmtId="40" fontId="9" fillId="40" borderId="9" xfId="0" applyNumberFormat="1" applyFont="1" applyFill="1" applyBorder="1"/>
    <xf numFmtId="40" fontId="9" fillId="40" borderId="1" xfId="0" applyNumberFormat="1" applyFont="1" applyFill="1" applyBorder="1"/>
    <xf numFmtId="0" fontId="27" fillId="40" borderId="1" xfId="48" applyFont="1" applyFill="1" applyBorder="1" applyAlignment="1">
      <alignment wrapText="1"/>
    </xf>
    <xf numFmtId="3" fontId="9" fillId="40" borderId="1" xfId="0" applyNumberFormat="1" applyFont="1" applyFill="1" applyBorder="1" applyAlignment="1">
      <alignment horizontal="right"/>
    </xf>
    <xf numFmtId="0" fontId="9" fillId="0" borderId="1" xfId="0" applyFont="1" applyBorder="1"/>
    <xf numFmtId="0" fontId="9" fillId="0" borderId="1" xfId="0" applyFont="1" applyBorder="1" applyAlignment="1">
      <alignment horizontal="right"/>
    </xf>
    <xf numFmtId="38" fontId="9" fillId="40" borderId="1" xfId="0" applyNumberFormat="1" applyFont="1" applyFill="1" applyBorder="1"/>
    <xf numFmtId="0" fontId="9" fillId="40" borderId="1" xfId="0" applyFont="1" applyFill="1" applyBorder="1"/>
    <xf numFmtId="49" fontId="9" fillId="40" borderId="1" xfId="0" applyNumberFormat="1" applyFont="1" applyFill="1" applyBorder="1" applyAlignment="1">
      <alignment horizontal="center"/>
    </xf>
    <xf numFmtId="3" fontId="9" fillId="40" borderId="1" xfId="40" applyNumberFormat="1" applyFont="1" applyFill="1" applyBorder="1" applyAlignment="1" applyProtection="1">
      <alignment horizontal="right"/>
      <protection locked="0"/>
    </xf>
    <xf numFmtId="40" fontId="9" fillId="40" borderId="1" xfId="0" applyNumberFormat="1" applyFont="1" applyFill="1" applyBorder="1" applyAlignment="1">
      <alignment horizontal="left"/>
    </xf>
    <xf numFmtId="17" fontId="9" fillId="40" borderId="1" xfId="0" applyNumberFormat="1" applyFont="1" applyFill="1" applyBorder="1"/>
    <xf numFmtId="49" fontId="9" fillId="40" borderId="1" xfId="0" applyNumberFormat="1" applyFont="1" applyFill="1" applyBorder="1" applyAlignment="1">
      <alignment horizontal="left"/>
    </xf>
    <xf numFmtId="174" fontId="9" fillId="40" borderId="0" xfId="0" applyNumberFormat="1" applyFont="1" applyFill="1"/>
    <xf numFmtId="169" fontId="85" fillId="37" borderId="67" xfId="0" applyNumberFormat="1" applyFont="1" applyFill="1" applyBorder="1" applyAlignment="1">
      <alignment horizontal="right"/>
    </xf>
    <xf numFmtId="49" fontId="9" fillId="40" borderId="1" xfId="0" applyNumberFormat="1" applyFont="1" applyFill="1" applyBorder="1"/>
    <xf numFmtId="169" fontId="9" fillId="40" borderId="1" xfId="0" applyNumberFormat="1" applyFont="1" applyFill="1" applyBorder="1" applyAlignment="1">
      <alignment horizontal="right"/>
    </xf>
    <xf numFmtId="0" fontId="9" fillId="40" borderId="1" xfId="0" applyFont="1" applyFill="1" applyBorder="1" applyAlignment="1">
      <alignment horizontal="right"/>
    </xf>
    <xf numFmtId="175" fontId="9" fillId="40" borderId="1" xfId="0" applyNumberFormat="1" applyFont="1" applyFill="1" applyBorder="1"/>
    <xf numFmtId="0" fontId="9" fillId="40" borderId="1" xfId="0" applyFont="1" applyFill="1" applyBorder="1" applyAlignment="1">
      <alignment wrapText="1"/>
    </xf>
    <xf numFmtId="176" fontId="9" fillId="40" borderId="1" xfId="0" applyNumberFormat="1" applyFont="1" applyFill="1" applyBorder="1"/>
    <xf numFmtId="3" fontId="9" fillId="0" borderId="1" xfId="0" applyNumberFormat="1" applyFont="1" applyBorder="1"/>
    <xf numFmtId="0" fontId="9" fillId="40" borderId="9" xfId="0" applyFont="1" applyFill="1" applyBorder="1"/>
    <xf numFmtId="0" fontId="9" fillId="0" borderId="0" xfId="0" applyFont="1"/>
    <xf numFmtId="0" fontId="9" fillId="0" borderId="12" xfId="0" applyFont="1" applyBorder="1"/>
    <xf numFmtId="0" fontId="9" fillId="0" borderId="12" xfId="0" applyFont="1" applyBorder="1" applyAlignment="1">
      <alignment horizontal="left"/>
    </xf>
    <xf numFmtId="0" fontId="9" fillId="0" borderId="17" xfId="0" applyFont="1" applyBorder="1"/>
    <xf numFmtId="0" fontId="9" fillId="0" borderId="0" xfId="0" applyFont="1" applyAlignment="1">
      <alignment horizontal="left"/>
    </xf>
    <xf numFmtId="0" fontId="9" fillId="0" borderId="22" xfId="0" applyFont="1" applyBorder="1"/>
    <xf numFmtId="3" fontId="9" fillId="0" borderId="8" xfId="0" applyNumberFormat="1" applyFont="1" applyBorder="1" applyAlignment="1">
      <alignment horizontal="right"/>
    </xf>
    <xf numFmtId="0" fontId="9" fillId="0" borderId="5" xfId="0" applyFont="1" applyBorder="1"/>
    <xf numFmtId="0" fontId="9" fillId="0" borderId="20" xfId="0" applyFont="1" applyBorder="1"/>
    <xf numFmtId="3" fontId="9" fillId="0" borderId="15" xfId="0" applyNumberFormat="1" applyFont="1" applyBorder="1" applyAlignment="1">
      <alignment horizontal="right"/>
    </xf>
    <xf numFmtId="0" fontId="9" fillId="0" borderId="23" xfId="0" applyFont="1" applyBorder="1"/>
    <xf numFmtId="0" fontId="9" fillId="0" borderId="24" xfId="0" applyFont="1" applyBorder="1"/>
    <xf numFmtId="0" fontId="9" fillId="0" borderId="25" xfId="0" applyFont="1" applyBorder="1"/>
    <xf numFmtId="0" fontId="9" fillId="0" borderId="26" xfId="0" applyFont="1" applyBorder="1"/>
    <xf numFmtId="0" fontId="9" fillId="0" borderId="27" xfId="0" applyFont="1" applyBorder="1"/>
    <xf numFmtId="3" fontId="9" fillId="0" borderId="28" xfId="0" applyNumberFormat="1" applyFont="1" applyBorder="1" applyAlignment="1">
      <alignment horizontal="right"/>
    </xf>
    <xf numFmtId="0" fontId="9" fillId="0" borderId="29" xfId="0" applyFont="1" applyBorder="1"/>
    <xf numFmtId="0" fontId="9" fillId="0" borderId="30" xfId="0" applyFont="1" applyBorder="1"/>
    <xf numFmtId="0" fontId="9" fillId="0" borderId="31" xfId="0" applyFont="1" applyBorder="1"/>
    <xf numFmtId="0" fontId="9" fillId="0" borderId="32" xfId="0" applyFont="1" applyBorder="1"/>
    <xf numFmtId="3" fontId="9" fillId="0" borderId="33" xfId="0" applyNumberFormat="1" applyFont="1" applyBorder="1" applyAlignment="1">
      <alignment horizontal="right"/>
    </xf>
    <xf numFmtId="40" fontId="9" fillId="0" borderId="34" xfId="0" applyNumberFormat="1" applyFont="1" applyBorder="1"/>
    <xf numFmtId="40" fontId="9" fillId="0" borderId="35" xfId="0" applyNumberFormat="1" applyFont="1" applyBorder="1"/>
    <xf numFmtId="40" fontId="9" fillId="0" borderId="36" xfId="0" applyNumberFormat="1" applyFont="1" applyBorder="1"/>
    <xf numFmtId="40" fontId="9" fillId="0" borderId="37" xfId="0" applyNumberFormat="1" applyFont="1" applyBorder="1"/>
    <xf numFmtId="40" fontId="9" fillId="0" borderId="3" xfId="0" applyNumberFormat="1" applyFont="1" applyBorder="1"/>
    <xf numFmtId="40" fontId="9" fillId="0" borderId="12" xfId="0" applyNumberFormat="1" applyFont="1" applyBorder="1"/>
    <xf numFmtId="0" fontId="9" fillId="0" borderId="1" xfId="0" applyFont="1" applyBorder="1" applyAlignment="1">
      <alignment horizontal="center"/>
    </xf>
    <xf numFmtId="3" fontId="9" fillId="0" borderId="1" xfId="0" applyNumberFormat="1" applyFont="1" applyBorder="1" applyAlignment="1">
      <alignment horizontal="right"/>
    </xf>
    <xf numFmtId="40" fontId="9" fillId="0" borderId="38" xfId="0" applyNumberFormat="1" applyFont="1" applyBorder="1"/>
    <xf numFmtId="40" fontId="9" fillId="0" borderId="10" xfId="0" applyNumberFormat="1" applyFont="1" applyBorder="1"/>
    <xf numFmtId="177" fontId="9" fillId="40" borderId="1" xfId="0" applyNumberFormat="1" applyFont="1" applyFill="1" applyBorder="1"/>
    <xf numFmtId="40" fontId="9" fillId="0" borderId="13" xfId="0" applyNumberFormat="1" applyFont="1" applyBorder="1"/>
    <xf numFmtId="40" fontId="9" fillId="0" borderId="5" xfId="0" applyNumberFormat="1" applyFont="1" applyBorder="1"/>
    <xf numFmtId="40" fontId="9" fillId="0" borderId="39" xfId="0" applyNumberFormat="1" applyFont="1" applyBorder="1"/>
    <xf numFmtId="40" fontId="9" fillId="0" borderId="2" xfId="0" applyNumberFormat="1" applyFont="1" applyBorder="1"/>
    <xf numFmtId="38" fontId="9" fillId="0" borderId="39" xfId="0" applyNumberFormat="1" applyFont="1" applyBorder="1"/>
    <xf numFmtId="3" fontId="9" fillId="40" borderId="1" xfId="0" applyNumberFormat="1" applyFont="1" applyFill="1" applyBorder="1" applyAlignment="1">
      <alignment horizontal="right" wrapText="1"/>
    </xf>
    <xf numFmtId="177" fontId="9" fillId="0" borderId="1" xfId="0" applyNumberFormat="1" applyFont="1" applyBorder="1"/>
    <xf numFmtId="40" fontId="9" fillId="0" borderId="24" xfId="0" applyNumberFormat="1" applyFont="1" applyBorder="1" applyAlignment="1">
      <alignment horizontal="left"/>
    </xf>
    <xf numFmtId="0" fontId="9" fillId="3" borderId="13" xfId="0" applyFont="1" applyFill="1" applyBorder="1" applyAlignment="1">
      <alignment horizontal="center"/>
    </xf>
    <xf numFmtId="0" fontId="9" fillId="3" borderId="5" xfId="0" applyFont="1" applyFill="1" applyBorder="1" applyAlignment="1">
      <alignment horizontal="center"/>
    </xf>
    <xf numFmtId="0" fontId="9" fillId="0" borderId="39" xfId="0" applyFont="1" applyBorder="1" applyAlignment="1">
      <alignment horizontal="center"/>
    </xf>
    <xf numFmtId="17" fontId="9" fillId="0" borderId="1" xfId="0" applyNumberFormat="1" applyFont="1" applyBorder="1"/>
    <xf numFmtId="0" fontId="9" fillId="0" borderId="39" xfId="0" applyFont="1" applyBorder="1" applyAlignment="1">
      <alignment wrapText="1"/>
    </xf>
    <xf numFmtId="0" fontId="9" fillId="0" borderId="1" xfId="0" applyFont="1" applyBorder="1" applyAlignment="1">
      <alignment wrapText="1"/>
    </xf>
    <xf numFmtId="3" fontId="9" fillId="3" borderId="1" xfId="0" applyNumberFormat="1" applyFont="1" applyFill="1" applyBorder="1" applyAlignment="1">
      <alignment horizontal="right"/>
    </xf>
    <xf numFmtId="0" fontId="9" fillId="3" borderId="1" xfId="0" applyFont="1" applyFill="1" applyBorder="1" applyAlignment="1">
      <alignment horizontal="center"/>
    </xf>
    <xf numFmtId="3" fontId="9" fillId="0" borderId="25" xfId="0" applyNumberFormat="1" applyFont="1" applyBorder="1"/>
    <xf numFmtId="0" fontId="9" fillId="0" borderId="24" xfId="0" applyFont="1" applyBorder="1" applyAlignment="1">
      <alignment horizontal="right"/>
    </xf>
    <xf numFmtId="0" fontId="9" fillId="0" borderId="9" xfId="0" applyFont="1" applyBorder="1"/>
    <xf numFmtId="0" fontId="9" fillId="0" borderId="26" xfId="0" applyFont="1" applyBorder="1" applyAlignment="1">
      <alignment horizontal="right"/>
    </xf>
    <xf numFmtId="3" fontId="9" fillId="2" borderId="40" xfId="0" applyNumberFormat="1" applyFont="1" applyFill="1" applyBorder="1" applyAlignment="1">
      <alignment horizontal="right"/>
    </xf>
    <xf numFmtId="0" fontId="9" fillId="0" borderId="41" xfId="0" applyFont="1" applyBorder="1" applyAlignment="1">
      <alignment horizontal="right"/>
    </xf>
    <xf numFmtId="175" fontId="9" fillId="2" borderId="0" xfId="0" applyNumberFormat="1" applyFont="1" applyFill="1"/>
    <xf numFmtId="0" fontId="9" fillId="0" borderId="31" xfId="0" applyFont="1" applyBorder="1" applyAlignment="1">
      <alignment horizontal="right"/>
    </xf>
    <xf numFmtId="3" fontId="9" fillId="2" borderId="42" xfId="0" applyNumberFormat="1" applyFont="1" applyFill="1" applyBorder="1" applyAlignment="1">
      <alignment horizontal="right"/>
    </xf>
    <xf numFmtId="0" fontId="9" fillId="3" borderId="3" xfId="0" applyFont="1" applyFill="1" applyBorder="1"/>
    <xf numFmtId="0" fontId="9" fillId="3" borderId="12" xfId="0" applyFont="1" applyFill="1" applyBorder="1"/>
    <xf numFmtId="0" fontId="9" fillId="3" borderId="16" xfId="0" applyFont="1" applyFill="1" applyBorder="1"/>
    <xf numFmtId="0" fontId="9" fillId="3" borderId="17" xfId="0" applyFont="1" applyFill="1" applyBorder="1"/>
    <xf numFmtId="3" fontId="9" fillId="3" borderId="43" xfId="0" applyNumberFormat="1" applyFont="1" applyFill="1" applyBorder="1" applyAlignment="1">
      <alignment horizontal="right"/>
    </xf>
    <xf numFmtId="0" fontId="9" fillId="3" borderId="13" xfId="0" applyFont="1" applyFill="1" applyBorder="1"/>
    <xf numFmtId="0" fontId="9" fillId="3" borderId="5" xfId="0" applyFont="1" applyFill="1" applyBorder="1"/>
    <xf numFmtId="0" fontId="9" fillId="3" borderId="19" xfId="0" applyFont="1" applyFill="1" applyBorder="1"/>
    <xf numFmtId="0" fontId="9" fillId="3" borderId="20" xfId="0" applyFont="1" applyFill="1" applyBorder="1"/>
    <xf numFmtId="3" fontId="9" fillId="3" borderId="44" xfId="0" applyNumberFormat="1" applyFont="1" applyFill="1" applyBorder="1" applyAlignment="1">
      <alignment horizontal="right"/>
    </xf>
    <xf numFmtId="4" fontId="3" fillId="0" borderId="8" xfId="0" applyNumberFormat="1" applyFont="1" applyBorder="1"/>
    <xf numFmtId="0" fontId="83" fillId="0" borderId="67" xfId="0" applyFont="1" applyBorder="1" applyAlignment="1">
      <alignment horizontal="left"/>
    </xf>
    <xf numFmtId="0" fontId="2" fillId="0" borderId="1" xfId="0" applyFont="1" applyBorder="1"/>
    <xf numFmtId="49" fontId="86" fillId="37" borderId="1" xfId="0" applyNumberFormat="1" applyFont="1" applyFill="1" applyBorder="1" applyAlignment="1">
      <alignment horizontal="left"/>
    </xf>
    <xf numFmtId="168" fontId="86" fillId="37" borderId="1" xfId="0" applyNumberFormat="1" applyFont="1" applyFill="1" applyBorder="1" applyAlignment="1">
      <alignment horizontal="right"/>
    </xf>
    <xf numFmtId="168" fontId="86" fillId="37" borderId="39" xfId="0" applyNumberFormat="1" applyFont="1" applyFill="1" applyBorder="1" applyAlignment="1">
      <alignment horizontal="right"/>
    </xf>
    <xf numFmtId="0" fontId="3" fillId="0" borderId="14" xfId="0" applyFont="1" applyBorder="1"/>
    <xf numFmtId="0" fontId="3" fillId="0" borderId="45" xfId="0" applyFont="1" applyBorder="1"/>
    <xf numFmtId="0" fontId="3" fillId="0" borderId="9" xfId="0" applyFont="1" applyBorder="1"/>
    <xf numFmtId="0" fontId="87" fillId="36" borderId="1" xfId="0" applyFont="1" applyFill="1" applyBorder="1" applyAlignment="1">
      <alignment vertical="center"/>
    </xf>
    <xf numFmtId="49" fontId="83" fillId="0" borderId="1" xfId="0" applyNumberFormat="1" applyFont="1" applyBorder="1" applyAlignment="1">
      <alignment horizontal="left"/>
    </xf>
    <xf numFmtId="0" fontId="83" fillId="0" borderId="1" xfId="0" applyFont="1" applyBorder="1" applyAlignment="1">
      <alignment horizontal="left"/>
    </xf>
    <xf numFmtId="49" fontId="84" fillId="37" borderId="73" xfId="0" applyNumberFormat="1" applyFont="1" applyFill="1" applyBorder="1" applyAlignment="1">
      <alignment horizontal="left"/>
    </xf>
    <xf numFmtId="49" fontId="84" fillId="37" borderId="74" xfId="0" applyNumberFormat="1" applyFont="1" applyFill="1" applyBorder="1" applyAlignment="1">
      <alignment horizontal="left"/>
    </xf>
    <xf numFmtId="168" fontId="83" fillId="0" borderId="75" xfId="0" applyNumberFormat="1" applyFont="1" applyBorder="1" applyAlignment="1">
      <alignment horizontal="right"/>
    </xf>
    <xf numFmtId="49" fontId="83" fillId="0" borderId="76" xfId="0" applyNumberFormat="1" applyFont="1" applyBorder="1" applyAlignment="1">
      <alignment horizontal="left"/>
    </xf>
    <xf numFmtId="49" fontId="83" fillId="0" borderId="77" xfId="0" applyNumberFormat="1" applyFont="1" applyBorder="1" applyAlignment="1">
      <alignment horizontal="left"/>
    </xf>
    <xf numFmtId="170" fontId="88" fillId="46" borderId="1" xfId="0" applyNumberFormat="1" applyFont="1" applyFill="1" applyBorder="1" applyAlignment="1">
      <alignment horizontal="center" vertical="justify"/>
    </xf>
    <xf numFmtId="170" fontId="88" fillId="47" borderId="1" xfId="0" applyNumberFormat="1" applyFont="1" applyFill="1" applyBorder="1" applyAlignment="1">
      <alignment horizontal="center" vertical="justify"/>
    </xf>
    <xf numFmtId="0" fontId="30" fillId="0" borderId="4" xfId="0" applyFont="1" applyBorder="1"/>
    <xf numFmtId="41" fontId="25" fillId="0" borderId="0" xfId="0" applyNumberFormat="1" applyFont="1"/>
    <xf numFmtId="0" fontId="25" fillId="0" borderId="45" xfId="0" applyFont="1" applyBorder="1"/>
    <xf numFmtId="0" fontId="30" fillId="0" borderId="13" xfId="0" applyFont="1" applyBorder="1"/>
    <xf numFmtId="41" fontId="25" fillId="0" borderId="5" xfId="0" applyNumberFormat="1" applyFont="1" applyBorder="1"/>
    <xf numFmtId="0" fontId="25" fillId="0" borderId="9" xfId="0" applyFont="1" applyBorder="1"/>
    <xf numFmtId="0" fontId="11" fillId="0" borderId="1" xfId="0" applyFont="1" applyBorder="1"/>
    <xf numFmtId="4" fontId="31" fillId="0" borderId="1" xfId="0" applyNumberFormat="1" applyFont="1" applyBorder="1"/>
    <xf numFmtId="0" fontId="3" fillId="40" borderId="0" xfId="0" applyFont="1" applyFill="1"/>
    <xf numFmtId="0" fontId="0" fillId="40" borderId="3" xfId="0" applyFill="1" applyBorder="1"/>
    <xf numFmtId="0" fontId="0" fillId="40" borderId="12" xfId="0" applyFill="1" applyBorder="1"/>
    <xf numFmtId="41" fontId="0" fillId="40" borderId="12" xfId="0" applyNumberFormat="1" applyFill="1" applyBorder="1"/>
    <xf numFmtId="3" fontId="0" fillId="40" borderId="18" xfId="0" applyNumberFormat="1" applyFill="1" applyBorder="1"/>
    <xf numFmtId="0" fontId="68" fillId="40" borderId="4" xfId="0" applyFont="1" applyFill="1" applyBorder="1" applyAlignment="1">
      <alignment horizontal="right"/>
    </xf>
    <xf numFmtId="0" fontId="68" fillId="40" borderId="0" xfId="0" applyFont="1" applyFill="1" applyAlignment="1">
      <alignment horizontal="right"/>
    </xf>
    <xf numFmtId="41" fontId="68" fillId="40" borderId="0" xfId="0" applyNumberFormat="1" applyFont="1" applyFill="1"/>
    <xf numFmtId="3" fontId="70" fillId="40" borderId="8" xfId="0" applyNumberFormat="1" applyFont="1" applyFill="1" applyBorder="1"/>
    <xf numFmtId="0" fontId="68" fillId="40" borderId="4" xfId="0" applyFont="1" applyFill="1" applyBorder="1"/>
    <xf numFmtId="0" fontId="68" fillId="40" borderId="0" xfId="0" applyFont="1" applyFill="1"/>
    <xf numFmtId="41" fontId="69" fillId="40" borderId="0" xfId="0" applyNumberFormat="1" applyFont="1" applyFill="1"/>
    <xf numFmtId="3" fontId="69" fillId="40" borderId="8" xfId="0" applyNumberFormat="1" applyFont="1" applyFill="1" applyBorder="1"/>
    <xf numFmtId="0" fontId="3" fillId="40" borderId="4" xfId="0" applyFont="1" applyFill="1" applyBorder="1"/>
    <xf numFmtId="41" fontId="2" fillId="40" borderId="0" xfId="0" applyNumberFormat="1" applyFont="1" applyFill="1"/>
    <xf numFmtId="3" fontId="3" fillId="40" borderId="8" xfId="0" applyNumberFormat="1" applyFont="1" applyFill="1" applyBorder="1"/>
    <xf numFmtId="0" fontId="5" fillId="40" borderId="4" xfId="0" applyFont="1" applyFill="1" applyBorder="1"/>
    <xf numFmtId="0" fontId="5" fillId="40" borderId="0" xfId="0" applyFont="1" applyFill="1"/>
    <xf numFmtId="41" fontId="16" fillId="40" borderId="0" xfId="0" applyNumberFormat="1" applyFont="1" applyFill="1"/>
    <xf numFmtId="3" fontId="5" fillId="40" borderId="8" xfId="0" applyNumberFormat="1" applyFont="1" applyFill="1" applyBorder="1"/>
    <xf numFmtId="41" fontId="3" fillId="40" borderId="0" xfId="0" applyNumberFormat="1" applyFont="1" applyFill="1"/>
    <xf numFmtId="3" fontId="0" fillId="40" borderId="8" xfId="0" applyNumberFormat="1" applyFill="1" applyBorder="1"/>
    <xf numFmtId="3" fontId="3" fillId="40" borderId="0" xfId="0" applyNumberFormat="1" applyFont="1" applyFill="1"/>
    <xf numFmtId="164" fontId="3" fillId="40" borderId="0" xfId="0" applyNumberFormat="1" applyFont="1" applyFill="1"/>
    <xf numFmtId="0" fontId="89" fillId="40" borderId="0" xfId="0" applyFont="1" applyFill="1"/>
    <xf numFmtId="3" fontId="70" fillId="40" borderId="46" xfId="0" applyNumberFormat="1" applyFont="1" applyFill="1" applyBorder="1"/>
    <xf numFmtId="0" fontId="0" fillId="40" borderId="13" xfId="0" applyFill="1" applyBorder="1"/>
    <xf numFmtId="0" fontId="0" fillId="40" borderId="5" xfId="0" applyFill="1" applyBorder="1"/>
    <xf numFmtId="41" fontId="0" fillId="40" borderId="5" xfId="0" applyNumberFormat="1" applyFill="1" applyBorder="1"/>
    <xf numFmtId="3" fontId="2" fillId="40" borderId="15" xfId="0" applyNumberFormat="1" applyFont="1" applyFill="1" applyBorder="1"/>
    <xf numFmtId="3" fontId="0" fillId="40" borderId="1" xfId="0" applyNumberFormat="1" applyFill="1" applyBorder="1"/>
    <xf numFmtId="49" fontId="90" fillId="55" borderId="67" xfId="0" applyNumberFormat="1" applyFont="1" applyFill="1" applyBorder="1" applyAlignment="1">
      <alignment horizontal="left"/>
    </xf>
    <xf numFmtId="49" fontId="83" fillId="0" borderId="78" xfId="0" applyNumberFormat="1" applyFont="1" applyBorder="1" applyAlignment="1">
      <alignment horizontal="left"/>
    </xf>
    <xf numFmtId="49" fontId="83" fillId="0" borderId="79" xfId="0" applyNumberFormat="1" applyFont="1" applyBorder="1" applyAlignment="1">
      <alignment horizontal="left"/>
    </xf>
    <xf numFmtId="0" fontId="83" fillId="0" borderId="79" xfId="0" applyFont="1" applyBorder="1" applyAlignment="1">
      <alignment horizontal="left"/>
    </xf>
    <xf numFmtId="49" fontId="91" fillId="0" borderId="80" xfId="0" applyNumberFormat="1" applyFont="1" applyBorder="1" applyAlignment="1">
      <alignment horizontal="left"/>
    </xf>
    <xf numFmtId="4" fontId="0" fillId="0" borderId="0" xfId="0" applyNumberFormat="1"/>
    <xf numFmtId="0" fontId="92" fillId="0" borderId="1" xfId="0" applyFont="1" applyBorder="1"/>
    <xf numFmtId="0" fontId="92" fillId="0" borderId="1" xfId="0" applyFont="1" applyBorder="1" applyAlignment="1">
      <alignment horizontal="right"/>
    </xf>
    <xf numFmtId="3" fontId="9" fillId="0" borderId="18" xfId="0" applyNumberFormat="1" applyFont="1" applyBorder="1" applyAlignment="1">
      <alignment horizontal="right"/>
    </xf>
    <xf numFmtId="168" fontId="91" fillId="40" borderId="8" xfId="0" applyNumberFormat="1" applyFont="1" applyFill="1" applyBorder="1" applyAlignment="1">
      <alignment horizontal="right"/>
    </xf>
    <xf numFmtId="0" fontId="68" fillId="40" borderId="0" xfId="0" applyFont="1" applyFill="1" applyAlignment="1">
      <alignment horizontal="center"/>
    </xf>
    <xf numFmtId="41" fontId="93" fillId="40" borderId="0" xfId="0" applyNumberFormat="1" applyFont="1" applyFill="1" applyAlignment="1">
      <alignment horizontal="right"/>
    </xf>
    <xf numFmtId="165" fontId="80" fillId="0" borderId="45" xfId="34" applyNumberFormat="1" applyFont="1" applyFill="1" applyBorder="1"/>
    <xf numFmtId="165" fontId="80" fillId="0" borderId="14" xfId="34" applyNumberFormat="1" applyFont="1" applyFill="1" applyBorder="1"/>
    <xf numFmtId="165" fontId="80" fillId="46" borderId="13" xfId="35" applyFont="1" applyFill="1" applyBorder="1"/>
    <xf numFmtId="0" fontId="0" fillId="0" borderId="4" xfId="0" applyBorder="1" applyAlignment="1">
      <alignment horizontal="left"/>
    </xf>
    <xf numFmtId="0" fontId="80" fillId="40" borderId="8" xfId="0" applyFont="1" applyFill="1" applyBorder="1"/>
    <xf numFmtId="0" fontId="80" fillId="40" borderId="4" xfId="0" applyFont="1" applyFill="1" applyBorder="1" applyAlignment="1">
      <alignment horizontal="left"/>
    </xf>
    <xf numFmtId="172" fontId="80" fillId="44" borderId="47" xfId="34" applyNumberFormat="1" applyFont="1" applyFill="1" applyBorder="1"/>
    <xf numFmtId="165" fontId="80" fillId="44" borderId="47" xfId="35" applyFont="1" applyFill="1" applyBorder="1" applyAlignment="1">
      <alignment horizontal="center"/>
    </xf>
    <xf numFmtId="0" fontId="81" fillId="0" borderId="47" xfId="0" applyFont="1" applyBorder="1" applyAlignment="1">
      <alignment horizontal="center" vertical="justify"/>
    </xf>
    <xf numFmtId="49" fontId="91" fillId="54" borderId="1" xfId="46" applyNumberFormat="1" applyFont="1" applyFill="1" applyBorder="1" applyAlignment="1">
      <alignment horizontal="right"/>
    </xf>
    <xf numFmtId="49" fontId="91" fillId="54" borderId="1" xfId="46" applyNumberFormat="1" applyFont="1" applyFill="1" applyBorder="1"/>
    <xf numFmtId="49" fontId="91" fillId="54" borderId="1" xfId="46" applyNumberFormat="1" applyFont="1" applyFill="1" applyBorder="1" applyAlignment="1">
      <alignment horizontal="left"/>
    </xf>
    <xf numFmtId="0" fontId="83" fillId="0" borderId="1" xfId="46" applyFont="1" applyBorder="1" applyAlignment="1">
      <alignment horizontal="left"/>
    </xf>
    <xf numFmtId="49" fontId="83" fillId="0" borderId="1" xfId="46" applyNumberFormat="1" applyFont="1" applyBorder="1" applyAlignment="1">
      <alignment horizontal="left"/>
    </xf>
    <xf numFmtId="49" fontId="90" fillId="55" borderId="79" xfId="47" applyNumberFormat="1" applyFont="1" applyFill="1" applyBorder="1" applyAlignment="1">
      <alignment horizontal="left"/>
    </xf>
    <xf numFmtId="49" fontId="3" fillId="0" borderId="1" xfId="0" applyNumberFormat="1" applyFont="1" applyBorder="1" applyAlignment="1">
      <alignment horizontal="right"/>
    </xf>
    <xf numFmtId="49" fontId="93" fillId="0" borderId="1" xfId="0" applyNumberFormat="1" applyFont="1" applyBorder="1" applyAlignment="1">
      <alignment horizontal="right"/>
    </xf>
    <xf numFmtId="0" fontId="9" fillId="40" borderId="1" xfId="0" applyFont="1" applyFill="1" applyBorder="1" applyAlignment="1">
      <alignment horizontal="center"/>
    </xf>
    <xf numFmtId="41" fontId="11" fillId="0" borderId="1" xfId="0" applyNumberFormat="1" applyFont="1" applyBorder="1" applyAlignment="1">
      <alignment horizontal="center"/>
    </xf>
    <xf numFmtId="3" fontId="83" fillId="0" borderId="1" xfId="0" applyNumberFormat="1" applyFont="1" applyBorder="1" applyAlignment="1">
      <alignment horizontal="right" wrapText="1"/>
    </xf>
    <xf numFmtId="0" fontId="32" fillId="0" borderId="0" xfId="0" applyFont="1"/>
    <xf numFmtId="3" fontId="32" fillId="0" borderId="0" xfId="0" applyNumberFormat="1" applyFont="1"/>
    <xf numFmtId="3" fontId="32" fillId="0" borderId="8" xfId="0" applyNumberFormat="1" applyFont="1" applyBorder="1" applyAlignment="1">
      <alignment horizontal="right"/>
    </xf>
    <xf numFmtId="3" fontId="33" fillId="0" borderId="8" xfId="0" applyNumberFormat="1" applyFont="1" applyBorder="1" applyAlignment="1">
      <alignment horizontal="right"/>
    </xf>
    <xf numFmtId="0" fontId="32" fillId="0" borderId="1" xfId="0" applyFont="1" applyBorder="1"/>
    <xf numFmtId="0" fontId="29" fillId="0" borderId="1" xfId="0" applyFont="1" applyBorder="1" applyAlignment="1">
      <alignment horizontal="center"/>
    </xf>
    <xf numFmtId="4" fontId="29" fillId="0" borderId="1" xfId="0" applyNumberFormat="1" applyFont="1" applyBorder="1" applyAlignment="1">
      <alignment horizontal="center"/>
    </xf>
    <xf numFmtId="0" fontId="29" fillId="0" borderId="1" xfId="0" applyFont="1" applyBorder="1" applyAlignment="1">
      <alignment horizontal="center" vertical="center" wrapText="1"/>
    </xf>
    <xf numFmtId="3" fontId="29" fillId="0" borderId="1" xfId="0" applyNumberFormat="1" applyFont="1" applyBorder="1" applyAlignment="1">
      <alignment horizontal="center" vertical="center" wrapText="1"/>
    </xf>
    <xf numFmtId="3" fontId="32" fillId="0" borderId="47" xfId="0" applyNumberFormat="1" applyFont="1" applyBorder="1"/>
    <xf numFmtId="3" fontId="29" fillId="0" borderId="1" xfId="0" applyNumberFormat="1" applyFont="1" applyBorder="1"/>
    <xf numFmtId="4" fontId="29" fillId="0" borderId="1" xfId="0" applyNumberFormat="1" applyFont="1" applyBorder="1"/>
    <xf numFmtId="3" fontId="32" fillId="0" borderId="1" xfId="0" applyNumberFormat="1" applyFont="1" applyBorder="1"/>
    <xf numFmtId="4" fontId="32" fillId="0" borderId="1" xfId="0" applyNumberFormat="1" applyFont="1" applyBorder="1"/>
    <xf numFmtId="0" fontId="21" fillId="40" borderId="47" xfId="0" applyFont="1" applyFill="1" applyBorder="1"/>
    <xf numFmtId="165" fontId="32" fillId="0" borderId="1" xfId="0" applyNumberFormat="1" applyFont="1" applyBorder="1"/>
    <xf numFmtId="0" fontId="29" fillId="40" borderId="8" xfId="0" applyFont="1" applyFill="1" applyBorder="1"/>
    <xf numFmtId="3" fontId="32" fillId="40" borderId="2" xfId="0" applyNumberFormat="1" applyFont="1" applyFill="1" applyBorder="1"/>
    <xf numFmtId="3" fontId="32" fillId="40" borderId="1" xfId="0" applyNumberFormat="1" applyFont="1" applyFill="1" applyBorder="1"/>
    <xf numFmtId="3" fontId="32" fillId="56" borderId="45" xfId="0" applyNumberFormat="1" applyFont="1" applyFill="1" applyBorder="1" applyAlignment="1">
      <alignment vertical="center"/>
    </xf>
    <xf numFmtId="4" fontId="32" fillId="56" borderId="45" xfId="0" applyNumberFormat="1" applyFont="1" applyFill="1" applyBorder="1" applyAlignment="1">
      <alignment vertical="center"/>
    </xf>
    <xf numFmtId="3" fontId="21" fillId="40" borderId="1" xfId="0" applyNumberFormat="1" applyFont="1" applyFill="1" applyBorder="1"/>
    <xf numFmtId="3" fontId="32" fillId="53" borderId="1" xfId="0" applyNumberFormat="1" applyFont="1" applyFill="1" applyBorder="1"/>
    <xf numFmtId="4" fontId="32" fillId="57" borderId="1" xfId="0" applyNumberFormat="1" applyFont="1" applyFill="1" applyBorder="1"/>
    <xf numFmtId="3" fontId="86" fillId="0" borderId="1" xfId="0" applyNumberFormat="1" applyFont="1" applyBorder="1"/>
    <xf numFmtId="4" fontId="32" fillId="53" borderId="1" xfId="0" applyNumberFormat="1" applyFont="1" applyFill="1" applyBorder="1"/>
    <xf numFmtId="3" fontId="94" fillId="40" borderId="1" xfId="0" applyNumberFormat="1" applyFont="1" applyFill="1" applyBorder="1"/>
    <xf numFmtId="4" fontId="21" fillId="40" borderId="1" xfId="0" applyNumberFormat="1" applyFont="1" applyFill="1" applyBorder="1"/>
    <xf numFmtId="4" fontId="32" fillId="40" borderId="1" xfId="0" applyNumberFormat="1" applyFont="1" applyFill="1" applyBorder="1"/>
    <xf numFmtId="165" fontId="32" fillId="0" borderId="0" xfId="0" quotePrefix="1" applyNumberFormat="1" applyFont="1" applyAlignment="1">
      <alignment horizontal="left"/>
    </xf>
    <xf numFmtId="3" fontId="21" fillId="0" borderId="1" xfId="0" applyNumberFormat="1" applyFont="1" applyBorder="1"/>
    <xf numFmtId="3" fontId="94" fillId="0" borderId="1" xfId="0" applyNumberFormat="1" applyFont="1" applyBorder="1"/>
    <xf numFmtId="3" fontId="95" fillId="0" borderId="1" xfId="0" applyNumberFormat="1" applyFont="1" applyBorder="1"/>
    <xf numFmtId="3" fontId="33" fillId="0" borderId="2" xfId="0" applyNumberFormat="1" applyFont="1" applyBorder="1"/>
    <xf numFmtId="4" fontId="33" fillId="0" borderId="2" xfId="0" applyNumberFormat="1" applyFont="1" applyBorder="1"/>
    <xf numFmtId="3" fontId="21" fillId="0" borderId="14" xfId="0" applyNumberFormat="1" applyFont="1" applyBorder="1"/>
    <xf numFmtId="4" fontId="32" fillId="0" borderId="0" xfId="0" applyNumberFormat="1" applyFont="1"/>
    <xf numFmtId="3" fontId="32" fillId="0" borderId="0" xfId="0" applyNumberFormat="1" applyFont="1" applyAlignment="1">
      <alignment horizontal="right"/>
    </xf>
    <xf numFmtId="0" fontId="32" fillId="0" borderId="12" xfId="0" applyFont="1" applyBorder="1"/>
    <xf numFmtId="166" fontId="32" fillId="0" borderId="0" xfId="0" applyNumberFormat="1" applyFont="1"/>
    <xf numFmtId="165" fontId="29" fillId="0" borderId="0" xfId="0" applyNumberFormat="1" applyFont="1"/>
    <xf numFmtId="4" fontId="96" fillId="0" borderId="0" xfId="0" applyNumberFormat="1" applyFont="1"/>
    <xf numFmtId="3" fontId="96" fillId="0" borderId="0" xfId="0" applyNumberFormat="1" applyFont="1"/>
    <xf numFmtId="166" fontId="32" fillId="0" borderId="0" xfId="0" applyNumberFormat="1" applyFont="1" applyAlignment="1">
      <alignment horizontal="left"/>
    </xf>
    <xf numFmtId="0" fontId="32" fillId="0" borderId="0" xfId="0" applyFont="1" applyAlignment="1">
      <alignment horizontal="left"/>
    </xf>
    <xf numFmtId="3" fontId="97" fillId="35" borderId="2" xfId="0" applyNumberFormat="1" applyFont="1" applyFill="1" applyBorder="1"/>
    <xf numFmtId="3" fontId="97" fillId="35" borderId="1" xfId="0" applyNumberFormat="1" applyFont="1" applyFill="1" applyBorder="1"/>
    <xf numFmtId="3" fontId="34" fillId="35" borderId="1" xfId="0" applyNumberFormat="1" applyFont="1" applyFill="1" applyBorder="1"/>
    <xf numFmtId="49" fontId="91" fillId="55" borderId="79" xfId="0" applyNumberFormat="1" applyFont="1" applyFill="1" applyBorder="1" applyAlignment="1">
      <alignment horizontal="left"/>
    </xf>
    <xf numFmtId="49" fontId="83" fillId="40" borderId="1" xfId="0" applyNumberFormat="1" applyFont="1" applyFill="1" applyBorder="1" applyAlignment="1">
      <alignment horizontal="left"/>
    </xf>
    <xf numFmtId="49" fontId="83" fillId="40" borderId="1" xfId="0" applyNumberFormat="1" applyFont="1" applyFill="1" applyBorder="1" applyAlignment="1">
      <alignment horizontal="center"/>
    </xf>
    <xf numFmtId="49" fontId="83" fillId="58" borderId="1" xfId="0" applyNumberFormat="1" applyFont="1" applyFill="1" applyBorder="1" applyAlignment="1">
      <alignment horizontal="left"/>
    </xf>
    <xf numFmtId="166" fontId="3" fillId="40" borderId="0" xfId="0" applyNumberFormat="1" applyFont="1" applyFill="1"/>
    <xf numFmtId="3" fontId="32" fillId="40" borderId="0" xfId="0" applyNumberFormat="1" applyFont="1" applyFill="1" applyAlignment="1">
      <alignment horizontal="right"/>
    </xf>
    <xf numFmtId="3" fontId="29" fillId="0" borderId="2" xfId="0" applyNumberFormat="1" applyFont="1" applyBorder="1"/>
    <xf numFmtId="4" fontId="29" fillId="0" borderId="47" xfId="0" applyNumberFormat="1" applyFont="1" applyBorder="1"/>
    <xf numFmtId="0" fontId="32" fillId="0" borderId="2" xfId="0" applyFont="1" applyBorder="1"/>
    <xf numFmtId="49" fontId="91" fillId="55" borderId="1" xfId="0" applyNumberFormat="1" applyFont="1" applyFill="1" applyBorder="1" applyAlignment="1">
      <alignment horizontal="left"/>
    </xf>
    <xf numFmtId="168" fontId="91" fillId="55" borderId="1" xfId="0" applyNumberFormat="1" applyFont="1" applyFill="1" applyBorder="1" applyAlignment="1">
      <alignment horizontal="right"/>
    </xf>
    <xf numFmtId="0" fontId="12" fillId="59" borderId="1" xfId="0" applyFont="1" applyFill="1" applyBorder="1"/>
    <xf numFmtId="41" fontId="16" fillId="59" borderId="1" xfId="0" applyNumberFormat="1" applyFont="1" applyFill="1" applyBorder="1"/>
    <xf numFmtId="0" fontId="16" fillId="59" borderId="1" xfId="0" applyFont="1" applyFill="1" applyBorder="1"/>
    <xf numFmtId="49" fontId="83" fillId="59" borderId="1" xfId="0" applyNumberFormat="1" applyFont="1" applyFill="1" applyBorder="1" applyAlignment="1">
      <alignment horizontal="left"/>
    </xf>
    <xf numFmtId="0" fontId="0" fillId="0" borderId="4" xfId="0" applyBorder="1"/>
    <xf numFmtId="3" fontId="0" fillId="0" borderId="8" xfId="0" applyNumberFormat="1" applyBorder="1"/>
    <xf numFmtId="0" fontId="9" fillId="58" borderId="0" xfId="0" applyFont="1" applyFill="1" applyAlignment="1">
      <alignment horizontal="center"/>
    </xf>
    <xf numFmtId="0" fontId="9" fillId="58" borderId="8" xfId="0" applyFont="1" applyFill="1" applyBorder="1" applyAlignment="1">
      <alignment horizontal="center"/>
    </xf>
    <xf numFmtId="0" fontId="9" fillId="58" borderId="1" xfId="0" applyFont="1" applyFill="1" applyBorder="1"/>
    <xf numFmtId="0" fontId="9" fillId="58" borderId="1" xfId="0" applyFont="1" applyFill="1" applyBorder="1" applyAlignment="1">
      <alignment horizontal="center"/>
    </xf>
    <xf numFmtId="3" fontId="9" fillId="58" borderId="1" xfId="0" applyNumberFormat="1" applyFont="1" applyFill="1" applyBorder="1" applyAlignment="1">
      <alignment horizontal="right"/>
    </xf>
    <xf numFmtId="176" fontId="9" fillId="58" borderId="1" xfId="0" applyNumberFormat="1" applyFont="1" applyFill="1" applyBorder="1"/>
    <xf numFmtId="3" fontId="9" fillId="58" borderId="1" xfId="40" applyNumberFormat="1" applyFont="1" applyFill="1" applyBorder="1" applyAlignment="1" applyProtection="1">
      <alignment horizontal="right"/>
      <protection locked="0"/>
    </xf>
    <xf numFmtId="0" fontId="9" fillId="58" borderId="27" xfId="0" applyFont="1" applyFill="1" applyBorder="1"/>
    <xf numFmtId="0" fontId="9" fillId="58" borderId="25" xfId="0" applyFont="1" applyFill="1" applyBorder="1" applyAlignment="1">
      <alignment horizontal="right"/>
    </xf>
    <xf numFmtId="3" fontId="9" fillId="58" borderId="28" xfId="0" applyNumberFormat="1" applyFont="1" applyFill="1" applyBorder="1" applyAlignment="1">
      <alignment horizontal="right"/>
    </xf>
    <xf numFmtId="0" fontId="9" fillId="58" borderId="32" xfId="0" applyFont="1" applyFill="1" applyBorder="1"/>
    <xf numFmtId="0" fontId="9" fillId="58" borderId="30" xfId="0" applyFont="1" applyFill="1" applyBorder="1" applyAlignment="1">
      <alignment horizontal="center"/>
    </xf>
    <xf numFmtId="3" fontId="9" fillId="58" borderId="33" xfId="0" applyNumberFormat="1" applyFont="1" applyFill="1" applyBorder="1" applyAlignment="1">
      <alignment horizontal="right"/>
    </xf>
    <xf numFmtId="40" fontId="9" fillId="58" borderId="34" xfId="0" applyNumberFormat="1" applyFont="1" applyFill="1" applyBorder="1"/>
    <xf numFmtId="3" fontId="32" fillId="40" borderId="2" xfId="0" applyNumberFormat="1" applyFont="1" applyFill="1" applyBorder="1" applyAlignment="1">
      <alignment horizontal="center"/>
    </xf>
    <xf numFmtId="3" fontId="32" fillId="53" borderId="2" xfId="0" applyNumberFormat="1" applyFont="1" applyFill="1" applyBorder="1"/>
    <xf numFmtId="3" fontId="32" fillId="0" borderId="2" xfId="0" applyNumberFormat="1" applyFont="1" applyBorder="1"/>
    <xf numFmtId="3" fontId="21" fillId="40" borderId="2" xfId="0" applyNumberFormat="1" applyFont="1" applyFill="1" applyBorder="1"/>
    <xf numFmtId="3" fontId="21" fillId="0" borderId="47" xfId="0" applyNumberFormat="1" applyFont="1" applyBorder="1"/>
    <xf numFmtId="3" fontId="18" fillId="35" borderId="39" xfId="0" applyNumberFormat="1" applyFont="1" applyFill="1" applyBorder="1"/>
    <xf numFmtId="3" fontId="18" fillId="0" borderId="39" xfId="0" applyNumberFormat="1" applyFont="1" applyBorder="1"/>
    <xf numFmtId="3" fontId="34" fillId="35" borderId="39" xfId="0" applyNumberFormat="1" applyFont="1" applyFill="1" applyBorder="1"/>
    <xf numFmtId="3" fontId="98" fillId="40" borderId="1" xfId="0" applyNumberFormat="1" applyFont="1" applyFill="1" applyBorder="1"/>
    <xf numFmtId="3" fontId="32" fillId="40" borderId="0" xfId="0" applyNumberFormat="1" applyFont="1" applyFill="1"/>
    <xf numFmtId="0" fontId="3" fillId="54" borderId="0" xfId="0" applyFont="1" applyFill="1"/>
    <xf numFmtId="0" fontId="89" fillId="60" borderId="0" xfId="0" applyFont="1" applyFill="1"/>
    <xf numFmtId="0" fontId="0" fillId="60" borderId="0" xfId="0" applyFill="1"/>
    <xf numFmtId="0" fontId="0" fillId="61" borderId="0" xfId="0" applyFill="1"/>
    <xf numFmtId="0" fontId="89" fillId="61" borderId="0" xfId="0" applyFont="1" applyFill="1"/>
    <xf numFmtId="49" fontId="83" fillId="0" borderId="67" xfId="0" applyNumberFormat="1" applyFont="1" applyBorder="1"/>
    <xf numFmtId="168" fontId="83" fillId="0" borderId="67" xfId="0" applyNumberFormat="1" applyFont="1" applyBorder="1" applyAlignment="1">
      <alignment horizontal="right"/>
    </xf>
    <xf numFmtId="0" fontId="83" fillId="0" borderId="67" xfId="0" applyFont="1" applyBorder="1"/>
    <xf numFmtId="0" fontId="12" fillId="0" borderId="0" xfId="0" applyFont="1"/>
    <xf numFmtId="41" fontId="16" fillId="0" borderId="0" xfId="0" applyNumberFormat="1" applyFont="1"/>
    <xf numFmtId="168" fontId="16" fillId="0" borderId="0" xfId="0" applyNumberFormat="1" applyFont="1"/>
    <xf numFmtId="0" fontId="32" fillId="0" borderId="0" xfId="0" applyFont="1" applyAlignment="1">
      <alignment horizontal="center"/>
    </xf>
    <xf numFmtId="178" fontId="32" fillId="0" borderId="0" xfId="0" applyNumberFormat="1" applyFont="1"/>
    <xf numFmtId="0" fontId="29" fillId="0" borderId="0" xfId="0" applyFont="1"/>
    <xf numFmtId="3" fontId="99" fillId="0" borderId="0" xfId="0" applyNumberFormat="1" applyFont="1"/>
    <xf numFmtId="178" fontId="29" fillId="0" borderId="0" xfId="0" applyNumberFormat="1" applyFont="1"/>
    <xf numFmtId="179" fontId="32" fillId="0" borderId="0" xfId="50" applyNumberFormat="1" applyFont="1"/>
    <xf numFmtId="0" fontId="32" fillId="0" borderId="3" xfId="0" applyFont="1" applyBorder="1"/>
    <xf numFmtId="3" fontId="29" fillId="0" borderId="0" xfId="0" applyNumberFormat="1" applyFont="1"/>
    <xf numFmtId="0" fontId="100" fillId="0" borderId="0" xfId="0" applyFont="1"/>
    <xf numFmtId="0" fontId="101" fillId="0" borderId="0" xfId="0" applyFont="1"/>
    <xf numFmtId="3" fontId="2" fillId="0" borderId="0" xfId="0" applyNumberFormat="1" applyFont="1"/>
    <xf numFmtId="3" fontId="2" fillId="0" borderId="0" xfId="0" applyNumberFormat="1" applyFont="1" applyAlignment="1">
      <alignment horizontal="center"/>
    </xf>
    <xf numFmtId="0" fontId="2" fillId="0" borderId="0" xfId="0" applyFont="1" applyAlignment="1">
      <alignment horizontal="center"/>
    </xf>
    <xf numFmtId="0" fontId="2" fillId="0" borderId="0" xfId="0" applyFont="1" applyAlignment="1">
      <alignment horizontal="center" vertical="center"/>
    </xf>
    <xf numFmtId="0" fontId="32" fillId="0" borderId="0" xfId="0" applyFont="1" applyAlignment="1">
      <alignment horizontal="center" vertical="center"/>
    </xf>
    <xf numFmtId="3" fontId="32" fillId="0" borderId="0" xfId="0" applyNumberFormat="1" applyFont="1" applyAlignment="1">
      <alignment horizontal="center"/>
    </xf>
    <xf numFmtId="17" fontId="29" fillId="0" borderId="0" xfId="0" applyNumberFormat="1" applyFont="1"/>
    <xf numFmtId="3" fontId="2" fillId="0" borderId="0" xfId="0" applyNumberFormat="1" applyFont="1" applyAlignment="1">
      <alignment horizontal="right"/>
    </xf>
    <xf numFmtId="3" fontId="2" fillId="0" borderId="0" xfId="0" applyNumberFormat="1" applyFont="1" applyAlignment="1">
      <alignment vertical="center"/>
    </xf>
    <xf numFmtId="0" fontId="32" fillId="54" borderId="0" xfId="0" applyFont="1" applyFill="1"/>
    <xf numFmtId="0" fontId="32" fillId="0" borderId="0" xfId="0" applyFont="1" applyAlignment="1">
      <alignment horizontal="right"/>
    </xf>
    <xf numFmtId="3" fontId="32" fillId="0" borderId="0" xfId="0" applyNumberFormat="1" applyFont="1" applyAlignment="1">
      <alignment horizontal="left"/>
    </xf>
    <xf numFmtId="0" fontId="32" fillId="40" borderId="0" xfId="0" applyFont="1" applyFill="1"/>
    <xf numFmtId="0" fontId="32" fillId="40" borderId="1" xfId="0" applyFont="1" applyFill="1" applyBorder="1"/>
    <xf numFmtId="180" fontId="102" fillId="62" borderId="1" xfId="0" applyNumberFormat="1" applyFont="1" applyFill="1" applyBorder="1" applyAlignment="1">
      <alignment horizontal="center"/>
    </xf>
    <xf numFmtId="0" fontId="29" fillId="40" borderId="0" xfId="0" applyFont="1" applyFill="1"/>
    <xf numFmtId="3" fontId="29" fillId="40" borderId="0" xfId="0" applyNumberFormat="1" applyFont="1" applyFill="1"/>
    <xf numFmtId="0" fontId="103" fillId="40" borderId="0" xfId="0" applyFont="1" applyFill="1"/>
    <xf numFmtId="3" fontId="103" fillId="40" borderId="0" xfId="0" applyNumberFormat="1" applyFont="1" applyFill="1"/>
    <xf numFmtId="179" fontId="32" fillId="40" borderId="0" xfId="50" applyNumberFormat="1" applyFont="1" applyFill="1"/>
    <xf numFmtId="9" fontId="32" fillId="40" borderId="0" xfId="50" applyFont="1" applyFill="1"/>
    <xf numFmtId="9" fontId="32" fillId="40" borderId="0" xfId="0" applyNumberFormat="1" applyFont="1" applyFill="1"/>
    <xf numFmtId="180" fontId="102" fillId="62" borderId="1" xfId="0" applyNumberFormat="1" applyFont="1" applyFill="1" applyBorder="1"/>
    <xf numFmtId="0" fontId="0" fillId="62" borderId="0" xfId="0" applyFill="1"/>
    <xf numFmtId="0" fontId="104" fillId="62" borderId="0" xfId="0" applyFont="1" applyFill="1"/>
    <xf numFmtId="0" fontId="0" fillId="63" borderId="3" xfId="0" applyFill="1" applyBorder="1"/>
    <xf numFmtId="0" fontId="0" fillId="63" borderId="14" xfId="0" applyFill="1" applyBorder="1"/>
    <xf numFmtId="0" fontId="11" fillId="63" borderId="1" xfId="0" applyFont="1" applyFill="1" applyBorder="1" applyAlignment="1">
      <alignment horizontal="center"/>
    </xf>
    <xf numFmtId="41" fontId="11" fillId="63" borderId="1" xfId="0" applyNumberFormat="1" applyFont="1" applyFill="1" applyBorder="1" applyAlignment="1">
      <alignment horizontal="center"/>
    </xf>
    <xf numFmtId="0" fontId="12" fillId="63" borderId="1" xfId="0" applyFont="1" applyFill="1" applyBorder="1" applyAlignment="1">
      <alignment horizontal="center"/>
    </xf>
    <xf numFmtId="49" fontId="93" fillId="63" borderId="1" xfId="0" applyNumberFormat="1" applyFont="1" applyFill="1" applyBorder="1" applyAlignment="1">
      <alignment horizontal="right"/>
    </xf>
    <xf numFmtId="49" fontId="83" fillId="63" borderId="67" xfId="0" applyNumberFormat="1" applyFont="1" applyFill="1" applyBorder="1" applyAlignment="1">
      <alignment horizontal="left"/>
    </xf>
    <xf numFmtId="168" fontId="83" fillId="63" borderId="1" xfId="0" applyNumberFormat="1" applyFont="1" applyFill="1" applyBorder="1" applyAlignment="1">
      <alignment horizontal="right"/>
    </xf>
    <xf numFmtId="3" fontId="83" fillId="63" borderId="1" xfId="0" applyNumberFormat="1" applyFont="1" applyFill="1" applyBorder="1" applyAlignment="1">
      <alignment horizontal="right" wrapText="1"/>
    </xf>
    <xf numFmtId="3" fontId="3" fillId="63" borderId="1" xfId="0" applyNumberFormat="1" applyFont="1" applyFill="1" applyBorder="1"/>
    <xf numFmtId="49" fontId="83" fillId="63" borderId="1" xfId="0" applyNumberFormat="1" applyFont="1" applyFill="1" applyBorder="1" applyAlignment="1">
      <alignment horizontal="right"/>
    </xf>
    <xf numFmtId="49" fontId="3" fillId="63" borderId="1" xfId="0" applyNumberFormat="1" applyFont="1" applyFill="1" applyBorder="1" applyAlignment="1">
      <alignment horizontal="right"/>
    </xf>
    <xf numFmtId="0" fontId="0" fillId="63" borderId="1" xfId="0" applyFill="1" applyBorder="1"/>
    <xf numFmtId="0" fontId="0" fillId="63" borderId="0" xfId="0" applyFill="1"/>
    <xf numFmtId="0" fontId="12" fillId="0" borderId="1" xfId="0" applyFont="1" applyBorder="1" applyAlignment="1">
      <alignment horizontal="center"/>
    </xf>
    <xf numFmtId="0" fontId="83" fillId="0" borderId="1" xfId="0" applyFont="1" applyBorder="1" applyAlignment="1">
      <alignment horizontal="right" wrapText="1"/>
    </xf>
    <xf numFmtId="3" fontId="105" fillId="0" borderId="1" xfId="0" applyNumberFormat="1" applyFont="1" applyBorder="1" applyAlignment="1">
      <alignment horizontal="right" wrapText="1"/>
    </xf>
    <xf numFmtId="3" fontId="0" fillId="0" borderId="1" xfId="0" applyNumberFormat="1" applyBorder="1"/>
    <xf numFmtId="0" fontId="106" fillId="63" borderId="1" xfId="0" applyFont="1" applyFill="1" applyBorder="1" applyAlignment="1">
      <alignment horizontal="left" wrapText="1"/>
    </xf>
    <xf numFmtId="0" fontId="83" fillId="63" borderId="1" xfId="0" applyFont="1" applyFill="1" applyBorder="1" applyAlignment="1">
      <alignment horizontal="right" wrapText="1"/>
    </xf>
    <xf numFmtId="3" fontId="0" fillId="63" borderId="1" xfId="0" applyNumberFormat="1" applyFill="1" applyBorder="1"/>
    <xf numFmtId="17" fontId="0" fillId="63" borderId="0" xfId="0" applyNumberFormat="1" applyFill="1"/>
    <xf numFmtId="17" fontId="0" fillId="0" borderId="0" xfId="0" applyNumberFormat="1"/>
    <xf numFmtId="0" fontId="11" fillId="0" borderId="39" xfId="0" applyFont="1" applyBorder="1" applyAlignment="1">
      <alignment horizontal="center"/>
    </xf>
    <xf numFmtId="0" fontId="11" fillId="0" borderId="2" xfId="0" applyFont="1" applyBorder="1" applyAlignment="1">
      <alignment horizontal="center"/>
    </xf>
    <xf numFmtId="41" fontId="11" fillId="0" borderId="2" xfId="0" applyNumberFormat="1" applyFont="1" applyBorder="1" applyAlignment="1">
      <alignment horizontal="center"/>
    </xf>
    <xf numFmtId="0" fontId="2" fillId="0" borderId="1" xfId="0" applyFont="1" applyBorder="1" applyAlignment="1">
      <alignment vertical="center"/>
    </xf>
    <xf numFmtId="168" fontId="107" fillId="40" borderId="1" xfId="0" applyNumberFormat="1" applyFont="1" applyFill="1" applyBorder="1" applyAlignment="1">
      <alignment horizontal="right"/>
    </xf>
    <xf numFmtId="3" fontId="0" fillId="54" borderId="1" xfId="0" applyNumberFormat="1" applyFill="1" applyBorder="1"/>
    <xf numFmtId="0" fontId="105" fillId="0" borderId="1" xfId="0" applyFont="1" applyBorder="1" applyAlignment="1">
      <alignment horizontal="right" wrapText="1"/>
    </xf>
    <xf numFmtId="173" fontId="9" fillId="0" borderId="1" xfId="0" applyNumberFormat="1" applyFont="1" applyBorder="1"/>
    <xf numFmtId="3" fontId="105" fillId="0" borderId="0" xfId="0" applyNumberFormat="1" applyFont="1" applyAlignment="1">
      <alignment horizontal="right" wrapText="1"/>
    </xf>
    <xf numFmtId="0" fontId="2" fillId="0" borderId="14" xfId="0" applyFont="1" applyBorder="1" applyAlignment="1">
      <alignment vertical="center"/>
    </xf>
    <xf numFmtId="0" fontId="105" fillId="0" borderId="0" xfId="0" applyFont="1" applyAlignment="1">
      <alignment horizontal="right" wrapText="1"/>
    </xf>
    <xf numFmtId="0" fontId="11" fillId="63" borderId="39" xfId="0" applyFont="1" applyFill="1" applyBorder="1" applyAlignment="1">
      <alignment horizontal="center"/>
    </xf>
    <xf numFmtId="0" fontId="11" fillId="63" borderId="2" xfId="0" applyFont="1" applyFill="1" applyBorder="1" applyAlignment="1">
      <alignment horizontal="center"/>
    </xf>
    <xf numFmtId="41" fontId="11" fillId="63" borderId="2" xfId="0" applyNumberFormat="1" applyFont="1" applyFill="1" applyBorder="1" applyAlignment="1">
      <alignment horizontal="center"/>
    </xf>
    <xf numFmtId="0" fontId="2" fillId="63" borderId="1" xfId="0" applyFont="1" applyFill="1" applyBorder="1" applyAlignment="1">
      <alignment vertical="center"/>
    </xf>
    <xf numFmtId="3" fontId="105" fillId="63" borderId="0" xfId="0" applyNumberFormat="1" applyFont="1" applyFill="1" applyAlignment="1">
      <alignment horizontal="right" wrapText="1"/>
    </xf>
    <xf numFmtId="0" fontId="2" fillId="63" borderId="14" xfId="0" applyFont="1" applyFill="1" applyBorder="1" applyAlignment="1">
      <alignment vertical="center"/>
    </xf>
    <xf numFmtId="0" fontId="105" fillId="63" borderId="0" xfId="0" applyFont="1" applyFill="1" applyAlignment="1">
      <alignment horizontal="right" wrapText="1"/>
    </xf>
    <xf numFmtId="173" fontId="9" fillId="63" borderId="1" xfId="0" applyNumberFormat="1" applyFont="1" applyFill="1" applyBorder="1"/>
    <xf numFmtId="3" fontId="105" fillId="0" borderId="45" xfId="0" applyNumberFormat="1" applyFont="1" applyBorder="1" applyAlignment="1">
      <alignment horizontal="right" wrapText="1"/>
    </xf>
    <xf numFmtId="49" fontId="83" fillId="63" borderId="0" xfId="0" applyNumberFormat="1" applyFont="1" applyFill="1" applyAlignment="1">
      <alignment horizontal="left"/>
    </xf>
    <xf numFmtId="49" fontId="83" fillId="0" borderId="0" xfId="0" applyNumberFormat="1" applyFont="1" applyAlignment="1">
      <alignment horizontal="left"/>
    </xf>
    <xf numFmtId="168" fontId="86" fillId="63" borderId="1" xfId="0" applyNumberFormat="1" applyFont="1" applyFill="1" applyBorder="1" applyAlignment="1">
      <alignment horizontal="right"/>
    </xf>
    <xf numFmtId="168" fontId="32" fillId="63" borderId="1" xfId="0" applyNumberFormat="1" applyFont="1" applyFill="1" applyBorder="1" applyAlignment="1">
      <alignment horizontal="right"/>
    </xf>
    <xf numFmtId="168" fontId="86" fillId="63" borderId="77" xfId="0" applyNumberFormat="1" applyFont="1" applyFill="1" applyBorder="1" applyAlignment="1">
      <alignment horizontal="right"/>
    </xf>
    <xf numFmtId="0" fontId="40" fillId="0" borderId="48" xfId="0" applyFont="1" applyBorder="1"/>
    <xf numFmtId="181" fontId="36" fillId="0" borderId="0" xfId="34" applyNumberFormat="1" applyFont="1" applyBorder="1"/>
    <xf numFmtId="0" fontId="0" fillId="0" borderId="49" xfId="0" applyBorder="1"/>
    <xf numFmtId="0" fontId="36" fillId="0" borderId="50" xfId="0" applyFont="1" applyBorder="1"/>
    <xf numFmtId="181" fontId="37" fillId="0" borderId="3" xfId="34" applyNumberFormat="1" applyFont="1" applyBorder="1" applyAlignment="1">
      <alignment horizontal="center"/>
    </xf>
    <xf numFmtId="181" fontId="37" fillId="0" borderId="51" xfId="34" applyNumberFormat="1" applyFont="1" applyFill="1" applyBorder="1" applyAlignment="1">
      <alignment horizontal="center"/>
    </xf>
    <xf numFmtId="181" fontId="37" fillId="0" borderId="52" xfId="34" applyNumberFormat="1" applyFont="1" applyFill="1" applyBorder="1" applyAlignment="1">
      <alignment horizontal="center"/>
    </xf>
    <xf numFmtId="172" fontId="37" fillId="45" borderId="48" xfId="0" applyNumberFormat="1" applyFont="1" applyFill="1" applyBorder="1"/>
    <xf numFmtId="181" fontId="37" fillId="45" borderId="13" xfId="34" applyNumberFormat="1" applyFont="1" applyFill="1" applyBorder="1"/>
    <xf numFmtId="181" fontId="37" fillId="45" borderId="53" xfId="34" applyNumberFormat="1" applyFont="1" applyFill="1" applyBorder="1"/>
    <xf numFmtId="0" fontId="36" fillId="0" borderId="48" xfId="0" applyFont="1" applyBorder="1"/>
    <xf numFmtId="181" fontId="36" fillId="0" borderId="1" xfId="34" applyNumberFormat="1" applyFont="1" applyBorder="1"/>
    <xf numFmtId="181" fontId="36" fillId="0" borderId="47" xfId="34" applyNumberFormat="1" applyFont="1" applyBorder="1"/>
    <xf numFmtId="181" fontId="36" fillId="0" borderId="54" xfId="34" applyNumberFormat="1" applyFont="1" applyBorder="1"/>
    <xf numFmtId="172" fontId="37" fillId="0" borderId="48" xfId="0" applyNumberFormat="1" applyFont="1" applyBorder="1"/>
    <xf numFmtId="181" fontId="37" fillId="0" borderId="1" xfId="34" applyNumberFormat="1" applyFont="1" applyFill="1" applyBorder="1"/>
    <xf numFmtId="181" fontId="37" fillId="0" borderId="47" xfId="34" applyNumberFormat="1" applyFont="1" applyFill="1" applyBorder="1"/>
    <xf numFmtId="181" fontId="37" fillId="0" borderId="54" xfId="34" applyNumberFormat="1" applyFont="1" applyFill="1" applyBorder="1"/>
    <xf numFmtId="3" fontId="81" fillId="0" borderId="48" xfId="0" applyNumberFormat="1" applyFont="1" applyBorder="1"/>
    <xf numFmtId="181" fontId="37" fillId="0" borderId="1" xfId="34" applyNumberFormat="1" applyFont="1" applyBorder="1"/>
    <xf numFmtId="181" fontId="37" fillId="0" borderId="47" xfId="34" applyNumberFormat="1" applyFont="1" applyBorder="1"/>
    <xf numFmtId="181" fontId="37" fillId="0" borderId="54" xfId="34" applyNumberFormat="1" applyFont="1" applyBorder="1"/>
    <xf numFmtId="172" fontId="37" fillId="0" borderId="48" xfId="0" applyNumberFormat="1" applyFont="1" applyBorder="1" applyAlignment="1">
      <alignment horizontal="left"/>
    </xf>
    <xf numFmtId="181" fontId="37" fillId="45" borderId="1" xfId="0" applyNumberFormat="1" applyFont="1" applyFill="1" applyBorder="1"/>
    <xf numFmtId="181" fontId="37" fillId="45" borderId="47" xfId="0" applyNumberFormat="1" applyFont="1" applyFill="1" applyBorder="1"/>
    <xf numFmtId="181" fontId="37" fillId="45" borderId="54" xfId="0" applyNumberFormat="1" applyFont="1" applyFill="1" applyBorder="1"/>
    <xf numFmtId="181" fontId="0" fillId="0" borderId="0" xfId="0" applyNumberFormat="1"/>
    <xf numFmtId="172" fontId="36" fillId="0" borderId="48" xfId="0" applyNumberFormat="1" applyFont="1" applyBorder="1"/>
    <xf numFmtId="172" fontId="36" fillId="0" borderId="48" xfId="0" applyNumberFormat="1" applyFont="1" applyBorder="1" applyAlignment="1">
      <alignment horizontal="left"/>
    </xf>
    <xf numFmtId="181" fontId="36" fillId="0" borderId="1" xfId="34" applyNumberFormat="1" applyFont="1" applyFill="1" applyBorder="1"/>
    <xf numFmtId="181" fontId="36" fillId="0" borderId="47" xfId="34" applyNumberFormat="1" applyFont="1" applyFill="1" applyBorder="1"/>
    <xf numFmtId="181" fontId="36" fillId="0" borderId="54" xfId="34" applyNumberFormat="1" applyFont="1" applyFill="1" applyBorder="1"/>
    <xf numFmtId="181" fontId="37" fillId="45" borderId="1" xfId="34" applyNumberFormat="1" applyFont="1" applyFill="1" applyBorder="1"/>
    <xf numFmtId="181" fontId="37" fillId="45" borderId="47" xfId="34" applyNumberFormat="1" applyFont="1" applyFill="1" applyBorder="1"/>
    <xf numFmtId="181" fontId="37" fillId="45" borderId="54" xfId="34" applyNumberFormat="1" applyFont="1" applyFill="1" applyBorder="1"/>
    <xf numFmtId="172" fontId="40" fillId="0" borderId="48" xfId="0" applyNumberFormat="1" applyFont="1" applyBorder="1"/>
    <xf numFmtId="0" fontId="37" fillId="0" borderId="48" xfId="0" applyFont="1" applyBorder="1"/>
    <xf numFmtId="3" fontId="80" fillId="0" borderId="48" xfId="0" applyNumberFormat="1" applyFont="1" applyBorder="1" applyAlignment="1">
      <alignment horizontal="left"/>
    </xf>
    <xf numFmtId="181" fontId="36" fillId="0" borderId="1" xfId="0" applyNumberFormat="1" applyFont="1" applyBorder="1"/>
    <xf numFmtId="181" fontId="36" fillId="0" borderId="54" xfId="0" applyNumberFormat="1" applyFont="1" applyBorder="1"/>
    <xf numFmtId="0" fontId="0" fillId="45" borderId="0" xfId="0" applyFill="1"/>
    <xf numFmtId="181" fontId="0" fillId="45" borderId="0" xfId="0" applyNumberFormat="1" applyFill="1"/>
    <xf numFmtId="41" fontId="9" fillId="0" borderId="1" xfId="0" applyNumberFormat="1" applyFont="1" applyBorder="1"/>
    <xf numFmtId="41" fontId="92" fillId="0" borderId="1" xfId="0" applyNumberFormat="1" applyFont="1" applyBorder="1"/>
    <xf numFmtId="41" fontId="0" fillId="0" borderId="1" xfId="0" applyNumberFormat="1" applyBorder="1"/>
    <xf numFmtId="49" fontId="91" fillId="0" borderId="81" xfId="0" applyNumberFormat="1" applyFont="1" applyBorder="1" applyAlignment="1">
      <alignment horizontal="center" vertical="center" shrinkToFit="1"/>
    </xf>
    <xf numFmtId="3" fontId="108" fillId="0" borderId="82" xfId="0" applyNumberFormat="1" applyFont="1" applyBorder="1" applyAlignment="1">
      <alignment horizontal="right" vertical="center" shrinkToFit="1"/>
    </xf>
    <xf numFmtId="3" fontId="108" fillId="0" borderId="83" xfId="0" applyNumberFormat="1" applyFont="1" applyBorder="1" applyAlignment="1">
      <alignment horizontal="right" vertical="center" shrinkToFit="1"/>
    </xf>
    <xf numFmtId="49" fontId="91" fillId="0" borderId="84" xfId="0" applyNumberFormat="1" applyFont="1" applyBorder="1" applyAlignment="1">
      <alignment horizontal="center" vertical="center" shrinkToFit="1"/>
    </xf>
    <xf numFmtId="49" fontId="86" fillId="0" borderId="68" xfId="0" applyNumberFormat="1" applyFont="1" applyBorder="1" applyAlignment="1">
      <alignment horizontal="right"/>
    </xf>
    <xf numFmtId="3" fontId="83" fillId="0" borderId="85" xfId="0" applyNumberFormat="1" applyFont="1" applyBorder="1" applyAlignment="1">
      <alignment horizontal="right" vertical="center" shrinkToFit="1"/>
    </xf>
    <xf numFmtId="3" fontId="3" fillId="0" borderId="45" xfId="0" applyNumberFormat="1" applyFont="1" applyBorder="1"/>
    <xf numFmtId="49" fontId="86" fillId="0" borderId="70" xfId="0" applyNumberFormat="1" applyFont="1" applyBorder="1" applyAlignment="1">
      <alignment horizontal="right"/>
    </xf>
    <xf numFmtId="3" fontId="83" fillId="0" borderId="86" xfId="0" applyNumberFormat="1" applyFont="1" applyBorder="1" applyAlignment="1">
      <alignment horizontal="right"/>
    </xf>
    <xf numFmtId="3" fontId="108" fillId="0" borderId="1" xfId="0" applyNumberFormat="1" applyFont="1" applyBorder="1" applyAlignment="1">
      <alignment horizontal="right" vertical="center" shrinkToFit="1"/>
    </xf>
    <xf numFmtId="49" fontId="91" fillId="0" borderId="1" xfId="0" applyNumberFormat="1" applyFont="1" applyBorder="1" applyAlignment="1">
      <alignment horizontal="center" vertical="center" shrinkToFit="1"/>
    </xf>
    <xf numFmtId="169" fontId="107" fillId="0" borderId="77" xfId="0" applyNumberFormat="1" applyFont="1" applyBorder="1" applyAlignment="1">
      <alignment horizontal="right"/>
    </xf>
    <xf numFmtId="169" fontId="107" fillId="0" borderId="67" xfId="0" applyNumberFormat="1" applyFont="1" applyBorder="1" applyAlignment="1">
      <alignment horizontal="right"/>
    </xf>
    <xf numFmtId="0" fontId="0" fillId="53" borderId="1" xfId="0" applyFill="1" applyBorder="1"/>
    <xf numFmtId="0" fontId="11" fillId="53" borderId="1" xfId="0" applyFont="1" applyFill="1" applyBorder="1" applyAlignment="1">
      <alignment vertical="center"/>
    </xf>
    <xf numFmtId="168" fontId="83" fillId="53" borderId="1" xfId="0" applyNumberFormat="1" applyFont="1" applyFill="1" applyBorder="1" applyAlignment="1">
      <alignment horizontal="right"/>
    </xf>
    <xf numFmtId="168" fontId="107" fillId="53" borderId="1" xfId="0" applyNumberFormat="1" applyFont="1" applyFill="1" applyBorder="1" applyAlignment="1">
      <alignment horizontal="right"/>
    </xf>
    <xf numFmtId="3" fontId="105" fillId="53" borderId="1" xfId="0" applyNumberFormat="1" applyFont="1" applyFill="1" applyBorder="1" applyAlignment="1">
      <alignment horizontal="right" wrapText="1"/>
    </xf>
    <xf numFmtId="3" fontId="0" fillId="53" borderId="1" xfId="0" applyNumberFormat="1" applyFill="1" applyBorder="1"/>
    <xf numFmtId="173" fontId="9" fillId="53" borderId="1" xfId="0" applyNumberFormat="1" applyFont="1" applyFill="1" applyBorder="1"/>
    <xf numFmtId="0" fontId="0" fillId="53" borderId="0" xfId="0" applyFill="1"/>
    <xf numFmtId="0" fontId="2" fillId="53" borderId="1" xfId="0" applyFont="1" applyFill="1" applyBorder="1"/>
    <xf numFmtId="49" fontId="83" fillId="63" borderId="14" xfId="0" applyNumberFormat="1" applyFont="1" applyFill="1" applyBorder="1" applyAlignment="1">
      <alignment horizontal="right"/>
    </xf>
    <xf numFmtId="168" fontId="83" fillId="63" borderId="14" xfId="0" applyNumberFormat="1" applyFont="1" applyFill="1" applyBorder="1" applyAlignment="1">
      <alignment horizontal="right"/>
    </xf>
    <xf numFmtId="3" fontId="83" fillId="63" borderId="14" xfId="0" applyNumberFormat="1" applyFont="1" applyFill="1" applyBorder="1" applyAlignment="1">
      <alignment horizontal="right" wrapText="1"/>
    </xf>
    <xf numFmtId="3" fontId="3" fillId="63" borderId="14" xfId="0" applyNumberFormat="1" applyFont="1" applyFill="1" applyBorder="1"/>
    <xf numFmtId="49" fontId="83" fillId="0" borderId="14" xfId="0" applyNumberFormat="1" applyFont="1" applyBorder="1" applyAlignment="1">
      <alignment horizontal="right"/>
    </xf>
    <xf numFmtId="168" fontId="83" fillId="0" borderId="14" xfId="0" applyNumberFormat="1" applyFont="1" applyBorder="1" applyAlignment="1">
      <alignment horizontal="right"/>
    </xf>
    <xf numFmtId="0" fontId="83" fillId="0" borderId="14" xfId="0" applyFont="1" applyBorder="1" applyAlignment="1">
      <alignment horizontal="right" wrapText="1"/>
    </xf>
    <xf numFmtId="3" fontId="3" fillId="0" borderId="14" xfId="0" applyNumberFormat="1" applyFont="1" applyBorder="1"/>
    <xf numFmtId="0" fontId="106" fillId="63" borderId="14" xfId="0" applyFont="1" applyFill="1" applyBorder="1" applyAlignment="1">
      <alignment horizontal="left" wrapText="1"/>
    </xf>
    <xf numFmtId="0" fontId="83" fillId="63" borderId="14" xfId="0" applyFont="1" applyFill="1" applyBorder="1" applyAlignment="1">
      <alignment horizontal="right" wrapText="1"/>
    </xf>
    <xf numFmtId="3" fontId="105" fillId="0" borderId="14" xfId="0" applyNumberFormat="1" applyFont="1" applyBorder="1" applyAlignment="1">
      <alignment horizontal="right" wrapText="1"/>
    </xf>
    <xf numFmtId="0" fontId="105" fillId="0" borderId="14" xfId="0" applyFont="1" applyBorder="1" applyAlignment="1">
      <alignment horizontal="right" wrapText="1"/>
    </xf>
    <xf numFmtId="0" fontId="11" fillId="63" borderId="14" xfId="0" applyFont="1" applyFill="1" applyBorder="1" applyAlignment="1">
      <alignment vertical="center"/>
    </xf>
    <xf numFmtId="173" fontId="9" fillId="63" borderId="14" xfId="0" applyNumberFormat="1" applyFont="1" applyFill="1" applyBorder="1"/>
    <xf numFmtId="3" fontId="0" fillId="63" borderId="14" xfId="0" applyNumberFormat="1" applyFill="1" applyBorder="1"/>
    <xf numFmtId="0" fontId="11" fillId="0" borderId="14" xfId="0" applyFont="1" applyBorder="1" applyAlignment="1">
      <alignment vertical="center"/>
    </xf>
    <xf numFmtId="173" fontId="9" fillId="0" borderId="14" xfId="0" applyNumberFormat="1" applyFont="1" applyBorder="1"/>
    <xf numFmtId="3" fontId="0" fillId="0" borderId="14" xfId="0" applyNumberFormat="1" applyBorder="1"/>
    <xf numFmtId="41" fontId="92" fillId="0" borderId="14" xfId="0" applyNumberFormat="1" applyFont="1" applyBorder="1"/>
    <xf numFmtId="49" fontId="84" fillId="0" borderId="87" xfId="0" applyNumberFormat="1" applyFont="1" applyBorder="1" applyAlignment="1">
      <alignment horizontal="right"/>
    </xf>
    <xf numFmtId="3" fontId="83" fillId="0" borderId="88" xfId="0" applyNumberFormat="1" applyFont="1" applyBorder="1" applyAlignment="1">
      <alignment horizontal="right"/>
    </xf>
    <xf numFmtId="169" fontId="11" fillId="0" borderId="45" xfId="0" applyNumberFormat="1" applyFont="1" applyBorder="1"/>
    <xf numFmtId="0" fontId="22" fillId="0" borderId="1" xfId="0" applyFont="1" applyBorder="1"/>
    <xf numFmtId="0" fontId="28" fillId="0" borderId="1" xfId="0" applyFont="1" applyBorder="1" applyAlignment="1">
      <alignment vertical="center"/>
    </xf>
    <xf numFmtId="173" fontId="35" fillId="0" borderId="1" xfId="0" applyNumberFormat="1" applyFont="1" applyBorder="1"/>
    <xf numFmtId="3" fontId="22" fillId="0" borderId="1" xfId="0" applyNumberFormat="1" applyFont="1" applyBorder="1"/>
    <xf numFmtId="0" fontId="11" fillId="0" borderId="1" xfId="0" applyFont="1" applyBorder="1" applyAlignment="1">
      <alignment vertical="center"/>
    </xf>
    <xf numFmtId="168" fontId="0" fillId="53" borderId="0" xfId="0" applyNumberFormat="1" applyFill="1"/>
    <xf numFmtId="182" fontId="3" fillId="53" borderId="1" xfId="0" applyNumberFormat="1" applyFont="1" applyFill="1" applyBorder="1"/>
    <xf numFmtId="0" fontId="2" fillId="63" borderId="0" xfId="0" applyFont="1" applyFill="1"/>
    <xf numFmtId="10" fontId="41" fillId="63" borderId="0" xfId="50" applyNumberFormat="1" applyFont="1" applyFill="1"/>
    <xf numFmtId="173" fontId="0" fillId="0" borderId="0" xfId="0" applyNumberFormat="1"/>
    <xf numFmtId="10" fontId="0" fillId="0" borderId="0" xfId="50" applyNumberFormat="1" applyFont="1"/>
    <xf numFmtId="171" fontId="81" fillId="45" borderId="1" xfId="34" applyNumberFormat="1" applyFont="1" applyFill="1" applyBorder="1" applyAlignment="1">
      <alignment horizontal="center" vertical="top"/>
    </xf>
    <xf numFmtId="166" fontId="0" fillId="0" borderId="0" xfId="0" applyNumberFormat="1"/>
    <xf numFmtId="166" fontId="3" fillId="54" borderId="0" xfId="0" applyNumberFormat="1" applyFont="1" applyFill="1"/>
    <xf numFmtId="166" fontId="3" fillId="40" borderId="14" xfId="0" applyNumberFormat="1" applyFont="1" applyFill="1" applyBorder="1"/>
    <xf numFmtId="0" fontId="83" fillId="40" borderId="4" xfId="0" applyFont="1" applyFill="1" applyBorder="1"/>
    <xf numFmtId="166" fontId="3" fillId="40" borderId="45" xfId="0" applyNumberFormat="1" applyFont="1" applyFill="1" applyBorder="1"/>
    <xf numFmtId="0" fontId="83" fillId="59" borderId="4" xfId="0" applyFont="1" applyFill="1" applyBorder="1"/>
    <xf numFmtId="166" fontId="91" fillId="59" borderId="45" xfId="0" applyNumberFormat="1" applyFont="1" applyFill="1" applyBorder="1"/>
    <xf numFmtId="0" fontId="83" fillId="40" borderId="45" xfId="0" applyFont="1" applyFill="1" applyBorder="1"/>
    <xf numFmtId="0" fontId="83" fillId="59" borderId="13" xfId="0" applyFont="1" applyFill="1" applyBorder="1"/>
    <xf numFmtId="166" fontId="91" fillId="59" borderId="9" xfId="0" applyNumberFormat="1" applyFont="1" applyFill="1" applyBorder="1"/>
    <xf numFmtId="49" fontId="91" fillId="55" borderId="67" xfId="0" applyNumberFormat="1" applyFont="1" applyFill="1" applyBorder="1"/>
    <xf numFmtId="168" fontId="91" fillId="55" borderId="67" xfId="0" applyNumberFormat="1" applyFont="1" applyFill="1" applyBorder="1" applyAlignment="1">
      <alignment horizontal="right"/>
    </xf>
    <xf numFmtId="49" fontId="107" fillId="0" borderId="67" xfId="0" applyNumberFormat="1" applyFont="1" applyBorder="1"/>
    <xf numFmtId="168" fontId="107" fillId="0" borderId="67" xfId="0" applyNumberFormat="1" applyFont="1" applyBorder="1" applyAlignment="1">
      <alignment horizontal="right"/>
    </xf>
    <xf numFmtId="0" fontId="33" fillId="0" borderId="0" xfId="0" applyFont="1" applyAlignment="1">
      <alignment horizontal="center"/>
    </xf>
    <xf numFmtId="4" fontId="33" fillId="0" borderId="0" xfId="0" applyNumberFormat="1" applyFont="1" applyAlignment="1">
      <alignment horizontal="center"/>
    </xf>
    <xf numFmtId="3" fontId="33" fillId="0" borderId="0" xfId="0" applyNumberFormat="1" applyFont="1" applyAlignment="1">
      <alignment horizontal="center"/>
    </xf>
    <xf numFmtId="3" fontId="29" fillId="0" borderId="2" xfId="0" applyNumberFormat="1" applyFont="1" applyBorder="1" applyAlignment="1">
      <alignment horizontal="right" vertical="justify"/>
    </xf>
    <xf numFmtId="0" fontId="16" fillId="0" borderId="1" xfId="0" applyFont="1" applyBorder="1"/>
    <xf numFmtId="3" fontId="32" fillId="0" borderId="2" xfId="0" applyNumberFormat="1" applyFont="1" applyBorder="1" applyAlignment="1">
      <alignment horizontal="right"/>
    </xf>
    <xf numFmtId="3" fontId="0" fillId="0" borderId="45" xfId="0" applyNumberFormat="1" applyBorder="1"/>
    <xf numFmtId="3" fontId="2" fillId="0" borderId="45" xfId="0" applyNumberFormat="1" applyFont="1" applyBorder="1"/>
    <xf numFmtId="3" fontId="32" fillId="40" borderId="2" xfId="0" applyNumberFormat="1" applyFont="1" applyFill="1" applyBorder="1" applyAlignment="1">
      <alignment horizontal="right"/>
    </xf>
    <xf numFmtId="3" fontId="109" fillId="53" borderId="1" xfId="0" applyNumberFormat="1" applyFont="1" applyFill="1" applyBorder="1"/>
    <xf numFmtId="3" fontId="109" fillId="0" borderId="1" xfId="0" applyNumberFormat="1" applyFont="1" applyBorder="1"/>
    <xf numFmtId="3" fontId="16" fillId="0" borderId="45" xfId="0" applyNumberFormat="1" applyFont="1" applyBorder="1"/>
    <xf numFmtId="3" fontId="97" fillId="40" borderId="2" xfId="0" applyNumberFormat="1" applyFont="1" applyFill="1" applyBorder="1"/>
    <xf numFmtId="165" fontId="98" fillId="40" borderId="2" xfId="0" applyNumberFormat="1" applyFont="1" applyFill="1" applyBorder="1"/>
    <xf numFmtId="4" fontId="32" fillId="40" borderId="0" xfId="0" applyNumberFormat="1" applyFont="1" applyFill="1"/>
    <xf numFmtId="3" fontId="21" fillId="0" borderId="0" xfId="0" applyNumberFormat="1" applyFont="1"/>
    <xf numFmtId="4" fontId="21" fillId="0" borderId="0" xfId="0" applyNumberFormat="1" applyFont="1"/>
    <xf numFmtId="0" fontId="0" fillId="0" borderId="45" xfId="0" applyBorder="1"/>
    <xf numFmtId="3" fontId="110" fillId="0" borderId="2" xfId="0" applyNumberFormat="1" applyFont="1" applyBorder="1"/>
    <xf numFmtId="3" fontId="33" fillId="0" borderId="1" xfId="0" applyNumberFormat="1" applyFont="1" applyBorder="1"/>
    <xf numFmtId="3" fontId="94" fillId="40" borderId="47" xfId="0" applyNumberFormat="1" applyFont="1" applyFill="1" applyBorder="1"/>
    <xf numFmtId="3" fontId="32" fillId="40" borderId="8" xfId="0" applyNumberFormat="1" applyFont="1" applyFill="1" applyBorder="1"/>
    <xf numFmtId="0" fontId="0" fillId="0" borderId="39" xfId="0" applyBorder="1"/>
    <xf numFmtId="4" fontId="32" fillId="0" borderId="47" xfId="0" applyNumberFormat="1" applyFont="1" applyBorder="1"/>
    <xf numFmtId="166" fontId="32" fillId="40" borderId="0" xfId="0" applyNumberFormat="1" applyFont="1" applyFill="1"/>
    <xf numFmtId="0" fontId="2" fillId="40" borderId="0" xfId="0" applyFont="1" applyFill="1"/>
    <xf numFmtId="3" fontId="32" fillId="37" borderId="1" xfId="0" applyNumberFormat="1" applyFont="1" applyFill="1" applyBorder="1"/>
    <xf numFmtId="0" fontId="22" fillId="64" borderId="1" xfId="0" applyFont="1" applyFill="1" applyBorder="1"/>
    <xf numFmtId="3" fontId="29" fillId="64" borderId="47" xfId="0" applyNumberFormat="1" applyFont="1" applyFill="1" applyBorder="1"/>
    <xf numFmtId="4" fontId="29" fillId="64" borderId="47" xfId="0" applyNumberFormat="1" applyFont="1" applyFill="1" applyBorder="1"/>
    <xf numFmtId="3" fontId="32" fillId="64" borderId="1" xfId="0" applyNumberFormat="1" applyFont="1" applyFill="1" applyBorder="1"/>
    <xf numFmtId="3" fontId="98" fillId="64" borderId="2" xfId="0" applyNumberFormat="1" applyFont="1" applyFill="1" applyBorder="1" applyAlignment="1">
      <alignment horizontal="right"/>
    </xf>
    <xf numFmtId="3" fontId="0" fillId="64" borderId="1" xfId="0" applyNumberFormat="1" applyFill="1" applyBorder="1"/>
    <xf numFmtId="0" fontId="77" fillId="63" borderId="1" xfId="0" applyFont="1" applyFill="1" applyBorder="1" applyAlignment="1">
      <alignment vertical="center"/>
    </xf>
    <xf numFmtId="0" fontId="76" fillId="63" borderId="1" xfId="0" applyFont="1" applyFill="1" applyBorder="1" applyAlignment="1">
      <alignment vertical="center"/>
    </xf>
    <xf numFmtId="3" fontId="32" fillId="63" borderId="2" xfId="0" applyNumberFormat="1" applyFont="1" applyFill="1" applyBorder="1"/>
    <xf numFmtId="3" fontId="32" fillId="63" borderId="1" xfId="0" applyNumberFormat="1" applyFont="1" applyFill="1" applyBorder="1"/>
    <xf numFmtId="4" fontId="32" fillId="63" borderId="1" xfId="0" applyNumberFormat="1" applyFont="1" applyFill="1" applyBorder="1"/>
    <xf numFmtId="3" fontId="32" fillId="63" borderId="2" xfId="0" applyNumberFormat="1" applyFont="1" applyFill="1" applyBorder="1" applyAlignment="1">
      <alignment horizontal="right"/>
    </xf>
    <xf numFmtId="3" fontId="0" fillId="63" borderId="45" xfId="0" applyNumberFormat="1" applyFill="1" applyBorder="1"/>
    <xf numFmtId="3" fontId="99" fillId="63" borderId="1" xfId="0" applyNumberFormat="1" applyFont="1" applyFill="1" applyBorder="1"/>
    <xf numFmtId="0" fontId="111" fillId="63" borderId="1" xfId="0" applyFont="1" applyFill="1" applyBorder="1" applyAlignment="1">
      <alignment vertical="center"/>
    </xf>
    <xf numFmtId="3" fontId="29" fillId="63" borderId="2" xfId="0" applyNumberFormat="1" applyFont="1" applyFill="1" applyBorder="1"/>
    <xf numFmtId="4" fontId="29" fillId="63" borderId="2" xfId="0" applyNumberFormat="1" applyFont="1" applyFill="1" applyBorder="1"/>
    <xf numFmtId="3" fontId="109" fillId="63" borderId="47" xfId="0" applyNumberFormat="1" applyFont="1" applyFill="1" applyBorder="1"/>
    <xf numFmtId="3" fontId="109" fillId="63" borderId="2" xfId="0" applyNumberFormat="1" applyFont="1" applyFill="1" applyBorder="1"/>
    <xf numFmtId="3" fontId="16" fillId="63" borderId="45" xfId="0" applyNumberFormat="1" applyFont="1" applyFill="1" applyBorder="1"/>
    <xf numFmtId="0" fontId="77" fillId="58" borderId="1" xfId="0" applyFont="1" applyFill="1" applyBorder="1" applyAlignment="1">
      <alignment vertical="center"/>
    </xf>
    <xf numFmtId="0" fontId="79" fillId="58" borderId="1" xfId="0" applyFont="1" applyFill="1" applyBorder="1" applyAlignment="1">
      <alignment vertical="center"/>
    </xf>
    <xf numFmtId="3" fontId="94" fillId="58" borderId="1" xfId="0" applyNumberFormat="1" applyFont="1" applyFill="1" applyBorder="1"/>
    <xf numFmtId="3" fontId="21" fillId="58" borderId="2" xfId="0" applyNumberFormat="1" applyFont="1" applyFill="1" applyBorder="1"/>
    <xf numFmtId="3" fontId="21" fillId="58" borderId="1" xfId="0" applyNumberFormat="1" applyFont="1" applyFill="1" applyBorder="1"/>
    <xf numFmtId="3" fontId="32" fillId="58" borderId="1" xfId="0" applyNumberFormat="1" applyFont="1" applyFill="1" applyBorder="1"/>
    <xf numFmtId="3" fontId="97" fillId="58" borderId="2" xfId="0" applyNumberFormat="1" applyFont="1" applyFill="1" applyBorder="1"/>
    <xf numFmtId="3" fontId="0" fillId="58" borderId="45" xfId="0" applyNumberFormat="1" applyFill="1" applyBorder="1"/>
    <xf numFmtId="0" fontId="77" fillId="37" borderId="1" xfId="0" applyFont="1" applyFill="1" applyBorder="1" applyAlignment="1">
      <alignment vertical="center"/>
    </xf>
    <xf numFmtId="3" fontId="32" fillId="37" borderId="2" xfId="0" applyNumberFormat="1" applyFont="1" applyFill="1" applyBorder="1"/>
    <xf numFmtId="4" fontId="32" fillId="37" borderId="1" xfId="0" applyNumberFormat="1" applyFont="1" applyFill="1" applyBorder="1"/>
    <xf numFmtId="3" fontId="32" fillId="37" borderId="2" xfId="0" applyNumberFormat="1" applyFont="1" applyFill="1" applyBorder="1" applyAlignment="1">
      <alignment horizontal="right"/>
    </xf>
    <xf numFmtId="3" fontId="0" fillId="37" borderId="45" xfId="0" applyNumberFormat="1" applyFill="1" applyBorder="1"/>
    <xf numFmtId="0" fontId="79" fillId="37" borderId="1" xfId="0" applyFont="1" applyFill="1" applyBorder="1" applyAlignment="1">
      <alignment vertical="center"/>
    </xf>
    <xf numFmtId="3" fontId="21" fillId="37" borderId="1" xfId="0" applyNumberFormat="1" applyFont="1" applyFill="1" applyBorder="1"/>
    <xf numFmtId="3" fontId="21" fillId="37" borderId="2" xfId="0" applyNumberFormat="1" applyFont="1" applyFill="1" applyBorder="1"/>
    <xf numFmtId="4" fontId="21" fillId="37" borderId="2" xfId="0" applyNumberFormat="1" applyFont="1" applyFill="1" applyBorder="1"/>
    <xf numFmtId="3" fontId="34" fillId="37" borderId="47" xfId="0" applyNumberFormat="1" applyFont="1" applyFill="1" applyBorder="1"/>
    <xf numFmtId="3" fontId="34" fillId="37" borderId="2" xfId="0" applyNumberFormat="1" applyFont="1" applyFill="1" applyBorder="1"/>
    <xf numFmtId="3" fontId="16" fillId="37" borderId="45" xfId="0" applyNumberFormat="1" applyFont="1" applyFill="1" applyBorder="1"/>
    <xf numFmtId="3" fontId="109" fillId="63" borderId="1" xfId="0" applyNumberFormat="1" applyFont="1" applyFill="1" applyBorder="1"/>
    <xf numFmtId="0" fontId="32" fillId="63" borderId="0" xfId="0" applyFont="1" applyFill="1"/>
    <xf numFmtId="4" fontId="32" fillId="63" borderId="0" xfId="0" applyNumberFormat="1" applyFont="1" applyFill="1"/>
    <xf numFmtId="3" fontId="32" fillId="63" borderId="47" xfId="0" applyNumberFormat="1" applyFont="1" applyFill="1" applyBorder="1"/>
    <xf numFmtId="0" fontId="79" fillId="63" borderId="1" xfId="0" applyFont="1" applyFill="1" applyBorder="1" applyAlignment="1">
      <alignment vertical="center"/>
    </xf>
    <xf numFmtId="3" fontId="112" fillId="63" borderId="1" xfId="0" applyNumberFormat="1" applyFont="1" applyFill="1" applyBorder="1"/>
    <xf numFmtId="3" fontId="109" fillId="0" borderId="47" xfId="0" applyNumberFormat="1" applyFont="1" applyBorder="1"/>
    <xf numFmtId="0" fontId="109" fillId="59" borderId="1" xfId="0" applyFont="1" applyFill="1" applyBorder="1"/>
    <xf numFmtId="3" fontId="112" fillId="59" borderId="1" xfId="0" applyNumberFormat="1" applyFont="1" applyFill="1" applyBorder="1"/>
    <xf numFmtId="3" fontId="29" fillId="59" borderId="47" xfId="0" applyNumberFormat="1" applyFont="1" applyFill="1" applyBorder="1"/>
    <xf numFmtId="3" fontId="29" fillId="59" borderId="1" xfId="0" applyNumberFormat="1" applyFont="1" applyFill="1" applyBorder="1"/>
    <xf numFmtId="4" fontId="29" fillId="59" borderId="1" xfId="0" applyNumberFormat="1" applyFont="1" applyFill="1" applyBorder="1"/>
    <xf numFmtId="3" fontId="17" fillId="59" borderId="2" xfId="0" applyNumberFormat="1" applyFont="1" applyFill="1" applyBorder="1"/>
    <xf numFmtId="3" fontId="16" fillId="59" borderId="45" xfId="0" applyNumberFormat="1" applyFont="1" applyFill="1" applyBorder="1"/>
    <xf numFmtId="0" fontId="72" fillId="59" borderId="1" xfId="0" applyFont="1" applyFill="1" applyBorder="1"/>
    <xf numFmtId="3" fontId="86" fillId="59" borderId="1" xfId="0" applyNumberFormat="1" applyFont="1" applyFill="1" applyBorder="1"/>
    <xf numFmtId="3" fontId="32" fillId="59" borderId="47" xfId="0" applyNumberFormat="1" applyFont="1" applyFill="1" applyBorder="1"/>
    <xf numFmtId="3" fontId="32" fillId="59" borderId="1" xfId="0" applyNumberFormat="1" applyFont="1" applyFill="1" applyBorder="1"/>
    <xf numFmtId="3" fontId="21" fillId="59" borderId="1" xfId="0" applyNumberFormat="1" applyFont="1" applyFill="1" applyBorder="1"/>
    <xf numFmtId="4" fontId="21" fillId="59" borderId="1" xfId="0" applyNumberFormat="1" applyFont="1" applyFill="1" applyBorder="1"/>
    <xf numFmtId="3" fontId="42" fillId="59" borderId="1" xfId="0" applyNumberFormat="1" applyFont="1" applyFill="1" applyBorder="1"/>
    <xf numFmtId="3" fontId="110" fillId="59" borderId="2" xfId="0" applyNumberFormat="1" applyFont="1" applyFill="1" applyBorder="1"/>
    <xf numFmtId="3" fontId="2" fillId="59" borderId="45" xfId="0" applyNumberFormat="1" applyFont="1" applyFill="1" applyBorder="1"/>
    <xf numFmtId="4" fontId="32" fillId="59" borderId="1" xfId="0" applyNumberFormat="1" applyFont="1" applyFill="1" applyBorder="1"/>
    <xf numFmtId="0" fontId="77" fillId="53" borderId="1" xfId="0" applyFont="1" applyFill="1" applyBorder="1" applyAlignment="1">
      <alignment vertical="center"/>
    </xf>
    <xf numFmtId="3" fontId="112" fillId="53" borderId="1" xfId="0" applyNumberFormat="1" applyFont="1" applyFill="1" applyBorder="1"/>
    <xf numFmtId="3" fontId="29" fillId="53" borderId="2" xfId="0" applyNumberFormat="1" applyFont="1" applyFill="1" applyBorder="1"/>
    <xf numFmtId="3" fontId="29" fillId="53" borderId="1" xfId="0" applyNumberFormat="1" applyFont="1" applyFill="1" applyBorder="1"/>
    <xf numFmtId="0" fontId="29" fillId="0" borderId="1" xfId="0" applyFont="1" applyBorder="1" applyAlignment="1">
      <alignment horizontal="center" wrapText="1"/>
    </xf>
    <xf numFmtId="0" fontId="29" fillId="0" borderId="1" xfId="0" applyFont="1" applyBorder="1" applyAlignment="1">
      <alignment horizontal="center" vertical="center"/>
    </xf>
    <xf numFmtId="0" fontId="32" fillId="65" borderId="0" xfId="0" applyFont="1" applyFill="1"/>
    <xf numFmtId="0" fontId="0" fillId="65" borderId="0" xfId="0" applyFill="1"/>
    <xf numFmtId="178" fontId="32" fillId="65" borderId="0" xfId="0" applyNumberFormat="1" applyFont="1" applyFill="1"/>
    <xf numFmtId="0" fontId="29" fillId="65" borderId="0" xfId="0" applyFont="1" applyFill="1"/>
    <xf numFmtId="0" fontId="96" fillId="65" borderId="0" xfId="0" applyFont="1" applyFill="1"/>
    <xf numFmtId="178" fontId="96" fillId="65" borderId="0" xfId="0" applyNumberFormat="1" applyFont="1" applyFill="1"/>
    <xf numFmtId="0" fontId="32" fillId="66" borderId="0" xfId="0" applyFont="1" applyFill="1"/>
    <xf numFmtId="0" fontId="0" fillId="66" borderId="0" xfId="0" applyFill="1"/>
    <xf numFmtId="3" fontId="32" fillId="66" borderId="0" xfId="0" applyNumberFormat="1" applyFont="1" applyFill="1"/>
    <xf numFmtId="0" fontId="29" fillId="66" borderId="0" xfId="0" applyFont="1" applyFill="1"/>
    <xf numFmtId="0" fontId="99" fillId="66" borderId="0" xfId="0" applyFont="1" applyFill="1"/>
    <xf numFmtId="3" fontId="99" fillId="66" borderId="0" xfId="0" applyNumberFormat="1" applyFont="1" applyFill="1"/>
    <xf numFmtId="0" fontId="5" fillId="66" borderId="0" xfId="0" applyFont="1" applyFill="1"/>
    <xf numFmtId="178" fontId="29" fillId="66" borderId="0" xfId="0" applyNumberFormat="1" applyFont="1" applyFill="1"/>
    <xf numFmtId="0" fontId="32" fillId="67" borderId="0" xfId="0" applyFont="1" applyFill="1"/>
    <xf numFmtId="178" fontId="32" fillId="67" borderId="0" xfId="0" applyNumberFormat="1" applyFont="1" applyFill="1"/>
    <xf numFmtId="3" fontId="32" fillId="67" borderId="0" xfId="0" applyNumberFormat="1" applyFont="1" applyFill="1"/>
    <xf numFmtId="0" fontId="0" fillId="67" borderId="0" xfId="0" applyFill="1"/>
    <xf numFmtId="3" fontId="39" fillId="67" borderId="0" xfId="0" applyNumberFormat="1" applyFont="1" applyFill="1"/>
    <xf numFmtId="0" fontId="29" fillId="67" borderId="0" xfId="0" applyFont="1" applyFill="1"/>
    <xf numFmtId="178" fontId="32" fillId="66" borderId="0" xfId="0" applyNumberFormat="1" applyFont="1" applyFill="1"/>
    <xf numFmtId="0" fontId="2" fillId="66" borderId="0" xfId="0" applyFont="1" applyFill="1"/>
    <xf numFmtId="0" fontId="32" fillId="66" borderId="0" xfId="0" applyFont="1" applyFill="1" applyAlignment="1">
      <alignment horizontal="center"/>
    </xf>
    <xf numFmtId="9" fontId="32" fillId="66" borderId="0" xfId="50" applyFont="1" applyFill="1"/>
    <xf numFmtId="0" fontId="32" fillId="68" borderId="0" xfId="0" applyFont="1" applyFill="1"/>
    <xf numFmtId="0" fontId="0" fillId="68" borderId="0" xfId="0" applyFill="1"/>
    <xf numFmtId="178" fontId="32" fillId="68" borderId="0" xfId="0" applyNumberFormat="1" applyFont="1" applyFill="1"/>
    <xf numFmtId="0" fontId="2" fillId="68" borderId="0" xfId="0" applyFont="1" applyFill="1"/>
    <xf numFmtId="0" fontId="29" fillId="68" borderId="0" xfId="0" applyFont="1" applyFill="1"/>
    <xf numFmtId="3" fontId="32" fillId="68" borderId="0" xfId="0" applyNumberFormat="1" applyFont="1" applyFill="1"/>
    <xf numFmtId="3" fontId="29" fillId="68" borderId="0" xfId="0" applyNumberFormat="1" applyFont="1" applyFill="1"/>
    <xf numFmtId="3" fontId="0" fillId="68" borderId="0" xfId="0" applyNumberFormat="1" applyFill="1"/>
    <xf numFmtId="3" fontId="32" fillId="68" borderId="8" xfId="0" applyNumberFormat="1" applyFont="1" applyFill="1" applyBorder="1"/>
    <xf numFmtId="179" fontId="32" fillId="68" borderId="0" xfId="50" applyNumberFormat="1" applyFont="1" applyFill="1"/>
    <xf numFmtId="10" fontId="32" fillId="68" borderId="0" xfId="50" applyNumberFormat="1" applyFont="1" applyFill="1"/>
    <xf numFmtId="179" fontId="29" fillId="68" borderId="0" xfId="50" applyNumberFormat="1" applyFont="1" applyFill="1"/>
    <xf numFmtId="10" fontId="29" fillId="68" borderId="0" xfId="50" applyNumberFormat="1" applyFont="1" applyFill="1"/>
    <xf numFmtId="0" fontId="2" fillId="69" borderId="0" xfId="0" applyFont="1" applyFill="1"/>
    <xf numFmtId="0" fontId="0" fillId="69" borderId="0" xfId="0" applyFill="1"/>
    <xf numFmtId="0" fontId="29" fillId="69" borderId="0" xfId="0" applyFont="1" applyFill="1"/>
    <xf numFmtId="0" fontId="32" fillId="69" borderId="0" xfId="0" applyFont="1" applyFill="1"/>
    <xf numFmtId="10" fontId="32" fillId="69" borderId="0" xfId="50" applyNumberFormat="1" applyFont="1" applyFill="1"/>
    <xf numFmtId="3" fontId="32" fillId="69" borderId="0" xfId="0" applyNumberFormat="1" applyFont="1" applyFill="1"/>
    <xf numFmtId="9" fontId="32" fillId="69" borderId="0" xfId="50" applyFont="1" applyFill="1"/>
    <xf numFmtId="10" fontId="29" fillId="69" borderId="0" xfId="50" applyNumberFormat="1" applyFont="1" applyFill="1"/>
    <xf numFmtId="0" fontId="32" fillId="0" borderId="12" xfId="0" applyFont="1" applyBorder="1" applyAlignment="1">
      <alignment horizontal="right"/>
    </xf>
    <xf numFmtId="0" fontId="32" fillId="0" borderId="18" xfId="0" applyFont="1" applyBorder="1" applyAlignment="1">
      <alignment horizontal="right"/>
    </xf>
    <xf numFmtId="0" fontId="14" fillId="0" borderId="47" xfId="0" applyFont="1" applyBorder="1" applyAlignment="1">
      <alignment horizontal="right"/>
    </xf>
    <xf numFmtId="0" fontId="14" fillId="0" borderId="0" xfId="0" applyFont="1"/>
    <xf numFmtId="0" fontId="43" fillId="0" borderId="4" xfId="0" applyFont="1" applyBorder="1" applyAlignment="1">
      <alignment horizontal="center"/>
    </xf>
    <xf numFmtId="0" fontId="43" fillId="0" borderId="0" xfId="0" applyFont="1" applyAlignment="1">
      <alignment horizontal="center"/>
    </xf>
    <xf numFmtId="0" fontId="43" fillId="0" borderId="8" xfId="0" applyFont="1" applyBorder="1" applyAlignment="1">
      <alignment horizontal="right"/>
    </xf>
    <xf numFmtId="0" fontId="32" fillId="0" borderId="8" xfId="0" applyFont="1" applyBorder="1" applyAlignment="1">
      <alignment horizontal="right"/>
    </xf>
    <xf numFmtId="0" fontId="32" fillId="0" borderId="13" xfId="0" applyFont="1" applyBorder="1"/>
    <xf numFmtId="0" fontId="32" fillId="0" borderId="5" xfId="0" applyFont="1" applyBorder="1"/>
    <xf numFmtId="0" fontId="32" fillId="0" borderId="15" xfId="0" applyFont="1" applyBorder="1" applyAlignment="1">
      <alignment horizontal="right"/>
    </xf>
    <xf numFmtId="0" fontId="43" fillId="0" borderId="3" xfId="0" applyFont="1" applyBorder="1" applyAlignment="1">
      <alignment vertical="center"/>
    </xf>
    <xf numFmtId="0" fontId="43" fillId="0" borderId="12" xfId="0" applyFont="1" applyBorder="1" applyAlignment="1">
      <alignment horizontal="center" vertical="center"/>
    </xf>
    <xf numFmtId="0" fontId="43" fillId="0" borderId="12" xfId="0" applyFont="1" applyBorder="1" applyAlignment="1">
      <alignment horizontal="center" vertical="center" wrapText="1"/>
    </xf>
    <xf numFmtId="165" fontId="43" fillId="0" borderId="12" xfId="0" applyNumberFormat="1" applyFont="1" applyBorder="1" applyAlignment="1">
      <alignment horizontal="center" vertical="center" wrapText="1"/>
    </xf>
    <xf numFmtId="0" fontId="43" fillId="0" borderId="18" xfId="0" applyFont="1" applyBorder="1" applyAlignment="1">
      <alignment horizontal="right" vertical="center" wrapText="1"/>
    </xf>
    <xf numFmtId="0" fontId="76" fillId="49" borderId="1" xfId="0" applyFont="1" applyFill="1" applyBorder="1" applyAlignment="1">
      <alignment vertical="center"/>
    </xf>
    <xf numFmtId="3" fontId="86" fillId="0" borderId="0" xfId="0" applyNumberFormat="1" applyFont="1" applyAlignment="1">
      <alignment vertical="center"/>
    </xf>
    <xf numFmtId="165" fontId="32" fillId="0" borderId="0" xfId="0" applyNumberFormat="1" applyFont="1" applyAlignment="1">
      <alignment horizontal="right"/>
    </xf>
    <xf numFmtId="10" fontId="32" fillId="0" borderId="8" xfId="0" applyNumberFormat="1" applyFont="1" applyBorder="1" applyAlignment="1">
      <alignment horizontal="right"/>
    </xf>
    <xf numFmtId="43" fontId="32" fillId="0" borderId="8" xfId="0" applyNumberFormat="1" applyFont="1" applyBorder="1" applyAlignment="1">
      <alignment horizontal="right"/>
    </xf>
    <xf numFmtId="43" fontId="99" fillId="0" borderId="8" xfId="0" applyNumberFormat="1" applyFont="1" applyBorder="1" applyAlignment="1">
      <alignment horizontal="right"/>
    </xf>
    <xf numFmtId="10" fontId="99" fillId="0" borderId="8" xfId="0" applyNumberFormat="1" applyFont="1" applyBorder="1" applyAlignment="1">
      <alignment horizontal="right"/>
    </xf>
    <xf numFmtId="0" fontId="77" fillId="38" borderId="1" xfId="0" applyFont="1" applyFill="1" applyBorder="1" applyAlignment="1">
      <alignment vertical="center"/>
    </xf>
    <xf numFmtId="0" fontId="111" fillId="40" borderId="1" xfId="0" applyFont="1" applyFill="1" applyBorder="1" applyAlignment="1">
      <alignment vertical="center"/>
    </xf>
    <xf numFmtId="165" fontId="21" fillId="0" borderId="2" xfId="0" applyNumberFormat="1" applyFont="1" applyBorder="1"/>
    <xf numFmtId="10" fontId="21" fillId="0" borderId="47" xfId="0" applyNumberFormat="1" applyFont="1" applyBorder="1" applyAlignment="1">
      <alignment horizontal="right"/>
    </xf>
    <xf numFmtId="165" fontId="32" fillId="59" borderId="5" xfId="0" applyNumberFormat="1" applyFont="1" applyFill="1" applyBorder="1" applyAlignment="1">
      <alignment horizontal="right"/>
    </xf>
    <xf numFmtId="43" fontId="32" fillId="0" borderId="15" xfId="0" applyNumberFormat="1" applyFont="1" applyBorder="1" applyAlignment="1">
      <alignment horizontal="right"/>
    </xf>
    <xf numFmtId="0" fontId="76" fillId="0" borderId="0" xfId="0" applyFont="1" applyAlignment="1">
      <alignment vertical="center"/>
    </xf>
    <xf numFmtId="165" fontId="32" fillId="0" borderId="0" xfId="0" applyNumberFormat="1" applyFont="1" applyAlignment="1">
      <alignment horizontal="left"/>
    </xf>
    <xf numFmtId="166" fontId="32" fillId="0" borderId="0" xfId="0" applyNumberFormat="1" applyFont="1" applyAlignment="1">
      <alignment horizontal="right"/>
    </xf>
    <xf numFmtId="10" fontId="32" fillId="0" borderId="0" xfId="0" applyNumberFormat="1" applyFont="1" applyAlignment="1">
      <alignment horizontal="right"/>
    </xf>
    <xf numFmtId="170" fontId="81" fillId="51" borderId="1" xfId="0" applyNumberFormat="1" applyFont="1" applyFill="1" applyBorder="1" applyAlignment="1">
      <alignment horizontal="center" vertical="justify"/>
    </xf>
    <xf numFmtId="0" fontId="81" fillId="51" borderId="45" xfId="0" applyFont="1" applyFill="1" applyBorder="1" applyAlignment="1">
      <alignment horizontal="center" vertical="justify"/>
    </xf>
    <xf numFmtId="165" fontId="80" fillId="40" borderId="1" xfId="34" applyNumberFormat="1" applyFont="1" applyFill="1" applyBorder="1"/>
    <xf numFmtId="17" fontId="3" fillId="40" borderId="1" xfId="0" applyNumberFormat="1" applyFont="1" applyFill="1" applyBorder="1"/>
    <xf numFmtId="165" fontId="80" fillId="54" borderId="1" xfId="34" applyNumberFormat="1" applyFont="1" applyFill="1" applyBorder="1"/>
    <xf numFmtId="49" fontId="91" fillId="55" borderId="1" xfId="0" applyNumberFormat="1" applyFont="1" applyFill="1" applyBorder="1" applyAlignment="1">
      <alignment horizontal="center"/>
    </xf>
    <xf numFmtId="49" fontId="91" fillId="40" borderId="1" xfId="0" applyNumberFormat="1" applyFont="1" applyFill="1" applyBorder="1" applyAlignment="1">
      <alignment horizontal="center"/>
    </xf>
    <xf numFmtId="49" fontId="83" fillId="0" borderId="1" xfId="0" applyNumberFormat="1" applyFont="1" applyBorder="1" applyAlignment="1">
      <alignment horizontal="center"/>
    </xf>
    <xf numFmtId="168" fontId="83" fillId="40" borderId="1" xfId="0" applyNumberFormat="1" applyFont="1" applyFill="1" applyBorder="1" applyAlignment="1">
      <alignment horizontal="right"/>
    </xf>
    <xf numFmtId="0" fontId="6" fillId="0" borderId="7" xfId="0" applyFont="1" applyBorder="1"/>
    <xf numFmtId="41" fontId="3" fillId="0" borderId="7" xfId="0" applyNumberFormat="1" applyFont="1" applyBorder="1" applyAlignment="1">
      <alignment horizontal="center"/>
    </xf>
    <xf numFmtId="0" fontId="3" fillId="0" borderId="7" xfId="0" applyFont="1" applyBorder="1"/>
    <xf numFmtId="168" fontId="5" fillId="40" borderId="7" xfId="0" applyNumberFormat="1" applyFont="1" applyFill="1" applyBorder="1"/>
    <xf numFmtId="49" fontId="83" fillId="0" borderId="67" xfId="0" applyNumberFormat="1" applyFont="1" applyBorder="1" applyAlignment="1">
      <alignment horizontal="center"/>
    </xf>
    <xf numFmtId="168" fontId="83" fillId="40" borderId="67" xfId="0" applyNumberFormat="1" applyFont="1" applyFill="1" applyBorder="1" applyAlignment="1">
      <alignment horizontal="right"/>
    </xf>
    <xf numFmtId="41" fontId="3" fillId="0" borderId="0" xfId="0" applyNumberFormat="1" applyFont="1" applyAlignment="1">
      <alignment horizontal="center"/>
    </xf>
    <xf numFmtId="49" fontId="83" fillId="0" borderId="68" xfId="0" applyNumberFormat="1" applyFont="1" applyBorder="1"/>
    <xf numFmtId="168" fontId="83" fillId="40" borderId="69" xfId="0" applyNumberFormat="1" applyFont="1" applyFill="1" applyBorder="1" applyAlignment="1">
      <alignment horizontal="right"/>
    </xf>
    <xf numFmtId="49" fontId="83" fillId="0" borderId="70" xfId="0" applyNumberFormat="1" applyFont="1" applyBorder="1"/>
    <xf numFmtId="49" fontId="83" fillId="0" borderId="71" xfId="0" applyNumberFormat="1" applyFont="1" applyBorder="1" applyAlignment="1">
      <alignment horizontal="center"/>
    </xf>
    <xf numFmtId="49" fontId="83" fillId="0" borderId="71" xfId="0" applyNumberFormat="1" applyFont="1" applyBorder="1"/>
    <xf numFmtId="49" fontId="83" fillId="37" borderId="71" xfId="0" applyNumberFormat="1" applyFont="1" applyFill="1" applyBorder="1"/>
    <xf numFmtId="168" fontId="83" fillId="40" borderId="72" xfId="0" applyNumberFormat="1" applyFont="1" applyFill="1" applyBorder="1" applyAlignment="1">
      <alignment horizontal="right"/>
    </xf>
    <xf numFmtId="0" fontId="3" fillId="40" borderId="8" xfId="0" applyFont="1" applyFill="1" applyBorder="1"/>
    <xf numFmtId="49" fontId="91" fillId="55" borderId="78" xfId="0" applyNumberFormat="1" applyFont="1" applyFill="1" applyBorder="1"/>
    <xf numFmtId="49" fontId="91" fillId="55" borderId="79" xfId="0" applyNumberFormat="1" applyFont="1" applyFill="1" applyBorder="1" applyAlignment="1">
      <alignment horizontal="center"/>
    </xf>
    <xf numFmtId="49" fontId="91" fillId="55" borderId="79" xfId="0" applyNumberFormat="1" applyFont="1" applyFill="1" applyBorder="1"/>
    <xf numFmtId="168" fontId="91" fillId="55" borderId="79" xfId="0" applyNumberFormat="1" applyFont="1" applyFill="1" applyBorder="1" applyAlignment="1">
      <alignment horizontal="right"/>
    </xf>
    <xf numFmtId="49" fontId="83" fillId="0" borderId="1" xfId="0" applyNumberFormat="1" applyFont="1" applyBorder="1"/>
    <xf numFmtId="0" fontId="83" fillId="0" borderId="1" xfId="0" applyFont="1" applyBorder="1" applyAlignment="1">
      <alignment horizontal="center"/>
    </xf>
    <xf numFmtId="0" fontId="12" fillId="52" borderId="13" xfId="0" applyFont="1" applyFill="1" applyBorder="1"/>
    <xf numFmtId="41" fontId="16" fillId="52" borderId="5" xfId="0" applyNumberFormat="1" applyFont="1" applyFill="1" applyBorder="1" applyAlignment="1">
      <alignment horizontal="center"/>
    </xf>
    <xf numFmtId="0" fontId="16" fillId="52" borderId="5" xfId="0" applyFont="1" applyFill="1" applyBorder="1"/>
    <xf numFmtId="168" fontId="16" fillId="52" borderId="5" xfId="0" applyNumberFormat="1" applyFont="1" applyFill="1" applyBorder="1"/>
    <xf numFmtId="0" fontId="3" fillId="40" borderId="15" xfId="0" applyFont="1" applyFill="1" applyBorder="1"/>
    <xf numFmtId="166" fontId="3" fillId="40" borderId="8" xfId="0" applyNumberFormat="1" applyFont="1" applyFill="1" applyBorder="1"/>
    <xf numFmtId="0" fontId="3" fillId="40" borderId="13" xfId="0" applyFont="1" applyFill="1" applyBorder="1"/>
    <xf numFmtId="166" fontId="3" fillId="40" borderId="15" xfId="0" applyNumberFormat="1" applyFont="1" applyFill="1" applyBorder="1"/>
    <xf numFmtId="0" fontId="38" fillId="66" borderId="0" xfId="0" applyFont="1" applyFill="1" applyAlignment="1">
      <alignment horizontal="center"/>
    </xf>
    <xf numFmtId="0" fontId="22" fillId="70" borderId="1" xfId="0" applyFont="1" applyFill="1" applyBorder="1"/>
    <xf numFmtId="3" fontId="29" fillId="70" borderId="47" xfId="0" applyNumberFormat="1" applyFont="1" applyFill="1" applyBorder="1"/>
    <xf numFmtId="4" fontId="29" fillId="70" borderId="47" xfId="0" applyNumberFormat="1" applyFont="1" applyFill="1" applyBorder="1"/>
    <xf numFmtId="3" fontId="29" fillId="0" borderId="47" xfId="0" applyNumberFormat="1" applyFont="1" applyBorder="1"/>
    <xf numFmtId="3" fontId="98" fillId="0" borderId="2" xfId="0" applyNumberFormat="1" applyFont="1" applyBorder="1" applyAlignment="1">
      <alignment horizontal="right"/>
    </xf>
    <xf numFmtId="0" fontId="76" fillId="40" borderId="1" xfId="0" applyFont="1" applyFill="1" applyBorder="1" applyAlignment="1">
      <alignment vertical="center"/>
    </xf>
    <xf numFmtId="3" fontId="32" fillId="40" borderId="47" xfId="0" applyNumberFormat="1" applyFont="1" applyFill="1" applyBorder="1"/>
    <xf numFmtId="3" fontId="0" fillId="40" borderId="45" xfId="0" applyNumberFormat="1" applyFill="1" applyBorder="1"/>
    <xf numFmtId="0" fontId="77" fillId="71" borderId="1" xfId="0" applyFont="1" applyFill="1" applyBorder="1" applyAlignment="1">
      <alignment vertical="center"/>
    </xf>
    <xf numFmtId="0" fontId="76" fillId="71" borderId="1" xfId="0" applyFont="1" applyFill="1" applyBorder="1" applyAlignment="1">
      <alignment vertical="center"/>
    </xf>
    <xf numFmtId="3" fontId="32" fillId="57" borderId="2" xfId="0" applyNumberFormat="1" applyFont="1" applyFill="1" applyBorder="1"/>
    <xf numFmtId="3" fontId="32" fillId="57" borderId="1" xfId="0" applyNumberFormat="1" applyFont="1" applyFill="1" applyBorder="1"/>
    <xf numFmtId="0" fontId="76" fillId="57" borderId="1" xfId="0" applyFont="1" applyFill="1" applyBorder="1" applyAlignment="1">
      <alignment vertical="center"/>
    </xf>
    <xf numFmtId="3" fontId="99" fillId="57" borderId="1" xfId="0" applyNumberFormat="1" applyFont="1" applyFill="1" applyBorder="1"/>
    <xf numFmtId="0" fontId="111" fillId="71" borderId="1" xfId="0" applyFont="1" applyFill="1" applyBorder="1" applyAlignment="1">
      <alignment vertical="center"/>
    </xf>
    <xf numFmtId="3" fontId="29" fillId="65" borderId="2" xfId="0" applyNumberFormat="1" applyFont="1" applyFill="1" applyBorder="1"/>
    <xf numFmtId="4" fontId="29" fillId="65" borderId="2" xfId="0" applyNumberFormat="1" applyFont="1" applyFill="1" applyBorder="1"/>
    <xf numFmtId="3" fontId="109" fillId="40" borderId="47" xfId="0" applyNumberFormat="1" applyFont="1" applyFill="1" applyBorder="1"/>
    <xf numFmtId="3" fontId="109" fillId="40" borderId="2" xfId="0" applyNumberFormat="1" applyFont="1" applyFill="1" applyBorder="1"/>
    <xf numFmtId="0" fontId="79" fillId="43" borderId="1" xfId="0" applyFont="1" applyFill="1" applyBorder="1" applyAlignment="1">
      <alignment vertical="center"/>
    </xf>
    <xf numFmtId="3" fontId="94" fillId="72" borderId="1" xfId="0" applyNumberFormat="1" applyFont="1" applyFill="1" applyBorder="1"/>
    <xf numFmtId="3" fontId="21" fillId="72" borderId="2" xfId="0" applyNumberFormat="1" applyFont="1" applyFill="1" applyBorder="1"/>
    <xf numFmtId="3" fontId="21" fillId="72" borderId="1" xfId="0" applyNumberFormat="1" applyFont="1" applyFill="1" applyBorder="1"/>
    <xf numFmtId="0" fontId="77" fillId="73" borderId="1" xfId="0" applyFont="1" applyFill="1" applyBorder="1" applyAlignment="1">
      <alignment vertical="center"/>
    </xf>
    <xf numFmtId="3" fontId="32" fillId="73" borderId="2" xfId="0" applyNumberFormat="1" applyFont="1" applyFill="1" applyBorder="1"/>
    <xf numFmtId="3" fontId="32" fillId="73" borderId="1" xfId="0" applyNumberFormat="1" applyFont="1" applyFill="1" applyBorder="1"/>
    <xf numFmtId="4" fontId="32" fillId="73" borderId="1" xfId="0" applyNumberFormat="1" applyFont="1" applyFill="1" applyBorder="1"/>
    <xf numFmtId="4" fontId="32" fillId="0" borderId="2" xfId="0" applyNumberFormat="1" applyFont="1" applyBorder="1"/>
    <xf numFmtId="0" fontId="79" fillId="73" borderId="1" xfId="0" applyFont="1" applyFill="1" applyBorder="1" applyAlignment="1">
      <alignment vertical="center"/>
    </xf>
    <xf numFmtId="3" fontId="21" fillId="73" borderId="1" xfId="0" applyNumberFormat="1" applyFont="1" applyFill="1" applyBorder="1"/>
    <xf numFmtId="3" fontId="21" fillId="73" borderId="2" xfId="0" applyNumberFormat="1" applyFont="1" applyFill="1" applyBorder="1"/>
    <xf numFmtId="4" fontId="21" fillId="73" borderId="2" xfId="0" applyNumberFormat="1" applyFont="1" applyFill="1" applyBorder="1"/>
    <xf numFmtId="3" fontId="34" fillId="40" borderId="47" xfId="0" applyNumberFormat="1" applyFont="1" applyFill="1" applyBorder="1"/>
    <xf numFmtId="3" fontId="34" fillId="40" borderId="2" xfId="0" applyNumberFormat="1" applyFont="1" applyFill="1" applyBorder="1"/>
    <xf numFmtId="3" fontId="32" fillId="44" borderId="1" xfId="0" applyNumberFormat="1" applyFont="1" applyFill="1" applyBorder="1"/>
    <xf numFmtId="3" fontId="32" fillId="44" borderId="2" xfId="0" applyNumberFormat="1" applyFont="1" applyFill="1" applyBorder="1"/>
    <xf numFmtId="4" fontId="32" fillId="44" borderId="1" xfId="0" applyNumberFormat="1" applyFont="1" applyFill="1" applyBorder="1"/>
    <xf numFmtId="3" fontId="109" fillId="40" borderId="1" xfId="0" applyNumberFormat="1" applyFont="1" applyFill="1" applyBorder="1"/>
    <xf numFmtId="3" fontId="109" fillId="53" borderId="47" xfId="0" applyNumberFormat="1" applyFont="1" applyFill="1" applyBorder="1"/>
    <xf numFmtId="3" fontId="112" fillId="0" borderId="1" xfId="0" applyNumberFormat="1" applyFont="1" applyBorder="1"/>
    <xf numFmtId="3" fontId="112" fillId="40" borderId="1" xfId="0" applyNumberFormat="1" applyFont="1" applyFill="1" applyBorder="1"/>
    <xf numFmtId="0" fontId="109" fillId="70" borderId="1" xfId="0" applyFont="1" applyFill="1" applyBorder="1"/>
    <xf numFmtId="3" fontId="112" fillId="70" borderId="1" xfId="0" applyNumberFormat="1" applyFont="1" applyFill="1" applyBorder="1"/>
    <xf numFmtId="3" fontId="29" fillId="70" borderId="1" xfId="0" applyNumberFormat="1" applyFont="1" applyFill="1" applyBorder="1"/>
    <xf numFmtId="4" fontId="29" fillId="70" borderId="1" xfId="0" applyNumberFormat="1" applyFont="1" applyFill="1" applyBorder="1"/>
    <xf numFmtId="3" fontId="29" fillId="40" borderId="1" xfId="0" applyNumberFormat="1" applyFont="1" applyFill="1" applyBorder="1"/>
    <xf numFmtId="3" fontId="17" fillId="40" borderId="2" xfId="0" applyNumberFormat="1" applyFont="1" applyFill="1" applyBorder="1"/>
    <xf numFmtId="4" fontId="21" fillId="0" borderId="1" xfId="0" applyNumberFormat="1" applyFont="1" applyBorder="1"/>
    <xf numFmtId="3" fontId="42" fillId="40" borderId="1" xfId="0" applyNumberFormat="1" applyFont="1" applyFill="1" applyBorder="1"/>
    <xf numFmtId="0" fontId="72" fillId="70" borderId="1" xfId="0" applyFont="1" applyFill="1" applyBorder="1"/>
    <xf numFmtId="3" fontId="86" fillId="70" borderId="1" xfId="0" applyNumberFormat="1" applyFont="1" applyFill="1" applyBorder="1"/>
    <xf numFmtId="3" fontId="32" fillId="70" borderId="47" xfId="0" applyNumberFormat="1" applyFont="1" applyFill="1" applyBorder="1"/>
    <xf numFmtId="3" fontId="32" fillId="70" borderId="1" xfId="0" applyNumberFormat="1" applyFont="1" applyFill="1" applyBorder="1"/>
    <xf numFmtId="4" fontId="32" fillId="70" borderId="1" xfId="0" applyNumberFormat="1" applyFont="1" applyFill="1" applyBorder="1"/>
    <xf numFmtId="0" fontId="72" fillId="72" borderId="1" xfId="0" applyFont="1" applyFill="1" applyBorder="1"/>
    <xf numFmtId="3" fontId="86" fillId="72" borderId="1" xfId="0" applyNumberFormat="1" applyFont="1" applyFill="1" applyBorder="1"/>
    <xf numFmtId="3" fontId="32" fillId="72" borderId="1" xfId="0" applyNumberFormat="1" applyFont="1" applyFill="1" applyBorder="1"/>
    <xf numFmtId="3" fontId="42" fillId="40" borderId="47" xfId="0" applyNumberFormat="1" applyFont="1" applyFill="1" applyBorder="1"/>
    <xf numFmtId="3" fontId="2" fillId="0" borderId="8" xfId="0" applyNumberFormat="1" applyFont="1" applyBorder="1"/>
    <xf numFmtId="3" fontId="39" fillId="0" borderId="0" xfId="0" applyNumberFormat="1" applyFont="1"/>
    <xf numFmtId="3" fontId="0" fillId="66" borderId="0" xfId="0" applyNumberFormat="1" applyFill="1"/>
    <xf numFmtId="3" fontId="32" fillId="0" borderId="8" xfId="0" applyNumberFormat="1" applyFont="1" applyBorder="1"/>
    <xf numFmtId="17" fontId="2" fillId="0" borderId="0" xfId="0" applyNumberFormat="1" applyFont="1"/>
    <xf numFmtId="0" fontId="2" fillId="0" borderId="0" xfId="47"/>
    <xf numFmtId="0" fontId="3" fillId="0" borderId="1" xfId="47" applyFont="1" applyBorder="1"/>
    <xf numFmtId="0" fontId="2" fillId="0" borderId="3" xfId="47" applyBorder="1"/>
    <xf numFmtId="0" fontId="9" fillId="0" borderId="4" xfId="47" applyFont="1" applyBorder="1"/>
    <xf numFmtId="0" fontId="46" fillId="0" borderId="0" xfId="47" applyFont="1"/>
    <xf numFmtId="41" fontId="47" fillId="0" borderId="8" xfId="47" applyNumberFormat="1" applyFont="1" applyBorder="1" applyAlignment="1">
      <alignment horizontal="center"/>
    </xf>
    <xf numFmtId="0" fontId="9" fillId="0" borderId="39" xfId="47" applyFont="1" applyBorder="1"/>
    <xf numFmtId="0" fontId="2" fillId="0" borderId="8" xfId="47" applyBorder="1"/>
    <xf numFmtId="0" fontId="2" fillId="0" borderId="9" xfId="47" applyBorder="1"/>
    <xf numFmtId="0" fontId="11" fillId="0" borderId="1" xfId="47" applyFont="1" applyBorder="1" applyAlignment="1">
      <alignment horizontal="center"/>
    </xf>
    <xf numFmtId="0" fontId="2" fillId="0" borderId="14" xfId="47" applyBorder="1"/>
    <xf numFmtId="0" fontId="12" fillId="0" borderId="1" xfId="47" applyFont="1" applyBorder="1" applyAlignment="1">
      <alignment horizontal="center"/>
    </xf>
    <xf numFmtId="49" fontId="83" fillId="0" borderId="1" xfId="47" applyNumberFormat="1" applyFont="1" applyBorder="1" applyAlignment="1">
      <alignment horizontal="right"/>
    </xf>
    <xf numFmtId="0" fontId="11" fillId="0" borderId="0" xfId="47" applyFont="1" applyAlignment="1">
      <alignment vertical="center"/>
    </xf>
    <xf numFmtId="173" fontId="9" fillId="0" borderId="0" xfId="47" applyNumberFormat="1" applyFont="1"/>
    <xf numFmtId="168" fontId="83" fillId="0" borderId="1" xfId="47" applyNumberFormat="1" applyFont="1" applyBorder="1" applyAlignment="1">
      <alignment horizontal="right"/>
    </xf>
    <xf numFmtId="0" fontId="2" fillId="0" borderId="1" xfId="47" applyBorder="1"/>
    <xf numFmtId="49" fontId="83" fillId="0" borderId="1" xfId="47" applyNumberFormat="1" applyFont="1" applyBorder="1" applyAlignment="1">
      <alignment horizontal="left"/>
    </xf>
    <xf numFmtId="49" fontId="83" fillId="40" borderId="1" xfId="46" applyNumberFormat="1" applyFont="1" applyFill="1" applyBorder="1" applyAlignment="1">
      <alignment horizontal="left"/>
    </xf>
    <xf numFmtId="168" fontId="83" fillId="40" borderId="1" xfId="46" applyNumberFormat="1" applyFont="1" applyFill="1" applyBorder="1" applyAlignment="1">
      <alignment horizontal="right"/>
    </xf>
    <xf numFmtId="49" fontId="83" fillId="40" borderId="1" xfId="46" applyNumberFormat="1" applyFont="1" applyFill="1" applyBorder="1" applyAlignment="1">
      <alignment horizontal="right"/>
    </xf>
    <xf numFmtId="49" fontId="3" fillId="0" borderId="1" xfId="47" applyNumberFormat="1" applyFont="1" applyBorder="1" applyAlignment="1">
      <alignment horizontal="right"/>
    </xf>
    <xf numFmtId="41" fontId="11" fillId="0" borderId="1" xfId="47" applyNumberFormat="1" applyFont="1" applyBorder="1" applyAlignment="1">
      <alignment horizontal="center"/>
    </xf>
    <xf numFmtId="49" fontId="86" fillId="0" borderId="1" xfId="47" applyNumberFormat="1" applyFont="1" applyBorder="1" applyAlignment="1">
      <alignment horizontal="left"/>
    </xf>
    <xf numFmtId="168" fontId="86" fillId="0" borderId="1" xfId="47" applyNumberFormat="1" applyFont="1" applyBorder="1" applyAlignment="1">
      <alignment horizontal="right"/>
    </xf>
    <xf numFmtId="49" fontId="112" fillId="55" borderId="78" xfId="47" applyNumberFormat="1" applyFont="1" applyFill="1" applyBorder="1" applyAlignment="1">
      <alignment horizontal="left"/>
    </xf>
    <xf numFmtId="49" fontId="112" fillId="55" borderId="79" xfId="47" applyNumberFormat="1" applyFont="1" applyFill="1" applyBorder="1" applyAlignment="1">
      <alignment horizontal="left"/>
    </xf>
    <xf numFmtId="49" fontId="112" fillId="55" borderId="79" xfId="47" applyNumberFormat="1" applyFont="1" applyFill="1" applyBorder="1" applyAlignment="1">
      <alignment horizontal="right"/>
    </xf>
    <xf numFmtId="49" fontId="83" fillId="40" borderId="1" xfId="47" applyNumberFormat="1" applyFont="1" applyFill="1" applyBorder="1" applyAlignment="1">
      <alignment horizontal="left"/>
    </xf>
    <xf numFmtId="0" fontId="117" fillId="59" borderId="1" xfId="46" applyFont="1" applyFill="1" applyBorder="1"/>
    <xf numFmtId="164" fontId="118" fillId="59" borderId="1" xfId="46" applyNumberFormat="1" applyFont="1" applyFill="1" applyBorder="1"/>
    <xf numFmtId="0" fontId="2" fillId="45" borderId="1" xfId="47" applyFill="1" applyBorder="1"/>
    <xf numFmtId="0" fontId="11" fillId="45" borderId="1" xfId="47" applyFont="1" applyFill="1" applyBorder="1" applyAlignment="1">
      <alignment vertical="center"/>
    </xf>
    <xf numFmtId="168" fontId="83" fillId="45" borderId="1" xfId="47" applyNumberFormat="1" applyFont="1" applyFill="1" applyBorder="1" applyAlignment="1">
      <alignment horizontal="right"/>
    </xf>
    <xf numFmtId="0" fontId="22" fillId="45" borderId="39" xfId="47" applyFont="1" applyFill="1" applyBorder="1"/>
    <xf numFmtId="0" fontId="28" fillId="45" borderId="2" xfId="47" applyFont="1" applyFill="1" applyBorder="1" applyAlignment="1">
      <alignment vertical="center"/>
    </xf>
    <xf numFmtId="173" fontId="35" fillId="45" borderId="2" xfId="47" applyNumberFormat="1" applyFont="1" applyFill="1" applyBorder="1"/>
    <xf numFmtId="3" fontId="22" fillId="45" borderId="47" xfId="47" applyNumberFormat="1" applyFont="1" applyFill="1" applyBorder="1"/>
    <xf numFmtId="168" fontId="2" fillId="58" borderId="1" xfId="47" applyNumberFormat="1" applyFill="1" applyBorder="1"/>
    <xf numFmtId="49" fontId="86" fillId="0" borderId="14" xfId="47" applyNumberFormat="1" applyFont="1" applyBorder="1" applyAlignment="1">
      <alignment horizontal="left"/>
    </xf>
    <xf numFmtId="49" fontId="83" fillId="0" borderId="14" xfId="47" applyNumberFormat="1" applyFont="1" applyBorder="1" applyAlignment="1">
      <alignment horizontal="left"/>
    </xf>
    <xf numFmtId="168" fontId="86" fillId="0" borderId="14" xfId="47" applyNumberFormat="1" applyFont="1" applyBorder="1" applyAlignment="1">
      <alignment horizontal="right"/>
    </xf>
    <xf numFmtId="0" fontId="83" fillId="40" borderId="47" xfId="46" applyFont="1" applyFill="1" applyBorder="1" applyAlignment="1">
      <alignment horizontal="left"/>
    </xf>
    <xf numFmtId="49" fontId="86" fillId="0" borderId="47" xfId="47" applyNumberFormat="1" applyFont="1" applyBorder="1" applyAlignment="1">
      <alignment horizontal="left"/>
    </xf>
    <xf numFmtId="49" fontId="86" fillId="0" borderId="18" xfId="47" applyNumberFormat="1" applyFont="1" applyBorder="1" applyAlignment="1">
      <alignment horizontal="left"/>
    </xf>
    <xf numFmtId="0" fontId="65" fillId="58" borderId="1" xfId="47" applyFont="1" applyFill="1" applyBorder="1"/>
    <xf numFmtId="0" fontId="2" fillId="0" borderId="4" xfId="47" applyBorder="1"/>
    <xf numFmtId="41" fontId="2" fillId="0" borderId="0" xfId="47" applyNumberFormat="1"/>
    <xf numFmtId="3" fontId="2" fillId="0" borderId="8" xfId="47" applyNumberFormat="1" applyBorder="1"/>
    <xf numFmtId="168" fontId="112" fillId="55" borderId="88" xfId="47" applyNumberFormat="1" applyFont="1" applyFill="1" applyBorder="1" applyAlignment="1">
      <alignment horizontal="right"/>
    </xf>
    <xf numFmtId="168" fontId="86" fillId="58" borderId="93" xfId="47" applyNumberFormat="1" applyFont="1" applyFill="1" applyBorder="1" applyAlignment="1">
      <alignment horizontal="right"/>
    </xf>
    <xf numFmtId="49" fontId="86" fillId="0" borderId="2" xfId="47" applyNumberFormat="1" applyFont="1" applyBorder="1" applyAlignment="1">
      <alignment horizontal="left"/>
    </xf>
    <xf numFmtId="49" fontId="83" fillId="0" borderId="47" xfId="47" applyNumberFormat="1" applyFont="1" applyBorder="1" applyAlignment="1">
      <alignment horizontal="left"/>
    </xf>
    <xf numFmtId="0" fontId="86" fillId="0" borderId="1" xfId="47" applyFont="1" applyBorder="1" applyAlignment="1">
      <alignment horizontal="left"/>
    </xf>
    <xf numFmtId="0" fontId="2" fillId="40" borderId="39" xfId="47" applyFill="1" applyBorder="1"/>
    <xf numFmtId="0" fontId="11" fillId="40" borderId="2" xfId="47" applyFont="1" applyFill="1" applyBorder="1" applyAlignment="1">
      <alignment vertical="center"/>
    </xf>
    <xf numFmtId="168" fontId="83" fillId="40" borderId="2" xfId="47" applyNumberFormat="1" applyFont="1" applyFill="1" applyBorder="1" applyAlignment="1">
      <alignment horizontal="right"/>
    </xf>
    <xf numFmtId="168" fontId="83" fillId="40" borderId="47" xfId="47" applyNumberFormat="1" applyFont="1" applyFill="1" applyBorder="1" applyAlignment="1">
      <alignment horizontal="right"/>
    </xf>
    <xf numFmtId="168" fontId="65" fillId="54" borderId="1" xfId="47" applyNumberFormat="1" applyFont="1" applyFill="1" applyBorder="1"/>
    <xf numFmtId="41" fontId="119" fillId="54" borderId="1" xfId="46" applyNumberFormat="1" applyFont="1" applyFill="1" applyBorder="1" applyAlignment="1">
      <alignment horizontal="right" wrapText="1"/>
    </xf>
    <xf numFmtId="49" fontId="86" fillId="58" borderId="1" xfId="47" applyNumberFormat="1" applyFont="1" applyFill="1" applyBorder="1" applyAlignment="1">
      <alignment horizontal="left"/>
    </xf>
    <xf numFmtId="168" fontId="107" fillId="0" borderId="67" xfId="47" applyNumberFormat="1" applyFont="1" applyBorder="1" applyAlignment="1">
      <alignment horizontal="right"/>
    </xf>
    <xf numFmtId="0" fontId="39" fillId="0" borderId="0" xfId="47" applyFont="1"/>
    <xf numFmtId="3" fontId="105" fillId="54" borderId="0" xfId="47" applyNumberFormat="1" applyFont="1" applyFill="1" applyAlignment="1">
      <alignment horizontal="right" wrapText="1"/>
    </xf>
    <xf numFmtId="0" fontId="105" fillId="54" borderId="0" xfId="47" applyFont="1" applyFill="1" applyAlignment="1">
      <alignment horizontal="right" wrapText="1"/>
    </xf>
    <xf numFmtId="4" fontId="16" fillId="0" borderId="0" xfId="0" applyNumberFormat="1" applyFont="1"/>
    <xf numFmtId="10" fontId="3" fillId="40" borderId="0" xfId="0" applyNumberFormat="1" applyFont="1" applyFill="1"/>
    <xf numFmtId="4" fontId="0" fillId="40" borderId="0" xfId="0" applyNumberFormat="1" applyFill="1"/>
    <xf numFmtId="168" fontId="83" fillId="45" borderId="1" xfId="0" applyNumberFormat="1" applyFont="1" applyFill="1" applyBorder="1" applyAlignment="1">
      <alignment horizontal="right"/>
    </xf>
    <xf numFmtId="0" fontId="29" fillId="0" borderId="39" xfId="0" applyFont="1" applyBorder="1" applyAlignment="1">
      <alignment horizontal="center"/>
    </xf>
    <xf numFmtId="0" fontId="29" fillId="0" borderId="47" xfId="0" applyFont="1" applyBorder="1" applyAlignment="1">
      <alignment horizontal="center"/>
    </xf>
    <xf numFmtId="3" fontId="29" fillId="0" borderId="47" xfId="0" applyNumberFormat="1" applyFont="1" applyBorder="1" applyAlignment="1">
      <alignment horizontal="center" vertical="center" wrapText="1"/>
    </xf>
    <xf numFmtId="3" fontId="29" fillId="0" borderId="39" xfId="0" applyNumberFormat="1" applyFont="1" applyBorder="1"/>
    <xf numFmtId="3" fontId="32" fillId="0" borderId="39" xfId="0" applyNumberFormat="1" applyFont="1" applyBorder="1"/>
    <xf numFmtId="3" fontId="29" fillId="70" borderId="2" xfId="0" applyNumberFormat="1" applyFont="1" applyFill="1" applyBorder="1"/>
    <xf numFmtId="165" fontId="32" fillId="0" borderId="39" xfId="0" applyNumberFormat="1" applyFont="1" applyBorder="1"/>
    <xf numFmtId="165" fontId="32" fillId="0" borderId="47" xfId="0" applyNumberFormat="1" applyFont="1" applyBorder="1"/>
    <xf numFmtId="3" fontId="32" fillId="56" borderId="4" xfId="0" applyNumberFormat="1" applyFont="1" applyFill="1" applyBorder="1" applyAlignment="1">
      <alignment vertical="center"/>
    </xf>
    <xf numFmtId="3" fontId="32" fillId="56" borderId="8" xfId="0" applyNumberFormat="1" applyFont="1" applyFill="1" applyBorder="1" applyAlignment="1">
      <alignment vertical="center"/>
    </xf>
    <xf numFmtId="3" fontId="32" fillId="53" borderId="39" xfId="0" applyNumberFormat="1" applyFont="1" applyFill="1" applyBorder="1"/>
    <xf numFmtId="3" fontId="32" fillId="53" borderId="47" xfId="0" applyNumberFormat="1" applyFont="1" applyFill="1" applyBorder="1"/>
    <xf numFmtId="3" fontId="32" fillId="40" borderId="39" xfId="0" applyNumberFormat="1" applyFont="1" applyFill="1" applyBorder="1"/>
    <xf numFmtId="3" fontId="94" fillId="40" borderId="39" xfId="0" applyNumberFormat="1" applyFont="1" applyFill="1" applyBorder="1"/>
    <xf numFmtId="3" fontId="21" fillId="40" borderId="47" xfId="0" applyNumberFormat="1" applyFont="1" applyFill="1" applyBorder="1"/>
    <xf numFmtId="3" fontId="32" fillId="57" borderId="39" xfId="0" applyNumberFormat="1" applyFont="1" applyFill="1" applyBorder="1"/>
    <xf numFmtId="3" fontId="32" fillId="57" borderId="47" xfId="0" applyNumberFormat="1" applyFont="1" applyFill="1" applyBorder="1"/>
    <xf numFmtId="3" fontId="29" fillId="65" borderId="1" xfId="0" applyNumberFormat="1" applyFont="1" applyFill="1" applyBorder="1"/>
    <xf numFmtId="3" fontId="21" fillId="72" borderId="39" xfId="0" applyNumberFormat="1" applyFont="1" applyFill="1" applyBorder="1"/>
    <xf numFmtId="3" fontId="21" fillId="72" borderId="47" xfId="0" applyNumberFormat="1" applyFont="1" applyFill="1" applyBorder="1"/>
    <xf numFmtId="3" fontId="32" fillId="73" borderId="39" xfId="0" applyNumberFormat="1" applyFont="1" applyFill="1" applyBorder="1"/>
    <xf numFmtId="3" fontId="32" fillId="73" borderId="47" xfId="0" applyNumberFormat="1" applyFont="1" applyFill="1" applyBorder="1"/>
    <xf numFmtId="3" fontId="32" fillId="44" borderId="39" xfId="0" applyNumberFormat="1" applyFont="1" applyFill="1" applyBorder="1"/>
    <xf numFmtId="3" fontId="32" fillId="44" borderId="47" xfId="0" applyNumberFormat="1" applyFont="1" applyFill="1" applyBorder="1"/>
    <xf numFmtId="0" fontId="32" fillId="40" borderId="45" xfId="0" applyFont="1" applyFill="1" applyBorder="1"/>
    <xf numFmtId="3" fontId="112" fillId="0" borderId="39" xfId="0" applyNumberFormat="1" applyFont="1" applyBorder="1"/>
    <xf numFmtId="3" fontId="33" fillId="0" borderId="47" xfId="0" applyNumberFormat="1" applyFont="1" applyBorder="1"/>
    <xf numFmtId="3" fontId="32" fillId="0" borderId="5" xfId="0" applyNumberFormat="1" applyFont="1" applyBorder="1" applyAlignment="1">
      <alignment horizontal="right"/>
    </xf>
    <xf numFmtId="3" fontId="86" fillId="40" borderId="0" xfId="0" applyNumberFormat="1" applyFont="1" applyFill="1" applyAlignment="1">
      <alignment vertical="center"/>
    </xf>
    <xf numFmtId="165" fontId="32" fillId="40" borderId="0" xfId="0" applyNumberFormat="1" applyFont="1" applyFill="1" applyAlignment="1">
      <alignment horizontal="right"/>
    </xf>
    <xf numFmtId="43" fontId="32" fillId="40" borderId="8" xfId="0" applyNumberFormat="1" applyFont="1" applyFill="1" applyBorder="1" applyAlignment="1">
      <alignment horizontal="right"/>
    </xf>
    <xf numFmtId="181" fontId="37" fillId="0" borderId="49" xfId="34" applyNumberFormat="1" applyFont="1" applyFill="1" applyBorder="1" applyAlignment="1">
      <alignment horizontal="center"/>
    </xf>
    <xf numFmtId="3" fontId="120" fillId="0" borderId="47" xfId="0" applyNumberFormat="1" applyFont="1" applyBorder="1"/>
    <xf numFmtId="3" fontId="0" fillId="40" borderId="0" xfId="0" applyNumberFormat="1" applyFill="1"/>
    <xf numFmtId="0" fontId="121" fillId="40" borderId="1" xfId="0" applyFont="1" applyFill="1" applyBorder="1" applyAlignment="1">
      <alignment vertical="center"/>
    </xf>
    <xf numFmtId="17" fontId="32" fillId="0" borderId="0" xfId="0" applyNumberFormat="1" applyFont="1"/>
    <xf numFmtId="9" fontId="32" fillId="0" borderId="0" xfId="50" applyFont="1"/>
    <xf numFmtId="10" fontId="32" fillId="0" borderId="0" xfId="50" applyNumberFormat="1" applyFont="1"/>
    <xf numFmtId="10" fontId="32" fillId="0" borderId="0" xfId="0" applyNumberFormat="1" applyFont="1"/>
    <xf numFmtId="0" fontId="46" fillId="0" borderId="0" xfId="0" applyFont="1"/>
    <xf numFmtId="41" fontId="47" fillId="0" borderId="8" xfId="0" applyNumberFormat="1" applyFont="1" applyBorder="1" applyAlignment="1">
      <alignment horizontal="center"/>
    </xf>
    <xf numFmtId="0" fontId="9" fillId="0" borderId="39" xfId="0" applyFont="1" applyBorder="1"/>
    <xf numFmtId="41" fontId="2" fillId="0" borderId="0" xfId="0" applyNumberFormat="1" applyFont="1"/>
    <xf numFmtId="0" fontId="11" fillId="0" borderId="1" xfId="0" applyFont="1" applyBorder="1" applyAlignment="1">
      <alignment horizontal="center" wrapText="1"/>
    </xf>
    <xf numFmtId="49" fontId="3" fillId="54" borderId="1" xfId="0" applyNumberFormat="1" applyFont="1" applyFill="1" applyBorder="1" applyAlignment="1">
      <alignment horizontal="right"/>
    </xf>
    <xf numFmtId="0" fontId="3" fillId="54" borderId="1" xfId="0" applyFont="1" applyFill="1" applyBorder="1"/>
    <xf numFmtId="0" fontId="39" fillId="0" borderId="0" xfId="0" applyFont="1"/>
    <xf numFmtId="0" fontId="0" fillId="45" borderId="1" xfId="0" applyFill="1" applyBorder="1"/>
    <xf numFmtId="0" fontId="11" fillId="45" borderId="1" xfId="0" applyFont="1" applyFill="1" applyBorder="1" applyAlignment="1">
      <alignment vertical="center"/>
    </xf>
    <xf numFmtId="0" fontId="0" fillId="40" borderId="39" xfId="0" applyFill="1" applyBorder="1"/>
    <xf numFmtId="0" fontId="11" fillId="40" borderId="2" xfId="0" applyFont="1" applyFill="1" applyBorder="1" applyAlignment="1">
      <alignment vertical="center"/>
    </xf>
    <xf numFmtId="168" fontId="83" fillId="40" borderId="2" xfId="0" applyNumberFormat="1" applyFont="1" applyFill="1" applyBorder="1" applyAlignment="1">
      <alignment horizontal="right"/>
    </xf>
    <xf numFmtId="168" fontId="83" fillId="40" borderId="47" xfId="0" applyNumberFormat="1" applyFont="1" applyFill="1" applyBorder="1" applyAlignment="1">
      <alignment horizontal="right"/>
    </xf>
    <xf numFmtId="0" fontId="22" fillId="45" borderId="39" xfId="0" applyFont="1" applyFill="1" applyBorder="1"/>
    <xf numFmtId="0" fontId="28" fillId="45" borderId="2" xfId="0" applyFont="1" applyFill="1" applyBorder="1" applyAlignment="1">
      <alignment vertical="center"/>
    </xf>
    <xf numFmtId="173" fontId="35" fillId="45" borderId="2" xfId="0" applyNumberFormat="1" applyFont="1" applyFill="1" applyBorder="1"/>
    <xf numFmtId="3" fontId="22" fillId="45" borderId="47" xfId="0" applyNumberFormat="1" applyFont="1" applyFill="1" applyBorder="1"/>
    <xf numFmtId="0" fontId="11" fillId="0" borderId="0" xfId="0" applyFont="1" applyAlignment="1">
      <alignment vertical="center"/>
    </xf>
    <xf numFmtId="173" fontId="9" fillId="0" borderId="0" xfId="0" applyNumberFormat="1" applyFont="1"/>
    <xf numFmtId="49" fontId="112" fillId="55" borderId="78" xfId="0" applyNumberFormat="1" applyFont="1" applyFill="1" applyBorder="1" applyAlignment="1">
      <alignment horizontal="left"/>
    </xf>
    <xf numFmtId="49" fontId="112" fillId="55" borderId="79" xfId="0" applyNumberFormat="1" applyFont="1" applyFill="1" applyBorder="1" applyAlignment="1">
      <alignment horizontal="left"/>
    </xf>
    <xf numFmtId="49" fontId="112" fillId="55" borderId="79" xfId="0" applyNumberFormat="1" applyFont="1" applyFill="1" applyBorder="1" applyAlignment="1">
      <alignment horizontal="right"/>
    </xf>
    <xf numFmtId="168" fontId="112" fillId="55" borderId="88" xfId="0" applyNumberFormat="1" applyFont="1" applyFill="1" applyBorder="1" applyAlignment="1">
      <alignment horizontal="right"/>
    </xf>
    <xf numFmtId="168" fontId="86" fillId="58" borderId="93" xfId="0" applyNumberFormat="1" applyFont="1" applyFill="1" applyBorder="1" applyAlignment="1">
      <alignment horizontal="right"/>
    </xf>
    <xf numFmtId="49" fontId="86" fillId="0" borderId="1" xfId="0" applyNumberFormat="1" applyFont="1" applyBorder="1" applyAlignment="1">
      <alignment horizontal="left"/>
    </xf>
    <xf numFmtId="49" fontId="86" fillId="0" borderId="47" xfId="0" applyNumberFormat="1" applyFont="1" applyBorder="1" applyAlignment="1">
      <alignment horizontal="left"/>
    </xf>
    <xf numFmtId="168" fontId="86" fillId="0" borderId="1" xfId="0" applyNumberFormat="1" applyFont="1" applyBorder="1" applyAlignment="1">
      <alignment horizontal="right"/>
    </xf>
    <xf numFmtId="49" fontId="86" fillId="0" borderId="18" xfId="0" applyNumberFormat="1" applyFont="1" applyBorder="1" applyAlignment="1">
      <alignment horizontal="left"/>
    </xf>
    <xf numFmtId="49" fontId="86" fillId="0" borderId="14" xfId="0" applyNumberFormat="1" applyFont="1" applyBorder="1" applyAlignment="1">
      <alignment horizontal="left"/>
    </xf>
    <xf numFmtId="49" fontId="83" fillId="0" borderId="14" xfId="0" applyNumberFormat="1" applyFont="1" applyBorder="1" applyAlignment="1">
      <alignment horizontal="left"/>
    </xf>
    <xf numFmtId="168" fontId="86" fillId="0" borderId="14" xfId="0" applyNumberFormat="1" applyFont="1" applyBorder="1" applyAlignment="1">
      <alignment horizontal="right"/>
    </xf>
    <xf numFmtId="49" fontId="86" fillId="58" borderId="1" xfId="0" applyNumberFormat="1" applyFont="1" applyFill="1" applyBorder="1" applyAlignment="1">
      <alignment horizontal="left"/>
    </xf>
    <xf numFmtId="49" fontId="86" fillId="0" borderId="2" xfId="0" applyNumberFormat="1" applyFont="1" applyBorder="1" applyAlignment="1">
      <alignment horizontal="left"/>
    </xf>
    <xf numFmtId="49" fontId="83" fillId="0" borderId="47" xfId="0" applyNumberFormat="1" applyFont="1" applyBorder="1" applyAlignment="1">
      <alignment horizontal="left"/>
    </xf>
    <xf numFmtId="0" fontId="86" fillId="0" borderId="1" xfId="0" applyFont="1" applyBorder="1" applyAlignment="1">
      <alignment horizontal="left"/>
    </xf>
    <xf numFmtId="168" fontId="0" fillId="58" borderId="1" xfId="0" applyNumberFormat="1" applyFill="1" applyBorder="1"/>
    <xf numFmtId="168" fontId="65" fillId="54" borderId="1" xfId="0" applyNumberFormat="1" applyFont="1" applyFill="1" applyBorder="1"/>
    <xf numFmtId="0" fontId="65" fillId="58" borderId="1" xfId="0" applyFont="1" applyFill="1" applyBorder="1"/>
    <xf numFmtId="0" fontId="122" fillId="40" borderId="0" xfId="0" applyFont="1" applyFill="1"/>
    <xf numFmtId="0" fontId="122" fillId="0" borderId="0" xfId="0" applyFont="1"/>
    <xf numFmtId="0" fontId="124" fillId="0" borderId="0" xfId="0" applyFont="1"/>
    <xf numFmtId="0" fontId="122" fillId="0" borderId="12" xfId="0" applyFont="1" applyBorder="1" applyAlignment="1">
      <alignment horizontal="center" vertical="center"/>
    </xf>
    <xf numFmtId="180" fontId="126" fillId="45" borderId="94" xfId="0" applyNumberFormat="1" applyFont="1" applyFill="1" applyBorder="1"/>
    <xf numFmtId="3" fontId="122" fillId="45" borderId="1" xfId="0" applyNumberFormat="1" applyFont="1" applyFill="1" applyBorder="1" applyAlignment="1">
      <alignment horizontal="center" wrapText="1"/>
    </xf>
    <xf numFmtId="0" fontId="127" fillId="0" borderId="95" xfId="0" applyFont="1" applyBorder="1"/>
    <xf numFmtId="3" fontId="126" fillId="0" borderId="1" xfId="0" applyNumberFormat="1" applyFont="1" applyBorder="1"/>
    <xf numFmtId="3" fontId="123" fillId="0" borderId="1" xfId="0" applyNumberFormat="1" applyFont="1" applyBorder="1"/>
    <xf numFmtId="0" fontId="128" fillId="45" borderId="96" xfId="0" applyFont="1" applyFill="1" applyBorder="1"/>
    <xf numFmtId="3" fontId="128" fillId="45" borderId="1" xfId="0" applyNumberFormat="1" applyFont="1" applyFill="1" applyBorder="1"/>
    <xf numFmtId="3" fontId="122" fillId="45" borderId="1" xfId="0" applyNumberFormat="1" applyFont="1" applyFill="1" applyBorder="1"/>
    <xf numFmtId="3" fontId="123" fillId="45" borderId="1" xfId="0" applyNumberFormat="1" applyFont="1" applyFill="1" applyBorder="1"/>
    <xf numFmtId="0" fontId="128" fillId="0" borderId="96" xfId="0" applyFont="1" applyBorder="1"/>
    <xf numFmtId="3" fontId="128" fillId="0" borderId="1" xfId="0" applyNumberFormat="1" applyFont="1" applyBorder="1"/>
    <xf numFmtId="3" fontId="122" fillId="0" borderId="1" xfId="0" applyNumberFormat="1" applyFont="1" applyBorder="1"/>
    <xf numFmtId="173" fontId="122" fillId="0" borderId="0" xfId="0" applyNumberFormat="1" applyFont="1"/>
    <xf numFmtId="0" fontId="126" fillId="40" borderId="0" xfId="0" applyFont="1" applyFill="1"/>
    <xf numFmtId="0" fontId="123" fillId="45" borderId="96" xfId="0" applyFont="1" applyFill="1" applyBorder="1"/>
    <xf numFmtId="3" fontId="126" fillId="45" borderId="1" xfId="0" applyNumberFormat="1" applyFont="1" applyFill="1" applyBorder="1"/>
    <xf numFmtId="0" fontId="126" fillId="0" borderId="0" xfId="0" applyFont="1"/>
    <xf numFmtId="0" fontId="122" fillId="0" borderId="48" xfId="0" applyFont="1" applyBorder="1"/>
    <xf numFmtId="0" fontId="127" fillId="47" borderId="1" xfId="0" applyFont="1" applyFill="1" applyBorder="1"/>
    <xf numFmtId="3" fontId="128" fillId="0" borderId="1" xfId="0" applyNumberFormat="1" applyFont="1" applyBorder="1" applyAlignment="1">
      <alignment horizontal="center"/>
    </xf>
    <xf numFmtId="3" fontId="122" fillId="0" borderId="1" xfId="0" applyNumberFormat="1" applyFont="1" applyBorder="1" applyAlignment="1">
      <alignment horizontal="center"/>
    </xf>
    <xf numFmtId="0" fontId="126" fillId="57" borderId="96" xfId="0" applyFont="1" applyFill="1" applyBorder="1"/>
    <xf numFmtId="3" fontId="122" fillId="47" borderId="1" xfId="0" applyNumberFormat="1" applyFont="1" applyFill="1" applyBorder="1"/>
    <xf numFmtId="3" fontId="123" fillId="47" borderId="1" xfId="0" applyNumberFormat="1" applyFont="1" applyFill="1" applyBorder="1"/>
    <xf numFmtId="0" fontId="128" fillId="0" borderId="97" xfId="0" applyFont="1" applyBorder="1"/>
    <xf numFmtId="0" fontId="128" fillId="47" borderId="97" xfId="0" applyFont="1" applyFill="1" applyBorder="1"/>
    <xf numFmtId="3" fontId="128" fillId="47" borderId="1" xfId="0" applyNumberFormat="1" applyFont="1" applyFill="1" applyBorder="1"/>
    <xf numFmtId="0" fontId="128" fillId="47" borderId="98" xfId="0" applyFont="1" applyFill="1" applyBorder="1"/>
    <xf numFmtId="0" fontId="122" fillId="47" borderId="0" xfId="0" applyFont="1" applyFill="1"/>
    <xf numFmtId="0" fontId="126" fillId="57" borderId="96" xfId="0" applyFont="1" applyFill="1" applyBorder="1" applyAlignment="1">
      <alignment horizontal="left"/>
    </xf>
    <xf numFmtId="0" fontId="128" fillId="0" borderId="96" xfId="0" applyFont="1" applyBorder="1" applyAlignment="1">
      <alignment horizontal="left"/>
    </xf>
    <xf numFmtId="0" fontId="128" fillId="47" borderId="96" xfId="0" applyFont="1" applyFill="1" applyBorder="1" applyAlignment="1">
      <alignment horizontal="left"/>
    </xf>
    <xf numFmtId="0" fontId="122" fillId="54" borderId="0" xfId="0" applyFont="1" applyFill="1"/>
    <xf numFmtId="0" fontId="128" fillId="47" borderId="96" xfId="0" applyFont="1" applyFill="1" applyBorder="1"/>
    <xf numFmtId="0" fontId="126" fillId="47" borderId="95" xfId="0" applyFont="1" applyFill="1" applyBorder="1"/>
    <xf numFmtId="3" fontId="123" fillId="47" borderId="14" xfId="0" applyNumberFormat="1" applyFont="1" applyFill="1" applyBorder="1"/>
    <xf numFmtId="3" fontId="128" fillId="47" borderId="14" xfId="0" applyNumberFormat="1" applyFont="1" applyFill="1" applyBorder="1"/>
    <xf numFmtId="0" fontId="126" fillId="52" borderId="99" xfId="0" applyFont="1" applyFill="1" applyBorder="1"/>
    <xf numFmtId="3" fontId="128" fillId="52" borderId="7" xfId="0" applyNumberFormat="1" applyFont="1" applyFill="1" applyBorder="1"/>
    <xf numFmtId="3" fontId="126" fillId="52" borderId="7" xfId="0" applyNumberFormat="1" applyFont="1" applyFill="1" applyBorder="1"/>
    <xf numFmtId="0" fontId="122" fillId="49" borderId="0" xfId="0" applyFont="1" applyFill="1"/>
    <xf numFmtId="3" fontId="128" fillId="49" borderId="0" xfId="0" applyNumberFormat="1" applyFont="1" applyFill="1"/>
    <xf numFmtId="3" fontId="122" fillId="49" borderId="0" xfId="0" applyNumberFormat="1" applyFont="1" applyFill="1"/>
    <xf numFmtId="3" fontId="128" fillId="0" borderId="0" xfId="0" applyNumberFormat="1" applyFont="1"/>
    <xf numFmtId="17" fontId="122" fillId="0" borderId="0" xfId="0" applyNumberFormat="1" applyFont="1"/>
    <xf numFmtId="0" fontId="2" fillId="37" borderId="1" xfId="0" applyFont="1" applyFill="1" applyBorder="1"/>
    <xf numFmtId="0" fontId="32" fillId="37" borderId="1" xfId="0" applyFont="1" applyFill="1" applyBorder="1"/>
    <xf numFmtId="0" fontId="81" fillId="0" borderId="1" xfId="0" applyFont="1" applyBorder="1"/>
    <xf numFmtId="0" fontId="129" fillId="0" borderId="1" xfId="0" applyFont="1" applyBorder="1"/>
    <xf numFmtId="17" fontId="129" fillId="0" borderId="1" xfId="0" applyNumberFormat="1" applyFont="1" applyBorder="1"/>
    <xf numFmtId="0" fontId="81" fillId="37" borderId="1" xfId="0" applyFont="1" applyFill="1" applyBorder="1"/>
    <xf numFmtId="0" fontId="129" fillId="37" borderId="1" xfId="0" applyFont="1" applyFill="1" applyBorder="1"/>
    <xf numFmtId="3" fontId="129" fillId="37" borderId="1" xfId="0" applyNumberFormat="1" applyFont="1" applyFill="1" applyBorder="1"/>
    <xf numFmtId="3" fontId="129" fillId="0" borderId="1" xfId="0" applyNumberFormat="1" applyFont="1" applyBorder="1"/>
    <xf numFmtId="3" fontId="32" fillId="54" borderId="2" xfId="0" applyNumberFormat="1" applyFont="1" applyFill="1" applyBorder="1" applyAlignment="1">
      <alignment horizontal="right"/>
    </xf>
    <xf numFmtId="3" fontId="32" fillId="54" borderId="2" xfId="0" applyNumberFormat="1" applyFont="1" applyFill="1" applyBorder="1"/>
    <xf numFmtId="3" fontId="32" fillId="54" borderId="1" xfId="0" applyNumberFormat="1" applyFont="1" applyFill="1" applyBorder="1"/>
    <xf numFmtId="49" fontId="90" fillId="55" borderId="67" xfId="46" applyNumberFormat="1" applyFont="1" applyFill="1" applyBorder="1"/>
    <xf numFmtId="168" fontId="90" fillId="55" borderId="67" xfId="46" applyNumberFormat="1" applyFont="1" applyFill="1" applyBorder="1" applyAlignment="1">
      <alignment horizontal="right"/>
    </xf>
    <xf numFmtId="49" fontId="107" fillId="0" borderId="67" xfId="46" applyNumberFormat="1" applyFont="1" applyBorder="1"/>
    <xf numFmtId="168" fontId="107" fillId="0" borderId="67" xfId="46" applyNumberFormat="1" applyFont="1" applyBorder="1" applyAlignment="1">
      <alignment horizontal="right"/>
    </xf>
    <xf numFmtId="0" fontId="80" fillId="37" borderId="1" xfId="0" applyFont="1" applyFill="1" applyBorder="1"/>
    <xf numFmtId="0" fontId="80" fillId="0" borderId="1" xfId="0" applyFont="1" applyBorder="1"/>
    <xf numFmtId="3" fontId="36" fillId="0" borderId="48" xfId="0" applyNumberFormat="1" applyFont="1" applyBorder="1" applyAlignment="1">
      <alignment horizontal="left"/>
    </xf>
    <xf numFmtId="0" fontId="36" fillId="45" borderId="0" xfId="0" applyFont="1" applyFill="1"/>
    <xf numFmtId="181" fontId="36" fillId="45" borderId="0" xfId="0" applyNumberFormat="1" applyFont="1" applyFill="1"/>
    <xf numFmtId="0" fontId="36" fillId="0" borderId="0" xfId="0" applyFont="1"/>
    <xf numFmtId="0" fontId="36" fillId="37" borderId="1" xfId="0" applyFont="1" applyFill="1" applyBorder="1"/>
    <xf numFmtId="17" fontId="36" fillId="37" borderId="1" xfId="0" applyNumberFormat="1" applyFont="1" applyFill="1" applyBorder="1"/>
    <xf numFmtId="17" fontId="37" fillId="37" borderId="1" xfId="0" applyNumberFormat="1" applyFont="1" applyFill="1" applyBorder="1"/>
    <xf numFmtId="0" fontId="36" fillId="0" borderId="1" xfId="0" applyFont="1" applyBorder="1"/>
    <xf numFmtId="181" fontId="36" fillId="0" borderId="9" xfId="0" applyNumberFormat="1" applyFont="1" applyBorder="1"/>
    <xf numFmtId="181" fontId="36" fillId="0" borderId="5" xfId="0" applyNumberFormat="1" applyFont="1" applyBorder="1"/>
    <xf numFmtId="3" fontId="36" fillId="0" borderId="5" xfId="0" applyNumberFormat="1" applyFont="1" applyBorder="1"/>
    <xf numFmtId="181" fontId="36" fillId="37" borderId="1" xfId="0" applyNumberFormat="1" applyFont="1" applyFill="1" applyBorder="1"/>
    <xf numFmtId="181" fontId="36" fillId="37" borderId="2" xfId="0" applyNumberFormat="1" applyFont="1" applyFill="1" applyBorder="1"/>
    <xf numFmtId="3" fontId="36" fillId="37" borderId="2" xfId="0" applyNumberFormat="1" applyFont="1" applyFill="1" applyBorder="1"/>
    <xf numFmtId="3" fontId="36" fillId="0" borderId="1" xfId="0" applyNumberFormat="1" applyFont="1" applyBorder="1"/>
    <xf numFmtId="3" fontId="36" fillId="0" borderId="2" xfId="0" applyNumberFormat="1" applyFont="1" applyBorder="1"/>
    <xf numFmtId="0" fontId="37" fillId="37" borderId="1" xfId="0" applyFont="1" applyFill="1" applyBorder="1"/>
    <xf numFmtId="3" fontId="36" fillId="37" borderId="1" xfId="0" applyNumberFormat="1" applyFont="1" applyFill="1" applyBorder="1"/>
    <xf numFmtId="4" fontId="36" fillId="0" borderId="1" xfId="0" applyNumberFormat="1" applyFont="1" applyBorder="1"/>
    <xf numFmtId="3" fontId="37" fillId="0" borderId="100" xfId="0" applyNumberFormat="1" applyFont="1" applyBorder="1" applyAlignment="1">
      <alignment horizontal="left"/>
    </xf>
    <xf numFmtId="0" fontId="37" fillId="0" borderId="5" xfId="0" applyFont="1" applyBorder="1"/>
    <xf numFmtId="181" fontId="37" fillId="0" borderId="5" xfId="0" applyNumberFormat="1" applyFont="1" applyBorder="1"/>
    <xf numFmtId="3" fontId="37" fillId="0" borderId="5" xfId="0" applyNumberFormat="1" applyFont="1" applyBorder="1"/>
    <xf numFmtId="3" fontId="99" fillId="53" borderId="1" xfId="0" applyNumberFormat="1" applyFont="1" applyFill="1" applyBorder="1"/>
    <xf numFmtId="3" fontId="99" fillId="0" borderId="1" xfId="0" applyNumberFormat="1" applyFont="1" applyBorder="1"/>
    <xf numFmtId="3" fontId="99" fillId="40" borderId="1" xfId="0" applyNumberFormat="1" applyFont="1" applyFill="1" applyBorder="1"/>
    <xf numFmtId="3" fontId="99" fillId="40" borderId="2" xfId="0" applyNumberFormat="1" applyFont="1" applyFill="1" applyBorder="1"/>
    <xf numFmtId="3" fontId="99" fillId="57" borderId="2" xfId="0" applyNumberFormat="1" applyFont="1" applyFill="1" applyBorder="1"/>
    <xf numFmtId="168" fontId="130" fillId="0" borderId="67" xfId="46" applyNumberFormat="1" applyFont="1" applyBorder="1" applyAlignment="1">
      <alignment horizontal="right"/>
    </xf>
    <xf numFmtId="3" fontId="99" fillId="73" borderId="1" xfId="0" applyNumberFormat="1" applyFont="1" applyFill="1" applyBorder="1"/>
    <xf numFmtId="3" fontId="99" fillId="44" borderId="1" xfId="0" applyNumberFormat="1" applyFont="1" applyFill="1" applyBorder="1"/>
    <xf numFmtId="3" fontId="32" fillId="0" borderId="102" xfId="0" applyNumberFormat="1" applyFont="1" applyBorder="1"/>
    <xf numFmtId="3" fontId="32" fillId="53" borderId="102" xfId="0" applyNumberFormat="1" applyFont="1" applyFill="1" applyBorder="1"/>
    <xf numFmtId="3" fontId="132" fillId="0" borderId="9" xfId="0" applyNumberFormat="1" applyFont="1" applyBorder="1"/>
    <xf numFmtId="4" fontId="132" fillId="0" borderId="9" xfId="0" applyNumberFormat="1" applyFont="1" applyBorder="1"/>
    <xf numFmtId="3" fontId="132" fillId="40" borderId="9" xfId="0" applyNumberFormat="1" applyFont="1" applyFill="1" applyBorder="1"/>
    <xf numFmtId="3" fontId="132" fillId="0" borderId="1" xfId="0" applyNumberFormat="1" applyFont="1" applyBorder="1"/>
    <xf numFmtId="3" fontId="132" fillId="40" borderId="1" xfId="0" applyNumberFormat="1" applyFont="1" applyFill="1" applyBorder="1"/>
    <xf numFmtId="0" fontId="135" fillId="0" borderId="4" xfId="0" applyFont="1" applyBorder="1"/>
    <xf numFmtId="0" fontId="132" fillId="0" borderId="0" xfId="0" applyFont="1"/>
    <xf numFmtId="4" fontId="132" fillId="0" borderId="0" xfId="0" applyNumberFormat="1" applyFont="1"/>
    <xf numFmtId="3" fontId="132" fillId="0" borderId="0" xfId="0" applyNumberFormat="1" applyFont="1"/>
    <xf numFmtId="3" fontId="132" fillId="0" borderId="8" xfId="0" applyNumberFormat="1" applyFont="1" applyBorder="1" applyAlignment="1">
      <alignment horizontal="right"/>
    </xf>
    <xf numFmtId="0" fontId="137" fillId="0" borderId="4" xfId="0" applyFont="1" applyBorder="1" applyAlignment="1">
      <alignment horizontal="center"/>
    </xf>
    <xf numFmtId="0" fontId="138" fillId="0" borderId="0" xfId="0" applyFont="1" applyAlignment="1">
      <alignment horizontal="center"/>
    </xf>
    <xf numFmtId="4" fontId="138" fillId="0" borderId="0" xfId="0" applyNumberFormat="1" applyFont="1" applyAlignment="1">
      <alignment horizontal="center"/>
    </xf>
    <xf numFmtId="3" fontId="138" fillId="0" borderId="0" xfId="0" applyNumberFormat="1" applyFont="1" applyAlignment="1">
      <alignment horizontal="center"/>
    </xf>
    <xf numFmtId="3" fontId="138" fillId="0" borderId="8" xfId="0" applyNumberFormat="1" applyFont="1" applyBorder="1" applyAlignment="1">
      <alignment horizontal="right"/>
    </xf>
    <xf numFmtId="0" fontId="135" fillId="0" borderId="1" xfId="0" applyFont="1" applyBorder="1"/>
    <xf numFmtId="0" fontId="129" fillId="0" borderId="1" xfId="0" applyFont="1" applyBorder="1" applyAlignment="1">
      <alignment horizontal="center" wrapText="1"/>
    </xf>
    <xf numFmtId="0" fontId="129" fillId="0" borderId="1" xfId="0" applyFont="1" applyBorder="1" applyAlignment="1">
      <alignment horizontal="center" vertical="center"/>
    </xf>
    <xf numFmtId="0" fontId="129" fillId="0" borderId="1" xfId="0" applyFont="1" applyBorder="1" applyAlignment="1">
      <alignment horizontal="center"/>
    </xf>
    <xf numFmtId="4" fontId="129" fillId="0" borderId="1" xfId="0" applyNumberFormat="1" applyFont="1" applyBorder="1" applyAlignment="1">
      <alignment horizontal="center"/>
    </xf>
    <xf numFmtId="0" fontId="129" fillId="0" borderId="1" xfId="0" applyFont="1" applyBorder="1" applyAlignment="1">
      <alignment horizontal="center" vertical="center" wrapText="1"/>
    </xf>
    <xf numFmtId="3" fontId="129" fillId="0" borderId="1" xfId="0" applyNumberFormat="1" applyFont="1" applyBorder="1" applyAlignment="1">
      <alignment horizontal="center" vertical="center" wrapText="1"/>
    </xf>
    <xf numFmtId="3" fontId="129" fillId="0" borderId="2" xfId="0" applyNumberFormat="1" applyFont="1" applyBorder="1" applyAlignment="1">
      <alignment horizontal="right" vertical="justify"/>
    </xf>
    <xf numFmtId="0" fontId="139" fillId="0" borderId="1" xfId="0" applyFont="1" applyBorder="1"/>
    <xf numFmtId="4" fontId="129" fillId="0" borderId="1" xfId="0" applyNumberFormat="1" applyFont="1" applyBorder="1"/>
    <xf numFmtId="3" fontId="132" fillId="0" borderId="2" xfId="0" applyNumberFormat="1" applyFont="1" applyBorder="1" applyAlignment="1">
      <alignment horizontal="right"/>
    </xf>
    <xf numFmtId="3" fontId="80" fillId="0" borderId="45" xfId="0" applyNumberFormat="1" applyFont="1" applyBorder="1"/>
    <xf numFmtId="4" fontId="132" fillId="0" borderId="1" xfId="0" applyNumberFormat="1" applyFont="1" applyBorder="1"/>
    <xf numFmtId="0" fontId="132" fillId="0" borderId="0" xfId="0" applyFont="1" applyAlignment="1">
      <alignment horizontal="center"/>
    </xf>
    <xf numFmtId="0" fontId="140" fillId="64" borderId="102" xfId="0" applyFont="1" applyFill="1" applyBorder="1"/>
    <xf numFmtId="3" fontId="129" fillId="64" borderId="103" xfId="0" applyNumberFormat="1" applyFont="1" applyFill="1" applyBorder="1"/>
    <xf numFmtId="3" fontId="129" fillId="0" borderId="102" xfId="0" applyNumberFormat="1" applyFont="1" applyBorder="1"/>
    <xf numFmtId="4" fontId="129" fillId="64" borderId="103" xfId="0" applyNumberFormat="1" applyFont="1" applyFill="1" applyBorder="1"/>
    <xf numFmtId="3" fontId="129" fillId="64" borderId="102" xfId="0" applyNumberFormat="1" applyFont="1" applyFill="1" applyBorder="1"/>
    <xf numFmtId="3" fontId="141" fillId="64" borderId="7" xfId="0" applyNumberFormat="1" applyFont="1" applyFill="1" applyBorder="1" applyAlignment="1">
      <alignment horizontal="right"/>
    </xf>
    <xf numFmtId="3" fontId="81" fillId="64" borderId="102" xfId="0" applyNumberFormat="1" applyFont="1" applyFill="1" applyBorder="1"/>
    <xf numFmtId="0" fontId="142" fillId="40" borderId="9" xfId="0" applyFont="1" applyFill="1" applyBorder="1" applyAlignment="1">
      <alignment vertical="center"/>
    </xf>
    <xf numFmtId="0" fontId="139" fillId="40" borderId="15" xfId="0" applyFont="1" applyFill="1" applyBorder="1"/>
    <xf numFmtId="3" fontId="132" fillId="40" borderId="5" xfId="0" applyNumberFormat="1" applyFont="1" applyFill="1" applyBorder="1" applyAlignment="1">
      <alignment horizontal="center"/>
    </xf>
    <xf numFmtId="165" fontId="132" fillId="0" borderId="9" xfId="0" applyNumberFormat="1" applyFont="1" applyBorder="1"/>
    <xf numFmtId="3" fontId="129" fillId="0" borderId="9" xfId="0" applyNumberFormat="1" applyFont="1" applyBorder="1"/>
    <xf numFmtId="3" fontId="132" fillId="0" borderId="5" xfId="0" applyNumberFormat="1" applyFont="1" applyBorder="1" applyAlignment="1">
      <alignment horizontal="right"/>
    </xf>
    <xf numFmtId="0" fontId="132" fillId="65" borderId="0" xfId="0" applyFont="1" applyFill="1"/>
    <xf numFmtId="0" fontId="132" fillId="66" borderId="0" xfId="0" applyFont="1" applyFill="1"/>
    <xf numFmtId="178" fontId="132" fillId="0" borderId="0" xfId="0" applyNumberFormat="1" applyFont="1"/>
    <xf numFmtId="0" fontId="143" fillId="53" borderId="1" xfId="0" applyFont="1" applyFill="1" applyBorder="1" applyAlignment="1">
      <alignment vertical="center"/>
    </xf>
    <xf numFmtId="0" fontId="129" fillId="40" borderId="8" xfId="0" applyFont="1" applyFill="1" applyBorder="1"/>
    <xf numFmtId="3" fontId="132" fillId="40" borderId="2" xfId="0" applyNumberFormat="1" applyFont="1" applyFill="1" applyBorder="1"/>
    <xf numFmtId="3" fontId="132" fillId="56" borderId="45" xfId="0" applyNumberFormat="1" applyFont="1" applyFill="1" applyBorder="1" applyAlignment="1">
      <alignment vertical="center"/>
    </xf>
    <xf numFmtId="4" fontId="132" fillId="56" borderId="45" xfId="0" applyNumberFormat="1" applyFont="1" applyFill="1" applyBorder="1" applyAlignment="1">
      <alignment vertical="center"/>
    </xf>
    <xf numFmtId="3" fontId="132" fillId="40" borderId="2" xfId="0" applyNumberFormat="1" applyFont="1" applyFill="1" applyBorder="1" applyAlignment="1">
      <alignment horizontal="right"/>
    </xf>
    <xf numFmtId="0" fontId="80" fillId="65" borderId="0" xfId="0" applyFont="1" applyFill="1"/>
    <xf numFmtId="178" fontId="132" fillId="65" borderId="0" xfId="0" applyNumberFormat="1" applyFont="1" applyFill="1"/>
    <xf numFmtId="0" fontId="80" fillId="66" borderId="0" xfId="0" applyFont="1" applyFill="1"/>
    <xf numFmtId="3" fontId="132" fillId="66" borderId="0" xfId="0" applyNumberFormat="1" applyFont="1" applyFill="1"/>
    <xf numFmtId="3" fontId="144" fillId="0" borderId="0" xfId="0" applyNumberFormat="1" applyFont="1"/>
    <xf numFmtId="0" fontId="145" fillId="37" borderId="1" xfId="0" applyFont="1" applyFill="1" applyBorder="1" applyAlignment="1">
      <alignment vertical="center"/>
    </xf>
    <xf numFmtId="3" fontId="146" fillId="37" borderId="1" xfId="0" applyNumberFormat="1" applyFont="1" applyFill="1" applyBorder="1"/>
    <xf numFmtId="3" fontId="132" fillId="37" borderId="2" xfId="0" applyNumberFormat="1" applyFont="1" applyFill="1" applyBorder="1"/>
    <xf numFmtId="3" fontId="132" fillId="37" borderId="1" xfId="0" applyNumberFormat="1" applyFont="1" applyFill="1" applyBorder="1"/>
    <xf numFmtId="4" fontId="132" fillId="37" borderId="1" xfId="0" applyNumberFormat="1" applyFont="1" applyFill="1" applyBorder="1"/>
    <xf numFmtId="3" fontId="132" fillId="37" borderId="2" xfId="0" applyNumberFormat="1" applyFont="1" applyFill="1" applyBorder="1" applyAlignment="1">
      <alignment horizontal="right"/>
    </xf>
    <xf numFmtId="3" fontId="80" fillId="37" borderId="45" xfId="0" applyNumberFormat="1" applyFont="1" applyFill="1" applyBorder="1"/>
    <xf numFmtId="0" fontId="145" fillId="0" borderId="1" xfId="0" applyFont="1" applyBorder="1" applyAlignment="1">
      <alignment vertical="center"/>
    </xf>
    <xf numFmtId="3" fontId="146" fillId="0" borderId="1" xfId="0" applyNumberFormat="1" applyFont="1" applyBorder="1"/>
    <xf numFmtId="3" fontId="132" fillId="0" borderId="2" xfId="0" applyNumberFormat="1" applyFont="1" applyBorder="1"/>
    <xf numFmtId="0" fontId="129" fillId="65" borderId="0" xfId="0" applyFont="1" applyFill="1"/>
    <xf numFmtId="0" fontId="147" fillId="65" borderId="0" xfId="0" applyFont="1" applyFill="1"/>
    <xf numFmtId="178" fontId="147" fillId="65" borderId="0" xfId="0" applyNumberFormat="1" applyFont="1" applyFill="1"/>
    <xf numFmtId="0" fontId="129" fillId="66" borderId="0" xfId="0" applyFont="1" applyFill="1"/>
    <xf numFmtId="0" fontId="129" fillId="0" borderId="0" xfId="0" applyFont="1"/>
    <xf numFmtId="0" fontId="148" fillId="66" borderId="0" xfId="0" applyFont="1" applyFill="1"/>
    <xf numFmtId="3" fontId="148" fillId="66" borderId="0" xfId="0" applyNumberFormat="1" applyFont="1" applyFill="1"/>
    <xf numFmtId="0" fontId="151" fillId="66" borderId="0" xfId="0" applyFont="1" applyFill="1" applyAlignment="1">
      <alignment horizontal="center"/>
    </xf>
    <xf numFmtId="0" fontId="81" fillId="0" borderId="0" xfId="0" applyFont="1"/>
    <xf numFmtId="0" fontId="152" fillId="0" borderId="1" xfId="0" applyFont="1" applyBorder="1" applyAlignment="1">
      <alignment vertical="center"/>
    </xf>
    <xf numFmtId="3" fontId="153" fillId="0" borderId="1" xfId="0" applyNumberFormat="1" applyFont="1" applyBorder="1"/>
    <xf numFmtId="3" fontId="139" fillId="0" borderId="2" xfId="0" applyNumberFormat="1" applyFont="1" applyBorder="1"/>
    <xf numFmtId="3" fontId="139" fillId="0" borderId="1" xfId="0" applyNumberFormat="1" applyFont="1" applyBorder="1"/>
    <xf numFmtId="4" fontId="139" fillId="0" borderId="1" xfId="0" applyNumberFormat="1" applyFont="1" applyBorder="1"/>
    <xf numFmtId="3" fontId="129" fillId="0" borderId="2" xfId="0" applyNumberFormat="1" applyFont="1" applyBorder="1"/>
    <xf numFmtId="3" fontId="81" fillId="0" borderId="45" xfId="0" applyNumberFormat="1" applyFont="1" applyBorder="1"/>
    <xf numFmtId="0" fontId="143" fillId="53" borderId="102" xfId="0" applyFont="1" applyFill="1" applyBorder="1" applyAlignment="1">
      <alignment vertical="center"/>
    </xf>
    <xf numFmtId="3" fontId="132" fillId="53" borderId="102" xfId="0" applyNumberFormat="1" applyFont="1" applyFill="1" applyBorder="1"/>
    <xf numFmtId="3" fontId="132" fillId="53" borderId="7" xfId="0" applyNumberFormat="1" applyFont="1" applyFill="1" applyBorder="1"/>
    <xf numFmtId="3" fontId="129" fillId="53" borderId="102" xfId="0" applyNumberFormat="1" applyFont="1" applyFill="1" applyBorder="1"/>
    <xf numFmtId="4" fontId="132" fillId="53" borderId="102" xfId="0" applyNumberFormat="1" applyFont="1" applyFill="1" applyBorder="1"/>
    <xf numFmtId="3" fontId="132" fillId="53" borderId="7" xfId="0" applyNumberFormat="1" applyFont="1" applyFill="1" applyBorder="1" applyAlignment="1">
      <alignment horizontal="right"/>
    </xf>
    <xf numFmtId="3" fontId="80" fillId="53" borderId="101" xfId="0" applyNumberFormat="1" applyFont="1" applyFill="1" applyBorder="1"/>
    <xf numFmtId="0" fontId="145" fillId="42" borderId="9" xfId="0" applyFont="1" applyFill="1" applyBorder="1" applyAlignment="1">
      <alignment vertical="center"/>
    </xf>
    <xf numFmtId="3" fontId="132" fillId="40" borderId="5" xfId="0" applyNumberFormat="1" applyFont="1" applyFill="1" applyBorder="1"/>
    <xf numFmtId="4" fontId="132" fillId="40" borderId="9" xfId="0" applyNumberFormat="1" applyFont="1" applyFill="1" applyBorder="1"/>
    <xf numFmtId="0" fontId="154" fillId="60" borderId="0" xfId="0" applyFont="1" applyFill="1"/>
    <xf numFmtId="0" fontId="145" fillId="63" borderId="1" xfId="0" applyFont="1" applyFill="1" applyBorder="1" applyAlignment="1">
      <alignment vertical="center"/>
    </xf>
    <xf numFmtId="3" fontId="132" fillId="63" borderId="2" xfId="0" applyNumberFormat="1" applyFont="1" applyFill="1" applyBorder="1"/>
    <xf numFmtId="3" fontId="132" fillId="63" borderId="1" xfId="0" applyNumberFormat="1" applyFont="1" applyFill="1" applyBorder="1"/>
    <xf numFmtId="4" fontId="132" fillId="63" borderId="1" xfId="0" applyNumberFormat="1" applyFont="1" applyFill="1" applyBorder="1"/>
    <xf numFmtId="3" fontId="132" fillId="63" borderId="2" xfId="0" applyNumberFormat="1" applyFont="1" applyFill="1" applyBorder="1" applyAlignment="1">
      <alignment horizontal="right"/>
    </xf>
    <xf numFmtId="3" fontId="80" fillId="63" borderId="45" xfId="0" applyNumberFormat="1" applyFont="1" applyFill="1" applyBorder="1"/>
    <xf numFmtId="0" fontId="155" fillId="66" borderId="0" xfId="0" applyFont="1" applyFill="1"/>
    <xf numFmtId="0" fontId="80" fillId="61" borderId="0" xfId="0" applyFont="1" applyFill="1"/>
    <xf numFmtId="0" fontId="154" fillId="61" borderId="0" xfId="0" applyFont="1" applyFill="1"/>
    <xf numFmtId="0" fontId="80" fillId="60" borderId="0" xfId="0" applyFont="1" applyFill="1"/>
    <xf numFmtId="178" fontId="129" fillId="66" borderId="0" xfId="0" applyNumberFormat="1" applyFont="1" applyFill="1"/>
    <xf numFmtId="0" fontId="156" fillId="63" borderId="1" xfId="0" applyFont="1" applyFill="1" applyBorder="1" applyAlignment="1">
      <alignment vertical="center"/>
    </xf>
    <xf numFmtId="3" fontId="129" fillId="63" borderId="2" xfId="0" applyNumberFormat="1" applyFont="1" applyFill="1" applyBorder="1"/>
    <xf numFmtId="4" fontId="129" fillId="63" borderId="2" xfId="0" applyNumberFormat="1" applyFont="1" applyFill="1" applyBorder="1"/>
    <xf numFmtId="3" fontId="146" fillId="63" borderId="47" xfId="0" applyNumberFormat="1" applyFont="1" applyFill="1" applyBorder="1"/>
    <xf numFmtId="3" fontId="146" fillId="63" borderId="2" xfId="0" applyNumberFormat="1" applyFont="1" applyFill="1" applyBorder="1"/>
    <xf numFmtId="3" fontId="81" fillId="63" borderId="45" xfId="0" applyNumberFormat="1" applyFont="1" applyFill="1" applyBorder="1"/>
    <xf numFmtId="0" fontId="143" fillId="58" borderId="102" xfId="0" applyFont="1" applyFill="1" applyBorder="1" applyAlignment="1">
      <alignment vertical="center"/>
    </xf>
    <xf numFmtId="3" fontId="132" fillId="0" borderId="5" xfId="0" applyNumberFormat="1" applyFont="1" applyBorder="1"/>
    <xf numFmtId="0" fontId="80" fillId="68" borderId="0" xfId="0" applyFont="1" applyFill="1"/>
    <xf numFmtId="3" fontId="157" fillId="0" borderId="1" xfId="0" applyNumberFormat="1" applyFont="1" applyBorder="1"/>
    <xf numFmtId="3" fontId="80" fillId="66" borderId="0" xfId="0" applyNumberFormat="1" applyFont="1" applyFill="1"/>
    <xf numFmtId="178" fontId="132" fillId="66" borderId="0" xfId="0" applyNumberFormat="1" applyFont="1" applyFill="1"/>
    <xf numFmtId="0" fontId="143" fillId="37" borderId="9" xfId="0" applyFont="1" applyFill="1" applyBorder="1" applyAlignment="1">
      <alignment vertical="center"/>
    </xf>
    <xf numFmtId="3" fontId="132" fillId="37" borderId="5" xfId="0" applyNumberFormat="1" applyFont="1" applyFill="1" applyBorder="1"/>
    <xf numFmtId="3" fontId="132" fillId="37" borderId="9" xfId="0" applyNumberFormat="1" applyFont="1" applyFill="1" applyBorder="1"/>
    <xf numFmtId="4" fontId="132" fillId="37" borderId="9" xfId="0" applyNumberFormat="1" applyFont="1" applyFill="1" applyBorder="1"/>
    <xf numFmtId="3" fontId="132" fillId="37" borderId="5" xfId="0" applyNumberFormat="1" applyFont="1" applyFill="1" applyBorder="1" applyAlignment="1">
      <alignment horizontal="right"/>
    </xf>
    <xf numFmtId="0" fontId="132" fillId="66" borderId="0" xfId="0" applyFont="1" applyFill="1" applyAlignment="1">
      <alignment horizontal="center"/>
    </xf>
    <xf numFmtId="3" fontId="129" fillId="0" borderId="0" xfId="0" applyNumberFormat="1" applyFont="1"/>
    <xf numFmtId="3" fontId="133" fillId="0" borderId="1" xfId="0" applyNumberFormat="1" applyFont="1" applyBorder="1"/>
    <xf numFmtId="3" fontId="133" fillId="0" borderId="2" xfId="0" applyNumberFormat="1" applyFont="1" applyBorder="1"/>
    <xf numFmtId="4" fontId="133" fillId="0" borderId="2" xfId="0" applyNumberFormat="1" applyFont="1" applyBorder="1"/>
    <xf numFmtId="3" fontId="133" fillId="0" borderId="47" xfId="0" applyNumberFormat="1" applyFont="1" applyBorder="1"/>
    <xf numFmtId="3" fontId="80" fillId="0" borderId="0" xfId="0" applyNumberFormat="1" applyFont="1"/>
    <xf numFmtId="3" fontId="159" fillId="37" borderId="1" xfId="0" applyNumberFormat="1" applyFont="1" applyFill="1" applyBorder="1"/>
    <xf numFmtId="165" fontId="159" fillId="37" borderId="2" xfId="0" applyNumberFormat="1" applyFont="1" applyFill="1" applyBorder="1"/>
    <xf numFmtId="0" fontId="143" fillId="0" borderId="102" xfId="0" applyFont="1" applyBorder="1" applyAlignment="1">
      <alignment vertical="center"/>
    </xf>
    <xf numFmtId="3" fontId="129" fillId="0" borderId="7" xfId="0" applyNumberFormat="1" applyFont="1" applyBorder="1"/>
    <xf numFmtId="4" fontId="129" fillId="0" borderId="102" xfId="0" applyNumberFormat="1" applyFont="1" applyBorder="1"/>
    <xf numFmtId="3" fontId="129" fillId="0" borderId="7" xfId="0" applyNumberFormat="1" applyFont="1" applyBorder="1" applyAlignment="1">
      <alignment horizontal="right"/>
    </xf>
    <xf numFmtId="3" fontId="81" fillId="0" borderId="101" xfId="0" applyNumberFormat="1" applyFont="1" applyBorder="1"/>
    <xf numFmtId="0" fontId="145" fillId="74" borderId="9" xfId="0" applyFont="1" applyFill="1" applyBorder="1" applyAlignment="1">
      <alignment vertical="center"/>
    </xf>
    <xf numFmtId="3" fontId="132" fillId="0" borderId="8" xfId="0" applyNumberFormat="1" applyFont="1" applyBorder="1"/>
    <xf numFmtId="3" fontId="146" fillId="63" borderId="1" xfId="0" applyNumberFormat="1" applyFont="1" applyFill="1" applyBorder="1"/>
    <xf numFmtId="0" fontId="132" fillId="63" borderId="0" xfId="0" applyFont="1" applyFill="1"/>
    <xf numFmtId="4" fontId="132" fillId="63" borderId="0" xfId="0" applyNumberFormat="1" applyFont="1" applyFill="1"/>
    <xf numFmtId="3" fontId="146" fillId="0" borderId="47" xfId="0" applyNumberFormat="1" applyFont="1" applyBorder="1"/>
    <xf numFmtId="3" fontId="132" fillId="63" borderId="47" xfId="0" applyNumberFormat="1" applyFont="1" applyFill="1" applyBorder="1"/>
    <xf numFmtId="9" fontId="132" fillId="66" borderId="0" xfId="50" applyFont="1" applyFill="1"/>
    <xf numFmtId="0" fontId="158" fillId="63" borderId="1" xfId="0" applyFont="1" applyFill="1" applyBorder="1" applyAlignment="1">
      <alignment vertical="center"/>
    </xf>
    <xf numFmtId="3" fontId="146" fillId="53" borderId="1" xfId="0" applyNumberFormat="1" applyFont="1" applyFill="1" applyBorder="1"/>
    <xf numFmtId="3" fontId="129" fillId="53" borderId="2" xfId="0" applyNumberFormat="1" applyFont="1" applyFill="1" applyBorder="1"/>
    <xf numFmtId="3" fontId="129" fillId="53" borderId="1" xfId="0" applyNumberFormat="1" applyFont="1" applyFill="1" applyBorder="1"/>
    <xf numFmtId="0" fontId="143" fillId="36" borderId="1" xfId="0" applyFont="1" applyFill="1" applyBorder="1" applyAlignment="1">
      <alignment vertical="center"/>
    </xf>
    <xf numFmtId="3" fontId="139" fillId="0" borderId="47" xfId="0" applyNumberFormat="1" applyFont="1" applyBorder="1"/>
    <xf numFmtId="3" fontId="139" fillId="0" borderId="0" xfId="0" applyNumberFormat="1" applyFont="1"/>
    <xf numFmtId="4" fontId="139" fillId="0" borderId="0" xfId="0" applyNumberFormat="1" applyFont="1"/>
    <xf numFmtId="3" fontId="139" fillId="40" borderId="1" xfId="0" applyNumberFormat="1" applyFont="1" applyFill="1" applyBorder="1"/>
    <xf numFmtId="3" fontId="153" fillId="40" borderId="1" xfId="0" applyNumberFormat="1" applyFont="1" applyFill="1" applyBorder="1"/>
    <xf numFmtId="3" fontId="153" fillId="40" borderId="2" xfId="0" applyNumberFormat="1" applyFont="1" applyFill="1" applyBorder="1"/>
    <xf numFmtId="0" fontId="80" fillId="0" borderId="45" xfId="0" applyFont="1" applyBorder="1"/>
    <xf numFmtId="0" fontId="80" fillId="69" borderId="0" xfId="0" applyFont="1" applyFill="1"/>
    <xf numFmtId="0" fontId="129" fillId="69" borderId="0" xfId="0" applyFont="1" applyFill="1"/>
    <xf numFmtId="0" fontId="146" fillId="59" borderId="1" xfId="0" applyFont="1" applyFill="1" applyBorder="1"/>
    <xf numFmtId="3" fontId="146" fillId="59" borderId="1" xfId="0" applyNumberFormat="1" applyFont="1" applyFill="1" applyBorder="1"/>
    <xf numFmtId="3" fontId="129" fillId="59" borderId="47" xfId="0" applyNumberFormat="1" applyFont="1" applyFill="1" applyBorder="1"/>
    <xf numFmtId="3" fontId="129" fillId="59" borderId="1" xfId="0" applyNumberFormat="1" applyFont="1" applyFill="1" applyBorder="1"/>
    <xf numFmtId="4" fontId="129" fillId="59" borderId="1" xfId="0" applyNumberFormat="1" applyFont="1" applyFill="1" applyBorder="1"/>
    <xf numFmtId="3" fontId="129" fillId="59" borderId="2" xfId="0" applyNumberFormat="1" applyFont="1" applyFill="1" applyBorder="1"/>
    <xf numFmtId="3" fontId="81" fillId="59" borderId="45" xfId="0" applyNumberFormat="1" applyFont="1" applyFill="1" applyBorder="1"/>
    <xf numFmtId="0" fontId="132" fillId="37" borderId="1" xfId="0" applyFont="1" applyFill="1" applyBorder="1"/>
    <xf numFmtId="179" fontId="132" fillId="37" borderId="1" xfId="50" applyNumberFormat="1" applyFont="1" applyFill="1" applyBorder="1"/>
    <xf numFmtId="10" fontId="132" fillId="37" borderId="1" xfId="50" applyNumberFormat="1" applyFont="1" applyFill="1" applyBorder="1"/>
    <xf numFmtId="3" fontId="132" fillId="68" borderId="0" xfId="0" applyNumberFormat="1" applyFont="1" applyFill="1"/>
    <xf numFmtId="0" fontId="132" fillId="69" borderId="0" xfId="0" applyFont="1" applyFill="1"/>
    <xf numFmtId="10" fontId="132" fillId="69" borderId="0" xfId="50" applyNumberFormat="1" applyFont="1" applyFill="1"/>
    <xf numFmtId="0" fontId="157" fillId="59" borderId="1" xfId="0" applyFont="1" applyFill="1" applyBorder="1"/>
    <xf numFmtId="3" fontId="157" fillId="59" borderId="1" xfId="0" applyNumberFormat="1" applyFont="1" applyFill="1" applyBorder="1"/>
    <xf numFmtId="3" fontId="132" fillId="59" borderId="47" xfId="0" applyNumberFormat="1" applyFont="1" applyFill="1" applyBorder="1"/>
    <xf numFmtId="3" fontId="132" fillId="59" borderId="1" xfId="0" applyNumberFormat="1" applyFont="1" applyFill="1" applyBorder="1"/>
    <xf numFmtId="3" fontId="139" fillId="59" borderId="1" xfId="0" applyNumberFormat="1" applyFont="1" applyFill="1" applyBorder="1"/>
    <xf numFmtId="4" fontId="139" fillId="59" borderId="1" xfId="0" applyNumberFormat="1" applyFont="1" applyFill="1" applyBorder="1"/>
    <xf numFmtId="3" fontId="133" fillId="59" borderId="1" xfId="0" applyNumberFormat="1" applyFont="1" applyFill="1" applyBorder="1"/>
    <xf numFmtId="3" fontId="160" fillId="59" borderId="2" xfId="0" applyNumberFormat="1" applyFont="1" applyFill="1" applyBorder="1"/>
    <xf numFmtId="3" fontId="80" fillId="59" borderId="45" xfId="0" applyNumberFormat="1" applyFont="1" applyFill="1" applyBorder="1"/>
    <xf numFmtId="0" fontId="132" fillId="68" borderId="0" xfId="0" applyFont="1" applyFill="1"/>
    <xf numFmtId="4" fontId="132" fillId="59" borderId="1" xfId="0" applyNumberFormat="1" applyFont="1" applyFill="1" applyBorder="1"/>
    <xf numFmtId="3" fontId="132" fillId="69" borderId="0" xfId="0" applyNumberFormat="1" applyFont="1" applyFill="1"/>
    <xf numFmtId="0" fontId="157" fillId="0" borderId="1" xfId="0" applyFont="1" applyBorder="1"/>
    <xf numFmtId="3" fontId="132" fillId="0" borderId="47" xfId="0" applyNumberFormat="1" applyFont="1" applyBorder="1"/>
    <xf numFmtId="3" fontId="160" fillId="0" borderId="2" xfId="0" applyNumberFormat="1" applyFont="1" applyBorder="1"/>
    <xf numFmtId="0" fontId="129" fillId="68" borderId="0" xfId="0" applyFont="1" applyFill="1"/>
    <xf numFmtId="10" fontId="129" fillId="69" borderId="0" xfId="50" applyNumberFormat="1" applyFont="1" applyFill="1"/>
    <xf numFmtId="0" fontId="161" fillId="36" borderId="1" xfId="0" applyFont="1" applyFill="1" applyBorder="1" applyAlignment="1">
      <alignment vertical="center"/>
    </xf>
    <xf numFmtId="3" fontId="162" fillId="0" borderId="1" xfId="0" applyNumberFormat="1" applyFont="1" applyBorder="1"/>
    <xf numFmtId="3" fontId="138" fillId="0" borderId="2" xfId="0" applyNumberFormat="1" applyFont="1" applyBorder="1"/>
    <xf numFmtId="3" fontId="138" fillId="0" borderId="1" xfId="0" applyNumberFormat="1" applyFont="1" applyBorder="1"/>
    <xf numFmtId="4" fontId="138" fillId="0" borderId="2" xfId="0" applyNumberFormat="1" applyFont="1" applyBorder="1"/>
    <xf numFmtId="3" fontId="153" fillId="40" borderId="47" xfId="0" applyNumberFormat="1" applyFont="1" applyFill="1" applyBorder="1"/>
    <xf numFmtId="0" fontId="80" fillId="0" borderId="4" xfId="0" applyFont="1" applyBorder="1"/>
    <xf numFmtId="3" fontId="139" fillId="0" borderId="14" xfId="0" applyNumberFormat="1" applyFont="1" applyBorder="1"/>
    <xf numFmtId="3" fontId="132" fillId="40" borderId="8" xfId="0" applyNumberFormat="1" applyFont="1" applyFill="1" applyBorder="1"/>
    <xf numFmtId="3" fontId="132" fillId="0" borderId="0" xfId="0" applyNumberFormat="1" applyFont="1" applyAlignment="1">
      <alignment horizontal="right"/>
    </xf>
    <xf numFmtId="0" fontId="80" fillId="0" borderId="39" xfId="0" applyFont="1" applyBorder="1"/>
    <xf numFmtId="0" fontId="132" fillId="0" borderId="2" xfId="0" applyFont="1" applyBorder="1"/>
    <xf numFmtId="4" fontId="132" fillId="0" borderId="47" xfId="0" applyNumberFormat="1" applyFont="1" applyBorder="1"/>
    <xf numFmtId="4" fontId="129" fillId="0" borderId="47" xfId="0" applyNumberFormat="1" applyFont="1" applyBorder="1"/>
    <xf numFmtId="0" fontId="132" fillId="0" borderId="1" xfId="0" applyFont="1" applyBorder="1"/>
    <xf numFmtId="0" fontId="80" fillId="0" borderId="9" xfId="0" applyFont="1" applyBorder="1"/>
    <xf numFmtId="0" fontId="135" fillId="40" borderId="0" xfId="0" applyFont="1" applyFill="1"/>
    <xf numFmtId="0" fontId="132" fillId="40" borderId="0" xfId="0" applyFont="1" applyFill="1"/>
    <xf numFmtId="166" fontId="132" fillId="40" borderId="0" xfId="0" applyNumberFormat="1" applyFont="1" applyFill="1"/>
    <xf numFmtId="166" fontId="135" fillId="40" borderId="0" xfId="0" applyNumberFormat="1" applyFont="1" applyFill="1"/>
    <xf numFmtId="3" fontId="132" fillId="40" borderId="0" xfId="0" applyNumberFormat="1" applyFont="1" applyFill="1"/>
    <xf numFmtId="4" fontId="132" fillId="40" borderId="0" xfId="0" applyNumberFormat="1" applyFont="1" applyFill="1"/>
    <xf numFmtId="3" fontId="132" fillId="40" borderId="0" xfId="0" applyNumberFormat="1" applyFont="1" applyFill="1" applyAlignment="1">
      <alignment horizontal="right"/>
    </xf>
    <xf numFmtId="179" fontId="132" fillId="68" borderId="0" xfId="50" applyNumberFormat="1" applyFont="1" applyFill="1"/>
    <xf numFmtId="3" fontId="80" fillId="68" borderId="0" xfId="0" applyNumberFormat="1" applyFont="1" applyFill="1"/>
    <xf numFmtId="0" fontId="135" fillId="0" borderId="0" xfId="0" applyFont="1"/>
    <xf numFmtId="166" fontId="132" fillId="0" borderId="0" xfId="0" applyNumberFormat="1" applyFont="1"/>
    <xf numFmtId="166" fontId="135" fillId="0" borderId="0" xfId="0" applyNumberFormat="1" applyFont="1"/>
    <xf numFmtId="179" fontId="132" fillId="0" borderId="0" xfId="50" applyNumberFormat="1" applyFont="1"/>
    <xf numFmtId="9" fontId="132" fillId="69" borderId="0" xfId="50" applyFont="1" applyFill="1"/>
    <xf numFmtId="0" fontId="163" fillId="35" borderId="1" xfId="0" applyFont="1" applyFill="1" applyBorder="1" applyAlignment="1">
      <alignment vertical="center"/>
    </xf>
    <xf numFmtId="3" fontId="157" fillId="35" borderId="2" xfId="0" applyNumberFormat="1" applyFont="1" applyFill="1" applyBorder="1"/>
    <xf numFmtId="3" fontId="132" fillId="35" borderId="39" xfId="0" applyNumberFormat="1" applyFont="1" applyFill="1" applyBorder="1"/>
    <xf numFmtId="165" fontId="129" fillId="0" borderId="0" xfId="0" applyNumberFormat="1" applyFont="1"/>
    <xf numFmtId="4" fontId="147" fillId="0" borderId="0" xfId="0" applyNumberFormat="1" applyFont="1"/>
    <xf numFmtId="3" fontId="147" fillId="0" borderId="0" xfId="0" applyNumberFormat="1" applyFont="1"/>
    <xf numFmtId="0" fontId="143" fillId="0" borderId="1" xfId="0" applyFont="1" applyBorder="1" applyAlignment="1">
      <alignment vertical="center"/>
    </xf>
    <xf numFmtId="3" fontId="157" fillId="0" borderId="2" xfId="0" applyNumberFormat="1" applyFont="1" applyBorder="1"/>
    <xf numFmtId="3" fontId="132" fillId="0" borderId="39" xfId="0" applyNumberFormat="1" applyFont="1" applyBorder="1"/>
    <xf numFmtId="166" fontId="132" fillId="0" borderId="0" xfId="0" applyNumberFormat="1" applyFont="1" applyAlignment="1">
      <alignment horizontal="left"/>
    </xf>
    <xf numFmtId="165" fontId="132" fillId="0" borderId="0" xfId="0" quotePrefix="1" applyNumberFormat="1" applyFont="1" applyAlignment="1">
      <alignment horizontal="left"/>
    </xf>
    <xf numFmtId="0" fontId="132" fillId="0" borderId="0" xfId="0" applyFont="1" applyAlignment="1">
      <alignment horizontal="left"/>
    </xf>
    <xf numFmtId="0" fontId="158" fillId="35" borderId="1" xfId="0" applyFont="1" applyFill="1" applyBorder="1" applyAlignment="1">
      <alignment vertical="center"/>
    </xf>
    <xf numFmtId="3" fontId="153" fillId="35" borderId="2" xfId="0" applyNumberFormat="1" applyFont="1" applyFill="1" applyBorder="1"/>
    <xf numFmtId="3" fontId="139" fillId="35" borderId="39" xfId="0" applyNumberFormat="1" applyFont="1" applyFill="1" applyBorder="1"/>
    <xf numFmtId="3" fontId="153" fillId="35" borderId="1" xfId="0" applyNumberFormat="1" applyFont="1" applyFill="1" applyBorder="1"/>
    <xf numFmtId="3" fontId="139" fillId="35" borderId="1" xfId="0" applyNumberFormat="1" applyFont="1" applyFill="1" applyBorder="1"/>
    <xf numFmtId="17" fontId="132" fillId="0" borderId="0" xfId="0" applyNumberFormat="1" applyFont="1"/>
    <xf numFmtId="178" fontId="129" fillId="0" borderId="0" xfId="0" applyNumberFormat="1" applyFont="1"/>
    <xf numFmtId="0" fontId="164" fillId="0" borderId="0" xfId="0" applyFont="1"/>
    <xf numFmtId="0" fontId="165" fillId="0" borderId="0" xfId="0" applyFont="1"/>
    <xf numFmtId="9" fontId="132" fillId="0" borderId="0" xfId="50" applyFont="1"/>
    <xf numFmtId="10" fontId="132" fillId="0" borderId="0" xfId="50" applyNumberFormat="1" applyFont="1"/>
    <xf numFmtId="3" fontId="148" fillId="0" borderId="0" xfId="0" applyNumberFormat="1" applyFont="1"/>
    <xf numFmtId="3" fontId="80" fillId="0" borderId="0" xfId="0" applyNumberFormat="1" applyFont="1" applyAlignment="1">
      <alignment horizontal="center"/>
    </xf>
    <xf numFmtId="0" fontId="80" fillId="0" borderId="0" xfId="0" applyFont="1" applyAlignment="1">
      <alignment horizontal="center"/>
    </xf>
    <xf numFmtId="10" fontId="132" fillId="0" borderId="0" xfId="0" applyNumberFormat="1" applyFont="1"/>
    <xf numFmtId="0" fontId="80" fillId="0" borderId="0" xfId="0" applyFont="1" applyAlignment="1">
      <alignment horizontal="center" vertical="center"/>
    </xf>
    <xf numFmtId="0" fontId="132" fillId="0" borderId="0" xfId="0" applyFont="1" applyAlignment="1">
      <alignment horizontal="center" vertical="center"/>
    </xf>
    <xf numFmtId="3" fontId="132" fillId="0" borderId="0" xfId="0" applyNumberFormat="1" applyFont="1" applyAlignment="1">
      <alignment horizontal="center"/>
    </xf>
    <xf numFmtId="17" fontId="129" fillId="0" borderId="0" xfId="0" applyNumberFormat="1" applyFont="1"/>
    <xf numFmtId="3" fontId="80" fillId="0" borderId="0" xfId="0" applyNumberFormat="1" applyFont="1" applyAlignment="1">
      <alignment horizontal="right"/>
    </xf>
    <xf numFmtId="3" fontId="80" fillId="0" borderId="0" xfId="0" applyNumberFormat="1" applyFont="1" applyAlignment="1">
      <alignment vertical="center"/>
    </xf>
    <xf numFmtId="0" fontId="132" fillId="54" borderId="0" xfId="0" applyFont="1" applyFill="1"/>
    <xf numFmtId="0" fontId="132" fillId="0" borderId="0" xfId="0" applyFont="1" applyAlignment="1">
      <alignment horizontal="right"/>
    </xf>
    <xf numFmtId="3" fontId="132" fillId="0" borderId="0" xfId="0" applyNumberFormat="1" applyFont="1" applyAlignment="1">
      <alignment horizontal="left"/>
    </xf>
    <xf numFmtId="0" fontId="143" fillId="74" borderId="102" xfId="0" applyFont="1" applyFill="1" applyBorder="1" applyAlignment="1">
      <alignment vertical="center"/>
    </xf>
    <xf numFmtId="3" fontId="129" fillId="74" borderId="102" xfId="0" applyNumberFormat="1" applyFont="1" applyFill="1" applyBorder="1"/>
    <xf numFmtId="3" fontId="129" fillId="74" borderId="7" xfId="0" applyNumberFormat="1" applyFont="1" applyFill="1" applyBorder="1"/>
    <xf numFmtId="4" fontId="129" fillId="74" borderId="102" xfId="0" applyNumberFormat="1" applyFont="1" applyFill="1" applyBorder="1"/>
    <xf numFmtId="3" fontId="129" fillId="74" borderId="7" xfId="0" applyNumberFormat="1" applyFont="1" applyFill="1" applyBorder="1" applyAlignment="1">
      <alignment horizontal="right"/>
    </xf>
    <xf numFmtId="3" fontId="81" fillId="74" borderId="101" xfId="0" applyNumberFormat="1" applyFont="1" applyFill="1" applyBorder="1"/>
    <xf numFmtId="0" fontId="145" fillId="45" borderId="9" xfId="0" applyFont="1" applyFill="1" applyBorder="1" applyAlignment="1">
      <alignment vertical="center"/>
    </xf>
    <xf numFmtId="3" fontId="157" fillId="45" borderId="9" xfId="0" applyNumberFormat="1" applyFont="1" applyFill="1" applyBorder="1"/>
    <xf numFmtId="3" fontId="132" fillId="45" borderId="5" xfId="0" applyNumberFormat="1" applyFont="1" applyFill="1" applyBorder="1"/>
    <xf numFmtId="3" fontId="132" fillId="45" borderId="9" xfId="0" applyNumberFormat="1" applyFont="1" applyFill="1" applyBorder="1"/>
    <xf numFmtId="4" fontId="132" fillId="45" borderId="9" xfId="0" applyNumberFormat="1" applyFont="1" applyFill="1" applyBorder="1"/>
    <xf numFmtId="3" fontId="132" fillId="45" borderId="5" xfId="0" applyNumberFormat="1" applyFont="1" applyFill="1" applyBorder="1" applyAlignment="1">
      <alignment horizontal="right"/>
    </xf>
    <xf numFmtId="3" fontId="80" fillId="45" borderId="45" xfId="0" applyNumberFormat="1" applyFont="1" applyFill="1" applyBorder="1"/>
    <xf numFmtId="3" fontId="132" fillId="45" borderId="1" xfId="0" applyNumberFormat="1" applyFont="1" applyFill="1" applyBorder="1"/>
    <xf numFmtId="0" fontId="152" fillId="45" borderId="1" xfId="0" applyFont="1" applyFill="1" applyBorder="1" applyAlignment="1">
      <alignment vertical="center"/>
    </xf>
    <xf numFmtId="3" fontId="153" fillId="45" borderId="1" xfId="0" applyNumberFormat="1" applyFont="1" applyFill="1" applyBorder="1"/>
    <xf numFmtId="3" fontId="139" fillId="45" borderId="2" xfId="0" applyNumberFormat="1" applyFont="1" applyFill="1" applyBorder="1"/>
    <xf numFmtId="3" fontId="139" fillId="45" borderId="1" xfId="0" applyNumberFormat="1" applyFont="1" applyFill="1" applyBorder="1"/>
    <xf numFmtId="3" fontId="133" fillId="45" borderId="1" xfId="0" applyNumberFormat="1" applyFont="1" applyFill="1" applyBorder="1"/>
    <xf numFmtId="3" fontId="153" fillId="45" borderId="2" xfId="0" applyNumberFormat="1" applyFont="1" applyFill="1" applyBorder="1"/>
    <xf numFmtId="3" fontId="129" fillId="58" borderId="102" xfId="0" applyNumberFormat="1" applyFont="1" applyFill="1" applyBorder="1"/>
    <xf numFmtId="3" fontId="129" fillId="58" borderId="7" xfId="0" applyNumberFormat="1" applyFont="1" applyFill="1" applyBorder="1"/>
    <xf numFmtId="4" fontId="129" fillId="58" borderId="102" xfId="0" applyNumberFormat="1" applyFont="1" applyFill="1" applyBorder="1"/>
    <xf numFmtId="3" fontId="129" fillId="58" borderId="7" xfId="0" applyNumberFormat="1" applyFont="1" applyFill="1" applyBorder="1" applyAlignment="1">
      <alignment horizontal="right"/>
    </xf>
    <xf numFmtId="3" fontId="81" fillId="58" borderId="101" xfId="0" applyNumberFormat="1" applyFont="1" applyFill="1" applyBorder="1"/>
    <xf numFmtId="3" fontId="132" fillId="63" borderId="0" xfId="0" applyNumberFormat="1" applyFont="1" applyFill="1"/>
    <xf numFmtId="0" fontId="132" fillId="37" borderId="0" xfId="0" applyFont="1" applyFill="1"/>
    <xf numFmtId="4" fontId="132" fillId="37" borderId="0" xfId="0" applyNumberFormat="1" applyFont="1" applyFill="1"/>
    <xf numFmtId="17" fontId="132" fillId="37" borderId="1" xfId="0" applyNumberFormat="1" applyFont="1" applyFill="1" applyBorder="1"/>
    <xf numFmtId="0" fontId="81" fillId="49" borderId="1" xfId="0" applyFont="1" applyFill="1" applyBorder="1"/>
    <xf numFmtId="0" fontId="129" fillId="49" borderId="1" xfId="0" applyFont="1" applyFill="1" applyBorder="1"/>
    <xf numFmtId="17" fontId="129" fillId="49" borderId="1" xfId="0" applyNumberFormat="1" applyFont="1" applyFill="1" applyBorder="1"/>
    <xf numFmtId="17" fontId="132" fillId="49" borderId="1" xfId="0" applyNumberFormat="1" applyFont="1" applyFill="1" applyBorder="1"/>
    <xf numFmtId="0" fontId="132" fillId="49" borderId="0" xfId="0" applyFont="1" applyFill="1"/>
    <xf numFmtId="4" fontId="132" fillId="49" borderId="0" xfId="0" applyNumberFormat="1" applyFont="1" applyFill="1"/>
    <xf numFmtId="0" fontId="80" fillId="49" borderId="1" xfId="0" applyFont="1" applyFill="1" applyBorder="1"/>
    <xf numFmtId="0" fontId="132" fillId="49" borderId="1" xfId="0" applyFont="1" applyFill="1" applyBorder="1"/>
    <xf numFmtId="3" fontId="132" fillId="49" borderId="1" xfId="0" applyNumberFormat="1" applyFont="1" applyFill="1" applyBorder="1"/>
    <xf numFmtId="17" fontId="129" fillId="37" borderId="1" xfId="0" applyNumberFormat="1" applyFont="1" applyFill="1" applyBorder="1"/>
    <xf numFmtId="0" fontId="168" fillId="63" borderId="1" xfId="0" applyFont="1" applyFill="1" applyBorder="1" applyAlignment="1">
      <alignment horizontal="center"/>
    </xf>
    <xf numFmtId="41" fontId="168" fillId="63" borderId="1" xfId="0" applyNumberFormat="1" applyFont="1" applyFill="1" applyBorder="1" applyAlignment="1">
      <alignment horizontal="center"/>
    </xf>
    <xf numFmtId="0" fontId="168" fillId="0" borderId="1" xfId="0" applyFont="1" applyBorder="1" applyAlignment="1">
      <alignment horizontal="center"/>
    </xf>
    <xf numFmtId="41" fontId="168" fillId="0" borderId="1" xfId="0" applyNumberFormat="1" applyFont="1" applyBorder="1" applyAlignment="1">
      <alignment horizontal="center"/>
    </xf>
    <xf numFmtId="0" fontId="168" fillId="0" borderId="39" xfId="0" applyFont="1" applyBorder="1" applyAlignment="1">
      <alignment horizontal="center"/>
    </xf>
    <xf numFmtId="0" fontId="168" fillId="0" borderId="2" xfId="0" applyFont="1" applyBorder="1" applyAlignment="1">
      <alignment horizontal="center"/>
    </xf>
    <xf numFmtId="41" fontId="168" fillId="0" borderId="2" xfId="0" applyNumberFormat="1" applyFont="1" applyBorder="1" applyAlignment="1">
      <alignment horizontal="center"/>
    </xf>
    <xf numFmtId="0" fontId="168" fillId="63" borderId="39" xfId="0" applyFont="1" applyFill="1" applyBorder="1" applyAlignment="1">
      <alignment horizontal="center"/>
    </xf>
    <xf numFmtId="0" fontId="168" fillId="63" borderId="2" xfId="0" applyFont="1" applyFill="1" applyBorder="1" applyAlignment="1">
      <alignment horizontal="center"/>
    </xf>
    <xf numFmtId="41" fontId="168" fillId="63" borderId="2" xfId="0" applyNumberFormat="1" applyFont="1" applyFill="1" applyBorder="1" applyAlignment="1">
      <alignment horizontal="center"/>
    </xf>
    <xf numFmtId="0" fontId="168" fillId="0" borderId="1" xfId="0" applyFont="1" applyBorder="1" applyAlignment="1">
      <alignment horizontal="center" wrapText="1"/>
    </xf>
    <xf numFmtId="49" fontId="169" fillId="63" borderId="1" xfId="0" applyNumberFormat="1" applyFont="1" applyFill="1" applyBorder="1" applyAlignment="1">
      <alignment horizontal="center" vertical="center" shrinkToFit="1"/>
    </xf>
    <xf numFmtId="3" fontId="169" fillId="63" borderId="1" xfId="0" applyNumberFormat="1" applyFont="1" applyFill="1" applyBorder="1" applyAlignment="1">
      <alignment horizontal="right" vertical="center" shrinkToFit="1"/>
    </xf>
    <xf numFmtId="3" fontId="169" fillId="0" borderId="47" xfId="0" applyNumberFormat="1" applyFont="1" applyBorder="1" applyAlignment="1">
      <alignment horizontal="right" vertical="center" shrinkToFit="1"/>
    </xf>
    <xf numFmtId="3" fontId="169" fillId="0" borderId="1" xfId="0" applyNumberFormat="1" applyFont="1" applyBorder="1" applyAlignment="1">
      <alignment horizontal="right" vertical="center" shrinkToFit="1"/>
    </xf>
    <xf numFmtId="49" fontId="169" fillId="0" borderId="1" xfId="0" applyNumberFormat="1" applyFont="1" applyBorder="1" applyAlignment="1">
      <alignment horizontal="center" vertical="center" shrinkToFit="1"/>
    </xf>
    <xf numFmtId="49" fontId="170" fillId="63" borderId="1" xfId="0" applyNumberFormat="1" applyFont="1" applyFill="1" applyBorder="1" applyAlignment="1">
      <alignment horizontal="right"/>
    </xf>
    <xf numFmtId="49" fontId="171" fillId="63" borderId="67" xfId="0" applyNumberFormat="1" applyFont="1" applyFill="1" applyBorder="1" applyAlignment="1">
      <alignment horizontal="left"/>
    </xf>
    <xf numFmtId="168" fontId="171" fillId="63" borderId="1" xfId="0" applyNumberFormat="1" applyFont="1" applyFill="1" applyBorder="1" applyAlignment="1">
      <alignment horizontal="right"/>
    </xf>
    <xf numFmtId="3" fontId="171" fillId="63" borderId="1" xfId="0" applyNumberFormat="1" applyFont="1" applyFill="1" applyBorder="1" applyAlignment="1">
      <alignment horizontal="right" wrapText="1"/>
    </xf>
    <xf numFmtId="3" fontId="135" fillId="63" borderId="1" xfId="0" applyNumberFormat="1" applyFont="1" applyFill="1" applyBorder="1"/>
    <xf numFmtId="49" fontId="170" fillId="0" borderId="1" xfId="0" applyNumberFormat="1" applyFont="1" applyBorder="1" applyAlignment="1">
      <alignment horizontal="right"/>
    </xf>
    <xf numFmtId="49" fontId="171" fillId="0" borderId="67" xfId="0" applyNumberFormat="1" applyFont="1" applyBorder="1" applyAlignment="1">
      <alignment horizontal="left"/>
    </xf>
    <xf numFmtId="168" fontId="171" fillId="0" borderId="1" xfId="0" applyNumberFormat="1" applyFont="1" applyBorder="1" applyAlignment="1">
      <alignment horizontal="right"/>
    </xf>
    <xf numFmtId="3" fontId="171" fillId="0" borderId="1" xfId="0" applyNumberFormat="1" applyFont="1" applyBorder="1" applyAlignment="1">
      <alignment horizontal="right" wrapText="1"/>
    </xf>
    <xf numFmtId="3" fontId="135" fillId="0" borderId="1" xfId="0" applyNumberFormat="1" applyFont="1" applyBorder="1"/>
    <xf numFmtId="49" fontId="171" fillId="0" borderId="1" xfId="0" applyNumberFormat="1" applyFont="1" applyBorder="1" applyAlignment="1">
      <alignment horizontal="right"/>
    </xf>
    <xf numFmtId="168" fontId="171" fillId="40" borderId="1" xfId="0" applyNumberFormat="1" applyFont="1" applyFill="1" applyBorder="1" applyAlignment="1">
      <alignment horizontal="right"/>
    </xf>
    <xf numFmtId="49" fontId="171" fillId="63" borderId="1" xfId="0" applyNumberFormat="1" applyFont="1" applyFill="1" applyBorder="1" applyAlignment="1">
      <alignment horizontal="right"/>
    </xf>
    <xf numFmtId="3" fontId="171" fillId="63" borderId="1" xfId="0" applyNumberFormat="1" applyFont="1" applyFill="1" applyBorder="1" applyAlignment="1">
      <alignment horizontal="right" vertical="center" shrinkToFit="1"/>
    </xf>
    <xf numFmtId="169" fontId="171" fillId="0" borderId="89" xfId="0" applyNumberFormat="1" applyFont="1" applyBorder="1" applyAlignment="1">
      <alignment horizontal="right"/>
    </xf>
    <xf numFmtId="0" fontId="171" fillId="0" borderId="1" xfId="0" applyFont="1" applyBorder="1" applyAlignment="1">
      <alignment horizontal="right" wrapText="1"/>
    </xf>
    <xf numFmtId="0" fontId="171" fillId="63" borderId="1" xfId="0" applyFont="1" applyFill="1" applyBorder="1" applyAlignment="1">
      <alignment horizontal="right" wrapText="1"/>
    </xf>
    <xf numFmtId="169" fontId="171" fillId="0" borderId="75" xfId="0" applyNumberFormat="1" applyFont="1" applyBorder="1" applyAlignment="1">
      <alignment horizontal="right"/>
    </xf>
    <xf numFmtId="49" fontId="135" fillId="63" borderId="1" xfId="0" applyNumberFormat="1" applyFont="1" applyFill="1" applyBorder="1" applyAlignment="1">
      <alignment horizontal="right"/>
    </xf>
    <xf numFmtId="49" fontId="135" fillId="0" borderId="1" xfId="0" applyNumberFormat="1" applyFont="1" applyBorder="1" applyAlignment="1">
      <alignment horizontal="right"/>
    </xf>
    <xf numFmtId="168" fontId="171" fillId="54" borderId="1" xfId="0" applyNumberFormat="1" applyFont="1" applyFill="1" applyBorder="1" applyAlignment="1">
      <alignment horizontal="right"/>
    </xf>
    <xf numFmtId="49" fontId="171" fillId="63" borderId="14" xfId="0" applyNumberFormat="1" applyFont="1" applyFill="1" applyBorder="1" applyAlignment="1">
      <alignment horizontal="right"/>
    </xf>
    <xf numFmtId="49" fontId="171" fillId="63" borderId="0" xfId="0" applyNumberFormat="1" applyFont="1" applyFill="1" applyAlignment="1">
      <alignment horizontal="left"/>
    </xf>
    <xf numFmtId="168" fontId="171" fillId="63" borderId="14" xfId="0" applyNumberFormat="1" applyFont="1" applyFill="1" applyBorder="1" applyAlignment="1">
      <alignment horizontal="right"/>
    </xf>
    <xf numFmtId="3" fontId="171" fillId="63" borderId="14" xfId="0" applyNumberFormat="1" applyFont="1" applyFill="1" applyBorder="1" applyAlignment="1">
      <alignment horizontal="right" wrapText="1"/>
    </xf>
    <xf numFmtId="3" fontId="135" fillId="63" borderId="14" xfId="0" applyNumberFormat="1" applyFont="1" applyFill="1" applyBorder="1"/>
    <xf numFmtId="49" fontId="171" fillId="0" borderId="14" xfId="0" applyNumberFormat="1" applyFont="1" applyBorder="1" applyAlignment="1">
      <alignment horizontal="right"/>
    </xf>
    <xf numFmtId="49" fontId="171" fillId="0" borderId="0" xfId="0" applyNumberFormat="1" applyFont="1" applyAlignment="1">
      <alignment horizontal="left"/>
    </xf>
    <xf numFmtId="168" fontId="171" fillId="0" borderId="14" xfId="0" applyNumberFormat="1" applyFont="1" applyBorder="1" applyAlignment="1">
      <alignment horizontal="right"/>
    </xf>
    <xf numFmtId="0" fontId="171" fillId="0" borderId="14" xfId="0" applyFont="1" applyBorder="1" applyAlignment="1">
      <alignment horizontal="right" wrapText="1"/>
    </xf>
    <xf numFmtId="3" fontId="135" fillId="0" borderId="14" xfId="0" applyNumberFormat="1" applyFont="1" applyBorder="1"/>
    <xf numFmtId="0" fontId="171" fillId="63" borderId="14" xfId="0" applyFont="1" applyFill="1" applyBorder="1" applyAlignment="1">
      <alignment horizontal="right" wrapText="1"/>
    </xf>
    <xf numFmtId="168" fontId="171" fillId="45" borderId="1" xfId="0" applyNumberFormat="1" applyFont="1" applyFill="1" applyBorder="1" applyAlignment="1">
      <alignment horizontal="right"/>
    </xf>
    <xf numFmtId="0" fontId="168" fillId="63" borderId="14" xfId="0" applyFont="1" applyFill="1" applyBorder="1" applyAlignment="1">
      <alignment vertical="center"/>
    </xf>
    <xf numFmtId="0" fontId="168" fillId="0" borderId="14" xfId="0" applyFont="1" applyBorder="1" applyAlignment="1">
      <alignment vertical="center"/>
    </xf>
    <xf numFmtId="49" fontId="172" fillId="63" borderId="1" xfId="0" applyNumberFormat="1" applyFont="1" applyFill="1" applyBorder="1" applyAlignment="1">
      <alignment horizontal="right"/>
    </xf>
    <xf numFmtId="3" fontId="171" fillId="63" borderId="1" xfId="0" applyNumberFormat="1" applyFont="1" applyFill="1" applyBorder="1" applyAlignment="1">
      <alignment horizontal="right"/>
    </xf>
    <xf numFmtId="169" fontId="168" fillId="63" borderId="1" xfId="0" applyNumberFormat="1" applyFont="1" applyFill="1" applyBorder="1"/>
    <xf numFmtId="3" fontId="171" fillId="0" borderId="90" xfId="0" applyNumberFormat="1" applyFont="1" applyBorder="1" applyAlignment="1">
      <alignment horizontal="right"/>
    </xf>
    <xf numFmtId="3" fontId="171" fillId="0" borderId="86" xfId="0" applyNumberFormat="1" applyFont="1" applyBorder="1" applyAlignment="1">
      <alignment horizontal="right"/>
    </xf>
    <xf numFmtId="0" fontId="168" fillId="53" borderId="1" xfId="0" applyFont="1" applyFill="1" applyBorder="1" applyAlignment="1">
      <alignment vertical="center"/>
    </xf>
    <xf numFmtId="168" fontId="171" fillId="53" borderId="1" xfId="0" applyNumberFormat="1" applyFont="1" applyFill="1" applyBorder="1" applyAlignment="1">
      <alignment horizontal="right"/>
    </xf>
    <xf numFmtId="3" fontId="168" fillId="0" borderId="1" xfId="0" applyNumberFormat="1" applyFont="1" applyBorder="1" applyAlignment="1">
      <alignment vertical="center"/>
    </xf>
    <xf numFmtId="3" fontId="135" fillId="53" borderId="1" xfId="0" applyNumberFormat="1" applyFont="1" applyFill="1" applyBorder="1"/>
    <xf numFmtId="0" fontId="12" fillId="54" borderId="1" xfId="0" applyFont="1" applyFill="1" applyBorder="1" applyAlignment="1">
      <alignment horizontal="center"/>
    </xf>
    <xf numFmtId="3" fontId="105" fillId="0" borderId="1" xfId="46" applyNumberFormat="1" applyFont="1" applyBorder="1" applyAlignment="1">
      <alignment horizontal="right" wrapText="1"/>
    </xf>
    <xf numFmtId="3" fontId="48" fillId="0" borderId="1" xfId="46" applyNumberFormat="1" applyBorder="1"/>
    <xf numFmtId="0" fontId="48" fillId="0" borderId="1" xfId="46" applyBorder="1"/>
    <xf numFmtId="0" fontId="105" fillId="0" borderId="1" xfId="46" applyFont="1" applyBorder="1" applyAlignment="1">
      <alignment horizontal="right" wrapText="1"/>
    </xf>
    <xf numFmtId="0" fontId="48" fillId="54" borderId="1" xfId="46" applyFill="1" applyBorder="1"/>
    <xf numFmtId="0" fontId="168" fillId="63" borderId="1" xfId="0" applyFont="1" applyFill="1" applyBorder="1" applyAlignment="1">
      <alignment horizontal="center" wrapText="1"/>
    </xf>
    <xf numFmtId="0" fontId="135" fillId="63" borderId="0" xfId="0" applyFont="1" applyFill="1"/>
    <xf numFmtId="17" fontId="135" fillId="63" borderId="0" xfId="0" applyNumberFormat="1" applyFont="1" applyFill="1"/>
    <xf numFmtId="17" fontId="135" fillId="0" borderId="0" xfId="0" applyNumberFormat="1" applyFont="1"/>
    <xf numFmtId="0" fontId="135" fillId="63" borderId="1" xfId="0" applyFont="1" applyFill="1" applyBorder="1"/>
    <xf numFmtId="17" fontId="135" fillId="63" borderId="1" xfId="0" applyNumberFormat="1" applyFont="1" applyFill="1" applyBorder="1"/>
    <xf numFmtId="0" fontId="135" fillId="0" borderId="3" xfId="0" applyFont="1" applyBorder="1"/>
    <xf numFmtId="0" fontId="135" fillId="0" borderId="14" xfId="0" applyFont="1" applyBorder="1"/>
    <xf numFmtId="0" fontId="135" fillId="63" borderId="3" xfId="0" applyFont="1" applyFill="1" applyBorder="1"/>
    <xf numFmtId="0" fontId="135" fillId="63" borderId="14" xfId="0" applyFont="1" applyFill="1" applyBorder="1"/>
    <xf numFmtId="0" fontId="171" fillId="63" borderId="1" xfId="0" applyFont="1" applyFill="1" applyBorder="1" applyAlignment="1">
      <alignment horizontal="left" wrapText="1"/>
    </xf>
    <xf numFmtId="0" fontId="135" fillId="0" borderId="1" xfId="0" applyFont="1" applyBorder="1" applyAlignment="1">
      <alignment vertical="center"/>
    </xf>
    <xf numFmtId="0" fontId="135" fillId="63" borderId="1" xfId="0" applyFont="1" applyFill="1" applyBorder="1" applyAlignment="1">
      <alignment vertical="center"/>
    </xf>
    <xf numFmtId="3" fontId="171" fillId="63" borderId="0" xfId="0" applyNumberFormat="1" applyFont="1" applyFill="1" applyAlignment="1">
      <alignment horizontal="right" wrapText="1"/>
    </xf>
    <xf numFmtId="3" fontId="171" fillId="0" borderId="0" xfId="0" applyNumberFormat="1" applyFont="1" applyAlignment="1">
      <alignment horizontal="right" wrapText="1"/>
    </xf>
    <xf numFmtId="3" fontId="135" fillId="0" borderId="0" xfId="0" applyNumberFormat="1" applyFont="1"/>
    <xf numFmtId="173" fontId="135" fillId="0" borderId="1" xfId="0" applyNumberFormat="1" applyFont="1" applyBorder="1"/>
    <xf numFmtId="173" fontId="135" fillId="63" borderId="1" xfId="0" applyNumberFormat="1" applyFont="1" applyFill="1" applyBorder="1"/>
    <xf numFmtId="41" fontId="135" fillId="0" borderId="1" xfId="0" applyNumberFormat="1" applyFont="1" applyBorder="1"/>
    <xf numFmtId="3" fontId="135" fillId="0" borderId="39" xfId="0" applyNumberFormat="1" applyFont="1" applyBorder="1"/>
    <xf numFmtId="3" fontId="135" fillId="0" borderId="8" xfId="0" applyNumberFormat="1" applyFont="1" applyBorder="1"/>
    <xf numFmtId="0" fontId="171" fillId="0" borderId="0" xfId="0" applyFont="1" applyAlignment="1">
      <alignment horizontal="right" wrapText="1"/>
    </xf>
    <xf numFmtId="3" fontId="171" fillId="54" borderId="1" xfId="0" applyNumberFormat="1" applyFont="1" applyFill="1" applyBorder="1" applyAlignment="1">
      <alignment horizontal="right" wrapText="1"/>
    </xf>
    <xf numFmtId="41" fontId="170" fillId="0" borderId="1" xfId="0" applyNumberFormat="1" applyFont="1" applyBorder="1"/>
    <xf numFmtId="3" fontId="135" fillId="54" borderId="1" xfId="0" applyNumberFormat="1" applyFont="1" applyFill="1" applyBorder="1"/>
    <xf numFmtId="0" fontId="135" fillId="63" borderId="14" xfId="0" applyFont="1" applyFill="1" applyBorder="1" applyAlignment="1">
      <alignment vertical="center"/>
    </xf>
    <xf numFmtId="0" fontId="171" fillId="63" borderId="0" xfId="0" applyFont="1" applyFill="1" applyAlignment="1">
      <alignment horizontal="right" wrapText="1"/>
    </xf>
    <xf numFmtId="0" fontId="135" fillId="0" borderId="14" xfId="0" applyFont="1" applyBorder="1" applyAlignment="1">
      <alignment vertical="center"/>
    </xf>
    <xf numFmtId="0" fontId="135" fillId="0" borderId="39" xfId="0" applyFont="1" applyBorder="1"/>
    <xf numFmtId="0" fontId="171" fillId="63" borderId="14" xfId="0" applyFont="1" applyFill="1" applyBorder="1" applyAlignment="1">
      <alignment horizontal="left" wrapText="1"/>
    </xf>
    <xf numFmtId="3" fontId="171" fillId="0" borderId="14" xfId="0" applyNumberFormat="1" applyFont="1" applyBorder="1" applyAlignment="1">
      <alignment horizontal="right" wrapText="1"/>
    </xf>
    <xf numFmtId="173" fontId="135" fillId="0" borderId="14" xfId="0" applyNumberFormat="1" applyFont="1" applyBorder="1"/>
    <xf numFmtId="173" fontId="135" fillId="63" borderId="14" xfId="0" applyNumberFormat="1" applyFont="1" applyFill="1" applyBorder="1"/>
    <xf numFmtId="41" fontId="170" fillId="0" borderId="14" xfId="0" applyNumberFormat="1" applyFont="1" applyBorder="1"/>
    <xf numFmtId="3" fontId="135" fillId="0" borderId="3" xfId="0" applyNumberFormat="1" applyFont="1" applyBorder="1"/>
    <xf numFmtId="0" fontId="135" fillId="53" borderId="1" xfId="0" applyFont="1" applyFill="1" applyBorder="1"/>
    <xf numFmtId="3" fontId="171" fillId="53" borderId="1" xfId="0" applyNumberFormat="1" applyFont="1" applyFill="1" applyBorder="1" applyAlignment="1">
      <alignment horizontal="right" wrapText="1"/>
    </xf>
    <xf numFmtId="173" fontId="135" fillId="53" borderId="1" xfId="0" applyNumberFormat="1" applyFont="1" applyFill="1" applyBorder="1"/>
    <xf numFmtId="0" fontId="135" fillId="53" borderId="0" xfId="0" applyFont="1" applyFill="1"/>
    <xf numFmtId="168" fontId="135" fillId="53" borderId="0" xfId="0" applyNumberFormat="1" applyFont="1" applyFill="1"/>
    <xf numFmtId="3" fontId="155" fillId="0" borderId="1" xfId="0" applyNumberFormat="1" applyFont="1" applyBorder="1"/>
    <xf numFmtId="3" fontId="135" fillId="53" borderId="0" xfId="0" applyNumberFormat="1" applyFont="1" applyFill="1"/>
    <xf numFmtId="10" fontId="135" fillId="63" borderId="0" xfId="50" applyNumberFormat="1" applyFont="1" applyFill="1"/>
    <xf numFmtId="10" fontId="135" fillId="0" borderId="0" xfId="0" applyNumberFormat="1" applyFont="1"/>
    <xf numFmtId="10" fontId="135" fillId="0" borderId="0" xfId="50" applyNumberFormat="1" applyFont="1"/>
    <xf numFmtId="0" fontId="3" fillId="0" borderId="104" xfId="0" applyFont="1" applyBorder="1"/>
    <xf numFmtId="0" fontId="29" fillId="0" borderId="105" xfId="0" applyFont="1" applyBorder="1" applyAlignment="1">
      <alignment horizontal="center"/>
    </xf>
    <xf numFmtId="0" fontId="29" fillId="0" borderId="106" xfId="0" applyFont="1" applyBorder="1" applyAlignment="1">
      <alignment horizontal="center"/>
    </xf>
    <xf numFmtId="0" fontId="29" fillId="0" borderId="107" xfId="0" applyFont="1" applyBorder="1" applyAlignment="1">
      <alignment horizontal="center"/>
    </xf>
    <xf numFmtId="3" fontId="29" fillId="0" borderId="107" xfId="0" applyNumberFormat="1" applyFont="1" applyBorder="1" applyAlignment="1">
      <alignment horizontal="center" vertical="center" wrapText="1"/>
    </xf>
    <xf numFmtId="3" fontId="29" fillId="0" borderId="108" xfId="0" applyNumberFormat="1" applyFont="1" applyBorder="1" applyAlignment="1">
      <alignment horizontal="right" vertical="justify"/>
    </xf>
    <xf numFmtId="0" fontId="16" fillId="0" borderId="109" xfId="0" applyFont="1" applyBorder="1"/>
    <xf numFmtId="0" fontId="32" fillId="63" borderId="96" xfId="0" applyFont="1" applyFill="1" applyBorder="1" applyAlignment="1">
      <alignment vertical="center"/>
    </xf>
    <xf numFmtId="3" fontId="18" fillId="63" borderId="1" xfId="0" applyNumberFormat="1" applyFont="1" applyFill="1" applyBorder="1"/>
    <xf numFmtId="3" fontId="32" fillId="74" borderId="1" xfId="0" applyNumberFormat="1" applyFont="1" applyFill="1" applyBorder="1"/>
    <xf numFmtId="3" fontId="32" fillId="74" borderId="1" xfId="0" applyNumberFormat="1" applyFont="1" applyFill="1" applyBorder="1" applyAlignment="1">
      <alignment horizontal="right"/>
    </xf>
    <xf numFmtId="3" fontId="2" fillId="74" borderId="54" xfId="0" applyNumberFormat="1" applyFont="1" applyFill="1" applyBorder="1"/>
    <xf numFmtId="49" fontId="173" fillId="0" borderId="67" xfId="46" applyNumberFormat="1" applyFont="1" applyBorder="1"/>
    <xf numFmtId="168" fontId="173" fillId="0" borderId="67" xfId="46" applyNumberFormat="1" applyFont="1" applyBorder="1" applyAlignment="1">
      <alignment horizontal="right"/>
    </xf>
    <xf numFmtId="0" fontId="32" fillId="0" borderId="96" xfId="0" applyFont="1" applyBorder="1" applyAlignment="1">
      <alignment vertical="center"/>
    </xf>
    <xf numFmtId="3" fontId="32" fillId="0" borderId="1" xfId="0" applyNumberFormat="1" applyFont="1" applyBorder="1" applyAlignment="1">
      <alignment horizontal="right"/>
    </xf>
    <xf numFmtId="3" fontId="2" fillId="0" borderId="54" xfId="0" applyNumberFormat="1" applyFont="1" applyBorder="1"/>
    <xf numFmtId="0" fontId="2" fillId="60" borderId="0" xfId="0" applyFont="1" applyFill="1"/>
    <xf numFmtId="0" fontId="174" fillId="0" borderId="96" xfId="0" applyFont="1" applyBorder="1" applyAlignment="1">
      <alignment vertical="center"/>
    </xf>
    <xf numFmtId="3" fontId="42" fillId="0" borderId="1" xfId="0" applyNumberFormat="1" applyFont="1" applyBorder="1"/>
    <xf numFmtId="3" fontId="131" fillId="0" borderId="1" xfId="0" applyNumberFormat="1" applyFont="1" applyBorder="1"/>
    <xf numFmtId="0" fontId="32" fillId="0" borderId="99" xfId="0" applyFont="1" applyBorder="1" applyAlignment="1">
      <alignment vertical="center"/>
    </xf>
    <xf numFmtId="3" fontId="32" fillId="0" borderId="102" xfId="0" applyNumberFormat="1" applyFont="1" applyBorder="1" applyAlignment="1">
      <alignment horizontal="right"/>
    </xf>
    <xf numFmtId="3" fontId="2" fillId="0" borderId="110" xfId="0" applyNumberFormat="1" applyFont="1" applyBorder="1"/>
    <xf numFmtId="0" fontId="3" fillId="0" borderId="94" xfId="0" applyFont="1" applyBorder="1"/>
    <xf numFmtId="0" fontId="29" fillId="0" borderId="111" xfId="0" applyFont="1" applyBorder="1" applyAlignment="1">
      <alignment horizontal="center"/>
    </xf>
    <xf numFmtId="0" fontId="29" fillId="0" borderId="112" xfId="0" applyFont="1" applyBorder="1" applyAlignment="1">
      <alignment horizontal="center"/>
    </xf>
    <xf numFmtId="0" fontId="29" fillId="0" borderId="113" xfId="0" applyFont="1" applyBorder="1" applyAlignment="1">
      <alignment horizontal="center"/>
    </xf>
    <xf numFmtId="3" fontId="29" fillId="0" borderId="113" xfId="0" applyNumberFormat="1" applyFont="1" applyBorder="1" applyAlignment="1">
      <alignment horizontal="center" vertical="center" wrapText="1"/>
    </xf>
    <xf numFmtId="3" fontId="29" fillId="0" borderId="56" xfId="0" applyNumberFormat="1" applyFont="1" applyBorder="1" applyAlignment="1">
      <alignment horizontal="right" vertical="justify"/>
    </xf>
    <xf numFmtId="0" fontId="16" fillId="0" borderId="114" xfId="0" applyFont="1" applyBorder="1"/>
    <xf numFmtId="0" fontId="32" fillId="49" borderId="96" xfId="0" applyFont="1" applyFill="1" applyBorder="1" applyAlignment="1">
      <alignment vertical="center"/>
    </xf>
    <xf numFmtId="3" fontId="18" fillId="49" borderId="1" xfId="0" applyNumberFormat="1" applyFont="1" applyFill="1" applyBorder="1"/>
    <xf numFmtId="3" fontId="32" fillId="49" borderId="1" xfId="0" applyNumberFormat="1" applyFont="1" applyFill="1" applyBorder="1"/>
    <xf numFmtId="3" fontId="32" fillId="53" borderId="1" xfId="0" applyNumberFormat="1" applyFont="1" applyFill="1" applyBorder="1" applyAlignment="1">
      <alignment horizontal="right"/>
    </xf>
    <xf numFmtId="3" fontId="2" fillId="53" borderId="54" xfId="0" applyNumberFormat="1" applyFont="1" applyFill="1" applyBorder="1"/>
    <xf numFmtId="0" fontId="32" fillId="49" borderId="99" xfId="0" applyFont="1" applyFill="1" applyBorder="1" applyAlignment="1">
      <alignment vertical="center"/>
    </xf>
    <xf numFmtId="3" fontId="18" fillId="49" borderId="102" xfId="0" applyNumberFormat="1" applyFont="1" applyFill="1" applyBorder="1"/>
    <xf numFmtId="3" fontId="32" fillId="49" borderId="102" xfId="0" applyNumberFormat="1" applyFont="1" applyFill="1" applyBorder="1"/>
    <xf numFmtId="0" fontId="32" fillId="49" borderId="102" xfId="0" applyFont="1" applyFill="1" applyBorder="1"/>
    <xf numFmtId="0" fontId="32" fillId="0" borderId="102" xfId="0" applyFont="1" applyBorder="1"/>
    <xf numFmtId="0" fontId="32" fillId="53" borderId="102" xfId="0" applyFont="1" applyFill="1" applyBorder="1"/>
    <xf numFmtId="3" fontId="32" fillId="53" borderId="102" xfId="0" applyNumberFormat="1" applyFont="1" applyFill="1" applyBorder="1" applyAlignment="1">
      <alignment horizontal="right"/>
    </xf>
    <xf numFmtId="3" fontId="2" fillId="53" borderId="110" xfId="0" applyNumberFormat="1" applyFont="1" applyFill="1" applyBorder="1"/>
    <xf numFmtId="0" fontId="3" fillId="59" borderId="4" xfId="0" applyFont="1" applyFill="1" applyBorder="1"/>
    <xf numFmtId="166" fontId="5" fillId="59" borderId="45" xfId="0" applyNumberFormat="1" applyFont="1" applyFill="1" applyBorder="1"/>
    <xf numFmtId="0" fontId="3" fillId="40" borderId="45" xfId="0" applyFont="1" applyFill="1" applyBorder="1"/>
    <xf numFmtId="0" fontId="3" fillId="59" borderId="13" xfId="0" applyFont="1" applyFill="1" applyBorder="1"/>
    <xf numFmtId="166" fontId="5" fillId="59" borderId="9" xfId="0" applyNumberFormat="1" applyFont="1" applyFill="1" applyBorder="1"/>
    <xf numFmtId="4" fontId="2" fillId="0" borderId="0" xfId="0" applyNumberFormat="1" applyFont="1"/>
    <xf numFmtId="0" fontId="4" fillId="0" borderId="0" xfId="0" applyFont="1" applyAlignment="1">
      <alignment horizontal="center"/>
    </xf>
    <xf numFmtId="0" fontId="4" fillId="0" borderId="0" xfId="0" quotePrefix="1" applyFont="1" applyAlignment="1">
      <alignment horizontal="center"/>
    </xf>
    <xf numFmtId="49" fontId="91" fillId="0" borderId="0" xfId="0" applyNumberFormat="1" applyFont="1" applyAlignment="1">
      <alignment horizontal="center" vertical="center" shrinkToFit="1"/>
    </xf>
    <xf numFmtId="0" fontId="3" fillId="0" borderId="0" xfId="0" applyFont="1"/>
    <xf numFmtId="49" fontId="91" fillId="0" borderId="91" xfId="0" applyNumberFormat="1" applyFont="1" applyBorder="1" applyAlignment="1">
      <alignment horizontal="center" vertical="center" shrinkToFit="1"/>
    </xf>
    <xf numFmtId="0" fontId="3" fillId="0" borderId="91" xfId="0" applyFont="1" applyBorder="1"/>
    <xf numFmtId="0" fontId="83" fillId="40" borderId="39" xfId="0" applyFont="1" applyFill="1" applyBorder="1" applyAlignment="1">
      <alignment horizontal="center"/>
    </xf>
    <xf numFmtId="0" fontId="83" fillId="40" borderId="47" xfId="0" applyFont="1" applyFill="1" applyBorder="1" applyAlignment="1">
      <alignment horizontal="center"/>
    </xf>
    <xf numFmtId="49" fontId="113" fillId="0" borderId="0" xfId="0" applyNumberFormat="1" applyFont="1" applyAlignment="1">
      <alignment horizontal="center" vertical="center" shrinkToFit="1"/>
    </xf>
    <xf numFmtId="0" fontId="2" fillId="0" borderId="0" xfId="0" applyFont="1"/>
    <xf numFmtId="49" fontId="113" fillId="0" borderId="91" xfId="0" applyNumberFormat="1" applyFont="1" applyBorder="1" applyAlignment="1">
      <alignment horizontal="center" vertical="center" shrinkToFit="1"/>
    </xf>
    <xf numFmtId="0" fontId="2" fillId="0" borderId="91" xfId="0" applyFont="1" applyBorder="1"/>
    <xf numFmtId="49" fontId="65" fillId="0" borderId="0" xfId="46" applyNumberFormat="1" applyFont="1" applyAlignment="1">
      <alignment horizontal="center" vertical="center" shrinkToFit="1"/>
    </xf>
    <xf numFmtId="0" fontId="48" fillId="0" borderId="0" xfId="46"/>
    <xf numFmtId="49" fontId="65" fillId="0" borderId="91" xfId="46" applyNumberFormat="1" applyFont="1" applyBorder="1" applyAlignment="1">
      <alignment horizontal="center" vertical="center" shrinkToFit="1"/>
    </xf>
    <xf numFmtId="0" fontId="48" fillId="0" borderId="91" xfId="46" applyBorder="1"/>
    <xf numFmtId="49" fontId="91" fillId="0" borderId="55" xfId="0" applyNumberFormat="1" applyFont="1" applyBorder="1" applyAlignment="1">
      <alignment horizontal="center" vertical="center" shrinkToFit="1"/>
    </xf>
    <xf numFmtId="49" fontId="91" fillId="0" borderId="56" xfId="0" applyNumberFormat="1" applyFont="1" applyBorder="1" applyAlignment="1">
      <alignment horizontal="center" vertical="center" shrinkToFit="1"/>
    </xf>
    <xf numFmtId="49" fontId="91" fillId="0" borderId="57" xfId="0" applyNumberFormat="1" applyFont="1" applyBorder="1" applyAlignment="1">
      <alignment horizontal="center" vertical="center" shrinkToFit="1"/>
    </xf>
    <xf numFmtId="0" fontId="37" fillId="0" borderId="48" xfId="0" applyFont="1" applyBorder="1" applyAlignment="1">
      <alignment horizontal="center"/>
    </xf>
    <xf numFmtId="0" fontId="37" fillId="0" borderId="0" xfId="0" applyFont="1" applyAlignment="1">
      <alignment horizontal="center"/>
    </xf>
    <xf numFmtId="0" fontId="37" fillId="0" borderId="49" xfId="0" applyFont="1" applyBorder="1" applyAlignment="1">
      <alignment horizontal="center"/>
    </xf>
    <xf numFmtId="0" fontId="4" fillId="0" borderId="3" xfId="0" applyFont="1" applyBorder="1" applyAlignment="1">
      <alignment horizontal="center"/>
    </xf>
    <xf numFmtId="0" fontId="4" fillId="0" borderId="12" xfId="0" applyFont="1" applyBorder="1" applyAlignment="1">
      <alignment horizontal="center"/>
    </xf>
    <xf numFmtId="0" fontId="4" fillId="0" borderId="18" xfId="0" applyFont="1" applyBorder="1" applyAlignment="1">
      <alignment horizontal="center"/>
    </xf>
    <xf numFmtId="0" fontId="14" fillId="0" borderId="4" xfId="0" applyFont="1" applyBorder="1" applyAlignment="1">
      <alignment horizontal="center"/>
    </xf>
    <xf numFmtId="0" fontId="14" fillId="0" borderId="0" xfId="0" applyFont="1" applyAlignment="1">
      <alignment horizontal="center"/>
    </xf>
    <xf numFmtId="0" fontId="14" fillId="0" borderId="8" xfId="0" applyFont="1" applyBorder="1" applyAlignment="1">
      <alignment horizontal="center"/>
    </xf>
    <xf numFmtId="0" fontId="3" fillId="40" borderId="39" xfId="0" applyFont="1" applyFill="1" applyBorder="1" applyAlignment="1">
      <alignment horizontal="center"/>
    </xf>
    <xf numFmtId="0" fontId="3" fillId="40" borderId="47" xfId="0" applyFont="1" applyFill="1" applyBorder="1" applyAlignment="1">
      <alignment horizontal="center"/>
    </xf>
    <xf numFmtId="0" fontId="32" fillId="0" borderId="0" xfId="0" applyFont="1" applyAlignment="1">
      <alignment horizontal="center"/>
    </xf>
    <xf numFmtId="0" fontId="25" fillId="0" borderId="0" xfId="0" applyFont="1" applyAlignment="1">
      <alignment horizontal="center"/>
    </xf>
    <xf numFmtId="0" fontId="45" fillId="65" borderId="0" xfId="0" applyFont="1" applyFill="1" applyAlignment="1">
      <alignment horizontal="left"/>
    </xf>
    <xf numFmtId="0" fontId="32" fillId="66" borderId="0" xfId="0" applyFont="1" applyFill="1" applyAlignment="1">
      <alignment horizontal="left"/>
    </xf>
    <xf numFmtId="0" fontId="38" fillId="66" borderId="0" xfId="0" applyFont="1" applyFill="1" applyAlignment="1">
      <alignment horizontal="center"/>
    </xf>
    <xf numFmtId="0" fontId="25" fillId="66" borderId="0" xfId="0" applyFont="1" applyFill="1" applyAlignment="1">
      <alignment horizontal="center"/>
    </xf>
    <xf numFmtId="3" fontId="2" fillId="0" borderId="0" xfId="0" applyNumberFormat="1" applyFont="1" applyAlignment="1">
      <alignment horizontal="center"/>
    </xf>
    <xf numFmtId="0" fontId="2" fillId="0" borderId="0" xfId="0" applyFont="1" applyAlignment="1">
      <alignment horizontal="center"/>
    </xf>
    <xf numFmtId="0" fontId="32" fillId="0" borderId="0" xfId="0" applyFont="1" applyAlignment="1">
      <alignment textRotation="255" wrapText="1"/>
    </xf>
    <xf numFmtId="0" fontId="2" fillId="0" borderId="0" xfId="0" applyFont="1" applyAlignment="1">
      <alignment horizontal="center" vertical="center"/>
    </xf>
    <xf numFmtId="0" fontId="32" fillId="0" borderId="0" xfId="0" applyFont="1" applyAlignment="1">
      <alignment horizontal="center" vertical="center" textRotation="255" wrapText="1"/>
    </xf>
    <xf numFmtId="178" fontId="103" fillId="0" borderId="0" xfId="0" applyNumberFormat="1" applyFont="1" applyAlignment="1">
      <alignment horizontal="right" vertical="center" textRotation="255" wrapText="1"/>
    </xf>
    <xf numFmtId="178" fontId="114" fillId="0" borderId="0" xfId="0" applyNumberFormat="1" applyFont="1" applyAlignment="1">
      <alignment horizontal="center" vertical="center" textRotation="255"/>
    </xf>
    <xf numFmtId="3" fontId="32" fillId="0" borderId="0" xfId="0" applyNumberFormat="1" applyFont="1" applyAlignment="1">
      <alignment horizontal="center"/>
    </xf>
    <xf numFmtId="0" fontId="2" fillId="0" borderId="0" xfId="0" applyFont="1" applyAlignment="1">
      <alignment vertical="center"/>
    </xf>
    <xf numFmtId="3" fontId="2" fillId="0" borderId="0" xfId="0" applyNumberFormat="1" applyFont="1" applyAlignment="1">
      <alignment horizontal="center" vertical="center"/>
    </xf>
    <xf numFmtId="3" fontId="2" fillId="54" borderId="0" xfId="0" applyNumberFormat="1" applyFont="1" applyFill="1" applyAlignment="1">
      <alignment horizontal="center"/>
    </xf>
    <xf numFmtId="3" fontId="32" fillId="54" borderId="0" xfId="0" applyNumberFormat="1" applyFont="1" applyFill="1" applyAlignment="1">
      <alignment horizontal="center" wrapText="1"/>
    </xf>
    <xf numFmtId="3" fontId="32" fillId="54" borderId="0" xfId="0" applyNumberFormat="1" applyFont="1" applyFill="1" applyAlignment="1">
      <alignment horizontal="center"/>
    </xf>
    <xf numFmtId="0" fontId="32" fillId="54" borderId="0" xfId="0" applyFont="1" applyFill="1" applyAlignment="1">
      <alignment horizontal="center" wrapText="1"/>
    </xf>
    <xf numFmtId="3" fontId="32" fillId="0" borderId="0" xfId="0" applyNumberFormat="1" applyFont="1" applyAlignment="1">
      <alignment horizontal="center" wrapText="1"/>
    </xf>
    <xf numFmtId="3" fontId="132" fillId="0" borderId="0" xfId="0" applyNumberFormat="1" applyFont="1" applyAlignment="1">
      <alignment horizontal="center"/>
    </xf>
    <xf numFmtId="3" fontId="132" fillId="54" borderId="0" xfId="0" applyNumberFormat="1" applyFont="1" applyFill="1" applyAlignment="1">
      <alignment horizontal="center"/>
    </xf>
    <xf numFmtId="0" fontId="132" fillId="54" borderId="0" xfId="0" applyFont="1" applyFill="1" applyAlignment="1">
      <alignment horizontal="center" wrapText="1"/>
    </xf>
    <xf numFmtId="0" fontId="132" fillId="0" borderId="0" xfId="0" applyFont="1" applyAlignment="1">
      <alignment horizontal="center"/>
    </xf>
    <xf numFmtId="3" fontId="132" fillId="0" borderId="0" xfId="0" applyNumberFormat="1" applyFont="1" applyAlignment="1">
      <alignment horizontal="center" wrapText="1"/>
    </xf>
    <xf numFmtId="3" fontId="80" fillId="0" borderId="0" xfId="0" applyNumberFormat="1" applyFont="1" applyAlignment="1">
      <alignment horizontal="center"/>
    </xf>
    <xf numFmtId="0" fontId="80" fillId="0" borderId="0" xfId="0" applyFont="1" applyAlignment="1">
      <alignment vertical="center"/>
    </xf>
    <xf numFmtId="3" fontId="80" fillId="0" borderId="0" xfId="0" applyNumberFormat="1" applyFont="1" applyAlignment="1">
      <alignment horizontal="center" vertical="center"/>
    </xf>
    <xf numFmtId="3" fontId="80" fillId="54" borderId="0" xfId="0" applyNumberFormat="1" applyFont="1" applyFill="1" applyAlignment="1">
      <alignment horizontal="center"/>
    </xf>
    <xf numFmtId="3" fontId="132" fillId="54" borderId="0" xfId="0" applyNumberFormat="1" applyFont="1" applyFill="1" applyAlignment="1">
      <alignment horizontal="center" wrapText="1"/>
    </xf>
    <xf numFmtId="0" fontId="80" fillId="0" borderId="0" xfId="0" applyFont="1" applyAlignment="1">
      <alignment horizontal="center" vertical="center"/>
    </xf>
    <xf numFmtId="0" fontId="80" fillId="0" borderId="0" xfId="0" applyFont="1" applyAlignment="1">
      <alignment horizontal="center"/>
    </xf>
    <xf numFmtId="0" fontId="132" fillId="0" borderId="0" xfId="0" applyFont="1" applyAlignment="1">
      <alignment textRotation="255" wrapText="1"/>
    </xf>
    <xf numFmtId="0" fontId="132" fillId="0" borderId="0" xfId="0" applyFont="1" applyAlignment="1">
      <alignment horizontal="center" vertical="center" textRotation="255" wrapText="1"/>
    </xf>
    <xf numFmtId="178" fontId="166" fillId="0" borderId="0" xfId="0" applyNumberFormat="1" applyFont="1" applyAlignment="1">
      <alignment horizontal="right" vertical="center" textRotation="255" wrapText="1"/>
    </xf>
    <xf numFmtId="178" fontId="167" fillId="0" borderId="0" xfId="0" applyNumberFormat="1" applyFont="1" applyAlignment="1">
      <alignment horizontal="center" vertical="center" textRotation="255"/>
    </xf>
    <xf numFmtId="0" fontId="149" fillId="66" borderId="0" xfId="0" applyFont="1" applyFill="1" applyAlignment="1">
      <alignment horizontal="center"/>
    </xf>
    <xf numFmtId="0" fontId="132" fillId="40" borderId="39" xfId="0" applyFont="1" applyFill="1" applyBorder="1" applyAlignment="1">
      <alignment horizontal="center"/>
    </xf>
    <xf numFmtId="0" fontId="132" fillId="40" borderId="2" xfId="0" applyFont="1" applyFill="1" applyBorder="1" applyAlignment="1">
      <alignment horizontal="center"/>
    </xf>
    <xf numFmtId="0" fontId="132" fillId="40" borderId="47" xfId="0" applyFont="1" applyFill="1" applyBorder="1" applyAlignment="1">
      <alignment horizontal="center"/>
    </xf>
    <xf numFmtId="0" fontId="129" fillId="40" borderId="39" xfId="0" applyFont="1" applyFill="1" applyBorder="1" applyAlignment="1">
      <alignment horizontal="center"/>
    </xf>
    <xf numFmtId="0" fontId="129" fillId="40" borderId="2" xfId="0" applyFont="1" applyFill="1" applyBorder="1" applyAlignment="1">
      <alignment horizontal="center"/>
    </xf>
    <xf numFmtId="0" fontId="129" fillId="40" borderId="47" xfId="0" applyFont="1" applyFill="1" applyBorder="1" applyAlignment="1">
      <alignment horizontal="center"/>
    </xf>
    <xf numFmtId="0" fontId="132" fillId="37" borderId="39" xfId="0" applyFont="1" applyFill="1" applyBorder="1" applyAlignment="1">
      <alignment horizontal="left"/>
    </xf>
    <xf numFmtId="0" fontId="132" fillId="37" borderId="47" xfId="0" applyFont="1" applyFill="1" applyBorder="1" applyAlignment="1">
      <alignment horizontal="left"/>
    </xf>
    <xf numFmtId="0" fontId="80" fillId="0" borderId="39" xfId="0" applyFont="1" applyBorder="1" applyAlignment="1">
      <alignment horizontal="center"/>
    </xf>
    <xf numFmtId="0" fontId="80" fillId="0" borderId="47" xfId="0" applyFont="1" applyBorder="1" applyAlignment="1">
      <alignment horizontal="center"/>
    </xf>
    <xf numFmtId="0" fontId="134" fillId="0" borderId="3" xfId="0" applyFont="1" applyBorder="1" applyAlignment="1">
      <alignment horizontal="center"/>
    </xf>
    <xf numFmtId="0" fontId="134" fillId="0" borderId="12" xfId="0" applyFont="1" applyBorder="1" applyAlignment="1">
      <alignment horizontal="center"/>
    </xf>
    <xf numFmtId="0" fontId="134" fillId="0" borderId="18" xfId="0" applyFont="1" applyBorder="1" applyAlignment="1">
      <alignment horizontal="center"/>
    </xf>
    <xf numFmtId="0" fontId="136" fillId="0" borderId="4" xfId="0" applyFont="1" applyBorder="1" applyAlignment="1">
      <alignment horizontal="center"/>
    </xf>
    <xf numFmtId="0" fontId="136" fillId="0" borderId="0" xfId="0" applyFont="1" applyAlignment="1">
      <alignment horizontal="center"/>
    </xf>
    <xf numFmtId="0" fontId="136" fillId="0" borderId="8" xfId="0" applyFont="1" applyBorder="1" applyAlignment="1">
      <alignment horizontal="center"/>
    </xf>
    <xf numFmtId="0" fontId="149" fillId="0" borderId="0" xfId="0" applyFont="1" applyAlignment="1">
      <alignment horizontal="center"/>
    </xf>
    <xf numFmtId="0" fontId="150" fillId="65" borderId="0" xfId="0" applyFont="1" applyFill="1" applyAlignment="1">
      <alignment horizontal="left"/>
    </xf>
    <xf numFmtId="0" fontId="132" fillId="66" borderId="0" xfId="0" applyFont="1" applyFill="1" applyAlignment="1">
      <alignment horizontal="left"/>
    </xf>
    <xf numFmtId="0" fontId="151" fillId="66" borderId="0" xfId="0" applyFont="1" applyFill="1" applyAlignment="1">
      <alignment horizontal="center"/>
    </xf>
    <xf numFmtId="0" fontId="137" fillId="0" borderId="12" xfId="0" applyFont="1" applyBorder="1" applyAlignment="1">
      <alignment horizontal="center"/>
    </xf>
    <xf numFmtId="0" fontId="137" fillId="63" borderId="39" xfId="0" applyFont="1" applyFill="1" applyBorder="1" applyAlignment="1">
      <alignment horizontal="center"/>
    </xf>
    <xf numFmtId="0" fontId="137" fillId="63" borderId="2" xfId="0" applyFont="1" applyFill="1" applyBorder="1" applyAlignment="1">
      <alignment horizontal="center"/>
    </xf>
    <xf numFmtId="0" fontId="137" fillId="63" borderId="47" xfId="0" applyFont="1" applyFill="1" applyBorder="1" applyAlignment="1">
      <alignment horizontal="center"/>
    </xf>
    <xf numFmtId="0" fontId="137" fillId="0" borderId="39" xfId="0" applyFont="1" applyBorder="1" applyAlignment="1">
      <alignment horizontal="center"/>
    </xf>
    <xf numFmtId="0" fontId="137" fillId="0" borderId="2" xfId="0" applyFont="1" applyBorder="1" applyAlignment="1">
      <alignment horizontal="center"/>
    </xf>
    <xf numFmtId="0" fontId="137" fillId="0" borderId="47" xfId="0" applyFont="1" applyBorder="1" applyAlignment="1">
      <alignment horizontal="center"/>
    </xf>
    <xf numFmtId="0" fontId="137" fillId="63" borderId="12" xfId="0" applyFont="1" applyFill="1" applyBorder="1" applyAlignment="1">
      <alignment horizontal="center"/>
    </xf>
    <xf numFmtId="49" fontId="169" fillId="63" borderId="1" xfId="0" applyNumberFormat="1" applyFont="1" applyFill="1" applyBorder="1" applyAlignment="1">
      <alignment horizontal="center" vertical="center" shrinkToFit="1"/>
    </xf>
    <xf numFmtId="49" fontId="112" fillId="58" borderId="39" xfId="0" applyNumberFormat="1" applyFont="1" applyFill="1" applyBorder="1" applyAlignment="1">
      <alignment horizontal="left"/>
    </xf>
    <xf numFmtId="49" fontId="112" fillId="58" borderId="2" xfId="0" applyNumberFormat="1" applyFont="1" applyFill="1" applyBorder="1" applyAlignment="1">
      <alignment horizontal="left"/>
    </xf>
    <xf numFmtId="49" fontId="112" fillId="58" borderId="47" xfId="0" applyNumberFormat="1" applyFont="1" applyFill="1" applyBorder="1" applyAlignment="1">
      <alignment horizontal="left"/>
    </xf>
    <xf numFmtId="168" fontId="65" fillId="58" borderId="39" xfId="0" applyNumberFormat="1" applyFont="1" applyFill="1" applyBorder="1" applyAlignment="1">
      <alignment horizontal="center"/>
    </xf>
    <xf numFmtId="168" fontId="65" fillId="58" borderId="2" xfId="0" applyNumberFormat="1" applyFont="1" applyFill="1" applyBorder="1" applyAlignment="1">
      <alignment horizontal="center"/>
    </xf>
    <xf numFmtId="168" fontId="65" fillId="58" borderId="47" xfId="0" applyNumberFormat="1" applyFont="1" applyFill="1" applyBorder="1" applyAlignment="1">
      <alignment horizontal="center"/>
    </xf>
    <xf numFmtId="0" fontId="65" fillId="58" borderId="1" xfId="0" applyFont="1" applyFill="1" applyBorder="1" applyAlignment="1">
      <alignment horizontal="center"/>
    </xf>
    <xf numFmtId="0" fontId="10" fillId="0" borderId="4" xfId="0" applyFont="1" applyBorder="1" applyAlignment="1">
      <alignment horizontal="center"/>
    </xf>
    <xf numFmtId="0" fontId="10" fillId="0" borderId="0" xfId="0" applyFont="1" applyAlignment="1">
      <alignment horizontal="center"/>
    </xf>
    <xf numFmtId="0" fontId="10" fillId="0" borderId="8" xfId="0" applyFont="1" applyBorder="1" applyAlignment="1">
      <alignment horizontal="center"/>
    </xf>
    <xf numFmtId="0" fontId="10" fillId="0" borderId="12" xfId="0" applyFont="1" applyBorder="1" applyAlignment="1">
      <alignment horizontal="center"/>
    </xf>
    <xf numFmtId="49" fontId="112" fillId="0" borderId="3" xfId="0" applyNumberFormat="1" applyFont="1" applyBorder="1" applyAlignment="1">
      <alignment horizontal="center" vertical="center" shrinkToFit="1"/>
    </xf>
    <xf numFmtId="0" fontId="86" fillId="0" borderId="12" xfId="0" applyFont="1" applyBorder="1"/>
    <xf numFmtId="0" fontId="86" fillId="0" borderId="18" xfId="0" applyFont="1" applyBorder="1"/>
    <xf numFmtId="49" fontId="112" fillId="59" borderId="81" xfId="0" applyNumberFormat="1" applyFont="1" applyFill="1" applyBorder="1" applyAlignment="1">
      <alignment horizontal="center" vertical="center" shrinkToFit="1"/>
    </xf>
    <xf numFmtId="0" fontId="86" fillId="59" borderId="91" xfId="0" applyFont="1" applyFill="1" applyBorder="1"/>
    <xf numFmtId="0" fontId="86" fillId="59" borderId="85" xfId="0" applyFont="1" applyFill="1" applyBorder="1"/>
    <xf numFmtId="49" fontId="112" fillId="58" borderId="39" xfId="0" applyNumberFormat="1" applyFont="1" applyFill="1" applyBorder="1" applyAlignment="1">
      <alignment horizontal="center"/>
    </xf>
    <xf numFmtId="49" fontId="112" fillId="58" borderId="2" xfId="0" applyNumberFormat="1" applyFont="1" applyFill="1" applyBorder="1" applyAlignment="1">
      <alignment horizontal="center"/>
    </xf>
    <xf numFmtId="49" fontId="112" fillId="58" borderId="92" xfId="0" applyNumberFormat="1" applyFont="1" applyFill="1" applyBorder="1" applyAlignment="1">
      <alignment horizontal="center"/>
    </xf>
    <xf numFmtId="49" fontId="123" fillId="0" borderId="3" xfId="0" applyNumberFormat="1" applyFont="1" applyBorder="1" applyAlignment="1">
      <alignment horizontal="center" vertical="center" shrinkToFit="1"/>
    </xf>
    <xf numFmtId="49" fontId="123" fillId="0" borderId="12" xfId="0" applyNumberFormat="1" applyFont="1" applyBorder="1" applyAlignment="1">
      <alignment horizontal="center" vertical="center" shrinkToFit="1"/>
    </xf>
    <xf numFmtId="0" fontId="125" fillId="0" borderId="13" xfId="0" applyFont="1" applyBorder="1" applyAlignment="1">
      <alignment horizontal="center" wrapText="1"/>
    </xf>
    <xf numFmtId="0" fontId="125" fillId="0" borderId="5" xfId="0" applyFont="1" applyBorder="1" applyAlignment="1">
      <alignment horizontal="center" wrapText="1"/>
    </xf>
    <xf numFmtId="0" fontId="14" fillId="0" borderId="39" xfId="0" applyFont="1" applyBorder="1" applyAlignment="1">
      <alignment horizontal="center"/>
    </xf>
    <xf numFmtId="0" fontId="14" fillId="0" borderId="2" xfId="0" applyFont="1" applyBorder="1" applyAlignment="1">
      <alignment horizontal="center"/>
    </xf>
    <xf numFmtId="0" fontId="14" fillId="0" borderId="47" xfId="0" applyFont="1" applyBorder="1" applyAlignment="1">
      <alignment horizontal="center"/>
    </xf>
    <xf numFmtId="0" fontId="44" fillId="0" borderId="4" xfId="0" applyFont="1" applyBorder="1" applyAlignment="1">
      <alignment horizontal="center"/>
    </xf>
    <xf numFmtId="0" fontId="44" fillId="0" borderId="0" xfId="0" applyFont="1" applyAlignment="1">
      <alignment horizontal="center"/>
    </xf>
    <xf numFmtId="0" fontId="44" fillId="0" borderId="8" xfId="0" applyFont="1" applyBorder="1" applyAlignment="1">
      <alignment horizontal="center"/>
    </xf>
    <xf numFmtId="165" fontId="32" fillId="0" borderId="0" xfId="0" applyNumberFormat="1" applyFont="1" applyAlignment="1">
      <alignment horizontal="left"/>
    </xf>
    <xf numFmtId="0" fontId="25" fillId="67" borderId="0" xfId="0" applyFont="1" applyFill="1" applyAlignment="1">
      <alignment horizontal="center"/>
    </xf>
    <xf numFmtId="0" fontId="38" fillId="65" borderId="0" xfId="0" applyFont="1" applyFill="1" applyAlignment="1">
      <alignment horizontal="center"/>
    </xf>
    <xf numFmtId="0" fontId="82" fillId="0" borderId="38" xfId="0" applyFont="1" applyBorder="1" applyAlignment="1">
      <alignment horizontal="center" vertical="distributed"/>
    </xf>
    <xf numFmtId="0" fontId="82" fillId="0" borderId="11" xfId="0" applyFont="1" applyBorder="1" applyAlignment="1">
      <alignment horizontal="center" vertical="distributed"/>
    </xf>
    <xf numFmtId="0" fontId="24" fillId="0" borderId="0" xfId="0" applyFont="1" applyAlignment="1">
      <alignment horizontal="center"/>
    </xf>
    <xf numFmtId="170" fontId="82" fillId="0" borderId="0" xfId="0" applyNumberFormat="1" applyFont="1" applyAlignment="1">
      <alignment horizontal="center"/>
    </xf>
    <xf numFmtId="0" fontId="81" fillId="45" borderId="1" xfId="0" applyFont="1" applyFill="1" applyBorder="1" applyAlignment="1">
      <alignment horizontal="center" vertical="top"/>
    </xf>
    <xf numFmtId="171" fontId="81" fillId="45" borderId="47" xfId="34" applyNumberFormat="1" applyFont="1" applyFill="1" applyBorder="1" applyAlignment="1">
      <alignment horizontal="center" vertical="top"/>
    </xf>
    <xf numFmtId="171" fontId="81" fillId="45" borderId="1" xfId="34" applyNumberFormat="1" applyFont="1" applyFill="1" applyBorder="1" applyAlignment="1">
      <alignment horizontal="center" vertical="top"/>
    </xf>
    <xf numFmtId="49" fontId="112" fillId="58" borderId="39" xfId="47" applyNumberFormat="1" applyFont="1" applyFill="1" applyBorder="1" applyAlignment="1">
      <alignment horizontal="left"/>
    </xf>
    <xf numFmtId="49" fontId="112" fillId="58" borderId="2" xfId="47" applyNumberFormat="1" applyFont="1" applyFill="1" applyBorder="1" applyAlignment="1">
      <alignment horizontal="left"/>
    </xf>
    <xf numFmtId="49" fontId="112" fillId="58" borderId="47" xfId="47" applyNumberFormat="1" applyFont="1" applyFill="1" applyBorder="1" applyAlignment="1">
      <alignment horizontal="left"/>
    </xf>
    <xf numFmtId="0" fontId="4" fillId="0" borderId="3" xfId="47" applyFont="1" applyBorder="1" applyAlignment="1">
      <alignment horizontal="center"/>
    </xf>
    <xf numFmtId="0" fontId="4" fillId="0" borderId="12" xfId="47" applyFont="1" applyBorder="1" applyAlignment="1">
      <alignment horizontal="center"/>
    </xf>
    <xf numFmtId="0" fontId="4" fillId="0" borderId="18" xfId="47" applyFont="1" applyBorder="1" applyAlignment="1">
      <alignment horizontal="center"/>
    </xf>
    <xf numFmtId="49" fontId="112" fillId="0" borderId="3" xfId="47" applyNumberFormat="1" applyFont="1" applyBorder="1" applyAlignment="1">
      <alignment horizontal="center" vertical="center" shrinkToFit="1"/>
    </xf>
    <xf numFmtId="0" fontId="86" fillId="0" borderId="12" xfId="47" applyFont="1" applyBorder="1"/>
    <xf numFmtId="0" fontId="86" fillId="0" borderId="18" xfId="47" applyFont="1" applyBorder="1"/>
    <xf numFmtId="49" fontId="112" fillId="59" borderId="81" xfId="47" applyNumberFormat="1" applyFont="1" applyFill="1" applyBorder="1" applyAlignment="1">
      <alignment horizontal="center" vertical="center" shrinkToFit="1"/>
    </xf>
    <xf numFmtId="0" fontId="86" fillId="59" borderId="91" xfId="47" applyFont="1" applyFill="1" applyBorder="1"/>
    <xf numFmtId="0" fontId="86" fillId="59" borderId="85" xfId="47" applyFont="1" applyFill="1" applyBorder="1"/>
    <xf numFmtId="0" fontId="65" fillId="58" borderId="1" xfId="47" applyFont="1" applyFill="1" applyBorder="1" applyAlignment="1">
      <alignment horizontal="center"/>
    </xf>
    <xf numFmtId="0" fontId="10" fillId="0" borderId="12" xfId="47" applyFont="1" applyBorder="1" applyAlignment="1">
      <alignment horizontal="center"/>
    </xf>
    <xf numFmtId="168" fontId="65" fillId="58" borderId="39" xfId="47" applyNumberFormat="1" applyFont="1" applyFill="1" applyBorder="1" applyAlignment="1">
      <alignment horizontal="center"/>
    </xf>
    <xf numFmtId="168" fontId="65" fillId="58" borderId="2" xfId="47" applyNumberFormat="1" applyFont="1" applyFill="1" applyBorder="1" applyAlignment="1">
      <alignment horizontal="center"/>
    </xf>
    <xf numFmtId="168" fontId="65" fillId="58" borderId="47" xfId="47" applyNumberFormat="1" applyFont="1" applyFill="1" applyBorder="1" applyAlignment="1">
      <alignment horizontal="center"/>
    </xf>
    <xf numFmtId="49" fontId="112" fillId="58" borderId="39" xfId="47" applyNumberFormat="1" applyFont="1" applyFill="1" applyBorder="1" applyAlignment="1">
      <alignment horizontal="center"/>
    </xf>
    <xf numFmtId="49" fontId="112" fillId="58" borderId="2" xfId="47" applyNumberFormat="1" applyFont="1" applyFill="1" applyBorder="1" applyAlignment="1">
      <alignment horizontal="center"/>
    </xf>
    <xf numFmtId="49" fontId="112" fillId="58" borderId="92" xfId="47" applyNumberFormat="1" applyFont="1" applyFill="1" applyBorder="1" applyAlignment="1">
      <alignment horizontal="center"/>
    </xf>
    <xf numFmtId="0" fontId="10" fillId="0" borderId="4" xfId="47" applyFont="1" applyBorder="1" applyAlignment="1">
      <alignment horizontal="center"/>
    </xf>
    <xf numFmtId="0" fontId="10" fillId="0" borderId="0" xfId="47" applyFont="1" applyAlignment="1">
      <alignment horizontal="center"/>
    </xf>
    <xf numFmtId="0" fontId="10" fillId="0" borderId="8" xfId="47" applyFont="1" applyBorder="1" applyAlignment="1">
      <alignment horizontal="center"/>
    </xf>
    <xf numFmtId="49" fontId="91" fillId="0" borderId="3" xfId="46" applyNumberFormat="1" applyFont="1" applyBorder="1" applyAlignment="1">
      <alignment horizontal="center" vertical="center" shrinkToFit="1"/>
    </xf>
    <xf numFmtId="0" fontId="83" fillId="0" borderId="12" xfId="46" applyFont="1" applyBorder="1"/>
    <xf numFmtId="0" fontId="83" fillId="0" borderId="18" xfId="46" applyFont="1" applyBorder="1"/>
    <xf numFmtId="49" fontId="91" fillId="0" borderId="4" xfId="46" applyNumberFormat="1" applyFont="1" applyBorder="1" applyAlignment="1">
      <alignment horizontal="center" vertical="center" shrinkToFit="1"/>
    </xf>
    <xf numFmtId="0" fontId="83" fillId="0" borderId="0" xfId="46" applyFont="1"/>
    <xf numFmtId="0" fontId="83" fillId="0" borderId="8" xfId="46" applyFont="1" applyBorder="1"/>
    <xf numFmtId="0" fontId="66" fillId="40" borderId="13" xfId="0" applyFont="1" applyFill="1" applyBorder="1" applyAlignment="1">
      <alignment horizontal="center"/>
    </xf>
    <xf numFmtId="0" fontId="66" fillId="40" borderId="5" xfId="0" applyFont="1" applyFill="1" applyBorder="1" applyAlignment="1">
      <alignment horizontal="center"/>
    </xf>
    <xf numFmtId="0" fontId="66" fillId="40" borderId="15" xfId="0" applyFont="1" applyFill="1" applyBorder="1" applyAlignment="1">
      <alignment horizontal="center"/>
    </xf>
    <xf numFmtId="0" fontId="4" fillId="40" borderId="3" xfId="0" applyFont="1" applyFill="1" applyBorder="1" applyAlignment="1">
      <alignment horizontal="center"/>
    </xf>
    <xf numFmtId="0" fontId="4" fillId="40" borderId="12" xfId="0" applyFont="1" applyFill="1" applyBorder="1" applyAlignment="1">
      <alignment horizontal="center"/>
    </xf>
    <xf numFmtId="0" fontId="4" fillId="40" borderId="18" xfId="0" applyFont="1" applyFill="1" applyBorder="1" applyAlignment="1">
      <alignment horizontal="center"/>
    </xf>
    <xf numFmtId="0" fontId="10" fillId="63" borderId="39" xfId="0" applyFont="1" applyFill="1" applyBorder="1" applyAlignment="1">
      <alignment horizontal="center"/>
    </xf>
    <xf numFmtId="0" fontId="10" fillId="63" borderId="2" xfId="0" applyFont="1" applyFill="1" applyBorder="1" applyAlignment="1">
      <alignment horizontal="center"/>
    </xf>
    <xf numFmtId="0" fontId="10" fillId="63" borderId="47" xfId="0" applyFont="1" applyFill="1" applyBorder="1" applyAlignment="1">
      <alignment horizontal="center"/>
    </xf>
    <xf numFmtId="0" fontId="10" fillId="0" borderId="39" xfId="0" applyFont="1" applyBorder="1" applyAlignment="1">
      <alignment horizontal="center"/>
    </xf>
    <xf numFmtId="0" fontId="10" fillId="0" borderId="2" xfId="0" applyFont="1" applyBorder="1" applyAlignment="1">
      <alignment horizontal="center"/>
    </xf>
    <xf numFmtId="0" fontId="10" fillId="0" borderId="47" xfId="0" applyFont="1" applyBorder="1" applyAlignment="1">
      <alignment horizontal="center"/>
    </xf>
    <xf numFmtId="49" fontId="115" fillId="0" borderId="3" xfId="0" applyNumberFormat="1" applyFont="1" applyBorder="1" applyAlignment="1">
      <alignment horizontal="center" vertical="center" shrinkToFit="1"/>
    </xf>
    <xf numFmtId="49" fontId="115" fillId="0" borderId="12" xfId="0" applyNumberFormat="1" applyFont="1" applyBorder="1" applyAlignment="1">
      <alignment horizontal="center" vertical="center" shrinkToFit="1"/>
    </xf>
    <xf numFmtId="49" fontId="115" fillId="0" borderId="18" xfId="0" applyNumberFormat="1" applyFont="1" applyBorder="1" applyAlignment="1">
      <alignment horizontal="center" vertical="center" shrinkToFit="1"/>
    </xf>
    <xf numFmtId="0" fontId="10" fillId="63" borderId="12" xfId="0" applyFont="1" applyFill="1" applyBorder="1" applyAlignment="1">
      <alignment horizontal="center"/>
    </xf>
    <xf numFmtId="0" fontId="28" fillId="53" borderId="3" xfId="0" applyFont="1" applyFill="1" applyBorder="1" applyAlignment="1">
      <alignment horizontal="center"/>
    </xf>
    <xf numFmtId="0" fontId="28" fillId="53" borderId="12" xfId="0" applyFont="1" applyFill="1" applyBorder="1" applyAlignment="1">
      <alignment horizontal="center"/>
    </xf>
    <xf numFmtId="0" fontId="28" fillId="53" borderId="18" xfId="0" applyFont="1" applyFill="1" applyBorder="1" applyAlignment="1">
      <alignment horizontal="center"/>
    </xf>
    <xf numFmtId="0" fontId="28" fillId="37" borderId="3" xfId="0" applyFont="1" applyFill="1" applyBorder="1" applyAlignment="1">
      <alignment horizontal="center"/>
    </xf>
    <xf numFmtId="0" fontId="28" fillId="37" borderId="12" xfId="0" applyFont="1" applyFill="1" applyBorder="1" applyAlignment="1">
      <alignment horizontal="center"/>
    </xf>
    <xf numFmtId="0" fontId="11" fillId="37" borderId="39" xfId="0" applyFont="1" applyFill="1" applyBorder="1" applyAlignment="1">
      <alignment horizontal="center"/>
    </xf>
    <xf numFmtId="0" fontId="11" fillId="37" borderId="2" xfId="0" applyFont="1" applyFill="1" applyBorder="1" applyAlignment="1">
      <alignment horizontal="center"/>
    </xf>
    <xf numFmtId="0" fontId="11" fillId="37" borderId="47" xfId="0" applyFont="1" applyFill="1" applyBorder="1" applyAlignment="1">
      <alignment horizontal="center"/>
    </xf>
    <xf numFmtId="0" fontId="28" fillId="37" borderId="39" xfId="0" applyFont="1" applyFill="1" applyBorder="1" applyAlignment="1">
      <alignment horizontal="center"/>
    </xf>
    <xf numFmtId="0" fontId="28" fillId="37" borderId="2" xfId="0" applyFont="1" applyFill="1" applyBorder="1" applyAlignment="1">
      <alignment horizontal="center"/>
    </xf>
    <xf numFmtId="0" fontId="11" fillId="0" borderId="4" xfId="0" applyFont="1" applyBorder="1" applyAlignment="1">
      <alignment horizontal="center"/>
    </xf>
    <xf numFmtId="0" fontId="11" fillId="0" borderId="0" xfId="0" applyFont="1" applyAlignment="1">
      <alignment horizontal="center"/>
    </xf>
    <xf numFmtId="0" fontId="11" fillId="0" borderId="8" xfId="0" applyFont="1" applyBorder="1" applyAlignment="1">
      <alignment horizontal="center"/>
    </xf>
    <xf numFmtId="49" fontId="83" fillId="58" borderId="1" xfId="0" applyNumberFormat="1" applyFont="1" applyFill="1" applyBorder="1" applyAlignment="1">
      <alignment horizontal="center"/>
    </xf>
    <xf numFmtId="49" fontId="83" fillId="59" borderId="1" xfId="0" applyNumberFormat="1" applyFont="1" applyFill="1" applyBorder="1" applyAlignment="1">
      <alignment horizontal="center"/>
    </xf>
    <xf numFmtId="49" fontId="116" fillId="0" borderId="39" xfId="0" applyNumberFormat="1" applyFont="1" applyBorder="1" applyAlignment="1">
      <alignment horizontal="center"/>
    </xf>
    <xf numFmtId="49" fontId="116" fillId="0" borderId="2" xfId="0" applyNumberFormat="1" applyFont="1" applyBorder="1" applyAlignment="1">
      <alignment horizontal="center"/>
    </xf>
    <xf numFmtId="0" fontId="9" fillId="40" borderId="1" xfId="0" applyFont="1" applyFill="1" applyBorder="1" applyAlignment="1">
      <alignment horizontal="center"/>
    </xf>
  </cellXfs>
  <cellStyles count="58">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2" xfId="13" xr:uid="{FFC9991C-DC71-4410-9DB4-2D5DF1A6055A}"/>
    <cellStyle name="60% - Énfasis2 2" xfId="14" xr:uid="{8B6CAFF6-6603-4BDE-915B-E168617F1A3C}"/>
    <cellStyle name="60% - Énfasis3 2" xfId="15" xr:uid="{A676F278-F0C0-4727-AF1C-0B427FAA617E}"/>
    <cellStyle name="60% - Énfasis4 2" xfId="16" xr:uid="{09820347-49C4-426A-A51E-94EEAA701EBD}"/>
    <cellStyle name="60% - Énfasis5 2" xfId="17" xr:uid="{1276E3E8-1C91-4842-828B-848E94FB310B}"/>
    <cellStyle name="60% - Énfasis6 2" xfId="18" xr:uid="{EFCAA902-487D-4039-9A6B-2B209AC63B52}"/>
    <cellStyle name="Bueno" xfId="19" builtinId="26" customBuiltin="1"/>
    <cellStyle name="Cálculo" xfId="20" builtinId="22" customBuiltin="1"/>
    <cellStyle name="Celda de comprobación" xfId="21" builtinId="23" customBuiltin="1"/>
    <cellStyle name="Celda vinculada" xfId="22" builtinId="24" customBuiltin="1"/>
    <cellStyle name="Encabezado 1" xfId="23" builtinId="16" customBuiltin="1"/>
    <cellStyle name="Encabezado 4" xfId="24" builtinId="19" customBuiltin="1"/>
    <cellStyle name="Énfasis1" xfId="25" builtinId="29" customBuiltin="1"/>
    <cellStyle name="Énfasis2" xfId="26" builtinId="33" customBuiltin="1"/>
    <cellStyle name="Énfasis3" xfId="27" builtinId="37" customBuiltin="1"/>
    <cellStyle name="Énfasis4" xfId="28" builtinId="41" customBuiltin="1"/>
    <cellStyle name="Énfasis5" xfId="29" builtinId="45" customBuiltin="1"/>
    <cellStyle name="Énfasis6" xfId="30" builtinId="49" customBuiltin="1"/>
    <cellStyle name="Entrada" xfId="31" builtinId="20" customBuiltin="1"/>
    <cellStyle name="Hipervínculo 2" xfId="32" xr:uid="{3DD6F1A0-0A97-48D8-9F94-203F0DD4BEAC}"/>
    <cellStyle name="Incorrecto" xfId="33" builtinId="27" customBuiltin="1"/>
    <cellStyle name="Millares" xfId="34" builtinId="3"/>
    <cellStyle name="Millares [0]" xfId="35" builtinId="6"/>
    <cellStyle name="Millares [0] 2" xfId="36" xr:uid="{192F58B4-5C1D-4419-85B5-A1E2281EFA57}"/>
    <cellStyle name="Millares [0] 2 2" xfId="37" xr:uid="{2EE4DDA1-3928-461B-81C0-EACD6BC4BE3B}"/>
    <cellStyle name="Millares 2" xfId="38" xr:uid="{0A932E82-F867-4BE3-95CB-70C2867D29F3}"/>
    <cellStyle name="Millares 2 2" xfId="39" xr:uid="{AF2A471D-E32B-422B-9AE0-F9352EFC9469}"/>
    <cellStyle name="Millares 2 5" xfId="40" xr:uid="{5154238B-4833-4A40-BD5D-B36E98C52711}"/>
    <cellStyle name="Millares 2 5 2" xfId="41" xr:uid="{76FF638F-7292-4684-A690-812FF1DA00B6}"/>
    <cellStyle name="Millares 2 5 2 2" xfId="42" xr:uid="{AD5090EE-9E9E-403E-9DF3-DBE24B077C3A}"/>
    <cellStyle name="Millares 2 5 3" xfId="43" xr:uid="{98A2577C-F990-471F-B04C-F08CE27FB5AA}"/>
    <cellStyle name="Millares 3" xfId="44" xr:uid="{4F2C6964-C44C-45E1-A692-DC03AE49BE7B}"/>
    <cellStyle name="Neutral 2" xfId="45" xr:uid="{D18F5EAB-31E7-4600-A71F-33F2FDEA9C35}"/>
    <cellStyle name="Normal" xfId="0" builtinId="0"/>
    <cellStyle name="Normal 2" xfId="46" xr:uid="{E1864146-BE3C-485B-9055-AD1F8D3F1FF4}"/>
    <cellStyle name="Normal 3" xfId="47" xr:uid="{59A41625-E963-4E89-910E-DA31D68ED787}"/>
    <cellStyle name="Normal_Hoja2" xfId="48" xr:uid="{6E6BD72A-A489-4A2A-A8E4-90E46778F100}"/>
    <cellStyle name="Notas 2" xfId="49" xr:uid="{89B79378-B4D2-4FC1-8B34-F3030B9FFBE7}"/>
    <cellStyle name="Porcentaje" xfId="50" builtinId="5"/>
    <cellStyle name="Salida" xfId="51" builtinId="21" customBuiltin="1"/>
    <cellStyle name="Texto de advertencia" xfId="52" builtinId="11" customBuiltin="1"/>
    <cellStyle name="Texto explicativo" xfId="53" builtinId="53" customBuiltin="1"/>
    <cellStyle name="Título 2" xfId="54" builtinId="17" customBuiltin="1"/>
    <cellStyle name="Título 3" xfId="55" builtinId="18" customBuiltin="1"/>
    <cellStyle name="Título 4" xfId="56" xr:uid="{BC61FEC8-C4E4-4287-AF9A-F4559BCF9AF1}"/>
    <cellStyle name="Total" xfId="57" builtinId="25"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3.xml"/><Relationship Id="rId47" Type="http://schemas.openxmlformats.org/officeDocument/2006/relationships/externalLink" Target="externalLinks/externalLink8.xml"/><Relationship Id="rId50" Type="http://schemas.openxmlformats.org/officeDocument/2006/relationships/externalLink" Target="externalLinks/externalLink11.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externalLink" Target="externalLinks/externalLink6.xml"/><Relationship Id="rId53" Type="http://schemas.openxmlformats.org/officeDocument/2006/relationships/externalLink" Target="externalLinks/externalLink14.xml"/><Relationship Id="rId58"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4.xml"/><Relationship Id="rId48" Type="http://schemas.openxmlformats.org/officeDocument/2006/relationships/externalLink" Target="externalLinks/externalLink9.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7.xml"/><Relationship Id="rId20" Type="http://schemas.openxmlformats.org/officeDocument/2006/relationships/worksheet" Target="worksheets/sheet20.xml"/><Relationship Id="rId41" Type="http://schemas.openxmlformats.org/officeDocument/2006/relationships/externalLink" Target="externalLinks/externalLink2.xml"/><Relationship Id="rId54"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0.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5.xml"/><Relationship Id="rId52" Type="http://schemas.openxmlformats.org/officeDocument/2006/relationships/externalLink" Target="externalLinks/externalLink13.xml"/></Relationships>
</file>

<file path=xl/charts/_rels/chart9.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9.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2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3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3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3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43.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48.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50.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51.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52.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_rels/chart54.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55.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57.xml.rels><?xml version="1.0" encoding="UTF-8" standalone="yes"?>
<Relationships xmlns="http://schemas.openxmlformats.org/package/2006/relationships"><Relationship Id="rId1" Type="http://schemas.openxmlformats.org/officeDocument/2006/relationships/chartUserShapes" Target="../drawings/drawing33.xml"/></Relationships>
</file>

<file path=xl/charts/_rels/chart58.xml.rels><?xml version="1.0" encoding="UTF-8" standalone="yes"?>
<Relationships xmlns="http://schemas.openxmlformats.org/package/2006/relationships"><Relationship Id="rId1" Type="http://schemas.openxmlformats.org/officeDocument/2006/relationships/chartUserShapes" Target="../drawings/drawing34.xml"/></Relationships>
</file>

<file path=xl/charts/_rels/chart66.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Activos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2025'!$A$5</c:f>
              <c:strCache>
                <c:ptCount val="1"/>
                <c:pt idx="0">
                  <c:v> Efectivo y sus equivalentes </c:v>
                </c:pt>
              </c:strCache>
            </c:strRef>
          </c:tx>
          <c:spPr>
            <a:solidFill>
              <a:schemeClr val="accent3">
                <a:lumMod val="75000"/>
              </a:schemeClr>
            </a:solidFill>
            <a:ln>
              <a:noFill/>
            </a:ln>
            <a:effectLst/>
          </c:spPr>
          <c:invertIfNegative val="0"/>
          <c:cat>
            <c:strRef>
              <c:f>'TABLA ESFA 2025'!$B$4:$M$4</c:f>
              <c:strCache>
                <c:ptCount val="4"/>
                <c:pt idx="1">
                  <c:v> Julio </c:v>
                </c:pt>
                <c:pt idx="3">
                  <c:v> Agosto </c:v>
                </c:pt>
              </c:strCache>
            </c:strRef>
          </c:cat>
          <c:val>
            <c:numRef>
              <c:f>'TABLA ESFA 2025'!$B$5:$M$5</c:f>
              <c:numCache>
                <c:formatCode>_(* #,##0_);_(* \(#,##0\);_(* "-"??_);_(@_)</c:formatCode>
                <c:ptCount val="4"/>
                <c:pt idx="1">
                  <c:v>50975680.840000004</c:v>
                </c:pt>
                <c:pt idx="3">
                  <c:v>50772212.920000002</c:v>
                </c:pt>
              </c:numCache>
            </c:numRef>
          </c:val>
          <c:extLst>
            <c:ext xmlns:c16="http://schemas.microsoft.com/office/drawing/2014/chart" uri="{C3380CC4-5D6E-409C-BE32-E72D297353CC}">
              <c16:uniqueId val="{00000000-DA6E-40E7-B45B-75CF299C9325}"/>
            </c:ext>
          </c:extLst>
        </c:ser>
        <c:ser>
          <c:idx val="1"/>
          <c:order val="1"/>
          <c:tx>
            <c:strRef>
              <c:f>'TABLA ESFA 2025'!$A$6</c:f>
              <c:strCache>
                <c:ptCount val="1"/>
              </c:strCache>
            </c:strRef>
          </c:tx>
          <c:spPr>
            <a:solidFill>
              <a:srgbClr val="C0504D"/>
            </a:solidFill>
            <a:ln w="25400">
              <a:noFill/>
            </a:ln>
          </c:spPr>
          <c:invertIfNegative val="0"/>
          <c:cat>
            <c:strRef>
              <c:f>'TABLA ESFA 2025'!$B$4:$M$4</c:f>
              <c:strCache>
                <c:ptCount val="4"/>
                <c:pt idx="1">
                  <c:v> Julio </c:v>
                </c:pt>
                <c:pt idx="3">
                  <c:v> Agosto </c:v>
                </c:pt>
              </c:strCache>
            </c:strRef>
          </c:cat>
          <c:val>
            <c:numRef>
              <c:f>'TABLA ESFA 2025'!$B$6:$M$6</c:f>
            </c:numRef>
          </c:val>
          <c:extLst>
            <c:ext xmlns:c16="http://schemas.microsoft.com/office/drawing/2014/chart" uri="{C3380CC4-5D6E-409C-BE32-E72D297353CC}">
              <c16:uniqueId val="{00000001-DA6E-40E7-B45B-75CF299C9325}"/>
            </c:ext>
          </c:extLst>
        </c:ser>
        <c:ser>
          <c:idx val="2"/>
          <c:order val="2"/>
          <c:tx>
            <c:strRef>
              <c:f>'TABLA ESFA 2025'!$A$7</c:f>
              <c:strCache>
                <c:ptCount val="1"/>
                <c:pt idx="0">
                  <c:v> Fiducuenta Bancolombia </c:v>
                </c:pt>
              </c:strCache>
            </c:strRef>
          </c:tx>
          <c:spPr>
            <a:solidFill>
              <a:schemeClr val="bg1">
                <a:lumMod val="85000"/>
              </a:schemeClr>
            </a:solidFill>
            <a:ln>
              <a:noFill/>
            </a:ln>
            <a:effectLst/>
          </c:spPr>
          <c:invertIfNegative val="0"/>
          <c:cat>
            <c:strRef>
              <c:f>'TABLA ESFA 2025'!$B$4:$M$4</c:f>
              <c:strCache>
                <c:ptCount val="4"/>
                <c:pt idx="1">
                  <c:v> Julio </c:v>
                </c:pt>
                <c:pt idx="3">
                  <c:v> Agosto </c:v>
                </c:pt>
              </c:strCache>
            </c:strRef>
          </c:cat>
          <c:val>
            <c:numRef>
              <c:f>'TABLA ESFA 2025'!$B$7:$M$7</c:f>
              <c:numCache>
                <c:formatCode>_(* #,##0_);_(* \(#,##0\);_(* "-"??_);_(@_)</c:formatCode>
                <c:ptCount val="4"/>
                <c:pt idx="1">
                  <c:v>10852427.970000001</c:v>
                </c:pt>
                <c:pt idx="3">
                  <c:v>10916889.99</c:v>
                </c:pt>
              </c:numCache>
            </c:numRef>
          </c:val>
          <c:extLst>
            <c:ext xmlns:c16="http://schemas.microsoft.com/office/drawing/2014/chart" uri="{C3380CC4-5D6E-409C-BE32-E72D297353CC}">
              <c16:uniqueId val="{00000002-DA6E-40E7-B45B-75CF299C9325}"/>
            </c:ext>
          </c:extLst>
        </c:ser>
        <c:ser>
          <c:idx val="3"/>
          <c:order val="3"/>
          <c:tx>
            <c:strRef>
              <c:f>'TABLA ESFA 2025'!$A$8</c:f>
              <c:strCache>
                <c:ptCount val="1"/>
              </c:strCache>
            </c:strRef>
          </c:tx>
          <c:spPr>
            <a:solidFill>
              <a:srgbClr val="8064A2"/>
            </a:solidFill>
            <a:ln w="25400">
              <a:noFill/>
            </a:ln>
          </c:spPr>
          <c:invertIfNegative val="0"/>
          <c:cat>
            <c:strRef>
              <c:f>'TABLA ESFA 2025'!$B$4:$M$4</c:f>
              <c:strCache>
                <c:ptCount val="4"/>
                <c:pt idx="1">
                  <c:v> Julio </c:v>
                </c:pt>
                <c:pt idx="3">
                  <c:v> Agosto </c:v>
                </c:pt>
              </c:strCache>
            </c:strRef>
          </c:cat>
          <c:val>
            <c:numRef>
              <c:f>'TABLA ESFA 2025'!$B$8:$M$8</c:f>
            </c:numRef>
          </c:val>
          <c:extLst>
            <c:ext xmlns:c16="http://schemas.microsoft.com/office/drawing/2014/chart" uri="{C3380CC4-5D6E-409C-BE32-E72D297353CC}">
              <c16:uniqueId val="{00000003-DA6E-40E7-B45B-75CF299C9325}"/>
            </c:ext>
          </c:extLst>
        </c:ser>
        <c:ser>
          <c:idx val="4"/>
          <c:order val="4"/>
          <c:tx>
            <c:strRef>
              <c:f>'TABLA ESFA 2025'!$A$9</c:f>
              <c:strCache>
                <c:ptCount val="1"/>
                <c:pt idx="0">
                  <c:v>CXC Administración</c:v>
                </c:pt>
              </c:strCache>
            </c:strRef>
          </c:tx>
          <c:spPr>
            <a:solidFill>
              <a:srgbClr val="4BACC6"/>
            </a:solidFill>
            <a:ln w="25400">
              <a:noFill/>
            </a:ln>
          </c:spPr>
          <c:invertIfNegative val="0"/>
          <c:cat>
            <c:strRef>
              <c:f>'TABLA ESFA 2025'!$B$4:$M$4</c:f>
              <c:strCache>
                <c:ptCount val="4"/>
                <c:pt idx="1">
                  <c:v> Julio </c:v>
                </c:pt>
                <c:pt idx="3">
                  <c:v> Agosto </c:v>
                </c:pt>
              </c:strCache>
            </c:strRef>
          </c:cat>
          <c:val>
            <c:numRef>
              <c:f>'TABLA ESFA 2025'!$B$9:$M$9</c:f>
              <c:numCache>
                <c:formatCode>_(* #,##0_);_(* \(#,##0\);_(* "-"??_);_(@_)</c:formatCode>
                <c:ptCount val="4"/>
                <c:pt idx="1">
                  <c:v>8689091</c:v>
                </c:pt>
                <c:pt idx="3">
                  <c:v>14428308</c:v>
                </c:pt>
              </c:numCache>
            </c:numRef>
          </c:val>
          <c:extLst>
            <c:ext xmlns:c16="http://schemas.microsoft.com/office/drawing/2014/chart" uri="{C3380CC4-5D6E-409C-BE32-E72D297353CC}">
              <c16:uniqueId val="{00000004-DA6E-40E7-B45B-75CF299C9325}"/>
            </c:ext>
          </c:extLst>
        </c:ser>
        <c:ser>
          <c:idx val="5"/>
          <c:order val="5"/>
          <c:tx>
            <c:strRef>
              <c:f>'TABLA ESFA 2025'!$A$10</c:f>
              <c:strCache>
                <c:ptCount val="1"/>
              </c:strCache>
            </c:strRef>
          </c:tx>
          <c:spPr>
            <a:solidFill>
              <a:srgbClr val="F79646"/>
            </a:solidFill>
            <a:ln w="25400">
              <a:noFill/>
            </a:ln>
          </c:spPr>
          <c:invertIfNegative val="0"/>
          <c:cat>
            <c:strRef>
              <c:f>'TABLA ESFA 2025'!$B$4:$M$4</c:f>
              <c:strCache>
                <c:ptCount val="4"/>
                <c:pt idx="1">
                  <c:v> Julio </c:v>
                </c:pt>
                <c:pt idx="3">
                  <c:v> Agosto </c:v>
                </c:pt>
              </c:strCache>
            </c:strRef>
          </c:cat>
          <c:val>
            <c:numRef>
              <c:f>'TABLA ESFA 2025'!$B$10:$M$10</c:f>
            </c:numRef>
          </c:val>
          <c:extLst>
            <c:ext xmlns:c16="http://schemas.microsoft.com/office/drawing/2014/chart" uri="{C3380CC4-5D6E-409C-BE32-E72D297353CC}">
              <c16:uniqueId val="{00000005-DA6E-40E7-B45B-75CF299C9325}"/>
            </c:ext>
          </c:extLst>
        </c:ser>
        <c:ser>
          <c:idx val="6"/>
          <c:order val="6"/>
          <c:tx>
            <c:strRef>
              <c:f>'TABLA ESFA 2025'!$A$11</c:f>
              <c:strCache>
                <c:ptCount val="1"/>
                <c:pt idx="0">
                  <c:v> Pagos sin identificar </c:v>
                </c:pt>
              </c:strCache>
            </c:strRef>
          </c:tx>
          <c:spPr>
            <a:solidFill>
              <a:srgbClr val="FF0000"/>
            </a:solidFill>
            <a:ln w="25400">
              <a:noFill/>
            </a:ln>
          </c:spPr>
          <c:invertIfNegative val="0"/>
          <c:cat>
            <c:strRef>
              <c:f>'TABLA ESFA 2025'!$B$4:$M$4</c:f>
              <c:strCache>
                <c:ptCount val="4"/>
                <c:pt idx="1">
                  <c:v> Julio </c:v>
                </c:pt>
                <c:pt idx="3">
                  <c:v> Agosto </c:v>
                </c:pt>
              </c:strCache>
            </c:strRef>
          </c:cat>
          <c:val>
            <c:numRef>
              <c:f>'TABLA ESFA 2025'!$B$11:$M$11</c:f>
              <c:numCache>
                <c:formatCode>_(* #,##0_);_(* \(#,##0\);_(* "-"??_);_(@_)</c:formatCode>
                <c:ptCount val="4"/>
                <c:pt idx="1">
                  <c:v>-408000</c:v>
                </c:pt>
                <c:pt idx="3">
                  <c:v>-408000</c:v>
                </c:pt>
              </c:numCache>
            </c:numRef>
          </c:val>
          <c:extLst>
            <c:ext xmlns:c16="http://schemas.microsoft.com/office/drawing/2014/chart" uri="{C3380CC4-5D6E-409C-BE32-E72D297353CC}">
              <c16:uniqueId val="{00000006-DA6E-40E7-B45B-75CF299C9325}"/>
            </c:ext>
          </c:extLst>
        </c:ser>
        <c:ser>
          <c:idx val="7"/>
          <c:order val="7"/>
          <c:tx>
            <c:strRef>
              <c:f>'TABLA ESFA 2025'!$A$12</c:f>
              <c:strCache>
                <c:ptCount val="1"/>
              </c:strCache>
            </c:strRef>
          </c:tx>
          <c:spPr>
            <a:solidFill>
              <a:schemeClr val="accent2">
                <a:lumMod val="60000"/>
              </a:schemeClr>
            </a:solidFill>
            <a:ln>
              <a:noFill/>
            </a:ln>
            <a:effectLst/>
          </c:spPr>
          <c:invertIfNegative val="0"/>
          <c:cat>
            <c:strRef>
              <c:f>'TABLA ESFA 2025'!$B$4:$M$4</c:f>
              <c:strCache>
                <c:ptCount val="4"/>
                <c:pt idx="1">
                  <c:v> Julio </c:v>
                </c:pt>
                <c:pt idx="3">
                  <c:v> Agosto </c:v>
                </c:pt>
              </c:strCache>
            </c:strRef>
          </c:cat>
          <c:val>
            <c:numRef>
              <c:f>'TABLA ESFA 2025'!$B$12:$M$12</c:f>
            </c:numRef>
          </c:val>
          <c:extLst>
            <c:ext xmlns:c16="http://schemas.microsoft.com/office/drawing/2014/chart" uri="{C3380CC4-5D6E-409C-BE32-E72D297353CC}">
              <c16:uniqueId val="{00000007-DA6E-40E7-B45B-75CF299C9325}"/>
            </c:ext>
          </c:extLst>
        </c:ser>
        <c:ser>
          <c:idx val="8"/>
          <c:order val="8"/>
          <c:tx>
            <c:strRef>
              <c:f>'TABLA ESFA 2025'!$A$13</c:f>
              <c:strCache>
                <c:ptCount val="1"/>
                <c:pt idx="0">
                  <c:v> Deudores varios </c:v>
                </c:pt>
              </c:strCache>
            </c:strRef>
          </c:tx>
          <c:spPr>
            <a:solidFill>
              <a:schemeClr val="accent3">
                <a:lumMod val="60000"/>
              </a:schemeClr>
            </a:solidFill>
            <a:ln>
              <a:noFill/>
            </a:ln>
            <a:effectLst/>
          </c:spPr>
          <c:invertIfNegative val="0"/>
          <c:cat>
            <c:strRef>
              <c:f>'TABLA ESFA 2025'!$B$4:$M$4</c:f>
              <c:strCache>
                <c:ptCount val="4"/>
                <c:pt idx="1">
                  <c:v> Julio </c:v>
                </c:pt>
                <c:pt idx="3">
                  <c:v> Agosto </c:v>
                </c:pt>
              </c:strCache>
            </c:strRef>
          </c:cat>
          <c:val>
            <c:numRef>
              <c:f>'TABLA ESFA 2025'!$B$13:$M$13</c:f>
              <c:numCache>
                <c:formatCode>_(* #,##0_);_(* \(#,##0\);_(* "-"??_);_(@_)</c:formatCode>
                <c:ptCount val="4"/>
                <c:pt idx="1">
                  <c:v>3232000</c:v>
                </c:pt>
                <c:pt idx="3">
                  <c:v>6688000</c:v>
                </c:pt>
              </c:numCache>
            </c:numRef>
          </c:val>
          <c:extLst>
            <c:ext xmlns:c16="http://schemas.microsoft.com/office/drawing/2014/chart" uri="{C3380CC4-5D6E-409C-BE32-E72D297353CC}">
              <c16:uniqueId val="{00000008-DA6E-40E7-B45B-75CF299C9325}"/>
            </c:ext>
          </c:extLst>
        </c:ser>
        <c:ser>
          <c:idx val="9"/>
          <c:order val="9"/>
          <c:tx>
            <c:strRef>
              <c:f>'TABLA ESFA 2025'!$A$14</c:f>
              <c:strCache>
                <c:ptCount val="1"/>
              </c:strCache>
            </c:strRef>
          </c:tx>
          <c:spPr>
            <a:solidFill>
              <a:schemeClr val="accent4">
                <a:lumMod val="60000"/>
              </a:schemeClr>
            </a:solidFill>
            <a:ln>
              <a:noFill/>
            </a:ln>
            <a:effectLst/>
          </c:spPr>
          <c:invertIfNegative val="0"/>
          <c:cat>
            <c:strRef>
              <c:f>'TABLA ESFA 2025'!$B$4:$M$4</c:f>
              <c:strCache>
                <c:ptCount val="4"/>
                <c:pt idx="1">
                  <c:v> Julio </c:v>
                </c:pt>
                <c:pt idx="3">
                  <c:v> Agosto </c:v>
                </c:pt>
              </c:strCache>
            </c:strRef>
          </c:cat>
          <c:val>
            <c:numRef>
              <c:f>'TABLA ESFA 2025'!$B$14:$M$14</c:f>
            </c:numRef>
          </c:val>
          <c:extLst>
            <c:ext xmlns:c16="http://schemas.microsoft.com/office/drawing/2014/chart" uri="{C3380CC4-5D6E-409C-BE32-E72D297353CC}">
              <c16:uniqueId val="{00000009-DA6E-40E7-B45B-75CF299C9325}"/>
            </c:ext>
          </c:extLst>
        </c:ser>
        <c:ser>
          <c:idx val="10"/>
          <c:order val="10"/>
          <c:tx>
            <c:strRef>
              <c:f>'TABLA ESFA 2025'!$A$15</c:f>
              <c:strCache>
                <c:ptCount val="1"/>
                <c:pt idx="0">
                  <c:v> Gasto por anticipado póliza seguros </c:v>
                </c:pt>
              </c:strCache>
            </c:strRef>
          </c:tx>
          <c:spPr>
            <a:solidFill>
              <a:schemeClr val="accent5">
                <a:lumMod val="60000"/>
              </a:schemeClr>
            </a:solidFill>
            <a:ln>
              <a:noFill/>
            </a:ln>
            <a:effectLst/>
          </c:spPr>
          <c:invertIfNegative val="0"/>
          <c:cat>
            <c:strRef>
              <c:f>'TABLA ESFA 2025'!$B$4:$M$4</c:f>
              <c:strCache>
                <c:ptCount val="4"/>
                <c:pt idx="1">
                  <c:v> Julio </c:v>
                </c:pt>
                <c:pt idx="3">
                  <c:v> Agosto </c:v>
                </c:pt>
              </c:strCache>
            </c:strRef>
          </c:cat>
          <c:val>
            <c:numRef>
              <c:f>'TABLA ESFA 2025'!$B$15:$M$15</c:f>
              <c:numCache>
                <c:formatCode>_(* #,##0_);_(* \(#,##0\);_(* "-"??_);_(@_)</c:formatCode>
                <c:ptCount val="4"/>
                <c:pt idx="1">
                  <c:v>10985284</c:v>
                </c:pt>
                <c:pt idx="3">
                  <c:v>9541969</c:v>
                </c:pt>
              </c:numCache>
            </c:numRef>
          </c:val>
          <c:extLst>
            <c:ext xmlns:c16="http://schemas.microsoft.com/office/drawing/2014/chart" uri="{C3380CC4-5D6E-409C-BE32-E72D297353CC}">
              <c16:uniqueId val="{0000000A-DA6E-40E7-B45B-75CF299C9325}"/>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Pasivos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2025'!$A$23</c:f>
              <c:strCache>
                <c:ptCount val="1"/>
                <c:pt idx="0">
                  <c:v> CXP  Gastos </c:v>
                </c:pt>
              </c:strCache>
            </c:strRef>
          </c:tx>
          <c:spPr>
            <a:solidFill>
              <a:schemeClr val="accent3">
                <a:lumMod val="75000"/>
              </a:schemeClr>
            </a:solidFill>
            <a:ln>
              <a:noFill/>
            </a:ln>
            <a:effectLst/>
          </c:spPr>
          <c:invertIfNegative val="0"/>
          <c:cat>
            <c:strRef>
              <c:f>'TABLA ESFA 2025'!$B$22:$M$22</c:f>
              <c:strCache>
                <c:ptCount val="4"/>
                <c:pt idx="1">
                  <c:v> Julio </c:v>
                </c:pt>
                <c:pt idx="3">
                  <c:v> Agosto </c:v>
                </c:pt>
              </c:strCache>
            </c:strRef>
          </c:cat>
          <c:val>
            <c:numRef>
              <c:f>'TABLA ESFA 2025'!$B$23:$M$23</c:f>
              <c:numCache>
                <c:formatCode>_(* #,##0_);_(* \(#,##0\);_(* "-"??_);_(@_)</c:formatCode>
                <c:ptCount val="4"/>
                <c:pt idx="1">
                  <c:v>677548</c:v>
                </c:pt>
                <c:pt idx="3">
                  <c:v>677548</c:v>
                </c:pt>
              </c:numCache>
            </c:numRef>
          </c:val>
          <c:extLst>
            <c:ext xmlns:c16="http://schemas.microsoft.com/office/drawing/2014/chart" uri="{C3380CC4-5D6E-409C-BE32-E72D297353CC}">
              <c16:uniqueId val="{00000000-28F0-40DA-BDB7-6D60E2C93A69}"/>
            </c:ext>
          </c:extLst>
        </c:ser>
        <c:ser>
          <c:idx val="1"/>
          <c:order val="1"/>
          <c:tx>
            <c:strRef>
              <c:f>'TABLA ESFA 2025'!$A$24</c:f>
              <c:strCache>
                <c:ptCount val="1"/>
              </c:strCache>
            </c:strRef>
          </c:tx>
          <c:spPr>
            <a:solidFill>
              <a:srgbClr val="C0504D"/>
            </a:solidFill>
            <a:ln w="25400">
              <a:noFill/>
            </a:ln>
          </c:spPr>
          <c:invertIfNegative val="0"/>
          <c:cat>
            <c:strRef>
              <c:f>'TABLA ESFA 2025'!$B$22:$M$22</c:f>
              <c:strCache>
                <c:ptCount val="4"/>
                <c:pt idx="1">
                  <c:v> Julio </c:v>
                </c:pt>
                <c:pt idx="3">
                  <c:v> Agosto </c:v>
                </c:pt>
              </c:strCache>
            </c:strRef>
          </c:cat>
          <c:val>
            <c:numRef>
              <c:f>'TABLA ESFA 2025'!$B$24:$M$24</c:f>
            </c:numRef>
          </c:val>
          <c:extLst>
            <c:ext xmlns:c16="http://schemas.microsoft.com/office/drawing/2014/chart" uri="{C3380CC4-5D6E-409C-BE32-E72D297353CC}">
              <c16:uniqueId val="{00000001-28F0-40DA-BDB7-6D60E2C93A69}"/>
            </c:ext>
          </c:extLst>
        </c:ser>
        <c:ser>
          <c:idx val="2"/>
          <c:order val="2"/>
          <c:tx>
            <c:strRef>
              <c:f>'TABLA ESFA 2025'!$A$25</c:f>
              <c:strCache>
                <c:ptCount val="1"/>
                <c:pt idx="0">
                  <c:v>CXP </c:v>
                </c:pt>
              </c:strCache>
            </c:strRef>
          </c:tx>
          <c:spPr>
            <a:solidFill>
              <a:schemeClr val="bg1">
                <a:lumMod val="85000"/>
              </a:schemeClr>
            </a:solidFill>
            <a:ln>
              <a:noFill/>
            </a:ln>
            <a:effectLst/>
          </c:spPr>
          <c:invertIfNegative val="0"/>
          <c:cat>
            <c:strRef>
              <c:f>'TABLA ESFA 2025'!$B$22:$M$22</c:f>
              <c:strCache>
                <c:ptCount val="4"/>
                <c:pt idx="1">
                  <c:v> Julio </c:v>
                </c:pt>
                <c:pt idx="3">
                  <c:v> Agosto </c:v>
                </c:pt>
              </c:strCache>
            </c:strRef>
          </c:cat>
          <c:val>
            <c:numRef>
              <c:f>'TABLA ESFA 2025'!$B$25:$M$25</c:f>
            </c:numRef>
          </c:val>
          <c:extLst>
            <c:ext xmlns:c16="http://schemas.microsoft.com/office/drawing/2014/chart" uri="{C3380CC4-5D6E-409C-BE32-E72D297353CC}">
              <c16:uniqueId val="{00000002-28F0-40DA-BDB7-6D60E2C93A69}"/>
            </c:ext>
          </c:extLst>
        </c:ser>
        <c:ser>
          <c:idx val="3"/>
          <c:order val="3"/>
          <c:tx>
            <c:strRef>
              <c:f>'TABLA ESFA 2025'!$A$26</c:f>
              <c:strCache>
                <c:ptCount val="1"/>
              </c:strCache>
            </c:strRef>
          </c:tx>
          <c:spPr>
            <a:solidFill>
              <a:srgbClr val="8064A2"/>
            </a:solidFill>
            <a:ln w="25400">
              <a:noFill/>
            </a:ln>
          </c:spPr>
          <c:invertIfNegative val="0"/>
          <c:cat>
            <c:strRef>
              <c:f>'TABLA ESFA 2025'!$B$22:$M$22</c:f>
              <c:strCache>
                <c:ptCount val="4"/>
                <c:pt idx="1">
                  <c:v> Julio </c:v>
                </c:pt>
                <c:pt idx="3">
                  <c:v> Agosto </c:v>
                </c:pt>
              </c:strCache>
            </c:strRef>
          </c:cat>
          <c:val>
            <c:numRef>
              <c:f>'TABLA ESFA 2025'!$B$26:$M$26</c:f>
            </c:numRef>
          </c:val>
          <c:extLst>
            <c:ext xmlns:c16="http://schemas.microsoft.com/office/drawing/2014/chart" uri="{C3380CC4-5D6E-409C-BE32-E72D297353CC}">
              <c16:uniqueId val="{00000003-28F0-40DA-BDB7-6D60E2C93A69}"/>
            </c:ext>
          </c:extLst>
        </c:ser>
        <c:ser>
          <c:idx val="4"/>
          <c:order val="4"/>
          <c:tx>
            <c:strRef>
              <c:f>'TABLA ESFA 2025'!$A$27</c:f>
              <c:strCache>
                <c:ptCount val="1"/>
                <c:pt idx="0">
                  <c:v>CXP Impuestos</c:v>
                </c:pt>
              </c:strCache>
            </c:strRef>
          </c:tx>
          <c:spPr>
            <a:solidFill>
              <a:srgbClr val="4BACC6"/>
            </a:solidFill>
            <a:ln w="25400">
              <a:noFill/>
            </a:ln>
          </c:spPr>
          <c:invertIfNegative val="0"/>
          <c:cat>
            <c:strRef>
              <c:f>'TABLA ESFA 2025'!$B$22:$M$22</c:f>
              <c:strCache>
                <c:ptCount val="4"/>
                <c:pt idx="1">
                  <c:v> Julio </c:v>
                </c:pt>
                <c:pt idx="3">
                  <c:v> Agosto </c:v>
                </c:pt>
              </c:strCache>
            </c:strRef>
          </c:cat>
          <c:val>
            <c:numRef>
              <c:f>'TABLA ESFA 2025'!$B$27:$M$27</c:f>
              <c:numCache>
                <c:formatCode>_(* #,##0_);_(* \(#,##0\);_(* "-"??_);_(@_)</c:formatCode>
                <c:ptCount val="4"/>
                <c:pt idx="1">
                  <c:v>274160.06</c:v>
                </c:pt>
                <c:pt idx="3">
                  <c:v>135159.06000000099</c:v>
                </c:pt>
              </c:numCache>
            </c:numRef>
          </c:val>
          <c:extLst>
            <c:ext xmlns:c16="http://schemas.microsoft.com/office/drawing/2014/chart" uri="{C3380CC4-5D6E-409C-BE32-E72D297353CC}">
              <c16:uniqueId val="{00000004-28F0-40DA-BDB7-6D60E2C93A69}"/>
            </c:ext>
          </c:extLst>
        </c:ser>
        <c:ser>
          <c:idx val="5"/>
          <c:order val="5"/>
          <c:tx>
            <c:strRef>
              <c:f>'TABLA ESFA 2025'!$A$28</c:f>
              <c:strCache>
                <c:ptCount val="1"/>
              </c:strCache>
            </c:strRef>
          </c:tx>
          <c:spPr>
            <a:solidFill>
              <a:srgbClr val="F79646"/>
            </a:solidFill>
            <a:ln w="25400">
              <a:noFill/>
            </a:ln>
          </c:spPr>
          <c:invertIfNegative val="0"/>
          <c:cat>
            <c:strRef>
              <c:f>'TABLA ESFA 2025'!$B$22:$M$22</c:f>
              <c:strCache>
                <c:ptCount val="4"/>
                <c:pt idx="1">
                  <c:v> Julio </c:v>
                </c:pt>
                <c:pt idx="3">
                  <c:v> Agosto </c:v>
                </c:pt>
              </c:strCache>
            </c:strRef>
          </c:cat>
          <c:val>
            <c:numRef>
              <c:f>'TABLA ESFA 2025'!$B$28:$M$28</c:f>
            </c:numRef>
          </c:val>
          <c:extLst>
            <c:ext xmlns:c16="http://schemas.microsoft.com/office/drawing/2014/chart" uri="{C3380CC4-5D6E-409C-BE32-E72D297353CC}">
              <c16:uniqueId val="{00000005-28F0-40DA-BDB7-6D60E2C93A69}"/>
            </c:ext>
          </c:extLst>
        </c:ser>
        <c:ser>
          <c:idx val="6"/>
          <c:order val="6"/>
          <c:tx>
            <c:strRef>
              <c:f>'TABLA ESFA 2025'!$A$29</c:f>
              <c:strCache>
                <c:ptCount val="1"/>
                <c:pt idx="0">
                  <c:v>Reclamación Seguro</c:v>
                </c:pt>
              </c:strCache>
            </c:strRef>
          </c:tx>
          <c:spPr>
            <a:solidFill>
              <a:srgbClr val="FF0000"/>
            </a:solidFill>
            <a:ln w="25400">
              <a:noFill/>
            </a:ln>
          </c:spPr>
          <c:invertIfNegative val="0"/>
          <c:cat>
            <c:strRef>
              <c:f>'TABLA ESFA 2025'!$B$22:$M$22</c:f>
              <c:strCache>
                <c:ptCount val="4"/>
                <c:pt idx="1">
                  <c:v> Julio </c:v>
                </c:pt>
                <c:pt idx="3">
                  <c:v> Agosto </c:v>
                </c:pt>
              </c:strCache>
            </c:strRef>
          </c:cat>
          <c:val>
            <c:numRef>
              <c:f>'TABLA ESFA 2025'!$B$29:$M$29</c:f>
            </c:numRef>
          </c:val>
          <c:extLst>
            <c:ext xmlns:c16="http://schemas.microsoft.com/office/drawing/2014/chart" uri="{C3380CC4-5D6E-409C-BE32-E72D297353CC}">
              <c16:uniqueId val="{00000006-28F0-40DA-BDB7-6D60E2C93A69}"/>
            </c:ext>
          </c:extLst>
        </c:ser>
        <c:ser>
          <c:idx val="7"/>
          <c:order val="7"/>
          <c:tx>
            <c:strRef>
              <c:f>'TABLA ESFA 2025'!$A$30</c:f>
              <c:strCache>
                <c:ptCount val="1"/>
              </c:strCache>
            </c:strRef>
          </c:tx>
          <c:spPr>
            <a:solidFill>
              <a:schemeClr val="accent2">
                <a:lumMod val="60000"/>
              </a:schemeClr>
            </a:solidFill>
            <a:ln>
              <a:noFill/>
            </a:ln>
            <a:effectLst/>
          </c:spPr>
          <c:invertIfNegative val="0"/>
          <c:cat>
            <c:strRef>
              <c:f>'TABLA ESFA 2025'!$B$22:$M$22</c:f>
              <c:strCache>
                <c:ptCount val="4"/>
                <c:pt idx="1">
                  <c:v> Julio </c:v>
                </c:pt>
                <c:pt idx="3">
                  <c:v> Agosto </c:v>
                </c:pt>
              </c:strCache>
            </c:strRef>
          </c:cat>
          <c:val>
            <c:numRef>
              <c:f>'TABLA ESFA 2025'!$B$30:$M$30</c:f>
            </c:numRef>
          </c:val>
          <c:extLst>
            <c:ext xmlns:c16="http://schemas.microsoft.com/office/drawing/2014/chart" uri="{C3380CC4-5D6E-409C-BE32-E72D297353CC}">
              <c16:uniqueId val="{00000007-28F0-40DA-BDB7-6D60E2C93A69}"/>
            </c:ext>
          </c:extLst>
        </c:ser>
        <c:ser>
          <c:idx val="8"/>
          <c:order val="8"/>
          <c:tx>
            <c:strRef>
              <c:f>'TABLA ESFA 2025'!$A$31</c:f>
              <c:strCache>
                <c:ptCount val="1"/>
                <c:pt idx="0">
                  <c:v>Cuotas extras 2023</c:v>
                </c:pt>
              </c:strCache>
            </c:strRef>
          </c:tx>
          <c:spPr>
            <a:solidFill>
              <a:schemeClr val="accent3">
                <a:lumMod val="60000"/>
              </a:schemeClr>
            </a:solidFill>
            <a:ln>
              <a:noFill/>
            </a:ln>
            <a:effectLst/>
          </c:spPr>
          <c:invertIfNegative val="0"/>
          <c:cat>
            <c:strRef>
              <c:f>'TABLA ESFA 2025'!$B$22:$M$22</c:f>
              <c:strCache>
                <c:ptCount val="4"/>
                <c:pt idx="1">
                  <c:v> Julio </c:v>
                </c:pt>
                <c:pt idx="3">
                  <c:v> Agosto </c:v>
                </c:pt>
              </c:strCache>
            </c:strRef>
          </c:cat>
          <c:val>
            <c:numRef>
              <c:f>'TABLA ESFA 2025'!$B$31:$M$31</c:f>
              <c:numCache>
                <c:formatCode>_(* #,##0_);_(* \(#,##0\);_(* "-"??_);_(@_)</c:formatCode>
                <c:ptCount val="4"/>
                <c:pt idx="1">
                  <c:v>8550122</c:v>
                </c:pt>
                <c:pt idx="3">
                  <c:v>8550122</c:v>
                </c:pt>
              </c:numCache>
            </c:numRef>
          </c:val>
          <c:extLst>
            <c:ext xmlns:c16="http://schemas.microsoft.com/office/drawing/2014/chart" uri="{C3380CC4-5D6E-409C-BE32-E72D297353CC}">
              <c16:uniqueId val="{00000008-28F0-40DA-BDB7-6D60E2C93A69}"/>
            </c:ext>
          </c:extLst>
        </c:ser>
        <c:ser>
          <c:idx val="9"/>
          <c:order val="9"/>
          <c:tx>
            <c:strRef>
              <c:f>'TABLA ESFA 2025'!$A$32</c:f>
              <c:strCache>
                <c:ptCount val="1"/>
              </c:strCache>
            </c:strRef>
          </c:tx>
          <c:spPr>
            <a:solidFill>
              <a:schemeClr val="accent4">
                <a:lumMod val="60000"/>
              </a:schemeClr>
            </a:solidFill>
            <a:ln>
              <a:noFill/>
            </a:ln>
            <a:effectLst/>
          </c:spPr>
          <c:invertIfNegative val="0"/>
          <c:cat>
            <c:strRef>
              <c:f>'TABLA ESFA 2025'!$B$22:$M$22</c:f>
              <c:strCache>
                <c:ptCount val="4"/>
                <c:pt idx="1">
                  <c:v> Julio </c:v>
                </c:pt>
                <c:pt idx="3">
                  <c:v> Agosto </c:v>
                </c:pt>
              </c:strCache>
            </c:strRef>
          </c:cat>
          <c:val>
            <c:numRef>
              <c:f>'TABLA ESFA 2025'!$B$32:$M$32</c:f>
            </c:numRef>
          </c:val>
          <c:extLst>
            <c:ext xmlns:c16="http://schemas.microsoft.com/office/drawing/2014/chart" uri="{C3380CC4-5D6E-409C-BE32-E72D297353CC}">
              <c16:uniqueId val="{00000009-28F0-40DA-BDB7-6D60E2C93A69}"/>
            </c:ext>
          </c:extLst>
        </c:ser>
        <c:ser>
          <c:idx val="10"/>
          <c:order val="10"/>
          <c:tx>
            <c:strRef>
              <c:f>'TABLA ESFA 2025'!$A$33</c:f>
              <c:strCache>
                <c:ptCount val="1"/>
                <c:pt idx="0">
                  <c:v>Inversiòn vigilancia</c:v>
                </c:pt>
              </c:strCache>
            </c:strRef>
          </c:tx>
          <c:spPr>
            <a:solidFill>
              <a:schemeClr val="accent5">
                <a:lumMod val="60000"/>
              </a:schemeClr>
            </a:solidFill>
            <a:ln>
              <a:noFill/>
            </a:ln>
            <a:effectLst/>
          </c:spPr>
          <c:invertIfNegative val="0"/>
          <c:cat>
            <c:strRef>
              <c:f>'TABLA ESFA 2025'!$B$22:$M$22</c:f>
              <c:strCache>
                <c:ptCount val="4"/>
                <c:pt idx="1">
                  <c:v> Julio </c:v>
                </c:pt>
                <c:pt idx="3">
                  <c:v> Agosto </c:v>
                </c:pt>
              </c:strCache>
            </c:strRef>
          </c:cat>
          <c:val>
            <c:numRef>
              <c:f>'TABLA ESFA 2025'!$B$33:$M$33</c:f>
            </c:numRef>
          </c:val>
          <c:extLst>
            <c:ext xmlns:c16="http://schemas.microsoft.com/office/drawing/2014/chart" uri="{C3380CC4-5D6E-409C-BE32-E72D297353CC}">
              <c16:uniqueId val="{0000000A-28F0-40DA-BDB7-6D60E2C93A69}"/>
            </c:ext>
          </c:extLst>
        </c:ser>
        <c:ser>
          <c:idx val="11"/>
          <c:order val="11"/>
          <c:tx>
            <c:strRef>
              <c:f>'TABLA ESFA 2025'!$A$34</c:f>
              <c:strCache>
                <c:ptCount val="1"/>
              </c:strCache>
            </c:strRef>
          </c:tx>
          <c:invertIfNegative val="0"/>
          <c:cat>
            <c:strRef>
              <c:f>'TABLA ESFA 2025'!$B$22:$M$22</c:f>
              <c:strCache>
                <c:ptCount val="4"/>
                <c:pt idx="1">
                  <c:v> Julio </c:v>
                </c:pt>
                <c:pt idx="3">
                  <c:v> Agosto </c:v>
                </c:pt>
              </c:strCache>
            </c:strRef>
          </c:cat>
          <c:val>
            <c:numRef>
              <c:f>'TABLA ESFA 2025'!$B$34:$M$34</c:f>
            </c:numRef>
          </c:val>
          <c:extLst>
            <c:ext xmlns:c16="http://schemas.microsoft.com/office/drawing/2014/chart" uri="{C3380CC4-5D6E-409C-BE32-E72D297353CC}">
              <c16:uniqueId val="{0000000B-28F0-40DA-BDB7-6D60E2C93A69}"/>
            </c:ext>
          </c:extLst>
        </c:ser>
        <c:ser>
          <c:idx val="12"/>
          <c:order val="12"/>
          <c:tx>
            <c:strRef>
              <c:f>'TABLA ESFA 2025'!$A$35</c:f>
              <c:strCache>
                <c:ptCount val="1"/>
                <c:pt idx="0">
                  <c:v>Cuota extra 2024</c:v>
                </c:pt>
              </c:strCache>
            </c:strRef>
          </c:tx>
          <c:invertIfNegative val="0"/>
          <c:cat>
            <c:strRef>
              <c:f>'TABLA ESFA 2025'!$B$22:$M$22</c:f>
              <c:strCache>
                <c:ptCount val="4"/>
                <c:pt idx="1">
                  <c:v> Julio </c:v>
                </c:pt>
                <c:pt idx="3">
                  <c:v> Agosto </c:v>
                </c:pt>
              </c:strCache>
            </c:strRef>
          </c:cat>
          <c:val>
            <c:numRef>
              <c:f>'TABLA ESFA 2025'!$B$35:$M$35</c:f>
              <c:numCache>
                <c:formatCode>_(* #,##0_);_(* \(#,##0\);_(* "-"??_);_(@_)</c:formatCode>
                <c:ptCount val="4"/>
                <c:pt idx="1">
                  <c:v>44870844.759999998</c:v>
                </c:pt>
                <c:pt idx="3">
                  <c:v>44870844.759999998</c:v>
                </c:pt>
              </c:numCache>
            </c:numRef>
          </c:val>
          <c:extLst>
            <c:ext xmlns:c16="http://schemas.microsoft.com/office/drawing/2014/chart" uri="{C3380CC4-5D6E-409C-BE32-E72D297353CC}">
              <c16:uniqueId val="{0000000C-28F0-40DA-BDB7-6D60E2C93A69}"/>
            </c:ext>
          </c:extLst>
        </c:ser>
        <c:ser>
          <c:idx val="13"/>
          <c:order val="13"/>
          <c:tx>
            <c:strRef>
              <c:f>'TABLA ESFA 2025'!$A$36</c:f>
              <c:strCache>
                <c:ptCount val="1"/>
                <c:pt idx="0">
                  <c:v>Cuota extra 2025</c:v>
                </c:pt>
              </c:strCache>
            </c:strRef>
          </c:tx>
          <c:invertIfNegative val="0"/>
          <c:cat>
            <c:strRef>
              <c:f>'TABLA ESFA 2025'!$B$22:$M$22</c:f>
              <c:strCache>
                <c:ptCount val="4"/>
                <c:pt idx="1">
                  <c:v> Julio </c:v>
                </c:pt>
                <c:pt idx="3">
                  <c:v> Agosto </c:v>
                </c:pt>
              </c:strCache>
            </c:strRef>
          </c:cat>
          <c:val>
            <c:numRef>
              <c:f>'TABLA ESFA 2025'!$B$36:$M$36</c:f>
              <c:numCache>
                <c:formatCode>_(* #,##0_);_(* \(#,##0\);_(* "-"??_);_(@_)</c:formatCode>
                <c:ptCount val="4"/>
                <c:pt idx="1">
                  <c:v>7500003</c:v>
                </c:pt>
                <c:pt idx="3">
                  <c:v>14999996</c:v>
                </c:pt>
              </c:numCache>
            </c:numRef>
          </c:val>
          <c:extLst>
            <c:ext xmlns:c16="http://schemas.microsoft.com/office/drawing/2014/chart" uri="{C3380CC4-5D6E-409C-BE32-E72D297353CC}">
              <c16:uniqueId val="{0000000D-28F0-40DA-BDB7-6D60E2C93A69}"/>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Patrimonio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2025'!$A$41</c:f>
              <c:strCache>
                <c:ptCount val="1"/>
                <c:pt idx="0">
                  <c:v>Reserva de ley 675 2001</c:v>
                </c:pt>
              </c:strCache>
            </c:strRef>
          </c:tx>
          <c:spPr>
            <a:solidFill>
              <a:schemeClr val="accent3">
                <a:lumMod val="75000"/>
              </a:schemeClr>
            </a:solidFill>
            <a:ln>
              <a:noFill/>
            </a:ln>
            <a:effectLst/>
          </c:spPr>
          <c:invertIfNegative val="0"/>
          <c:cat>
            <c:strRef>
              <c:f>'TABLA ESFA 2025'!$B$40:$M$40</c:f>
              <c:strCache>
                <c:ptCount val="4"/>
                <c:pt idx="1">
                  <c:v> Julio </c:v>
                </c:pt>
                <c:pt idx="3">
                  <c:v> Agosto </c:v>
                </c:pt>
              </c:strCache>
            </c:strRef>
          </c:cat>
          <c:val>
            <c:numRef>
              <c:f>'TABLA ESFA 2025'!$B$41:$M$41</c:f>
              <c:numCache>
                <c:formatCode>_(* #,##0_);_(* \(#,##0\);_(* "-"??_);_(@_)</c:formatCode>
                <c:ptCount val="4"/>
                <c:pt idx="1">
                  <c:v>10351087.880000001</c:v>
                </c:pt>
                <c:pt idx="3">
                  <c:v>10648443.880000001</c:v>
                </c:pt>
              </c:numCache>
            </c:numRef>
          </c:val>
          <c:extLst>
            <c:ext xmlns:c16="http://schemas.microsoft.com/office/drawing/2014/chart" uri="{C3380CC4-5D6E-409C-BE32-E72D297353CC}">
              <c16:uniqueId val="{00000000-2A2B-494E-A7A1-1795E848B105}"/>
            </c:ext>
          </c:extLst>
        </c:ser>
        <c:ser>
          <c:idx val="1"/>
          <c:order val="1"/>
          <c:tx>
            <c:strRef>
              <c:f>'TABLA ESFA 2025'!$A$42</c:f>
              <c:strCache>
                <c:ptCount val="1"/>
              </c:strCache>
            </c:strRef>
          </c:tx>
          <c:spPr>
            <a:solidFill>
              <a:srgbClr val="C0504D"/>
            </a:solidFill>
            <a:ln w="25400">
              <a:noFill/>
            </a:ln>
          </c:spPr>
          <c:invertIfNegative val="0"/>
          <c:cat>
            <c:strRef>
              <c:f>'TABLA ESFA 2025'!$B$40:$M$40</c:f>
              <c:strCache>
                <c:ptCount val="4"/>
                <c:pt idx="1">
                  <c:v> Julio </c:v>
                </c:pt>
                <c:pt idx="3">
                  <c:v> Agosto </c:v>
                </c:pt>
              </c:strCache>
            </c:strRef>
          </c:cat>
          <c:val>
            <c:numRef>
              <c:f>'TABLA ESFA 2025'!$B$42:$M$42</c:f>
            </c:numRef>
          </c:val>
          <c:extLst>
            <c:ext xmlns:c16="http://schemas.microsoft.com/office/drawing/2014/chart" uri="{C3380CC4-5D6E-409C-BE32-E72D297353CC}">
              <c16:uniqueId val="{00000001-2A2B-494E-A7A1-1795E848B105}"/>
            </c:ext>
          </c:extLst>
        </c:ser>
        <c:ser>
          <c:idx val="2"/>
          <c:order val="2"/>
          <c:tx>
            <c:strRef>
              <c:f>'TABLA ESFA 2025'!$A$43</c:f>
              <c:strCache>
                <c:ptCount val="1"/>
                <c:pt idx="0">
                  <c:v>Resultados del presente ejercicio</c:v>
                </c:pt>
              </c:strCache>
            </c:strRef>
          </c:tx>
          <c:spPr>
            <a:solidFill>
              <a:schemeClr val="bg1">
                <a:lumMod val="85000"/>
              </a:schemeClr>
            </a:solidFill>
            <a:ln>
              <a:noFill/>
            </a:ln>
            <a:effectLst/>
          </c:spPr>
          <c:invertIfNegative val="0"/>
          <c:cat>
            <c:strRef>
              <c:f>'TABLA ESFA 2025'!$B$40:$M$40</c:f>
              <c:strCache>
                <c:ptCount val="4"/>
                <c:pt idx="1">
                  <c:v> Julio </c:v>
                </c:pt>
                <c:pt idx="3">
                  <c:v> Agosto </c:v>
                </c:pt>
              </c:strCache>
            </c:strRef>
          </c:cat>
          <c:val>
            <c:numRef>
              <c:f>'TABLA ESFA 2025'!$B$43:$M$43</c:f>
              <c:numCache>
                <c:formatCode>_(* #,##0_);_(* \(#,##0\);_(* "-"??_);_(@_)</c:formatCode>
                <c:ptCount val="4"/>
                <c:pt idx="1">
                  <c:v>11854266.249999994</c:v>
                </c:pt>
                <c:pt idx="3">
                  <c:v>11808814.349999992</c:v>
                </c:pt>
              </c:numCache>
            </c:numRef>
          </c:val>
          <c:extLst>
            <c:ext xmlns:c16="http://schemas.microsoft.com/office/drawing/2014/chart" uri="{C3380CC4-5D6E-409C-BE32-E72D297353CC}">
              <c16:uniqueId val="{00000002-2A2B-494E-A7A1-1795E848B105}"/>
            </c:ext>
          </c:extLst>
        </c:ser>
        <c:ser>
          <c:idx val="3"/>
          <c:order val="3"/>
          <c:tx>
            <c:strRef>
              <c:f>'TABLA ESFA 2025'!$A$44</c:f>
              <c:strCache>
                <c:ptCount val="1"/>
              </c:strCache>
            </c:strRef>
          </c:tx>
          <c:spPr>
            <a:solidFill>
              <a:srgbClr val="8064A2"/>
            </a:solidFill>
            <a:ln w="25400">
              <a:noFill/>
            </a:ln>
          </c:spPr>
          <c:invertIfNegative val="0"/>
          <c:cat>
            <c:strRef>
              <c:f>'TABLA ESFA 2025'!$B$40:$M$40</c:f>
              <c:strCache>
                <c:ptCount val="4"/>
                <c:pt idx="1">
                  <c:v> Julio </c:v>
                </c:pt>
                <c:pt idx="3">
                  <c:v> Agosto </c:v>
                </c:pt>
              </c:strCache>
            </c:strRef>
          </c:cat>
          <c:val>
            <c:numRef>
              <c:f>'TABLA ESFA 2025'!$B$44:$M$44</c:f>
            </c:numRef>
          </c:val>
          <c:extLst>
            <c:ext xmlns:c16="http://schemas.microsoft.com/office/drawing/2014/chart" uri="{C3380CC4-5D6E-409C-BE32-E72D297353CC}">
              <c16:uniqueId val="{00000003-2A2B-494E-A7A1-1795E848B105}"/>
            </c:ext>
          </c:extLst>
        </c:ser>
        <c:ser>
          <c:idx val="4"/>
          <c:order val="4"/>
          <c:tx>
            <c:strRef>
              <c:f>'TABLA ESFA 2025'!$A$45</c:f>
              <c:strCache>
                <c:ptCount val="1"/>
                <c:pt idx="0">
                  <c:v>Excedente- reconocimiento talud</c:v>
                </c:pt>
              </c:strCache>
            </c:strRef>
          </c:tx>
          <c:spPr>
            <a:solidFill>
              <a:srgbClr val="4BACC6"/>
            </a:solidFill>
            <a:ln w="25400">
              <a:noFill/>
            </a:ln>
          </c:spPr>
          <c:invertIfNegative val="0"/>
          <c:cat>
            <c:strRef>
              <c:f>'TABLA ESFA 2025'!$B$40:$M$40</c:f>
              <c:strCache>
                <c:ptCount val="4"/>
                <c:pt idx="1">
                  <c:v> Julio </c:v>
                </c:pt>
                <c:pt idx="3">
                  <c:v> Agosto </c:v>
                </c:pt>
              </c:strCache>
            </c:strRef>
          </c:cat>
          <c:val>
            <c:numRef>
              <c:f>'TABLA ESFA 2025'!$B$45:$M$45</c:f>
              <c:numCache>
                <c:formatCode>_(* #,##0_);_(* \(#,##0\);_(* "-"??_);_(@_)</c:formatCode>
                <c:ptCount val="4"/>
                <c:pt idx="1">
                  <c:v>248451.86</c:v>
                </c:pt>
                <c:pt idx="3">
                  <c:v>248451.86</c:v>
                </c:pt>
              </c:numCache>
            </c:numRef>
          </c:val>
          <c:extLst>
            <c:ext xmlns:c16="http://schemas.microsoft.com/office/drawing/2014/chart" uri="{C3380CC4-5D6E-409C-BE32-E72D297353CC}">
              <c16:uniqueId val="{00000004-2A2B-494E-A7A1-1795E848B105}"/>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Composiciòn patrimonial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2025'!$A$51:$D$51</c:f>
              <c:strCache>
                <c:ptCount val="4"/>
                <c:pt idx="0">
                  <c:v>Activo</c:v>
                </c:pt>
              </c:strCache>
            </c:strRef>
          </c:tx>
          <c:spPr>
            <a:solidFill>
              <a:srgbClr val="FFFF00"/>
            </a:solidFill>
            <a:ln>
              <a:noFill/>
            </a:ln>
            <a:effectLst/>
          </c:spPr>
          <c:invertIfNegative val="0"/>
          <c:cat>
            <c:numRef>
              <c:f>'TABLA ESFA 2025'!$E$50:$M$50</c:f>
              <c:numCache>
                <c:formatCode>mmm\-yy</c:formatCode>
                <c:ptCount val="4"/>
                <c:pt idx="1">
                  <c:v>45839</c:v>
                </c:pt>
                <c:pt idx="3">
                  <c:v>45870</c:v>
                </c:pt>
              </c:numCache>
            </c:numRef>
          </c:cat>
          <c:val>
            <c:numRef>
              <c:f>'TABLA ESFA 2025'!$E$51:$M$51</c:f>
              <c:numCache>
                <c:formatCode>_(* #,##0_);_(* \(#,##0\);_(* "-"??_);_(@_)</c:formatCode>
                <c:ptCount val="4"/>
                <c:pt idx="1">
                  <c:v>84326483.810000002</c:v>
                </c:pt>
                <c:pt idx="3" formatCode="#,##0">
                  <c:v>91939379.909999996</c:v>
                </c:pt>
              </c:numCache>
            </c:numRef>
          </c:val>
          <c:extLst>
            <c:ext xmlns:c16="http://schemas.microsoft.com/office/drawing/2014/chart" uri="{C3380CC4-5D6E-409C-BE32-E72D297353CC}">
              <c16:uniqueId val="{00000000-CDC4-429F-9129-A33CC10B8908}"/>
            </c:ext>
          </c:extLst>
        </c:ser>
        <c:ser>
          <c:idx val="1"/>
          <c:order val="1"/>
          <c:tx>
            <c:strRef>
              <c:f>'TABLA ESFA 2025'!$A$52:$D$52</c:f>
              <c:strCache>
                <c:ptCount val="4"/>
                <c:pt idx="0">
                  <c:v>Pasivo</c:v>
                </c:pt>
              </c:strCache>
            </c:strRef>
          </c:tx>
          <c:spPr>
            <a:solidFill>
              <a:srgbClr val="C0504D"/>
            </a:solidFill>
            <a:ln w="25400">
              <a:noFill/>
            </a:ln>
          </c:spPr>
          <c:invertIfNegative val="0"/>
          <c:cat>
            <c:numRef>
              <c:f>'TABLA ESFA 2025'!$E$50:$M$50</c:f>
              <c:numCache>
                <c:formatCode>mmm\-yy</c:formatCode>
                <c:ptCount val="4"/>
                <c:pt idx="1">
                  <c:v>45839</c:v>
                </c:pt>
                <c:pt idx="3">
                  <c:v>45870</c:v>
                </c:pt>
              </c:numCache>
            </c:numRef>
          </c:cat>
          <c:val>
            <c:numRef>
              <c:f>'TABLA ESFA 2025'!$E$52:$M$52</c:f>
              <c:numCache>
                <c:formatCode>_(* #,##0_);_(* \(#,##0\);_(* "-"??_);_(@_)</c:formatCode>
                <c:ptCount val="4"/>
                <c:pt idx="1">
                  <c:v>61872677.82</c:v>
                </c:pt>
                <c:pt idx="3" formatCode="#,##0">
                  <c:v>69233669.819999993</c:v>
                </c:pt>
              </c:numCache>
            </c:numRef>
          </c:val>
          <c:extLst>
            <c:ext xmlns:c16="http://schemas.microsoft.com/office/drawing/2014/chart" uri="{C3380CC4-5D6E-409C-BE32-E72D297353CC}">
              <c16:uniqueId val="{00000001-CDC4-429F-9129-A33CC10B8908}"/>
            </c:ext>
          </c:extLst>
        </c:ser>
        <c:ser>
          <c:idx val="2"/>
          <c:order val="2"/>
          <c:tx>
            <c:strRef>
              <c:f>'TABLA ESFA 2025'!$A$53:$D$53</c:f>
              <c:strCache>
                <c:ptCount val="4"/>
                <c:pt idx="0">
                  <c:v>Patrimonio</c:v>
                </c:pt>
              </c:strCache>
            </c:strRef>
          </c:tx>
          <c:spPr>
            <a:solidFill>
              <a:srgbClr val="00B0F0"/>
            </a:solidFill>
            <a:ln>
              <a:noFill/>
            </a:ln>
            <a:effectLst/>
          </c:spPr>
          <c:invertIfNegative val="0"/>
          <c:cat>
            <c:numRef>
              <c:f>'TABLA ESFA 2025'!$E$50:$M$50</c:f>
              <c:numCache>
                <c:formatCode>mmm\-yy</c:formatCode>
                <c:ptCount val="4"/>
                <c:pt idx="1">
                  <c:v>45839</c:v>
                </c:pt>
                <c:pt idx="3">
                  <c:v>45870</c:v>
                </c:pt>
              </c:numCache>
            </c:numRef>
          </c:cat>
          <c:val>
            <c:numRef>
              <c:f>'TABLA ESFA 2025'!$E$53:$M$53</c:f>
              <c:numCache>
                <c:formatCode>#,##0</c:formatCode>
                <c:ptCount val="4"/>
                <c:pt idx="1">
                  <c:v>22453805.989999995</c:v>
                </c:pt>
                <c:pt idx="3">
                  <c:v>22705710.089999992</c:v>
                </c:pt>
              </c:numCache>
            </c:numRef>
          </c:val>
          <c:extLst>
            <c:ext xmlns:c16="http://schemas.microsoft.com/office/drawing/2014/chart" uri="{C3380CC4-5D6E-409C-BE32-E72D297353CC}">
              <c16:uniqueId val="{00000002-CDC4-429F-9129-A33CC10B8908}"/>
            </c:ext>
          </c:extLst>
        </c:ser>
        <c:dLbls>
          <c:showLegendKey val="0"/>
          <c:showVal val="0"/>
          <c:showCatName val="0"/>
          <c:showSerName val="0"/>
          <c:showPercent val="0"/>
          <c:showBubbleSize val="0"/>
        </c:dLbls>
        <c:gapWidth val="50"/>
        <c:axId val="1432885664"/>
        <c:axId val="1"/>
      </c:barChart>
      <c:dateAx>
        <c:axId val="143288566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Activos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mayo - junio 2025</a:t>
            </a:r>
          </a:p>
        </c:rich>
      </c:tx>
      <c:layout>
        <c:manualLayout>
          <c:xMode val="edge"/>
          <c:yMode val="edge"/>
          <c:x val="0.49768772348033374"/>
          <c:y val="8.9473684210526316E-2"/>
        </c:manualLayout>
      </c:layout>
      <c:overlay val="0"/>
      <c:spPr>
        <a:noFill/>
        <a:ln w="25400">
          <a:noFill/>
        </a:ln>
      </c:spPr>
    </c:title>
    <c:autoTitleDeleted val="0"/>
    <c:plotArea>
      <c:layout>
        <c:manualLayout>
          <c:layoutTarget val="inner"/>
          <c:xMode val="edge"/>
          <c:yMode val="edge"/>
          <c:x val="0.34160671215263766"/>
          <c:y val="8.526315789473686E-2"/>
          <c:w val="0.6583932878473624"/>
          <c:h val="0.47620389556568588"/>
        </c:manualLayout>
      </c:layout>
      <c:barChart>
        <c:barDir val="col"/>
        <c:grouping val="clustered"/>
        <c:varyColors val="0"/>
        <c:ser>
          <c:idx val="0"/>
          <c:order val="0"/>
          <c:tx>
            <c:strRef>
              <c:f>'ESFA JUN GRAF 2025'!$A$5</c:f>
              <c:strCache>
                <c:ptCount val="1"/>
                <c:pt idx="0">
                  <c:v> Efectivo y sus equivalentes </c:v>
                </c:pt>
              </c:strCache>
            </c:strRef>
          </c:tx>
          <c:spPr>
            <a:solidFill>
              <a:schemeClr val="accent3">
                <a:lumMod val="75000"/>
              </a:schemeClr>
            </a:solidFill>
            <a:ln>
              <a:noFill/>
            </a:ln>
            <a:effectLst/>
          </c:spPr>
          <c:invertIfNegative val="0"/>
          <c:cat>
            <c:strRef>
              <c:f>'ESFA JUN GRAF 2025'!$B$4:$I$4</c:f>
              <c:strCache>
                <c:ptCount val="3"/>
                <c:pt idx="0">
                  <c:v> Mayo </c:v>
                </c:pt>
                <c:pt idx="2">
                  <c:v> Junio </c:v>
                </c:pt>
              </c:strCache>
            </c:strRef>
          </c:cat>
          <c:val>
            <c:numRef>
              <c:f>'ESFA JUN GRAF 2025'!$B$5:$I$5</c:f>
              <c:numCache>
                <c:formatCode>_(* #,##0_);_(* \(#,##0\);_(* "-"??_);_(@_)</c:formatCode>
                <c:ptCount val="3"/>
                <c:pt idx="0">
                  <c:v>52872060.759999998</c:v>
                </c:pt>
                <c:pt idx="2">
                  <c:v>48166178.640000001</c:v>
                </c:pt>
              </c:numCache>
            </c:numRef>
          </c:val>
          <c:extLst>
            <c:ext xmlns:c16="http://schemas.microsoft.com/office/drawing/2014/chart" uri="{C3380CC4-5D6E-409C-BE32-E72D297353CC}">
              <c16:uniqueId val="{00000000-E272-4D72-A9BE-8BAA9BDD5B64}"/>
            </c:ext>
          </c:extLst>
        </c:ser>
        <c:ser>
          <c:idx val="1"/>
          <c:order val="1"/>
          <c:tx>
            <c:strRef>
              <c:f>'ESFA JUN GRAF 2025'!$A$6</c:f>
              <c:strCache>
                <c:ptCount val="1"/>
              </c:strCache>
            </c:strRef>
          </c:tx>
          <c:spPr>
            <a:solidFill>
              <a:srgbClr val="C0504D"/>
            </a:solidFill>
            <a:ln w="25400">
              <a:noFill/>
            </a:ln>
          </c:spPr>
          <c:invertIfNegative val="0"/>
          <c:cat>
            <c:strRef>
              <c:f>'ESFA JUN GRAF 2025'!$B$4:$I$4</c:f>
              <c:strCache>
                <c:ptCount val="3"/>
                <c:pt idx="0">
                  <c:v> Mayo </c:v>
                </c:pt>
                <c:pt idx="2">
                  <c:v> Junio </c:v>
                </c:pt>
              </c:strCache>
            </c:strRef>
          </c:cat>
          <c:val>
            <c:numRef>
              <c:f>'ESFA JUN GRAF 2025'!$B$6:$I$6</c:f>
            </c:numRef>
          </c:val>
          <c:extLst>
            <c:ext xmlns:c16="http://schemas.microsoft.com/office/drawing/2014/chart" uri="{C3380CC4-5D6E-409C-BE32-E72D297353CC}">
              <c16:uniqueId val="{00000001-E272-4D72-A9BE-8BAA9BDD5B64}"/>
            </c:ext>
          </c:extLst>
        </c:ser>
        <c:ser>
          <c:idx val="2"/>
          <c:order val="2"/>
          <c:tx>
            <c:strRef>
              <c:f>'ESFA JUN GRAF 2025'!$A$7</c:f>
              <c:strCache>
                <c:ptCount val="1"/>
                <c:pt idx="0">
                  <c:v> Fiducuenta Bancolombia </c:v>
                </c:pt>
              </c:strCache>
            </c:strRef>
          </c:tx>
          <c:spPr>
            <a:solidFill>
              <a:schemeClr val="bg1">
                <a:lumMod val="85000"/>
              </a:schemeClr>
            </a:solidFill>
            <a:ln>
              <a:noFill/>
            </a:ln>
            <a:effectLst/>
          </c:spPr>
          <c:invertIfNegative val="0"/>
          <c:cat>
            <c:strRef>
              <c:f>'ESFA JUN GRAF 2025'!$B$4:$I$4</c:f>
              <c:strCache>
                <c:ptCount val="3"/>
                <c:pt idx="0">
                  <c:v> Mayo </c:v>
                </c:pt>
                <c:pt idx="2">
                  <c:v> Junio </c:v>
                </c:pt>
              </c:strCache>
            </c:strRef>
          </c:cat>
          <c:val>
            <c:numRef>
              <c:f>'ESFA JUN GRAF 2025'!$B$7:$I$7</c:f>
              <c:numCache>
                <c:formatCode>_(* #,##0_);_(* \(#,##0\);_(* "-"??_);_(@_)</c:formatCode>
                <c:ptCount val="3"/>
                <c:pt idx="0">
                  <c:v>8658779.9299999997</c:v>
                </c:pt>
                <c:pt idx="2">
                  <c:v>10764303.619999999</c:v>
                </c:pt>
              </c:numCache>
            </c:numRef>
          </c:val>
          <c:extLst>
            <c:ext xmlns:c16="http://schemas.microsoft.com/office/drawing/2014/chart" uri="{C3380CC4-5D6E-409C-BE32-E72D297353CC}">
              <c16:uniqueId val="{00000002-E272-4D72-A9BE-8BAA9BDD5B64}"/>
            </c:ext>
          </c:extLst>
        </c:ser>
        <c:ser>
          <c:idx val="3"/>
          <c:order val="3"/>
          <c:tx>
            <c:strRef>
              <c:f>'ESFA JUN GRAF 2025'!$A$8</c:f>
              <c:strCache>
                <c:ptCount val="1"/>
              </c:strCache>
            </c:strRef>
          </c:tx>
          <c:spPr>
            <a:solidFill>
              <a:srgbClr val="8064A2"/>
            </a:solidFill>
            <a:ln w="25400">
              <a:noFill/>
            </a:ln>
          </c:spPr>
          <c:invertIfNegative val="0"/>
          <c:cat>
            <c:strRef>
              <c:f>'ESFA JUN GRAF 2025'!$B$4:$I$4</c:f>
              <c:strCache>
                <c:ptCount val="3"/>
                <c:pt idx="0">
                  <c:v> Mayo </c:v>
                </c:pt>
                <c:pt idx="2">
                  <c:v> Junio </c:v>
                </c:pt>
              </c:strCache>
            </c:strRef>
          </c:cat>
          <c:val>
            <c:numRef>
              <c:f>'ESFA JUN GRAF 2025'!$B$8:$I$8</c:f>
            </c:numRef>
          </c:val>
          <c:extLst>
            <c:ext xmlns:c16="http://schemas.microsoft.com/office/drawing/2014/chart" uri="{C3380CC4-5D6E-409C-BE32-E72D297353CC}">
              <c16:uniqueId val="{00000003-E272-4D72-A9BE-8BAA9BDD5B64}"/>
            </c:ext>
          </c:extLst>
        </c:ser>
        <c:ser>
          <c:idx val="4"/>
          <c:order val="4"/>
          <c:tx>
            <c:strRef>
              <c:f>'ESFA JUN GRAF 2025'!$A$9</c:f>
              <c:strCache>
                <c:ptCount val="1"/>
                <c:pt idx="0">
                  <c:v>CXC Administración</c:v>
                </c:pt>
              </c:strCache>
            </c:strRef>
          </c:tx>
          <c:spPr>
            <a:solidFill>
              <a:srgbClr val="4BACC6"/>
            </a:solidFill>
            <a:ln w="25400">
              <a:noFill/>
            </a:ln>
          </c:spPr>
          <c:invertIfNegative val="0"/>
          <c:cat>
            <c:strRef>
              <c:f>'ESFA JUN GRAF 2025'!$B$4:$I$4</c:f>
              <c:strCache>
                <c:ptCount val="3"/>
                <c:pt idx="0">
                  <c:v> Mayo </c:v>
                </c:pt>
                <c:pt idx="2">
                  <c:v> Junio </c:v>
                </c:pt>
              </c:strCache>
            </c:strRef>
          </c:cat>
          <c:val>
            <c:numRef>
              <c:f>'ESFA JUN GRAF 2025'!$B$9:$I$9</c:f>
              <c:numCache>
                <c:formatCode>_(* #,##0_);_(* \(#,##0\);_(* "-"??_);_(@_)</c:formatCode>
                <c:ptCount val="3"/>
                <c:pt idx="0">
                  <c:v>3942142</c:v>
                </c:pt>
                <c:pt idx="2">
                  <c:v>11341985</c:v>
                </c:pt>
              </c:numCache>
            </c:numRef>
          </c:val>
          <c:extLst>
            <c:ext xmlns:c16="http://schemas.microsoft.com/office/drawing/2014/chart" uri="{C3380CC4-5D6E-409C-BE32-E72D297353CC}">
              <c16:uniqueId val="{00000004-E272-4D72-A9BE-8BAA9BDD5B64}"/>
            </c:ext>
          </c:extLst>
        </c:ser>
        <c:ser>
          <c:idx val="5"/>
          <c:order val="5"/>
          <c:tx>
            <c:strRef>
              <c:f>'ESFA JUN GRAF 2025'!$A$10</c:f>
              <c:strCache>
                <c:ptCount val="1"/>
              </c:strCache>
            </c:strRef>
          </c:tx>
          <c:spPr>
            <a:solidFill>
              <a:srgbClr val="F79646"/>
            </a:solidFill>
            <a:ln w="25400">
              <a:noFill/>
            </a:ln>
          </c:spPr>
          <c:invertIfNegative val="0"/>
          <c:cat>
            <c:strRef>
              <c:f>'ESFA JUN GRAF 2025'!$B$4:$I$4</c:f>
              <c:strCache>
                <c:ptCount val="3"/>
                <c:pt idx="0">
                  <c:v> Mayo </c:v>
                </c:pt>
                <c:pt idx="2">
                  <c:v> Junio </c:v>
                </c:pt>
              </c:strCache>
            </c:strRef>
          </c:cat>
          <c:val>
            <c:numRef>
              <c:f>'ESFA JUN GRAF 2025'!$B$10:$I$10</c:f>
            </c:numRef>
          </c:val>
          <c:extLst>
            <c:ext xmlns:c16="http://schemas.microsoft.com/office/drawing/2014/chart" uri="{C3380CC4-5D6E-409C-BE32-E72D297353CC}">
              <c16:uniqueId val="{00000005-E272-4D72-A9BE-8BAA9BDD5B64}"/>
            </c:ext>
          </c:extLst>
        </c:ser>
        <c:ser>
          <c:idx val="6"/>
          <c:order val="6"/>
          <c:tx>
            <c:strRef>
              <c:f>'ESFA JUN GRAF 2025'!$A$11</c:f>
              <c:strCache>
                <c:ptCount val="1"/>
                <c:pt idx="0">
                  <c:v> Pagos sin identificar </c:v>
                </c:pt>
              </c:strCache>
            </c:strRef>
          </c:tx>
          <c:spPr>
            <a:solidFill>
              <a:srgbClr val="FF0000"/>
            </a:solidFill>
            <a:ln w="25400">
              <a:noFill/>
            </a:ln>
          </c:spPr>
          <c:invertIfNegative val="0"/>
          <c:cat>
            <c:strRef>
              <c:f>'ESFA JUN GRAF 2025'!$B$4:$I$4</c:f>
              <c:strCache>
                <c:ptCount val="3"/>
                <c:pt idx="0">
                  <c:v> Mayo </c:v>
                </c:pt>
                <c:pt idx="2">
                  <c:v> Junio </c:v>
                </c:pt>
              </c:strCache>
            </c:strRef>
          </c:cat>
          <c:val>
            <c:numRef>
              <c:f>'ESFA JUN GRAF 2025'!$B$11:$I$11</c:f>
            </c:numRef>
          </c:val>
          <c:extLst>
            <c:ext xmlns:c16="http://schemas.microsoft.com/office/drawing/2014/chart" uri="{C3380CC4-5D6E-409C-BE32-E72D297353CC}">
              <c16:uniqueId val="{00000006-E272-4D72-A9BE-8BAA9BDD5B64}"/>
            </c:ext>
          </c:extLst>
        </c:ser>
        <c:ser>
          <c:idx val="7"/>
          <c:order val="7"/>
          <c:tx>
            <c:strRef>
              <c:f>'ESFA JUN GRAF 2025'!$A$12</c:f>
              <c:strCache>
                <c:ptCount val="1"/>
              </c:strCache>
            </c:strRef>
          </c:tx>
          <c:spPr>
            <a:solidFill>
              <a:schemeClr val="accent2">
                <a:lumMod val="60000"/>
              </a:schemeClr>
            </a:solidFill>
            <a:ln>
              <a:noFill/>
            </a:ln>
            <a:effectLst/>
          </c:spPr>
          <c:invertIfNegative val="0"/>
          <c:cat>
            <c:strRef>
              <c:f>'ESFA JUN GRAF 2025'!$B$4:$I$4</c:f>
              <c:strCache>
                <c:ptCount val="3"/>
                <c:pt idx="0">
                  <c:v> Mayo </c:v>
                </c:pt>
                <c:pt idx="2">
                  <c:v> Junio </c:v>
                </c:pt>
              </c:strCache>
            </c:strRef>
          </c:cat>
          <c:val>
            <c:numRef>
              <c:f>'ESFA JUN GRAF 2025'!$B$12:$I$12</c:f>
            </c:numRef>
          </c:val>
          <c:extLst>
            <c:ext xmlns:c16="http://schemas.microsoft.com/office/drawing/2014/chart" uri="{C3380CC4-5D6E-409C-BE32-E72D297353CC}">
              <c16:uniqueId val="{00000007-E272-4D72-A9BE-8BAA9BDD5B64}"/>
            </c:ext>
          </c:extLst>
        </c:ser>
        <c:ser>
          <c:idx val="8"/>
          <c:order val="8"/>
          <c:tx>
            <c:strRef>
              <c:f>'ESFA JUN GRAF 2025'!$A$13</c:f>
              <c:strCache>
                <c:ptCount val="1"/>
                <c:pt idx="0">
                  <c:v> Reclamaciones a proveedores </c:v>
                </c:pt>
              </c:strCache>
            </c:strRef>
          </c:tx>
          <c:spPr>
            <a:solidFill>
              <a:schemeClr val="accent3">
                <a:lumMod val="60000"/>
              </a:schemeClr>
            </a:solidFill>
            <a:ln>
              <a:noFill/>
            </a:ln>
            <a:effectLst/>
          </c:spPr>
          <c:invertIfNegative val="0"/>
          <c:cat>
            <c:strRef>
              <c:f>'ESFA JUN GRAF 2025'!$B$4:$I$4</c:f>
              <c:strCache>
                <c:ptCount val="3"/>
                <c:pt idx="0">
                  <c:v> Mayo </c:v>
                </c:pt>
                <c:pt idx="2">
                  <c:v> Junio </c:v>
                </c:pt>
              </c:strCache>
            </c:strRef>
          </c:cat>
          <c:val>
            <c:numRef>
              <c:f>'ESFA JUN GRAF 2025'!$B$13:$I$13</c:f>
            </c:numRef>
          </c:val>
          <c:extLst>
            <c:ext xmlns:c16="http://schemas.microsoft.com/office/drawing/2014/chart" uri="{C3380CC4-5D6E-409C-BE32-E72D297353CC}">
              <c16:uniqueId val="{00000008-E272-4D72-A9BE-8BAA9BDD5B64}"/>
            </c:ext>
          </c:extLst>
        </c:ser>
        <c:ser>
          <c:idx val="9"/>
          <c:order val="9"/>
          <c:tx>
            <c:strRef>
              <c:f>'ESFA JUN GRAF 2025'!$A$14</c:f>
              <c:strCache>
                <c:ptCount val="1"/>
              </c:strCache>
            </c:strRef>
          </c:tx>
          <c:spPr>
            <a:solidFill>
              <a:schemeClr val="accent4">
                <a:lumMod val="60000"/>
              </a:schemeClr>
            </a:solidFill>
            <a:ln>
              <a:noFill/>
            </a:ln>
            <a:effectLst/>
          </c:spPr>
          <c:invertIfNegative val="0"/>
          <c:cat>
            <c:strRef>
              <c:f>'ESFA JUN GRAF 2025'!$B$4:$I$4</c:f>
              <c:strCache>
                <c:ptCount val="3"/>
                <c:pt idx="0">
                  <c:v> Mayo </c:v>
                </c:pt>
                <c:pt idx="2">
                  <c:v> Junio </c:v>
                </c:pt>
              </c:strCache>
            </c:strRef>
          </c:cat>
          <c:val>
            <c:numRef>
              <c:f>'ESFA JUN GRAF 2025'!$B$14:$I$14</c:f>
            </c:numRef>
          </c:val>
          <c:extLst>
            <c:ext xmlns:c16="http://schemas.microsoft.com/office/drawing/2014/chart" uri="{C3380CC4-5D6E-409C-BE32-E72D297353CC}">
              <c16:uniqueId val="{00000009-E272-4D72-A9BE-8BAA9BDD5B64}"/>
            </c:ext>
          </c:extLst>
        </c:ser>
        <c:ser>
          <c:idx val="10"/>
          <c:order val="10"/>
          <c:tx>
            <c:strRef>
              <c:f>'ESFA JUN GRAF 2025'!$A$15</c:f>
              <c:strCache>
                <c:ptCount val="1"/>
                <c:pt idx="0">
                  <c:v> Gasto por anticipado póliza seguros </c:v>
                </c:pt>
              </c:strCache>
            </c:strRef>
          </c:tx>
          <c:spPr>
            <a:solidFill>
              <a:schemeClr val="accent5">
                <a:lumMod val="60000"/>
              </a:schemeClr>
            </a:solidFill>
            <a:ln>
              <a:noFill/>
            </a:ln>
            <a:effectLst/>
          </c:spPr>
          <c:invertIfNegative val="0"/>
          <c:cat>
            <c:strRef>
              <c:f>'ESFA JUN GRAF 2025'!$B$4:$I$4</c:f>
              <c:strCache>
                <c:ptCount val="3"/>
                <c:pt idx="0">
                  <c:v> Mayo </c:v>
                </c:pt>
                <c:pt idx="2">
                  <c:v> Junio </c:v>
                </c:pt>
              </c:strCache>
            </c:strRef>
          </c:cat>
          <c:val>
            <c:numRef>
              <c:f>'ESFA JUN GRAF 2025'!$B$15:$I$15</c:f>
              <c:numCache>
                <c:formatCode>_(* #,##0_);_(* \(#,##0\);_(* "-"??_);_(@_)</c:formatCode>
                <c:ptCount val="3"/>
                <c:pt idx="0">
                  <c:v>13871914</c:v>
                </c:pt>
                <c:pt idx="2">
                  <c:v>12428599</c:v>
                </c:pt>
              </c:numCache>
            </c:numRef>
          </c:val>
          <c:extLst>
            <c:ext xmlns:c16="http://schemas.microsoft.com/office/drawing/2014/chart" uri="{C3380CC4-5D6E-409C-BE32-E72D297353CC}">
              <c16:uniqueId val="{0000000A-E272-4D72-A9BE-8BAA9BDD5B64}"/>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 Agost  jul 2025 </a:t>
            </a:r>
          </a:p>
        </c:rich>
      </c:tx>
      <c:layout>
        <c:manualLayout>
          <c:xMode val="edge"/>
          <c:yMode val="edge"/>
          <c:x val="0.33427106557916819"/>
          <c:y val="4.2328042328042326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'TABLA ESFA 2025'!$A$51:$D$51</c:f>
              <c:strCache>
                <c:ptCount val="4"/>
                <c:pt idx="0">
                  <c:v>Activo</c:v>
                </c:pt>
              </c:strCache>
            </c:strRef>
          </c:tx>
          <c:spPr>
            <a:solidFill>
              <a:srgbClr val="FFC000"/>
            </a:solidFill>
            <a:ln w="25400">
              <a:solidFill>
                <a:srgbClr val="FFC000"/>
              </a:solidFill>
            </a:ln>
          </c:spPr>
          <c:invertIfNegative val="0"/>
          <c:cat>
            <c:numRef>
              <c:f>'TABLA ESFA 2025'!$E$50:$M$50</c:f>
              <c:numCache>
                <c:formatCode>mmm\-yy</c:formatCode>
                <c:ptCount val="4"/>
                <c:pt idx="1">
                  <c:v>45839</c:v>
                </c:pt>
                <c:pt idx="3">
                  <c:v>45870</c:v>
                </c:pt>
              </c:numCache>
            </c:numRef>
          </c:cat>
          <c:val>
            <c:numRef>
              <c:f>'TABLA ESFA 2025'!$E$51:$M$51</c:f>
              <c:numCache>
                <c:formatCode>_(* #,##0_);_(* \(#,##0\);_(* "-"??_);_(@_)</c:formatCode>
                <c:ptCount val="4"/>
                <c:pt idx="1">
                  <c:v>84326483.810000002</c:v>
                </c:pt>
                <c:pt idx="3" formatCode="#,##0">
                  <c:v>91939379.909999996</c:v>
                </c:pt>
              </c:numCache>
            </c:numRef>
          </c:val>
          <c:extLst>
            <c:ext xmlns:c16="http://schemas.microsoft.com/office/drawing/2014/chart" uri="{C3380CC4-5D6E-409C-BE32-E72D297353CC}">
              <c16:uniqueId val="{00000000-677D-42B7-9AA9-0AE10B443E7A}"/>
            </c:ext>
          </c:extLst>
        </c:ser>
        <c:ser>
          <c:idx val="0"/>
          <c:order val="1"/>
          <c:tx>
            <c:strRef>
              <c:f>'TABLA ESFA 2025'!$A$52:$D$52</c:f>
              <c:strCache>
                <c:ptCount val="4"/>
                <c:pt idx="0">
                  <c:v>Pasivo</c:v>
                </c:pt>
              </c:strCache>
            </c:strRef>
          </c:tx>
          <c:invertIfNegative val="0"/>
          <c:cat>
            <c:numRef>
              <c:f>'TABLA ESFA 2025'!$E$50:$M$50</c:f>
              <c:numCache>
                <c:formatCode>mmm\-yy</c:formatCode>
                <c:ptCount val="4"/>
                <c:pt idx="1">
                  <c:v>45839</c:v>
                </c:pt>
                <c:pt idx="3">
                  <c:v>45870</c:v>
                </c:pt>
              </c:numCache>
            </c:numRef>
          </c:cat>
          <c:val>
            <c:numRef>
              <c:f>'TABLA ESFA 2025'!$E$52:$M$52</c:f>
              <c:numCache>
                <c:formatCode>_(* #,##0_);_(* \(#,##0\);_(* "-"??_);_(@_)</c:formatCode>
                <c:ptCount val="4"/>
                <c:pt idx="1">
                  <c:v>61872677.82</c:v>
                </c:pt>
                <c:pt idx="3" formatCode="#,##0">
                  <c:v>69233669.819999993</c:v>
                </c:pt>
              </c:numCache>
            </c:numRef>
          </c:val>
          <c:extLst>
            <c:ext xmlns:c16="http://schemas.microsoft.com/office/drawing/2014/chart" uri="{C3380CC4-5D6E-409C-BE32-E72D297353CC}">
              <c16:uniqueId val="{00000001-677D-42B7-9AA9-0AE10B443E7A}"/>
            </c:ext>
          </c:extLst>
        </c:ser>
        <c:ser>
          <c:idx val="1"/>
          <c:order val="2"/>
          <c:tx>
            <c:strRef>
              <c:f>'TABLA ESFA 2025'!$A$53:$D$53</c:f>
              <c:strCache>
                <c:ptCount val="4"/>
                <c:pt idx="0">
                  <c:v>Patrimonio</c:v>
                </c:pt>
              </c:strCache>
            </c:strRef>
          </c:tx>
          <c:invertIfNegative val="0"/>
          <c:cat>
            <c:numRef>
              <c:f>'TABLA ESFA 2025'!$E$50:$M$50</c:f>
              <c:numCache>
                <c:formatCode>mmm\-yy</c:formatCode>
                <c:ptCount val="4"/>
                <c:pt idx="1">
                  <c:v>45839</c:v>
                </c:pt>
                <c:pt idx="3">
                  <c:v>45870</c:v>
                </c:pt>
              </c:numCache>
            </c:numRef>
          </c:cat>
          <c:val>
            <c:numRef>
              <c:f>'TABLA ESFA 2025'!$E$53:$M$53</c:f>
              <c:numCache>
                <c:formatCode>#,##0</c:formatCode>
                <c:ptCount val="4"/>
                <c:pt idx="1">
                  <c:v>22453805.989999995</c:v>
                </c:pt>
                <c:pt idx="3">
                  <c:v>22705710.089999992</c:v>
                </c:pt>
              </c:numCache>
            </c:numRef>
          </c:val>
          <c:extLst>
            <c:ext xmlns:c16="http://schemas.microsoft.com/office/drawing/2014/chart" uri="{C3380CC4-5D6E-409C-BE32-E72D297353CC}">
              <c16:uniqueId val="{00000002-677D-42B7-9AA9-0AE10B443E7A}"/>
            </c:ext>
          </c:extLst>
        </c:ser>
        <c:dLbls>
          <c:showLegendKey val="0"/>
          <c:showVal val="0"/>
          <c:showCatName val="0"/>
          <c:showSerName val="0"/>
          <c:showPercent val="0"/>
          <c:showBubbleSize val="0"/>
        </c:dLbls>
        <c:gapWidth val="50"/>
        <c:axId val="1432886144"/>
        <c:axId val="1"/>
      </c:barChart>
      <c:dateAx>
        <c:axId val="1432886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6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Pasivos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mayo - junio 2025 </a:t>
            </a:r>
          </a:p>
        </c:rich>
      </c:tx>
      <c:layout>
        <c:manualLayout>
          <c:xMode val="edge"/>
          <c:yMode val="edge"/>
          <c:x val="0.52437416121554536"/>
          <c:y val="9.374524754326552E-2"/>
        </c:manualLayout>
      </c:layout>
      <c:overlay val="0"/>
      <c:spPr>
        <a:noFill/>
        <a:ln w="25400">
          <a:noFill/>
        </a:ln>
      </c:spPr>
    </c:title>
    <c:autoTitleDeleted val="0"/>
    <c:plotArea>
      <c:layout>
        <c:manualLayout>
          <c:layoutTarget val="inner"/>
          <c:xMode val="edge"/>
          <c:yMode val="edge"/>
          <c:x val="0.2252058599945567"/>
          <c:y val="4.806598383645317E-2"/>
          <c:w val="0.74857244751438257"/>
          <c:h val="0.53395342073006047"/>
        </c:manualLayout>
      </c:layout>
      <c:barChart>
        <c:barDir val="col"/>
        <c:grouping val="clustered"/>
        <c:varyColors val="0"/>
        <c:ser>
          <c:idx val="0"/>
          <c:order val="0"/>
          <c:tx>
            <c:strRef>
              <c:f>'ESFA JUN GRAF 2025'!$A$23</c:f>
              <c:strCache>
                <c:ptCount val="1"/>
                <c:pt idx="0">
                  <c:v> CXP  honorarios </c:v>
                </c:pt>
              </c:strCache>
            </c:strRef>
          </c:tx>
          <c:spPr>
            <a:solidFill>
              <a:schemeClr val="tx2">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2025'!$B$23:$I$23</c:f>
              <c:numCache>
                <c:formatCode>_(* #,##0_);_(* \(#,##0\);_(* "-"??_);_(@_)</c:formatCode>
                <c:ptCount val="3"/>
                <c:pt idx="0">
                  <c:v>534252</c:v>
                </c:pt>
                <c:pt idx="2">
                  <c:v>727051</c:v>
                </c:pt>
              </c:numCache>
            </c:numRef>
          </c:val>
          <c:extLst>
            <c:ext xmlns:c16="http://schemas.microsoft.com/office/drawing/2014/chart" uri="{C3380CC4-5D6E-409C-BE32-E72D297353CC}">
              <c16:uniqueId val="{00000000-434A-45F0-A731-CD1668E52C2D}"/>
            </c:ext>
          </c:extLst>
        </c:ser>
        <c:ser>
          <c:idx val="1"/>
          <c:order val="1"/>
          <c:tx>
            <c:strRef>
              <c:f>'ESFA JUN GRAF 2025'!$A$24</c:f>
              <c:strCache>
                <c:ptCount val="1"/>
              </c:strCache>
            </c:strRef>
          </c:tx>
          <c:spPr>
            <a:solidFill>
              <a:srgbClr val="C0504D"/>
            </a:solidFill>
            <a:ln w="25400">
              <a:noFill/>
            </a:ln>
          </c:spPr>
          <c:invertIfNegative val="0"/>
          <c:cat>
            <c:strRef>
              <c:f>'ESFA JUN GRAF 2025'!$B$22:$I$22</c:f>
              <c:strCache>
                <c:ptCount val="3"/>
                <c:pt idx="0">
                  <c:v> Mayo </c:v>
                </c:pt>
                <c:pt idx="2">
                  <c:v> Junio </c:v>
                </c:pt>
              </c:strCache>
            </c:strRef>
          </c:cat>
          <c:val>
            <c:numRef>
              <c:f>'ESFA JUN GRAF 2025'!$B$24:$I$24</c:f>
            </c:numRef>
          </c:val>
          <c:extLst>
            <c:ext xmlns:c16="http://schemas.microsoft.com/office/drawing/2014/chart" uri="{C3380CC4-5D6E-409C-BE32-E72D297353CC}">
              <c16:uniqueId val="{00000001-434A-45F0-A731-CD1668E52C2D}"/>
            </c:ext>
          </c:extLst>
        </c:ser>
        <c:ser>
          <c:idx val="2"/>
          <c:order val="2"/>
          <c:tx>
            <c:strRef>
              <c:f>'ESFA JUN GRAF 2025'!$A$25</c:f>
              <c:strCache>
                <c:ptCount val="1"/>
                <c:pt idx="0">
                  <c:v>CXP </c:v>
                </c:pt>
              </c:strCache>
            </c:strRef>
          </c:tx>
          <c:spPr>
            <a:solidFill>
              <a:schemeClr val="accent6">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2025'!$B$25:$I$25</c:f>
            </c:numRef>
          </c:val>
          <c:extLst>
            <c:ext xmlns:c16="http://schemas.microsoft.com/office/drawing/2014/chart" uri="{C3380CC4-5D6E-409C-BE32-E72D297353CC}">
              <c16:uniqueId val="{00000002-434A-45F0-A731-CD1668E52C2D}"/>
            </c:ext>
          </c:extLst>
        </c:ser>
        <c:ser>
          <c:idx val="3"/>
          <c:order val="3"/>
          <c:tx>
            <c:strRef>
              <c:f>'ESFA JUN GRAF 2025'!$A$26</c:f>
              <c:strCache>
                <c:ptCount val="1"/>
              </c:strCache>
            </c:strRef>
          </c:tx>
          <c:spPr>
            <a:solidFill>
              <a:srgbClr val="8064A2"/>
            </a:solidFill>
            <a:ln w="25400">
              <a:noFill/>
            </a:ln>
          </c:spPr>
          <c:invertIfNegative val="0"/>
          <c:cat>
            <c:strRef>
              <c:f>'ESFA JUN GRAF 2025'!$B$22:$I$22</c:f>
              <c:strCache>
                <c:ptCount val="3"/>
                <c:pt idx="0">
                  <c:v> Mayo </c:v>
                </c:pt>
                <c:pt idx="2">
                  <c:v> Junio </c:v>
                </c:pt>
              </c:strCache>
            </c:strRef>
          </c:cat>
          <c:val>
            <c:numRef>
              <c:f>'ESFA JUN GRAF 2025'!$B$26:$I$26</c:f>
            </c:numRef>
          </c:val>
          <c:extLst>
            <c:ext xmlns:c16="http://schemas.microsoft.com/office/drawing/2014/chart" uri="{C3380CC4-5D6E-409C-BE32-E72D297353CC}">
              <c16:uniqueId val="{00000003-434A-45F0-A731-CD1668E52C2D}"/>
            </c:ext>
          </c:extLst>
        </c:ser>
        <c:ser>
          <c:idx val="4"/>
          <c:order val="4"/>
          <c:tx>
            <c:strRef>
              <c:f>'ESFA JUN GRAF 2025'!$A$27</c:f>
              <c:strCache>
                <c:ptCount val="1"/>
                <c:pt idx="0">
                  <c:v>CXP Impuestos</c:v>
                </c:pt>
              </c:strCache>
            </c:strRef>
          </c:tx>
          <c:spPr>
            <a:solidFill>
              <a:srgbClr val="FF0000"/>
            </a:solidFill>
            <a:ln w="25400">
              <a:noFill/>
            </a:ln>
          </c:spPr>
          <c:invertIfNegative val="0"/>
          <c:cat>
            <c:strRef>
              <c:f>'ESFA JUN GRAF 2025'!$B$22:$I$22</c:f>
              <c:strCache>
                <c:ptCount val="3"/>
                <c:pt idx="0">
                  <c:v> Mayo </c:v>
                </c:pt>
                <c:pt idx="2">
                  <c:v> Junio </c:v>
                </c:pt>
              </c:strCache>
            </c:strRef>
          </c:cat>
          <c:val>
            <c:numRef>
              <c:f>'ESFA JUN GRAF 2025'!$B$27:$I$27</c:f>
              <c:numCache>
                <c:formatCode>_(* #,##0_);_(* \(#,##0\);_(* "-"??_);_(@_)</c:formatCode>
                <c:ptCount val="3"/>
                <c:pt idx="0">
                  <c:v>102902.06</c:v>
                </c:pt>
                <c:pt idx="2">
                  <c:v>62996.27</c:v>
                </c:pt>
              </c:numCache>
            </c:numRef>
          </c:val>
          <c:extLst>
            <c:ext xmlns:c16="http://schemas.microsoft.com/office/drawing/2014/chart" uri="{C3380CC4-5D6E-409C-BE32-E72D297353CC}">
              <c16:uniqueId val="{00000004-434A-45F0-A731-CD1668E52C2D}"/>
            </c:ext>
          </c:extLst>
        </c:ser>
        <c:ser>
          <c:idx val="5"/>
          <c:order val="5"/>
          <c:tx>
            <c:strRef>
              <c:f>'ESFA JUN GRAF 2025'!$A$28</c:f>
              <c:strCache>
                <c:ptCount val="1"/>
              </c:strCache>
            </c:strRef>
          </c:tx>
          <c:spPr>
            <a:solidFill>
              <a:srgbClr val="F79646"/>
            </a:solidFill>
            <a:ln w="25400">
              <a:noFill/>
            </a:ln>
          </c:spPr>
          <c:invertIfNegative val="0"/>
          <c:cat>
            <c:strRef>
              <c:f>'ESFA JUN GRAF 2025'!$B$22:$I$22</c:f>
              <c:strCache>
                <c:ptCount val="3"/>
                <c:pt idx="0">
                  <c:v> Mayo </c:v>
                </c:pt>
                <c:pt idx="2">
                  <c:v> Junio </c:v>
                </c:pt>
              </c:strCache>
            </c:strRef>
          </c:cat>
          <c:val>
            <c:numRef>
              <c:f>'ESFA JUN GRAF 2025'!$B$28:$I$28</c:f>
            </c:numRef>
          </c:val>
          <c:extLst>
            <c:ext xmlns:c16="http://schemas.microsoft.com/office/drawing/2014/chart" uri="{C3380CC4-5D6E-409C-BE32-E72D297353CC}">
              <c16:uniqueId val="{00000005-434A-45F0-A731-CD1668E52C2D}"/>
            </c:ext>
          </c:extLst>
        </c:ser>
        <c:ser>
          <c:idx val="6"/>
          <c:order val="6"/>
          <c:tx>
            <c:strRef>
              <c:f>'ESFA JUN GRAF 2025'!$A$29</c:f>
              <c:strCache>
                <c:ptCount val="1"/>
                <c:pt idx="0">
                  <c:v>Reclamación Seguro</c:v>
                </c:pt>
              </c:strCache>
            </c:strRef>
          </c:tx>
          <c:spPr>
            <a:solidFill>
              <a:schemeClr val="accent1">
                <a:lumMod val="60000"/>
              </a:schemeClr>
            </a:solidFill>
            <a:ln>
              <a:noFill/>
            </a:ln>
            <a:effectLst/>
          </c:spPr>
          <c:invertIfNegative val="0"/>
          <c:cat>
            <c:strRef>
              <c:f>'ESFA JUN GRAF 2025'!$B$22:$I$22</c:f>
              <c:strCache>
                <c:ptCount val="3"/>
                <c:pt idx="0">
                  <c:v> Mayo </c:v>
                </c:pt>
                <c:pt idx="2">
                  <c:v> Junio </c:v>
                </c:pt>
              </c:strCache>
            </c:strRef>
          </c:cat>
          <c:val>
            <c:numRef>
              <c:f>'ESFA JUN GRAF 2025'!$B$29:$I$29</c:f>
            </c:numRef>
          </c:val>
          <c:extLst>
            <c:ext xmlns:c16="http://schemas.microsoft.com/office/drawing/2014/chart" uri="{C3380CC4-5D6E-409C-BE32-E72D297353CC}">
              <c16:uniqueId val="{00000006-434A-45F0-A731-CD1668E52C2D}"/>
            </c:ext>
          </c:extLst>
        </c:ser>
        <c:ser>
          <c:idx val="7"/>
          <c:order val="7"/>
          <c:tx>
            <c:strRef>
              <c:f>'ESFA JUN GRAF 2025'!$A$30</c:f>
              <c:strCache>
                <c:ptCount val="1"/>
              </c:strCache>
            </c:strRef>
          </c:tx>
          <c:spPr>
            <a:solidFill>
              <a:schemeClr val="accent2">
                <a:lumMod val="60000"/>
              </a:schemeClr>
            </a:solidFill>
            <a:ln>
              <a:noFill/>
            </a:ln>
            <a:effectLst/>
          </c:spPr>
          <c:invertIfNegative val="0"/>
          <c:cat>
            <c:strRef>
              <c:f>'ESFA JUN GRAF 2025'!$B$22:$I$22</c:f>
              <c:strCache>
                <c:ptCount val="3"/>
                <c:pt idx="0">
                  <c:v> Mayo </c:v>
                </c:pt>
                <c:pt idx="2">
                  <c:v> Junio </c:v>
                </c:pt>
              </c:strCache>
            </c:strRef>
          </c:cat>
          <c:val>
            <c:numRef>
              <c:f>'ESFA JUN GRAF 2025'!$B$30:$I$30</c:f>
            </c:numRef>
          </c:val>
          <c:extLst>
            <c:ext xmlns:c16="http://schemas.microsoft.com/office/drawing/2014/chart" uri="{C3380CC4-5D6E-409C-BE32-E72D297353CC}">
              <c16:uniqueId val="{00000007-434A-45F0-A731-CD1668E52C2D}"/>
            </c:ext>
          </c:extLst>
        </c:ser>
        <c:ser>
          <c:idx val="8"/>
          <c:order val="8"/>
          <c:tx>
            <c:strRef>
              <c:f>'ESFA JUN GRAF 2025'!$A$31</c:f>
              <c:strCache>
                <c:ptCount val="1"/>
                <c:pt idx="0">
                  <c:v>Cuotas extras 2023</c:v>
                </c:pt>
              </c:strCache>
            </c:strRef>
          </c:tx>
          <c:spPr>
            <a:solidFill>
              <a:srgbClr val="92D050"/>
            </a:solidFill>
            <a:ln w="25400">
              <a:noFill/>
            </a:ln>
          </c:spPr>
          <c:invertIfNegative val="0"/>
          <c:cat>
            <c:strRef>
              <c:f>'ESFA JUN GRAF 2025'!$B$22:$I$22</c:f>
              <c:strCache>
                <c:ptCount val="3"/>
                <c:pt idx="0">
                  <c:v> Mayo </c:v>
                </c:pt>
                <c:pt idx="2">
                  <c:v> Junio </c:v>
                </c:pt>
              </c:strCache>
            </c:strRef>
          </c:cat>
          <c:val>
            <c:numRef>
              <c:f>'ESFA JUN GRAF 2025'!$B$31:$I$31</c:f>
            </c:numRef>
          </c:val>
          <c:extLst>
            <c:ext xmlns:c16="http://schemas.microsoft.com/office/drawing/2014/chart" uri="{C3380CC4-5D6E-409C-BE32-E72D297353CC}">
              <c16:uniqueId val="{00000008-434A-45F0-A731-CD1668E52C2D}"/>
            </c:ext>
          </c:extLst>
        </c:ser>
        <c:ser>
          <c:idx val="9"/>
          <c:order val="9"/>
          <c:tx>
            <c:strRef>
              <c:f>'ESFA JUN GRAF 2025'!$A$32</c:f>
              <c:strCache>
                <c:ptCount val="1"/>
              </c:strCache>
            </c:strRef>
          </c:tx>
          <c:spPr>
            <a:solidFill>
              <a:schemeClr val="accent4">
                <a:lumMod val="60000"/>
              </a:schemeClr>
            </a:solidFill>
            <a:ln>
              <a:noFill/>
            </a:ln>
            <a:effectLst/>
          </c:spPr>
          <c:invertIfNegative val="0"/>
          <c:cat>
            <c:strRef>
              <c:f>'ESFA JUN GRAF 2025'!$B$22:$I$22</c:f>
              <c:strCache>
                <c:ptCount val="3"/>
                <c:pt idx="0">
                  <c:v> Mayo </c:v>
                </c:pt>
                <c:pt idx="2">
                  <c:v> Junio </c:v>
                </c:pt>
              </c:strCache>
            </c:strRef>
          </c:cat>
          <c:val>
            <c:numRef>
              <c:f>'ESFA JUN GRAF 2025'!$B$32:$I$32</c:f>
            </c:numRef>
          </c:val>
          <c:extLst>
            <c:ext xmlns:c16="http://schemas.microsoft.com/office/drawing/2014/chart" uri="{C3380CC4-5D6E-409C-BE32-E72D297353CC}">
              <c16:uniqueId val="{00000009-434A-45F0-A731-CD1668E52C2D}"/>
            </c:ext>
          </c:extLst>
        </c:ser>
        <c:ser>
          <c:idx val="10"/>
          <c:order val="10"/>
          <c:tx>
            <c:strRef>
              <c:f>'ESFA JUN GRAF 2025'!$A$33</c:f>
              <c:strCache>
                <c:ptCount val="1"/>
                <c:pt idx="0">
                  <c:v>Saldo Inversión vigilancia</c:v>
                </c:pt>
              </c:strCache>
            </c:strRef>
          </c:tx>
          <c:spPr>
            <a:solidFill>
              <a:schemeClr val="accent3">
                <a:lumMod val="75000"/>
              </a:schemeClr>
            </a:solidFill>
            <a:ln>
              <a:noFill/>
            </a:ln>
            <a:effectLst/>
          </c:spPr>
          <c:invertIfNegative val="0"/>
          <c:cat>
            <c:strRef>
              <c:f>'ESFA JUN GRAF 2025'!$B$22:$I$22</c:f>
              <c:strCache>
                <c:ptCount val="3"/>
                <c:pt idx="0">
                  <c:v> Mayo </c:v>
                </c:pt>
                <c:pt idx="2">
                  <c:v> Junio </c:v>
                </c:pt>
              </c:strCache>
            </c:strRef>
          </c:cat>
          <c:val>
            <c:numRef>
              <c:f>'ESFA JUN GRAF 2025'!$B$33:$I$33</c:f>
            </c:numRef>
          </c:val>
          <c:extLst>
            <c:ext xmlns:c16="http://schemas.microsoft.com/office/drawing/2014/chart" uri="{C3380CC4-5D6E-409C-BE32-E72D297353CC}">
              <c16:uniqueId val="{0000000A-434A-45F0-A731-CD1668E52C2D}"/>
            </c:ext>
          </c:extLst>
        </c:ser>
        <c:ser>
          <c:idx val="11"/>
          <c:order val="11"/>
          <c:tx>
            <c:strRef>
              <c:f>'ESFA JUN GRAF 2025'!$A$34</c:f>
              <c:strCache>
                <c:ptCount val="1"/>
              </c:strCache>
            </c:strRef>
          </c:tx>
          <c:invertIfNegative val="0"/>
          <c:cat>
            <c:strRef>
              <c:f>'ESFA JUN GRAF 2025'!$B$22:$I$22</c:f>
              <c:strCache>
                <c:ptCount val="3"/>
                <c:pt idx="0">
                  <c:v> Mayo </c:v>
                </c:pt>
                <c:pt idx="2">
                  <c:v> Junio </c:v>
                </c:pt>
              </c:strCache>
            </c:strRef>
          </c:cat>
          <c:val>
            <c:numRef>
              <c:f>'ESFA JUN GRAF 2025'!$B$34:$I$34</c:f>
            </c:numRef>
          </c:val>
          <c:extLst>
            <c:ext xmlns:c16="http://schemas.microsoft.com/office/drawing/2014/chart" uri="{C3380CC4-5D6E-409C-BE32-E72D297353CC}">
              <c16:uniqueId val="{0000000B-434A-45F0-A731-CD1668E52C2D}"/>
            </c:ext>
          </c:extLst>
        </c:ser>
        <c:ser>
          <c:idx val="12"/>
          <c:order val="12"/>
          <c:tx>
            <c:strRef>
              <c:f>'ESFA JUN GRAF 2025'!$A$35</c:f>
              <c:strCache>
                <c:ptCount val="1"/>
                <c:pt idx="0">
                  <c:v>Cuota extra 2024</c:v>
                </c:pt>
              </c:strCache>
            </c:strRef>
          </c:tx>
          <c:spPr>
            <a:solidFill>
              <a:srgbClr val="FF0000"/>
            </a:solidFill>
          </c:spPr>
          <c:invertIfNegative val="0"/>
          <c:cat>
            <c:strRef>
              <c:f>'ESFA JUN GRAF 2025'!$B$22:$I$22</c:f>
              <c:strCache>
                <c:ptCount val="3"/>
                <c:pt idx="0">
                  <c:v> Mayo </c:v>
                </c:pt>
                <c:pt idx="2">
                  <c:v> Junio </c:v>
                </c:pt>
              </c:strCache>
            </c:strRef>
          </c:cat>
          <c:val>
            <c:numRef>
              <c:f>'ESFA JUN GRAF 2025'!$B$35:$I$35</c:f>
              <c:numCache>
                <c:formatCode>_(* #,##0_);_(* \(#,##0\);_(* "-"??_);_(@_)</c:formatCode>
                <c:ptCount val="3"/>
                <c:pt idx="0">
                  <c:v>45463372.880000003</c:v>
                </c:pt>
                <c:pt idx="2">
                  <c:v>44870844.759999998</c:v>
                </c:pt>
              </c:numCache>
            </c:numRef>
          </c:val>
          <c:extLst>
            <c:ext xmlns:c16="http://schemas.microsoft.com/office/drawing/2014/chart" uri="{C3380CC4-5D6E-409C-BE32-E72D297353CC}">
              <c16:uniqueId val="{0000000C-434A-45F0-A731-CD1668E52C2D}"/>
            </c:ext>
          </c:extLst>
        </c:ser>
        <c:ser>
          <c:idx val="13"/>
          <c:order val="13"/>
          <c:tx>
            <c:strRef>
              <c:f>'ESFA JUN GRAF 2025'!$A$36</c:f>
              <c:strCache>
                <c:ptCount val="1"/>
                <c:pt idx="0">
                  <c:v>Cuota extra 2025</c:v>
                </c:pt>
              </c:strCache>
            </c:strRef>
          </c:tx>
          <c:spPr>
            <a:solidFill>
              <a:schemeClr val="accent3">
                <a:lumMod val="60000"/>
                <a:lumOff val="40000"/>
              </a:schemeClr>
            </a:solidFill>
          </c:spPr>
          <c:invertIfNegative val="0"/>
          <c:cat>
            <c:strRef>
              <c:f>'ESFA JUN GRAF 2025'!$B$22:$I$22</c:f>
              <c:strCache>
                <c:ptCount val="3"/>
                <c:pt idx="0">
                  <c:v> Mayo </c:v>
                </c:pt>
                <c:pt idx="2">
                  <c:v> Junio </c:v>
                </c:pt>
              </c:strCache>
            </c:strRef>
          </c:cat>
          <c:val>
            <c:numRef>
              <c:f>'ESFA JUN GRAF 2025'!$B$36:$I$36</c:f>
              <c:numCache>
                <c:formatCode>_(* #,##0_);_(* \(#,##0\);_(* "-"??_);_(@_)</c:formatCode>
                <c:ptCount val="3"/>
                <c:pt idx="0">
                  <c:v>7500003</c:v>
                </c:pt>
                <c:pt idx="2">
                  <c:v>7500003</c:v>
                </c:pt>
              </c:numCache>
            </c:numRef>
          </c:val>
          <c:extLst>
            <c:ext xmlns:c16="http://schemas.microsoft.com/office/drawing/2014/chart" uri="{C3380CC4-5D6E-409C-BE32-E72D297353CC}">
              <c16:uniqueId val="{0000000D-434A-45F0-A731-CD1668E52C2D}"/>
            </c:ext>
          </c:extLst>
        </c:ser>
        <c:dLbls>
          <c:showLegendKey val="0"/>
          <c:showVal val="0"/>
          <c:showCatName val="0"/>
          <c:showSerName val="0"/>
          <c:showPercent val="0"/>
          <c:showBubbleSize val="0"/>
        </c:dLbls>
        <c:gapWidth val="50"/>
        <c:axId val="1432899104"/>
        <c:axId val="1"/>
      </c:barChart>
      <c:catAx>
        <c:axId val="143289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99104"/>
        <c:crosses val="autoZero"/>
        <c:crossBetween val="between"/>
      </c:valAx>
      <c:dTable>
        <c:showHorzBorder val="1"/>
        <c:showVertBorder val="1"/>
        <c:showOutline val="1"/>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900" b="1"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abril - mayo 2025 </a:t>
            </a:r>
          </a:p>
        </c:rich>
      </c:tx>
      <c:layout>
        <c:manualLayout>
          <c:xMode val="edge"/>
          <c:yMode val="edge"/>
          <c:x val="0.52065099389458036"/>
          <c:y val="5.2910052910052907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MAY GRAF'!$A$41</c:f>
              <c:strCache>
                <c:ptCount val="1"/>
                <c:pt idx="0">
                  <c:v>Reserva de ley 675 2001</c:v>
                </c:pt>
              </c:strCache>
            </c:strRef>
          </c:tx>
          <c:spPr>
            <a:solidFill>
              <a:srgbClr val="FFC000"/>
            </a:solidFill>
            <a:ln w="25400">
              <a:solidFill>
                <a:srgbClr val="FFC000"/>
              </a:solidFill>
            </a:ln>
          </c:spPr>
          <c:invertIfNegative val="0"/>
          <c:cat>
            <c:strRef>
              <c:f>'ESFA MAY GRAF'!$B$40:$G$40</c:f>
              <c:strCache>
                <c:ptCount val="3"/>
                <c:pt idx="0">
                  <c:v> Abril </c:v>
                </c:pt>
                <c:pt idx="2">
                  <c:v> Mayo </c:v>
                </c:pt>
              </c:strCache>
            </c:strRef>
          </c:cat>
          <c:val>
            <c:numRef>
              <c:f>'ESFA MAY GRAF'!$B$41:$G$41</c:f>
              <c:numCache>
                <c:formatCode>_(* #,##0_);_(* \(#,##0\);_(* "-"??_);_(@_)</c:formatCode>
                <c:ptCount val="3"/>
                <c:pt idx="0">
                  <c:v>9476606.8800000008</c:v>
                </c:pt>
                <c:pt idx="2">
                  <c:v>9773964.8800000008</c:v>
                </c:pt>
              </c:numCache>
            </c:numRef>
          </c:val>
          <c:extLst>
            <c:ext xmlns:c16="http://schemas.microsoft.com/office/drawing/2014/chart" uri="{C3380CC4-5D6E-409C-BE32-E72D297353CC}">
              <c16:uniqueId val="{00000000-6E45-4134-AF64-C1D796DEE4DF}"/>
            </c:ext>
          </c:extLst>
        </c:ser>
        <c:ser>
          <c:idx val="14"/>
          <c:order val="1"/>
          <c:tx>
            <c:strRef>
              <c:f>'ESFA MAY GRAF'!$A$42</c:f>
              <c:strCache>
                <c:ptCount val="1"/>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GRAF'!$B$42:$G$42</c:f>
            </c:numRef>
          </c:val>
          <c:extLst>
            <c:ext xmlns:c16="http://schemas.microsoft.com/office/drawing/2014/chart" uri="{C3380CC4-5D6E-409C-BE32-E72D297353CC}">
              <c16:uniqueId val="{00000001-6E45-4134-AF64-C1D796DEE4DF}"/>
            </c:ext>
          </c:extLst>
        </c:ser>
        <c:ser>
          <c:idx val="15"/>
          <c:order val="2"/>
          <c:tx>
            <c:strRef>
              <c:f>'ESFA MAY GRAF'!$A$43</c:f>
              <c:strCache>
                <c:ptCount val="1"/>
                <c:pt idx="0">
                  <c:v>Resultados del presente ejercicio</c:v>
                </c:pt>
              </c:strCache>
            </c:strRef>
          </c:tx>
          <c:spPr>
            <a:solidFill>
              <a:srgbClr val="92D050"/>
            </a:solidFill>
            <a:ln w="25400">
              <a:noFill/>
            </a:ln>
          </c:spPr>
          <c:invertIfNegative val="0"/>
          <c:cat>
            <c:strRef>
              <c:f>'ESFA MAY GRAF'!$B$40:$G$40</c:f>
              <c:strCache>
                <c:ptCount val="3"/>
                <c:pt idx="0">
                  <c:v> Abril </c:v>
                </c:pt>
                <c:pt idx="2">
                  <c:v> Mayo </c:v>
                </c:pt>
              </c:strCache>
            </c:strRef>
          </c:cat>
          <c:val>
            <c:numRef>
              <c:f>'ESFA MAY GRAF'!$B$43:$G$43</c:f>
              <c:numCache>
                <c:formatCode>_(* #,##0_);_(* \(#,##0\);_(* "-"??_);_(@_)</c:formatCode>
                <c:ptCount val="3"/>
                <c:pt idx="0">
                  <c:v>6876070.4199999999</c:v>
                </c:pt>
                <c:pt idx="2">
                  <c:v>7171827.1300000064</c:v>
                </c:pt>
              </c:numCache>
            </c:numRef>
          </c:val>
          <c:extLst>
            <c:ext xmlns:c16="http://schemas.microsoft.com/office/drawing/2014/chart" uri="{C3380CC4-5D6E-409C-BE32-E72D297353CC}">
              <c16:uniqueId val="{00000002-6E45-4134-AF64-C1D796DEE4DF}"/>
            </c:ext>
          </c:extLst>
        </c:ser>
        <c:ser>
          <c:idx val="16"/>
          <c:order val="3"/>
          <c:tx>
            <c:strRef>
              <c:f>'ESFA MAY GRAF'!$A$44</c:f>
              <c:strCache>
                <c:ptCount val="1"/>
              </c:strCache>
            </c:strRef>
          </c:tx>
          <c:spPr>
            <a:solidFill>
              <a:srgbClr val="8064A2"/>
            </a:solidFill>
            <a:ln w="25400">
              <a:noFill/>
            </a:ln>
          </c:spPr>
          <c:invertIfNegative val="0"/>
          <c:cat>
            <c:strRef>
              <c:f>'ESFA MAY GRAF'!$B$40:$G$40</c:f>
              <c:strCache>
                <c:ptCount val="3"/>
                <c:pt idx="0">
                  <c:v> Abril </c:v>
                </c:pt>
                <c:pt idx="2">
                  <c:v> Mayo </c:v>
                </c:pt>
              </c:strCache>
            </c:strRef>
          </c:cat>
          <c:val>
            <c:numRef>
              <c:f>'ESFA MAY GRAF'!$B$44:$G$44</c:f>
            </c:numRef>
          </c:val>
          <c:extLst>
            <c:ext xmlns:c16="http://schemas.microsoft.com/office/drawing/2014/chart" uri="{C3380CC4-5D6E-409C-BE32-E72D297353CC}">
              <c16:uniqueId val="{00000003-6E45-4134-AF64-C1D796DEE4DF}"/>
            </c:ext>
          </c:extLst>
        </c:ser>
        <c:ser>
          <c:idx val="17"/>
          <c:order val="4"/>
          <c:tx>
            <c:strRef>
              <c:f>'ESFA MAY GRAF'!$A$45</c:f>
              <c:strCache>
                <c:ptCount val="1"/>
                <c:pt idx="0">
                  <c:v>Excedente- reconocimiento talud</c:v>
                </c:pt>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GRAF'!$B$45:$G$45</c:f>
              <c:numCache>
                <c:formatCode>_(* #,##0_);_(* \(#,##0\);_(* "-"??_);_(@_)</c:formatCode>
                <c:ptCount val="3"/>
                <c:pt idx="0">
                  <c:v>0</c:v>
                </c:pt>
                <c:pt idx="2">
                  <c:v>248452.74</c:v>
                </c:pt>
              </c:numCache>
            </c:numRef>
          </c:val>
          <c:extLst>
            <c:ext xmlns:c16="http://schemas.microsoft.com/office/drawing/2014/chart" uri="{C3380CC4-5D6E-409C-BE32-E72D297353CC}">
              <c16:uniqueId val="{00000004-6E45-4134-AF64-C1D796DEE4DF}"/>
            </c:ext>
          </c:extLst>
        </c:ser>
        <c:dLbls>
          <c:showLegendKey val="0"/>
          <c:showVal val="0"/>
          <c:showCatName val="0"/>
          <c:showSerName val="0"/>
          <c:showPercent val="0"/>
          <c:showBubbleSize val="0"/>
        </c:dLbls>
        <c:gapWidth val="50"/>
        <c:axId val="1432901984"/>
        <c:axId val="1"/>
      </c:barChart>
      <c:catAx>
        <c:axId val="143290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01984"/>
        <c:crosses val="autoZero"/>
        <c:crossBetween val="between"/>
      </c:valAx>
      <c:dTable>
        <c:showHorzBorder val="1"/>
        <c:showVertBorder val="1"/>
        <c:showOutline val="1"/>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Indicador de liquidez</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'TABLA ESFA 2025'!$A$56</c:f>
              <c:strCache>
                <c:ptCount val="1"/>
                <c:pt idx="0">
                  <c:v>Activo cte</c:v>
                </c:pt>
              </c:strCache>
            </c:strRef>
          </c:tx>
          <c:spPr>
            <a:solidFill>
              <a:schemeClr val="accent1"/>
            </a:solidFill>
            <a:ln>
              <a:noFill/>
            </a:ln>
            <a:effectLst/>
          </c:spPr>
          <c:invertIfNegative val="0"/>
          <c:cat>
            <c:numRef>
              <c:f>'TABLA ESFA 2025'!$B$55:$M$55</c:f>
              <c:numCache>
                <c:formatCode>mmm\-yy</c:formatCode>
                <c:ptCount val="4"/>
                <c:pt idx="1">
                  <c:v>45839</c:v>
                </c:pt>
                <c:pt idx="3">
                  <c:v>45870</c:v>
                </c:pt>
              </c:numCache>
            </c:numRef>
          </c:cat>
          <c:val>
            <c:numRef>
              <c:f>'TABLA ESFA 2025'!$B$56:$M$56</c:f>
              <c:numCache>
                <c:formatCode>_(* #,##0_);_(* \(#,##0\);_(* "-"??_);_(@_)</c:formatCode>
                <c:ptCount val="4"/>
                <c:pt idx="1">
                  <c:v>84326483.810000002</c:v>
                </c:pt>
                <c:pt idx="3" formatCode="#,##0">
                  <c:v>91939379.909999996</c:v>
                </c:pt>
              </c:numCache>
            </c:numRef>
          </c:val>
          <c:extLst>
            <c:ext xmlns:c16="http://schemas.microsoft.com/office/drawing/2014/chart" uri="{C3380CC4-5D6E-409C-BE32-E72D297353CC}">
              <c16:uniqueId val="{00000000-FDE4-4169-B3C1-83AB08F26567}"/>
            </c:ext>
          </c:extLst>
        </c:ser>
        <c:ser>
          <c:idx val="1"/>
          <c:order val="1"/>
          <c:tx>
            <c:strRef>
              <c:f>'TABLA ESFA 2025'!$A$57</c:f>
              <c:strCache>
                <c:ptCount val="1"/>
                <c:pt idx="0">
                  <c:v>Pasivo cte</c:v>
                </c:pt>
              </c:strCache>
            </c:strRef>
          </c:tx>
          <c:spPr>
            <a:solidFill>
              <a:schemeClr val="accent2"/>
            </a:solidFill>
            <a:ln>
              <a:noFill/>
            </a:ln>
            <a:effectLst/>
          </c:spPr>
          <c:invertIfNegative val="0"/>
          <c:cat>
            <c:numRef>
              <c:f>'TABLA ESFA 2025'!$B$55:$M$55</c:f>
              <c:numCache>
                <c:formatCode>mmm\-yy</c:formatCode>
                <c:ptCount val="4"/>
                <c:pt idx="1">
                  <c:v>45839</c:v>
                </c:pt>
                <c:pt idx="3">
                  <c:v>45870</c:v>
                </c:pt>
              </c:numCache>
            </c:numRef>
          </c:cat>
          <c:val>
            <c:numRef>
              <c:f>'TABLA ESFA 2025'!$B$57:$M$57</c:f>
              <c:numCache>
                <c:formatCode>_(* #,##0_);_(* \(#,##0\);_(* "-"??_);_(@_)</c:formatCode>
                <c:ptCount val="4"/>
                <c:pt idx="1">
                  <c:v>61872677.82</c:v>
                </c:pt>
                <c:pt idx="3" formatCode="#,##0">
                  <c:v>69233669.819999993</c:v>
                </c:pt>
              </c:numCache>
            </c:numRef>
          </c:val>
          <c:extLst>
            <c:ext xmlns:c16="http://schemas.microsoft.com/office/drawing/2014/chart" uri="{C3380CC4-5D6E-409C-BE32-E72D297353CC}">
              <c16:uniqueId val="{00000001-FDE4-4169-B3C1-83AB08F26567}"/>
            </c:ext>
          </c:extLst>
        </c:ser>
        <c:dLbls>
          <c:showLegendKey val="0"/>
          <c:showVal val="0"/>
          <c:showCatName val="0"/>
          <c:showSerName val="0"/>
          <c:showPercent val="0"/>
          <c:showBubbleSize val="0"/>
        </c:dLbls>
        <c:gapWidth val="75"/>
        <c:overlap val="-25"/>
        <c:axId val="1642329024"/>
        <c:axId val="1642329504"/>
      </c:barChart>
      <c:lineChart>
        <c:grouping val="standard"/>
        <c:varyColors val="0"/>
        <c:ser>
          <c:idx val="2"/>
          <c:order val="2"/>
          <c:tx>
            <c:strRef>
              <c:f>'TABLA ESFA 2025'!$A$58</c:f>
              <c:strCache>
                <c:ptCount val="1"/>
                <c:pt idx="0">
                  <c:v>Indice de liquidez</c:v>
                </c:pt>
              </c:strCache>
            </c:strRef>
          </c:tx>
          <c:spPr>
            <a:ln w="28575" cap="rnd">
              <a:solidFill>
                <a:schemeClr val="accent3"/>
              </a:solidFill>
              <a:round/>
            </a:ln>
            <a:effectLst/>
          </c:spPr>
          <c:marker>
            <c:symbol val="none"/>
          </c:marker>
          <c:cat>
            <c:numRef>
              <c:f>'TABLA ESFA 2025'!$B$55:$M$55</c:f>
              <c:numCache>
                <c:formatCode>mmm\-yy</c:formatCode>
                <c:ptCount val="4"/>
                <c:pt idx="1">
                  <c:v>45839</c:v>
                </c:pt>
                <c:pt idx="3">
                  <c:v>45870</c:v>
                </c:pt>
              </c:numCache>
            </c:numRef>
          </c:cat>
          <c:val>
            <c:numRef>
              <c:f>'TABLA ESFA 2025'!$B$58:$M$58</c:f>
              <c:numCache>
                <c:formatCode>#,##0.00</c:formatCode>
                <c:ptCount val="4"/>
                <c:pt idx="1">
                  <c:v>1.3629034136088729</c:v>
                </c:pt>
                <c:pt idx="3">
                  <c:v>1.3279576273947686</c:v>
                </c:pt>
              </c:numCache>
            </c:numRef>
          </c:val>
          <c:smooth val="0"/>
          <c:extLst>
            <c:ext xmlns:c16="http://schemas.microsoft.com/office/drawing/2014/chart" uri="{C3380CC4-5D6E-409C-BE32-E72D297353CC}">
              <c16:uniqueId val="{00000002-FDE4-4169-B3C1-83AB08F26567}"/>
            </c:ext>
          </c:extLst>
        </c:ser>
        <c:ser>
          <c:idx val="3"/>
          <c:order val="3"/>
          <c:tx>
            <c:strRef>
              <c:f>'TABLA ESFA 2025'!$A$59</c:f>
              <c:strCache>
                <c:ptCount val="1"/>
                <c:pt idx="0">
                  <c:v>Indice base</c:v>
                </c:pt>
              </c:strCache>
            </c:strRef>
          </c:tx>
          <c:spPr>
            <a:ln w="28575" cap="rnd">
              <a:solidFill>
                <a:schemeClr val="accent4"/>
              </a:solidFill>
              <a:round/>
            </a:ln>
            <a:effectLst/>
          </c:spPr>
          <c:marker>
            <c:symbol val="none"/>
          </c:marker>
          <c:cat>
            <c:numRef>
              <c:f>'TABLA ESFA 2025'!$B$55:$M$55</c:f>
              <c:numCache>
                <c:formatCode>mmm\-yy</c:formatCode>
                <c:ptCount val="4"/>
                <c:pt idx="1">
                  <c:v>45839</c:v>
                </c:pt>
                <c:pt idx="3">
                  <c:v>45870</c:v>
                </c:pt>
              </c:numCache>
            </c:numRef>
          </c:cat>
          <c:val>
            <c:numRef>
              <c:f>'TABLA ESFA 2025'!$B$59:$M$59</c:f>
              <c:numCache>
                <c:formatCode>General</c:formatCode>
                <c:ptCount val="4"/>
                <c:pt idx="1">
                  <c:v>1</c:v>
                </c:pt>
                <c:pt idx="3">
                  <c:v>1</c:v>
                </c:pt>
              </c:numCache>
            </c:numRef>
          </c:val>
          <c:smooth val="0"/>
          <c:extLst>
            <c:ext xmlns:c16="http://schemas.microsoft.com/office/drawing/2014/chart" uri="{C3380CC4-5D6E-409C-BE32-E72D297353CC}">
              <c16:uniqueId val="{00000003-FDE4-4169-B3C1-83AB08F26567}"/>
            </c:ext>
          </c:extLst>
        </c:ser>
        <c:dLbls>
          <c:showLegendKey val="0"/>
          <c:showVal val="0"/>
          <c:showCatName val="0"/>
          <c:showSerName val="0"/>
          <c:showPercent val="0"/>
          <c:showBubbleSize val="0"/>
        </c:dLbls>
        <c:marker val="1"/>
        <c:smooth val="0"/>
        <c:axId val="1547721856"/>
        <c:axId val="1547720416"/>
      </c:lineChart>
      <c:dateAx>
        <c:axId val="164232902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42329504"/>
        <c:crosses val="autoZero"/>
        <c:auto val="1"/>
        <c:lblOffset val="100"/>
        <c:baseTimeUnit val="months"/>
      </c:dateAx>
      <c:valAx>
        <c:axId val="164232950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42329024"/>
        <c:crosses val="autoZero"/>
        <c:crossBetween val="between"/>
      </c:valAx>
      <c:valAx>
        <c:axId val="154772041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47721856"/>
        <c:crosses val="max"/>
        <c:crossBetween val="between"/>
      </c:valAx>
      <c:dateAx>
        <c:axId val="1547721856"/>
        <c:scaling>
          <c:orientation val="minMax"/>
        </c:scaling>
        <c:delete val="1"/>
        <c:axPos val="b"/>
        <c:numFmt formatCode="mmm\-yy" sourceLinked="1"/>
        <c:majorTickMark val="out"/>
        <c:minorTickMark val="none"/>
        <c:tickLblPos val="nextTo"/>
        <c:crossAx val="1547720416"/>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Activos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mayo - junio 2025</a:t>
            </a:r>
          </a:p>
        </c:rich>
      </c:tx>
      <c:layout>
        <c:manualLayout>
          <c:xMode val="edge"/>
          <c:yMode val="edge"/>
          <c:x val="0.49768772348033374"/>
          <c:y val="8.9473684210526316E-2"/>
        </c:manualLayout>
      </c:layout>
      <c:overlay val="0"/>
      <c:spPr>
        <a:noFill/>
        <a:ln w="25400">
          <a:noFill/>
        </a:ln>
      </c:spPr>
    </c:title>
    <c:autoTitleDeleted val="0"/>
    <c:plotArea>
      <c:layout>
        <c:manualLayout>
          <c:layoutTarget val="inner"/>
          <c:xMode val="edge"/>
          <c:yMode val="edge"/>
          <c:x val="0.34160671215263766"/>
          <c:y val="8.526315789473686E-2"/>
          <c:w val="0.6583932878473624"/>
          <c:h val="0.47620389556568588"/>
        </c:manualLayout>
      </c:layout>
      <c:barChart>
        <c:barDir val="col"/>
        <c:grouping val="clustered"/>
        <c:varyColors val="0"/>
        <c:ser>
          <c:idx val="0"/>
          <c:order val="0"/>
          <c:tx>
            <c:strRef>
              <c:f>'ESFA JUN GRAF 2025'!$A$5</c:f>
              <c:strCache>
                <c:ptCount val="1"/>
                <c:pt idx="0">
                  <c:v> Efectivo y sus equivalentes </c:v>
                </c:pt>
              </c:strCache>
            </c:strRef>
          </c:tx>
          <c:spPr>
            <a:solidFill>
              <a:schemeClr val="accent3">
                <a:lumMod val="75000"/>
              </a:schemeClr>
            </a:solidFill>
            <a:ln>
              <a:noFill/>
            </a:ln>
            <a:effectLst/>
          </c:spPr>
          <c:invertIfNegative val="0"/>
          <c:cat>
            <c:strRef>
              <c:f>'ESFA JUN GRAF 2025'!$B$4:$I$4</c:f>
              <c:strCache>
                <c:ptCount val="3"/>
                <c:pt idx="0">
                  <c:v> Mayo </c:v>
                </c:pt>
                <c:pt idx="2">
                  <c:v> Junio </c:v>
                </c:pt>
              </c:strCache>
            </c:strRef>
          </c:cat>
          <c:val>
            <c:numRef>
              <c:f>'ESFA JUN GRAF 2025'!$B$5:$I$5</c:f>
              <c:numCache>
                <c:formatCode>_(* #,##0_);_(* \(#,##0\);_(* "-"??_);_(@_)</c:formatCode>
                <c:ptCount val="3"/>
                <c:pt idx="0">
                  <c:v>52872060.759999998</c:v>
                </c:pt>
                <c:pt idx="2">
                  <c:v>48166178.640000001</c:v>
                </c:pt>
              </c:numCache>
            </c:numRef>
          </c:val>
          <c:extLst>
            <c:ext xmlns:c16="http://schemas.microsoft.com/office/drawing/2014/chart" uri="{C3380CC4-5D6E-409C-BE32-E72D297353CC}">
              <c16:uniqueId val="{00000000-5E7E-41D6-852C-4F072489EB21}"/>
            </c:ext>
          </c:extLst>
        </c:ser>
        <c:ser>
          <c:idx val="1"/>
          <c:order val="1"/>
          <c:tx>
            <c:strRef>
              <c:f>'ESFA JUN GRAF 2025'!$A$6</c:f>
              <c:strCache>
                <c:ptCount val="1"/>
              </c:strCache>
            </c:strRef>
          </c:tx>
          <c:spPr>
            <a:solidFill>
              <a:srgbClr val="C0504D"/>
            </a:solidFill>
            <a:ln w="25400">
              <a:noFill/>
            </a:ln>
          </c:spPr>
          <c:invertIfNegative val="0"/>
          <c:cat>
            <c:strRef>
              <c:f>'ESFA JUN GRAF 2025'!$B$4:$I$4</c:f>
              <c:strCache>
                <c:ptCount val="3"/>
                <c:pt idx="0">
                  <c:v> Mayo </c:v>
                </c:pt>
                <c:pt idx="2">
                  <c:v> Junio </c:v>
                </c:pt>
              </c:strCache>
            </c:strRef>
          </c:cat>
          <c:val>
            <c:numRef>
              <c:f>'ESFA JUN GRAF 2025'!$B$6:$I$6</c:f>
            </c:numRef>
          </c:val>
          <c:extLst>
            <c:ext xmlns:c16="http://schemas.microsoft.com/office/drawing/2014/chart" uri="{C3380CC4-5D6E-409C-BE32-E72D297353CC}">
              <c16:uniqueId val="{00000001-5E7E-41D6-852C-4F072489EB21}"/>
            </c:ext>
          </c:extLst>
        </c:ser>
        <c:ser>
          <c:idx val="2"/>
          <c:order val="2"/>
          <c:tx>
            <c:strRef>
              <c:f>'ESFA JUN GRAF 2025'!$A$7</c:f>
              <c:strCache>
                <c:ptCount val="1"/>
                <c:pt idx="0">
                  <c:v> Fiducuenta Bancolombia </c:v>
                </c:pt>
              </c:strCache>
            </c:strRef>
          </c:tx>
          <c:spPr>
            <a:solidFill>
              <a:schemeClr val="bg1">
                <a:lumMod val="85000"/>
              </a:schemeClr>
            </a:solidFill>
            <a:ln>
              <a:noFill/>
            </a:ln>
            <a:effectLst/>
          </c:spPr>
          <c:invertIfNegative val="0"/>
          <c:cat>
            <c:strRef>
              <c:f>'ESFA JUN GRAF 2025'!$B$4:$I$4</c:f>
              <c:strCache>
                <c:ptCount val="3"/>
                <c:pt idx="0">
                  <c:v> Mayo </c:v>
                </c:pt>
                <c:pt idx="2">
                  <c:v> Junio </c:v>
                </c:pt>
              </c:strCache>
            </c:strRef>
          </c:cat>
          <c:val>
            <c:numRef>
              <c:f>'ESFA JUN GRAF 2025'!$B$7:$I$7</c:f>
              <c:numCache>
                <c:formatCode>_(* #,##0_);_(* \(#,##0\);_(* "-"??_);_(@_)</c:formatCode>
                <c:ptCount val="3"/>
                <c:pt idx="0">
                  <c:v>8658779.9299999997</c:v>
                </c:pt>
                <c:pt idx="2">
                  <c:v>10764303.619999999</c:v>
                </c:pt>
              </c:numCache>
            </c:numRef>
          </c:val>
          <c:extLst>
            <c:ext xmlns:c16="http://schemas.microsoft.com/office/drawing/2014/chart" uri="{C3380CC4-5D6E-409C-BE32-E72D297353CC}">
              <c16:uniqueId val="{00000002-5E7E-41D6-852C-4F072489EB21}"/>
            </c:ext>
          </c:extLst>
        </c:ser>
        <c:ser>
          <c:idx val="3"/>
          <c:order val="3"/>
          <c:tx>
            <c:strRef>
              <c:f>'ESFA JUN GRAF 2025'!$A$8</c:f>
              <c:strCache>
                <c:ptCount val="1"/>
              </c:strCache>
            </c:strRef>
          </c:tx>
          <c:spPr>
            <a:solidFill>
              <a:srgbClr val="8064A2"/>
            </a:solidFill>
            <a:ln w="25400">
              <a:noFill/>
            </a:ln>
          </c:spPr>
          <c:invertIfNegative val="0"/>
          <c:cat>
            <c:strRef>
              <c:f>'ESFA JUN GRAF 2025'!$B$4:$I$4</c:f>
              <c:strCache>
                <c:ptCount val="3"/>
                <c:pt idx="0">
                  <c:v> Mayo </c:v>
                </c:pt>
                <c:pt idx="2">
                  <c:v> Junio </c:v>
                </c:pt>
              </c:strCache>
            </c:strRef>
          </c:cat>
          <c:val>
            <c:numRef>
              <c:f>'ESFA JUN GRAF 2025'!$B$8:$I$8</c:f>
            </c:numRef>
          </c:val>
          <c:extLst>
            <c:ext xmlns:c16="http://schemas.microsoft.com/office/drawing/2014/chart" uri="{C3380CC4-5D6E-409C-BE32-E72D297353CC}">
              <c16:uniqueId val="{00000003-5E7E-41D6-852C-4F072489EB21}"/>
            </c:ext>
          </c:extLst>
        </c:ser>
        <c:ser>
          <c:idx val="4"/>
          <c:order val="4"/>
          <c:tx>
            <c:strRef>
              <c:f>'ESFA JUN GRAF 2025'!$A$9</c:f>
              <c:strCache>
                <c:ptCount val="1"/>
                <c:pt idx="0">
                  <c:v>CXC Administración</c:v>
                </c:pt>
              </c:strCache>
            </c:strRef>
          </c:tx>
          <c:spPr>
            <a:solidFill>
              <a:srgbClr val="4BACC6"/>
            </a:solidFill>
            <a:ln w="25400">
              <a:noFill/>
            </a:ln>
          </c:spPr>
          <c:invertIfNegative val="0"/>
          <c:cat>
            <c:strRef>
              <c:f>'ESFA JUN GRAF 2025'!$B$4:$I$4</c:f>
              <c:strCache>
                <c:ptCount val="3"/>
                <c:pt idx="0">
                  <c:v> Mayo </c:v>
                </c:pt>
                <c:pt idx="2">
                  <c:v> Junio </c:v>
                </c:pt>
              </c:strCache>
            </c:strRef>
          </c:cat>
          <c:val>
            <c:numRef>
              <c:f>'ESFA JUN GRAF 2025'!$B$9:$I$9</c:f>
              <c:numCache>
                <c:formatCode>_(* #,##0_);_(* \(#,##0\);_(* "-"??_);_(@_)</c:formatCode>
                <c:ptCount val="3"/>
                <c:pt idx="0">
                  <c:v>3942142</c:v>
                </c:pt>
                <c:pt idx="2">
                  <c:v>11341985</c:v>
                </c:pt>
              </c:numCache>
            </c:numRef>
          </c:val>
          <c:extLst>
            <c:ext xmlns:c16="http://schemas.microsoft.com/office/drawing/2014/chart" uri="{C3380CC4-5D6E-409C-BE32-E72D297353CC}">
              <c16:uniqueId val="{00000004-5E7E-41D6-852C-4F072489EB21}"/>
            </c:ext>
          </c:extLst>
        </c:ser>
        <c:ser>
          <c:idx val="5"/>
          <c:order val="5"/>
          <c:tx>
            <c:strRef>
              <c:f>'ESFA JUN GRAF 2025'!$A$10</c:f>
              <c:strCache>
                <c:ptCount val="1"/>
              </c:strCache>
            </c:strRef>
          </c:tx>
          <c:spPr>
            <a:solidFill>
              <a:srgbClr val="F79646"/>
            </a:solidFill>
            <a:ln w="25400">
              <a:noFill/>
            </a:ln>
          </c:spPr>
          <c:invertIfNegative val="0"/>
          <c:cat>
            <c:strRef>
              <c:f>'ESFA JUN GRAF 2025'!$B$4:$I$4</c:f>
              <c:strCache>
                <c:ptCount val="3"/>
                <c:pt idx="0">
                  <c:v> Mayo </c:v>
                </c:pt>
                <c:pt idx="2">
                  <c:v> Junio </c:v>
                </c:pt>
              </c:strCache>
            </c:strRef>
          </c:cat>
          <c:val>
            <c:numRef>
              <c:f>'ESFA JUN GRAF 2025'!$B$10:$I$10</c:f>
            </c:numRef>
          </c:val>
          <c:extLst>
            <c:ext xmlns:c16="http://schemas.microsoft.com/office/drawing/2014/chart" uri="{C3380CC4-5D6E-409C-BE32-E72D297353CC}">
              <c16:uniqueId val="{00000005-5E7E-41D6-852C-4F072489EB21}"/>
            </c:ext>
          </c:extLst>
        </c:ser>
        <c:ser>
          <c:idx val="6"/>
          <c:order val="6"/>
          <c:tx>
            <c:strRef>
              <c:f>'ESFA JUN GRAF 2025'!$A$11</c:f>
              <c:strCache>
                <c:ptCount val="1"/>
                <c:pt idx="0">
                  <c:v> Pagos sin identificar </c:v>
                </c:pt>
              </c:strCache>
            </c:strRef>
          </c:tx>
          <c:spPr>
            <a:solidFill>
              <a:srgbClr val="FF0000"/>
            </a:solidFill>
            <a:ln w="25400">
              <a:noFill/>
            </a:ln>
          </c:spPr>
          <c:invertIfNegative val="0"/>
          <c:cat>
            <c:strRef>
              <c:f>'ESFA JUN GRAF 2025'!$B$4:$I$4</c:f>
              <c:strCache>
                <c:ptCount val="3"/>
                <c:pt idx="0">
                  <c:v> Mayo </c:v>
                </c:pt>
                <c:pt idx="2">
                  <c:v> Junio </c:v>
                </c:pt>
              </c:strCache>
            </c:strRef>
          </c:cat>
          <c:val>
            <c:numRef>
              <c:f>'ESFA JUN GRAF 2025'!$B$11:$I$11</c:f>
            </c:numRef>
          </c:val>
          <c:extLst>
            <c:ext xmlns:c16="http://schemas.microsoft.com/office/drawing/2014/chart" uri="{C3380CC4-5D6E-409C-BE32-E72D297353CC}">
              <c16:uniqueId val="{00000006-5E7E-41D6-852C-4F072489EB21}"/>
            </c:ext>
          </c:extLst>
        </c:ser>
        <c:ser>
          <c:idx val="7"/>
          <c:order val="7"/>
          <c:tx>
            <c:strRef>
              <c:f>'ESFA JUN GRAF 2025'!$A$12</c:f>
              <c:strCache>
                <c:ptCount val="1"/>
              </c:strCache>
            </c:strRef>
          </c:tx>
          <c:spPr>
            <a:solidFill>
              <a:schemeClr val="accent2">
                <a:lumMod val="60000"/>
              </a:schemeClr>
            </a:solidFill>
            <a:ln>
              <a:noFill/>
            </a:ln>
            <a:effectLst/>
          </c:spPr>
          <c:invertIfNegative val="0"/>
          <c:cat>
            <c:strRef>
              <c:f>'ESFA JUN GRAF 2025'!$B$4:$I$4</c:f>
              <c:strCache>
                <c:ptCount val="3"/>
                <c:pt idx="0">
                  <c:v> Mayo </c:v>
                </c:pt>
                <c:pt idx="2">
                  <c:v> Junio </c:v>
                </c:pt>
              </c:strCache>
            </c:strRef>
          </c:cat>
          <c:val>
            <c:numRef>
              <c:f>'ESFA JUN GRAF 2025'!$B$12:$I$12</c:f>
            </c:numRef>
          </c:val>
          <c:extLst>
            <c:ext xmlns:c16="http://schemas.microsoft.com/office/drawing/2014/chart" uri="{C3380CC4-5D6E-409C-BE32-E72D297353CC}">
              <c16:uniqueId val="{00000007-5E7E-41D6-852C-4F072489EB21}"/>
            </c:ext>
          </c:extLst>
        </c:ser>
        <c:ser>
          <c:idx val="8"/>
          <c:order val="8"/>
          <c:tx>
            <c:strRef>
              <c:f>'ESFA JUN GRAF 2025'!$A$13</c:f>
              <c:strCache>
                <c:ptCount val="1"/>
                <c:pt idx="0">
                  <c:v> Reclamaciones a proveedores </c:v>
                </c:pt>
              </c:strCache>
            </c:strRef>
          </c:tx>
          <c:spPr>
            <a:solidFill>
              <a:schemeClr val="accent3">
                <a:lumMod val="60000"/>
              </a:schemeClr>
            </a:solidFill>
            <a:ln>
              <a:noFill/>
            </a:ln>
            <a:effectLst/>
          </c:spPr>
          <c:invertIfNegative val="0"/>
          <c:cat>
            <c:strRef>
              <c:f>'ESFA JUN GRAF 2025'!$B$4:$I$4</c:f>
              <c:strCache>
                <c:ptCount val="3"/>
                <c:pt idx="0">
                  <c:v> Mayo </c:v>
                </c:pt>
                <c:pt idx="2">
                  <c:v> Junio </c:v>
                </c:pt>
              </c:strCache>
            </c:strRef>
          </c:cat>
          <c:val>
            <c:numRef>
              <c:f>'ESFA JUN GRAF 2025'!$B$13:$I$13</c:f>
            </c:numRef>
          </c:val>
          <c:extLst>
            <c:ext xmlns:c16="http://schemas.microsoft.com/office/drawing/2014/chart" uri="{C3380CC4-5D6E-409C-BE32-E72D297353CC}">
              <c16:uniqueId val="{00000008-5E7E-41D6-852C-4F072489EB21}"/>
            </c:ext>
          </c:extLst>
        </c:ser>
        <c:ser>
          <c:idx val="9"/>
          <c:order val="9"/>
          <c:tx>
            <c:strRef>
              <c:f>'ESFA JUN GRAF 2025'!$A$14</c:f>
              <c:strCache>
                <c:ptCount val="1"/>
              </c:strCache>
            </c:strRef>
          </c:tx>
          <c:spPr>
            <a:solidFill>
              <a:schemeClr val="accent4">
                <a:lumMod val="60000"/>
              </a:schemeClr>
            </a:solidFill>
            <a:ln>
              <a:noFill/>
            </a:ln>
            <a:effectLst/>
          </c:spPr>
          <c:invertIfNegative val="0"/>
          <c:cat>
            <c:strRef>
              <c:f>'ESFA JUN GRAF 2025'!$B$4:$I$4</c:f>
              <c:strCache>
                <c:ptCount val="3"/>
                <c:pt idx="0">
                  <c:v> Mayo </c:v>
                </c:pt>
                <c:pt idx="2">
                  <c:v> Junio </c:v>
                </c:pt>
              </c:strCache>
            </c:strRef>
          </c:cat>
          <c:val>
            <c:numRef>
              <c:f>'ESFA JUN GRAF 2025'!$B$14:$I$14</c:f>
            </c:numRef>
          </c:val>
          <c:extLst>
            <c:ext xmlns:c16="http://schemas.microsoft.com/office/drawing/2014/chart" uri="{C3380CC4-5D6E-409C-BE32-E72D297353CC}">
              <c16:uniqueId val="{00000009-5E7E-41D6-852C-4F072489EB21}"/>
            </c:ext>
          </c:extLst>
        </c:ser>
        <c:ser>
          <c:idx val="10"/>
          <c:order val="10"/>
          <c:tx>
            <c:strRef>
              <c:f>'ESFA JUN GRAF 2025'!$A$15</c:f>
              <c:strCache>
                <c:ptCount val="1"/>
                <c:pt idx="0">
                  <c:v> Gasto por anticipado póliza seguros </c:v>
                </c:pt>
              </c:strCache>
            </c:strRef>
          </c:tx>
          <c:spPr>
            <a:solidFill>
              <a:schemeClr val="accent5">
                <a:lumMod val="60000"/>
              </a:schemeClr>
            </a:solidFill>
            <a:ln>
              <a:noFill/>
            </a:ln>
            <a:effectLst/>
          </c:spPr>
          <c:invertIfNegative val="0"/>
          <c:cat>
            <c:strRef>
              <c:f>'ESFA JUN GRAF 2025'!$B$4:$I$4</c:f>
              <c:strCache>
                <c:ptCount val="3"/>
                <c:pt idx="0">
                  <c:v> Mayo </c:v>
                </c:pt>
                <c:pt idx="2">
                  <c:v> Junio </c:v>
                </c:pt>
              </c:strCache>
            </c:strRef>
          </c:cat>
          <c:val>
            <c:numRef>
              <c:f>'ESFA JUN GRAF 2025'!$B$15:$I$15</c:f>
              <c:numCache>
                <c:formatCode>_(* #,##0_);_(* \(#,##0\);_(* "-"??_);_(@_)</c:formatCode>
                <c:ptCount val="3"/>
                <c:pt idx="0">
                  <c:v>13871914</c:v>
                </c:pt>
                <c:pt idx="2">
                  <c:v>12428599</c:v>
                </c:pt>
              </c:numCache>
            </c:numRef>
          </c:val>
          <c:extLst>
            <c:ext xmlns:c16="http://schemas.microsoft.com/office/drawing/2014/chart" uri="{C3380CC4-5D6E-409C-BE32-E72D297353CC}">
              <c16:uniqueId val="{0000000A-5E7E-41D6-852C-4F072489EB21}"/>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 mayo - junio 2025 </a:t>
            </a:r>
          </a:p>
        </c:rich>
      </c:tx>
      <c:layout>
        <c:manualLayout>
          <c:xMode val="edge"/>
          <c:yMode val="edge"/>
          <c:x val="0.33427106557916819"/>
          <c:y val="4.2328042328042326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JUN GRAF 2025'!$A$51:$D$51</c:f>
              <c:strCache>
                <c:ptCount val="4"/>
                <c:pt idx="0">
                  <c:v>ACTIVO</c:v>
                </c:pt>
              </c:strCache>
            </c:strRef>
          </c:tx>
          <c:spPr>
            <a:solidFill>
              <a:srgbClr val="FFC000"/>
            </a:solidFill>
            <a:ln w="25400">
              <a:solidFill>
                <a:srgbClr val="FFC000"/>
              </a:solidFill>
            </a:ln>
          </c:spPr>
          <c:invertIfNegative val="0"/>
          <c:cat>
            <c:numRef>
              <c:f>'ESFA JUN GRAF 2025'!$E$50:$I$50</c:f>
              <c:numCache>
                <c:formatCode>mmm\-yy</c:formatCode>
                <c:ptCount val="3"/>
                <c:pt idx="0">
                  <c:v>45778</c:v>
                </c:pt>
                <c:pt idx="2">
                  <c:v>45809</c:v>
                </c:pt>
              </c:numCache>
            </c:numRef>
          </c:cat>
          <c:val>
            <c:numRef>
              <c:f>'ESFA JUN GRAF 2025'!$E$51:$I$51</c:f>
              <c:numCache>
                <c:formatCode>_(* #,##0_);_(* \(#,##0\);_(* "-"??_);_(@_)</c:formatCode>
                <c:ptCount val="3"/>
                <c:pt idx="0">
                  <c:v>79344896.689999998</c:v>
                </c:pt>
                <c:pt idx="2">
                  <c:v>82701066.25999999</c:v>
                </c:pt>
              </c:numCache>
            </c:numRef>
          </c:val>
          <c:extLst>
            <c:ext xmlns:c16="http://schemas.microsoft.com/office/drawing/2014/chart" uri="{C3380CC4-5D6E-409C-BE32-E72D297353CC}">
              <c16:uniqueId val="{00000000-5EEB-47E5-9E32-5C59B0937CC8}"/>
            </c:ext>
          </c:extLst>
        </c:ser>
        <c:ser>
          <c:idx val="0"/>
          <c:order val="1"/>
          <c:tx>
            <c:strRef>
              <c:f>'ESFA JUN GRAF 2025'!$A$52:$D$52</c:f>
              <c:strCache>
                <c:ptCount val="4"/>
                <c:pt idx="0">
                  <c:v>PASIVO</c:v>
                </c:pt>
              </c:strCache>
            </c:strRef>
          </c:tx>
          <c:invertIfNegative val="0"/>
          <c:cat>
            <c:numRef>
              <c:f>'ESFA JUN GRAF 2025'!$E$50:$I$50</c:f>
              <c:numCache>
                <c:formatCode>mmm\-yy</c:formatCode>
                <c:ptCount val="3"/>
                <c:pt idx="0">
                  <c:v>45778</c:v>
                </c:pt>
                <c:pt idx="2">
                  <c:v>45809</c:v>
                </c:pt>
              </c:numCache>
            </c:numRef>
          </c:cat>
          <c:val>
            <c:numRef>
              <c:f>'ESFA JUN GRAF 2025'!$E$52:$I$52</c:f>
              <c:numCache>
                <c:formatCode>_(* #,##0_);_(* \(#,##0\);_(* "-"??_);_(@_)</c:formatCode>
                <c:ptCount val="3"/>
                <c:pt idx="0">
                  <c:v>29813541.060000002</c:v>
                </c:pt>
                <c:pt idx="2">
                  <c:v>53160895.030000001</c:v>
                </c:pt>
              </c:numCache>
            </c:numRef>
          </c:val>
          <c:extLst>
            <c:ext xmlns:c16="http://schemas.microsoft.com/office/drawing/2014/chart" uri="{C3380CC4-5D6E-409C-BE32-E72D297353CC}">
              <c16:uniqueId val="{00000001-5EEB-47E5-9E32-5C59B0937CC8}"/>
            </c:ext>
          </c:extLst>
        </c:ser>
        <c:ser>
          <c:idx val="1"/>
          <c:order val="2"/>
          <c:tx>
            <c:strRef>
              <c:f>'ESFA JUN GRAF 2025'!$A$53:$D$53</c:f>
              <c:strCache>
                <c:ptCount val="4"/>
                <c:pt idx="0">
                  <c:v>PATRIMONIO</c:v>
                </c:pt>
              </c:strCache>
            </c:strRef>
          </c:tx>
          <c:invertIfNegative val="0"/>
          <c:cat>
            <c:numRef>
              <c:f>'ESFA JUN GRAF 2025'!$E$50:$I$50</c:f>
              <c:numCache>
                <c:formatCode>mmm\-yy</c:formatCode>
                <c:ptCount val="3"/>
                <c:pt idx="0">
                  <c:v>45778</c:v>
                </c:pt>
                <c:pt idx="2">
                  <c:v>45809</c:v>
                </c:pt>
              </c:numCache>
            </c:numRef>
          </c:cat>
          <c:val>
            <c:numRef>
              <c:f>'ESFA JUN GRAF 2025'!$E$53:$I$53</c:f>
              <c:numCache>
                <c:formatCode>_(* #,##0_);_(* \(#,##0\);_(* "-"??_);_(@_)</c:formatCode>
                <c:ptCount val="3"/>
                <c:pt idx="0">
                  <c:v>17194244.750000004</c:v>
                </c:pt>
                <c:pt idx="2" formatCode="#,##0">
                  <c:v>20990049.230000004</c:v>
                </c:pt>
              </c:numCache>
            </c:numRef>
          </c:val>
          <c:extLst>
            <c:ext xmlns:c16="http://schemas.microsoft.com/office/drawing/2014/chart" uri="{C3380CC4-5D6E-409C-BE32-E72D297353CC}">
              <c16:uniqueId val="{00000002-5EEB-47E5-9E32-5C59B0937CC8}"/>
            </c:ext>
          </c:extLst>
        </c:ser>
        <c:dLbls>
          <c:showLegendKey val="0"/>
          <c:showVal val="0"/>
          <c:showCatName val="0"/>
          <c:showSerName val="0"/>
          <c:showPercent val="0"/>
          <c:showBubbleSize val="0"/>
        </c:dLbls>
        <c:gapWidth val="50"/>
        <c:axId val="1432886144"/>
        <c:axId val="1"/>
      </c:barChart>
      <c:dateAx>
        <c:axId val="1432886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6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Pasivos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mayo - junio 2025 </a:t>
            </a:r>
          </a:p>
        </c:rich>
      </c:tx>
      <c:layout>
        <c:manualLayout>
          <c:xMode val="edge"/>
          <c:yMode val="edge"/>
          <c:x val="0.52437416121554536"/>
          <c:y val="9.374524754326552E-2"/>
        </c:manualLayout>
      </c:layout>
      <c:overlay val="0"/>
      <c:spPr>
        <a:noFill/>
        <a:ln w="25400">
          <a:noFill/>
        </a:ln>
      </c:spPr>
    </c:title>
    <c:autoTitleDeleted val="0"/>
    <c:plotArea>
      <c:layout>
        <c:manualLayout>
          <c:layoutTarget val="inner"/>
          <c:xMode val="edge"/>
          <c:yMode val="edge"/>
          <c:x val="0.2252058599945567"/>
          <c:y val="4.806598383645317E-2"/>
          <c:w val="0.74857244751438257"/>
          <c:h val="0.53395342073006047"/>
        </c:manualLayout>
      </c:layout>
      <c:barChart>
        <c:barDir val="col"/>
        <c:grouping val="clustered"/>
        <c:varyColors val="0"/>
        <c:ser>
          <c:idx val="0"/>
          <c:order val="0"/>
          <c:tx>
            <c:strRef>
              <c:f>'ESFA JUN GRAF 2025'!$A$23</c:f>
              <c:strCache>
                <c:ptCount val="1"/>
                <c:pt idx="0">
                  <c:v> CXP  honorarios </c:v>
                </c:pt>
              </c:strCache>
            </c:strRef>
          </c:tx>
          <c:spPr>
            <a:solidFill>
              <a:schemeClr val="tx2">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2025'!$B$23:$I$23</c:f>
              <c:numCache>
                <c:formatCode>_(* #,##0_);_(* \(#,##0\);_(* "-"??_);_(@_)</c:formatCode>
                <c:ptCount val="3"/>
                <c:pt idx="0">
                  <c:v>534252</c:v>
                </c:pt>
                <c:pt idx="2">
                  <c:v>727051</c:v>
                </c:pt>
              </c:numCache>
            </c:numRef>
          </c:val>
          <c:extLst>
            <c:ext xmlns:c16="http://schemas.microsoft.com/office/drawing/2014/chart" uri="{C3380CC4-5D6E-409C-BE32-E72D297353CC}">
              <c16:uniqueId val="{00000000-1059-42A1-98B9-3C5917B0F367}"/>
            </c:ext>
          </c:extLst>
        </c:ser>
        <c:ser>
          <c:idx val="1"/>
          <c:order val="1"/>
          <c:tx>
            <c:strRef>
              <c:f>'ESFA JUN GRAF 2025'!$A$24</c:f>
              <c:strCache>
                <c:ptCount val="1"/>
              </c:strCache>
            </c:strRef>
          </c:tx>
          <c:spPr>
            <a:solidFill>
              <a:srgbClr val="C0504D"/>
            </a:solidFill>
            <a:ln w="25400">
              <a:noFill/>
            </a:ln>
          </c:spPr>
          <c:invertIfNegative val="0"/>
          <c:cat>
            <c:strRef>
              <c:f>'ESFA JUN GRAF 2025'!$B$22:$I$22</c:f>
              <c:strCache>
                <c:ptCount val="3"/>
                <c:pt idx="0">
                  <c:v> Mayo </c:v>
                </c:pt>
                <c:pt idx="2">
                  <c:v> Junio </c:v>
                </c:pt>
              </c:strCache>
            </c:strRef>
          </c:cat>
          <c:val>
            <c:numRef>
              <c:f>'ESFA JUN GRAF 2025'!$B$24:$I$24</c:f>
            </c:numRef>
          </c:val>
          <c:extLst>
            <c:ext xmlns:c16="http://schemas.microsoft.com/office/drawing/2014/chart" uri="{C3380CC4-5D6E-409C-BE32-E72D297353CC}">
              <c16:uniqueId val="{00000001-1059-42A1-98B9-3C5917B0F367}"/>
            </c:ext>
          </c:extLst>
        </c:ser>
        <c:ser>
          <c:idx val="2"/>
          <c:order val="2"/>
          <c:tx>
            <c:strRef>
              <c:f>'ESFA JUN GRAF 2025'!$A$25</c:f>
              <c:strCache>
                <c:ptCount val="1"/>
                <c:pt idx="0">
                  <c:v>CXP </c:v>
                </c:pt>
              </c:strCache>
            </c:strRef>
          </c:tx>
          <c:spPr>
            <a:solidFill>
              <a:schemeClr val="accent6">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2025'!$B$25:$I$25</c:f>
            </c:numRef>
          </c:val>
          <c:extLst>
            <c:ext xmlns:c16="http://schemas.microsoft.com/office/drawing/2014/chart" uri="{C3380CC4-5D6E-409C-BE32-E72D297353CC}">
              <c16:uniqueId val="{00000002-1059-42A1-98B9-3C5917B0F367}"/>
            </c:ext>
          </c:extLst>
        </c:ser>
        <c:ser>
          <c:idx val="3"/>
          <c:order val="3"/>
          <c:tx>
            <c:strRef>
              <c:f>'ESFA JUN GRAF 2025'!$A$26</c:f>
              <c:strCache>
                <c:ptCount val="1"/>
              </c:strCache>
            </c:strRef>
          </c:tx>
          <c:spPr>
            <a:solidFill>
              <a:srgbClr val="8064A2"/>
            </a:solidFill>
            <a:ln w="25400">
              <a:noFill/>
            </a:ln>
          </c:spPr>
          <c:invertIfNegative val="0"/>
          <c:cat>
            <c:strRef>
              <c:f>'ESFA JUN GRAF 2025'!$B$22:$I$22</c:f>
              <c:strCache>
                <c:ptCount val="3"/>
                <c:pt idx="0">
                  <c:v> Mayo </c:v>
                </c:pt>
                <c:pt idx="2">
                  <c:v> Junio </c:v>
                </c:pt>
              </c:strCache>
            </c:strRef>
          </c:cat>
          <c:val>
            <c:numRef>
              <c:f>'ESFA JUN GRAF 2025'!$B$26:$I$26</c:f>
            </c:numRef>
          </c:val>
          <c:extLst>
            <c:ext xmlns:c16="http://schemas.microsoft.com/office/drawing/2014/chart" uri="{C3380CC4-5D6E-409C-BE32-E72D297353CC}">
              <c16:uniqueId val="{00000003-1059-42A1-98B9-3C5917B0F367}"/>
            </c:ext>
          </c:extLst>
        </c:ser>
        <c:ser>
          <c:idx val="4"/>
          <c:order val="4"/>
          <c:tx>
            <c:strRef>
              <c:f>'ESFA JUN GRAF 2025'!$A$27</c:f>
              <c:strCache>
                <c:ptCount val="1"/>
                <c:pt idx="0">
                  <c:v>CXP Impuestos</c:v>
                </c:pt>
              </c:strCache>
            </c:strRef>
          </c:tx>
          <c:spPr>
            <a:solidFill>
              <a:srgbClr val="FF0000"/>
            </a:solidFill>
            <a:ln w="25400">
              <a:noFill/>
            </a:ln>
          </c:spPr>
          <c:invertIfNegative val="0"/>
          <c:cat>
            <c:strRef>
              <c:f>'ESFA JUN GRAF 2025'!$B$22:$I$22</c:f>
              <c:strCache>
                <c:ptCount val="3"/>
                <c:pt idx="0">
                  <c:v> Mayo </c:v>
                </c:pt>
                <c:pt idx="2">
                  <c:v> Junio </c:v>
                </c:pt>
              </c:strCache>
            </c:strRef>
          </c:cat>
          <c:val>
            <c:numRef>
              <c:f>'ESFA JUN GRAF 2025'!$B$27:$I$27</c:f>
              <c:numCache>
                <c:formatCode>_(* #,##0_);_(* \(#,##0\);_(* "-"??_);_(@_)</c:formatCode>
                <c:ptCount val="3"/>
                <c:pt idx="0">
                  <c:v>102902.06</c:v>
                </c:pt>
                <c:pt idx="2">
                  <c:v>62996.27</c:v>
                </c:pt>
              </c:numCache>
            </c:numRef>
          </c:val>
          <c:extLst>
            <c:ext xmlns:c16="http://schemas.microsoft.com/office/drawing/2014/chart" uri="{C3380CC4-5D6E-409C-BE32-E72D297353CC}">
              <c16:uniqueId val="{00000004-1059-42A1-98B9-3C5917B0F367}"/>
            </c:ext>
          </c:extLst>
        </c:ser>
        <c:ser>
          <c:idx val="5"/>
          <c:order val="5"/>
          <c:tx>
            <c:strRef>
              <c:f>'ESFA JUN GRAF 2025'!$A$28</c:f>
              <c:strCache>
                <c:ptCount val="1"/>
              </c:strCache>
            </c:strRef>
          </c:tx>
          <c:spPr>
            <a:solidFill>
              <a:srgbClr val="F79646"/>
            </a:solidFill>
            <a:ln w="25400">
              <a:noFill/>
            </a:ln>
          </c:spPr>
          <c:invertIfNegative val="0"/>
          <c:cat>
            <c:strRef>
              <c:f>'ESFA JUN GRAF 2025'!$B$22:$I$22</c:f>
              <c:strCache>
                <c:ptCount val="3"/>
                <c:pt idx="0">
                  <c:v> Mayo </c:v>
                </c:pt>
                <c:pt idx="2">
                  <c:v> Junio </c:v>
                </c:pt>
              </c:strCache>
            </c:strRef>
          </c:cat>
          <c:val>
            <c:numRef>
              <c:f>'ESFA JUN GRAF 2025'!$B$28:$I$28</c:f>
            </c:numRef>
          </c:val>
          <c:extLst>
            <c:ext xmlns:c16="http://schemas.microsoft.com/office/drawing/2014/chart" uri="{C3380CC4-5D6E-409C-BE32-E72D297353CC}">
              <c16:uniqueId val="{00000005-1059-42A1-98B9-3C5917B0F367}"/>
            </c:ext>
          </c:extLst>
        </c:ser>
        <c:ser>
          <c:idx val="6"/>
          <c:order val="6"/>
          <c:tx>
            <c:strRef>
              <c:f>'ESFA JUN GRAF 2025'!$A$29</c:f>
              <c:strCache>
                <c:ptCount val="1"/>
                <c:pt idx="0">
                  <c:v>Reclamación Seguro</c:v>
                </c:pt>
              </c:strCache>
            </c:strRef>
          </c:tx>
          <c:spPr>
            <a:solidFill>
              <a:schemeClr val="accent1">
                <a:lumMod val="60000"/>
              </a:schemeClr>
            </a:solidFill>
            <a:ln>
              <a:noFill/>
            </a:ln>
            <a:effectLst/>
          </c:spPr>
          <c:invertIfNegative val="0"/>
          <c:cat>
            <c:strRef>
              <c:f>'ESFA JUN GRAF 2025'!$B$22:$I$22</c:f>
              <c:strCache>
                <c:ptCount val="3"/>
                <c:pt idx="0">
                  <c:v> Mayo </c:v>
                </c:pt>
                <c:pt idx="2">
                  <c:v> Junio </c:v>
                </c:pt>
              </c:strCache>
            </c:strRef>
          </c:cat>
          <c:val>
            <c:numRef>
              <c:f>'ESFA JUN GRAF 2025'!$B$29:$I$29</c:f>
            </c:numRef>
          </c:val>
          <c:extLst>
            <c:ext xmlns:c16="http://schemas.microsoft.com/office/drawing/2014/chart" uri="{C3380CC4-5D6E-409C-BE32-E72D297353CC}">
              <c16:uniqueId val="{00000006-1059-42A1-98B9-3C5917B0F367}"/>
            </c:ext>
          </c:extLst>
        </c:ser>
        <c:ser>
          <c:idx val="7"/>
          <c:order val="7"/>
          <c:tx>
            <c:strRef>
              <c:f>'ESFA JUN GRAF 2025'!$A$30</c:f>
              <c:strCache>
                <c:ptCount val="1"/>
              </c:strCache>
            </c:strRef>
          </c:tx>
          <c:spPr>
            <a:solidFill>
              <a:schemeClr val="accent2">
                <a:lumMod val="60000"/>
              </a:schemeClr>
            </a:solidFill>
            <a:ln>
              <a:noFill/>
            </a:ln>
            <a:effectLst/>
          </c:spPr>
          <c:invertIfNegative val="0"/>
          <c:cat>
            <c:strRef>
              <c:f>'ESFA JUN GRAF 2025'!$B$22:$I$22</c:f>
              <c:strCache>
                <c:ptCount val="3"/>
                <c:pt idx="0">
                  <c:v> Mayo </c:v>
                </c:pt>
                <c:pt idx="2">
                  <c:v> Junio </c:v>
                </c:pt>
              </c:strCache>
            </c:strRef>
          </c:cat>
          <c:val>
            <c:numRef>
              <c:f>'ESFA JUN GRAF 2025'!$B$30:$I$30</c:f>
            </c:numRef>
          </c:val>
          <c:extLst>
            <c:ext xmlns:c16="http://schemas.microsoft.com/office/drawing/2014/chart" uri="{C3380CC4-5D6E-409C-BE32-E72D297353CC}">
              <c16:uniqueId val="{00000007-1059-42A1-98B9-3C5917B0F367}"/>
            </c:ext>
          </c:extLst>
        </c:ser>
        <c:ser>
          <c:idx val="8"/>
          <c:order val="8"/>
          <c:tx>
            <c:strRef>
              <c:f>'ESFA JUN GRAF 2025'!$A$31</c:f>
              <c:strCache>
                <c:ptCount val="1"/>
                <c:pt idx="0">
                  <c:v>Cuotas extras 2023</c:v>
                </c:pt>
              </c:strCache>
            </c:strRef>
          </c:tx>
          <c:spPr>
            <a:solidFill>
              <a:srgbClr val="92D050"/>
            </a:solidFill>
            <a:ln w="25400">
              <a:noFill/>
            </a:ln>
          </c:spPr>
          <c:invertIfNegative val="0"/>
          <c:cat>
            <c:strRef>
              <c:f>'ESFA JUN GRAF 2025'!$B$22:$I$22</c:f>
              <c:strCache>
                <c:ptCount val="3"/>
                <c:pt idx="0">
                  <c:v> Mayo </c:v>
                </c:pt>
                <c:pt idx="2">
                  <c:v> Junio </c:v>
                </c:pt>
              </c:strCache>
            </c:strRef>
          </c:cat>
          <c:val>
            <c:numRef>
              <c:f>'ESFA JUN GRAF 2025'!$B$31:$I$31</c:f>
            </c:numRef>
          </c:val>
          <c:extLst>
            <c:ext xmlns:c16="http://schemas.microsoft.com/office/drawing/2014/chart" uri="{C3380CC4-5D6E-409C-BE32-E72D297353CC}">
              <c16:uniqueId val="{00000008-1059-42A1-98B9-3C5917B0F367}"/>
            </c:ext>
          </c:extLst>
        </c:ser>
        <c:ser>
          <c:idx val="9"/>
          <c:order val="9"/>
          <c:tx>
            <c:strRef>
              <c:f>'ESFA JUN GRAF 2025'!$A$32</c:f>
              <c:strCache>
                <c:ptCount val="1"/>
              </c:strCache>
            </c:strRef>
          </c:tx>
          <c:spPr>
            <a:solidFill>
              <a:schemeClr val="accent4">
                <a:lumMod val="60000"/>
              </a:schemeClr>
            </a:solidFill>
            <a:ln>
              <a:noFill/>
            </a:ln>
            <a:effectLst/>
          </c:spPr>
          <c:invertIfNegative val="0"/>
          <c:cat>
            <c:strRef>
              <c:f>'ESFA JUN GRAF 2025'!$B$22:$I$22</c:f>
              <c:strCache>
                <c:ptCount val="3"/>
                <c:pt idx="0">
                  <c:v> Mayo </c:v>
                </c:pt>
                <c:pt idx="2">
                  <c:v> Junio </c:v>
                </c:pt>
              </c:strCache>
            </c:strRef>
          </c:cat>
          <c:val>
            <c:numRef>
              <c:f>'ESFA JUN GRAF 2025'!$B$32:$I$32</c:f>
            </c:numRef>
          </c:val>
          <c:extLst>
            <c:ext xmlns:c16="http://schemas.microsoft.com/office/drawing/2014/chart" uri="{C3380CC4-5D6E-409C-BE32-E72D297353CC}">
              <c16:uniqueId val="{00000009-1059-42A1-98B9-3C5917B0F367}"/>
            </c:ext>
          </c:extLst>
        </c:ser>
        <c:ser>
          <c:idx val="10"/>
          <c:order val="10"/>
          <c:tx>
            <c:strRef>
              <c:f>'ESFA JUN GRAF 2025'!$A$33</c:f>
              <c:strCache>
                <c:ptCount val="1"/>
                <c:pt idx="0">
                  <c:v>Saldo Inversión vigilancia</c:v>
                </c:pt>
              </c:strCache>
            </c:strRef>
          </c:tx>
          <c:spPr>
            <a:solidFill>
              <a:schemeClr val="accent3">
                <a:lumMod val="75000"/>
              </a:schemeClr>
            </a:solidFill>
            <a:ln>
              <a:noFill/>
            </a:ln>
            <a:effectLst/>
          </c:spPr>
          <c:invertIfNegative val="0"/>
          <c:cat>
            <c:strRef>
              <c:f>'ESFA JUN GRAF 2025'!$B$22:$I$22</c:f>
              <c:strCache>
                <c:ptCount val="3"/>
                <c:pt idx="0">
                  <c:v> Mayo </c:v>
                </c:pt>
                <c:pt idx="2">
                  <c:v> Junio </c:v>
                </c:pt>
              </c:strCache>
            </c:strRef>
          </c:cat>
          <c:val>
            <c:numRef>
              <c:f>'ESFA JUN GRAF 2025'!$B$33:$I$33</c:f>
            </c:numRef>
          </c:val>
          <c:extLst>
            <c:ext xmlns:c16="http://schemas.microsoft.com/office/drawing/2014/chart" uri="{C3380CC4-5D6E-409C-BE32-E72D297353CC}">
              <c16:uniqueId val="{0000000A-1059-42A1-98B9-3C5917B0F367}"/>
            </c:ext>
          </c:extLst>
        </c:ser>
        <c:ser>
          <c:idx val="11"/>
          <c:order val="11"/>
          <c:tx>
            <c:strRef>
              <c:f>'ESFA JUN GRAF 2025'!$A$34</c:f>
              <c:strCache>
                <c:ptCount val="1"/>
              </c:strCache>
            </c:strRef>
          </c:tx>
          <c:invertIfNegative val="0"/>
          <c:cat>
            <c:strRef>
              <c:f>'ESFA JUN GRAF 2025'!$B$22:$I$22</c:f>
              <c:strCache>
                <c:ptCount val="3"/>
                <c:pt idx="0">
                  <c:v> Mayo </c:v>
                </c:pt>
                <c:pt idx="2">
                  <c:v> Junio </c:v>
                </c:pt>
              </c:strCache>
            </c:strRef>
          </c:cat>
          <c:val>
            <c:numRef>
              <c:f>'ESFA JUN GRAF 2025'!$B$34:$I$34</c:f>
            </c:numRef>
          </c:val>
          <c:extLst>
            <c:ext xmlns:c16="http://schemas.microsoft.com/office/drawing/2014/chart" uri="{C3380CC4-5D6E-409C-BE32-E72D297353CC}">
              <c16:uniqueId val="{0000000B-1059-42A1-98B9-3C5917B0F367}"/>
            </c:ext>
          </c:extLst>
        </c:ser>
        <c:ser>
          <c:idx val="12"/>
          <c:order val="12"/>
          <c:tx>
            <c:strRef>
              <c:f>'ESFA JUN GRAF 2025'!$A$35</c:f>
              <c:strCache>
                <c:ptCount val="1"/>
                <c:pt idx="0">
                  <c:v>Cuota extra 2024</c:v>
                </c:pt>
              </c:strCache>
            </c:strRef>
          </c:tx>
          <c:spPr>
            <a:solidFill>
              <a:srgbClr val="FF0000"/>
            </a:solidFill>
          </c:spPr>
          <c:invertIfNegative val="0"/>
          <c:cat>
            <c:strRef>
              <c:f>'ESFA JUN GRAF 2025'!$B$22:$I$22</c:f>
              <c:strCache>
                <c:ptCount val="3"/>
                <c:pt idx="0">
                  <c:v> Mayo </c:v>
                </c:pt>
                <c:pt idx="2">
                  <c:v> Junio </c:v>
                </c:pt>
              </c:strCache>
            </c:strRef>
          </c:cat>
          <c:val>
            <c:numRef>
              <c:f>'ESFA JUN GRAF 2025'!$B$35:$I$35</c:f>
              <c:numCache>
                <c:formatCode>_(* #,##0_);_(* \(#,##0\);_(* "-"??_);_(@_)</c:formatCode>
                <c:ptCount val="3"/>
                <c:pt idx="0">
                  <c:v>45463372.880000003</c:v>
                </c:pt>
                <c:pt idx="2">
                  <c:v>44870844.759999998</c:v>
                </c:pt>
              </c:numCache>
            </c:numRef>
          </c:val>
          <c:extLst>
            <c:ext xmlns:c16="http://schemas.microsoft.com/office/drawing/2014/chart" uri="{C3380CC4-5D6E-409C-BE32-E72D297353CC}">
              <c16:uniqueId val="{0000000C-1059-42A1-98B9-3C5917B0F367}"/>
            </c:ext>
          </c:extLst>
        </c:ser>
        <c:ser>
          <c:idx val="13"/>
          <c:order val="13"/>
          <c:tx>
            <c:strRef>
              <c:f>'ESFA JUN GRAF 2025'!$A$36</c:f>
              <c:strCache>
                <c:ptCount val="1"/>
                <c:pt idx="0">
                  <c:v>Cuota extra 2025</c:v>
                </c:pt>
              </c:strCache>
            </c:strRef>
          </c:tx>
          <c:spPr>
            <a:solidFill>
              <a:schemeClr val="accent3">
                <a:lumMod val="60000"/>
                <a:lumOff val="40000"/>
              </a:schemeClr>
            </a:solidFill>
          </c:spPr>
          <c:invertIfNegative val="0"/>
          <c:cat>
            <c:strRef>
              <c:f>'ESFA JUN GRAF 2025'!$B$22:$I$22</c:f>
              <c:strCache>
                <c:ptCount val="3"/>
                <c:pt idx="0">
                  <c:v> Mayo </c:v>
                </c:pt>
                <c:pt idx="2">
                  <c:v> Junio </c:v>
                </c:pt>
              </c:strCache>
            </c:strRef>
          </c:cat>
          <c:val>
            <c:numRef>
              <c:f>'ESFA JUN GRAF 2025'!$B$36:$I$36</c:f>
              <c:numCache>
                <c:formatCode>_(* #,##0_);_(* \(#,##0\);_(* "-"??_);_(@_)</c:formatCode>
                <c:ptCount val="3"/>
                <c:pt idx="0">
                  <c:v>7500003</c:v>
                </c:pt>
                <c:pt idx="2">
                  <c:v>7500003</c:v>
                </c:pt>
              </c:numCache>
            </c:numRef>
          </c:val>
          <c:extLst>
            <c:ext xmlns:c16="http://schemas.microsoft.com/office/drawing/2014/chart" uri="{C3380CC4-5D6E-409C-BE32-E72D297353CC}">
              <c16:uniqueId val="{0000000D-1059-42A1-98B9-3C5917B0F367}"/>
            </c:ext>
          </c:extLst>
        </c:ser>
        <c:dLbls>
          <c:showLegendKey val="0"/>
          <c:showVal val="0"/>
          <c:showCatName val="0"/>
          <c:showSerName val="0"/>
          <c:showPercent val="0"/>
          <c:showBubbleSize val="0"/>
        </c:dLbls>
        <c:gapWidth val="50"/>
        <c:axId val="1432899104"/>
        <c:axId val="1"/>
      </c:barChart>
      <c:catAx>
        <c:axId val="143289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99104"/>
        <c:crosses val="autoZero"/>
        <c:crossBetween val="between"/>
      </c:valAx>
      <c:dTable>
        <c:showHorzBorder val="1"/>
        <c:showVertBorder val="1"/>
        <c:showOutline val="1"/>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900" b="1"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abril - mayo 2025 </a:t>
            </a:r>
          </a:p>
        </c:rich>
      </c:tx>
      <c:layout>
        <c:manualLayout>
          <c:xMode val="edge"/>
          <c:yMode val="edge"/>
          <c:x val="0.52065099389458036"/>
          <c:y val="5.2910052910052907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MAY GRAF'!$A$41</c:f>
              <c:strCache>
                <c:ptCount val="1"/>
                <c:pt idx="0">
                  <c:v>Reserva de ley 675 2001</c:v>
                </c:pt>
              </c:strCache>
            </c:strRef>
          </c:tx>
          <c:spPr>
            <a:solidFill>
              <a:srgbClr val="FFC000"/>
            </a:solidFill>
            <a:ln w="25400">
              <a:solidFill>
                <a:srgbClr val="FFC000"/>
              </a:solidFill>
            </a:ln>
          </c:spPr>
          <c:invertIfNegative val="0"/>
          <c:cat>
            <c:strRef>
              <c:f>'ESFA MAY GRAF'!$B$40:$G$40</c:f>
              <c:strCache>
                <c:ptCount val="3"/>
                <c:pt idx="0">
                  <c:v> Abril </c:v>
                </c:pt>
                <c:pt idx="2">
                  <c:v> Mayo </c:v>
                </c:pt>
              </c:strCache>
            </c:strRef>
          </c:cat>
          <c:val>
            <c:numRef>
              <c:f>'ESFA MAY GRAF'!$B$41:$G$41</c:f>
              <c:numCache>
                <c:formatCode>_(* #,##0_);_(* \(#,##0\);_(* "-"??_);_(@_)</c:formatCode>
                <c:ptCount val="3"/>
                <c:pt idx="0">
                  <c:v>9476606.8800000008</c:v>
                </c:pt>
                <c:pt idx="2">
                  <c:v>9773964.8800000008</c:v>
                </c:pt>
              </c:numCache>
            </c:numRef>
          </c:val>
          <c:extLst>
            <c:ext xmlns:c16="http://schemas.microsoft.com/office/drawing/2014/chart" uri="{C3380CC4-5D6E-409C-BE32-E72D297353CC}">
              <c16:uniqueId val="{00000000-CA5B-4BB0-A9A7-BBEA2AE24E12}"/>
            </c:ext>
          </c:extLst>
        </c:ser>
        <c:ser>
          <c:idx val="14"/>
          <c:order val="1"/>
          <c:tx>
            <c:strRef>
              <c:f>'ESFA MAY GRAF'!$A$42</c:f>
              <c:strCache>
                <c:ptCount val="1"/>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GRAF'!$B$42:$G$42</c:f>
            </c:numRef>
          </c:val>
          <c:extLst>
            <c:ext xmlns:c16="http://schemas.microsoft.com/office/drawing/2014/chart" uri="{C3380CC4-5D6E-409C-BE32-E72D297353CC}">
              <c16:uniqueId val="{00000001-CA5B-4BB0-A9A7-BBEA2AE24E12}"/>
            </c:ext>
          </c:extLst>
        </c:ser>
        <c:ser>
          <c:idx val="15"/>
          <c:order val="2"/>
          <c:tx>
            <c:strRef>
              <c:f>'ESFA MAY GRAF'!$A$43</c:f>
              <c:strCache>
                <c:ptCount val="1"/>
                <c:pt idx="0">
                  <c:v>Resultados del presente ejercicio</c:v>
                </c:pt>
              </c:strCache>
            </c:strRef>
          </c:tx>
          <c:spPr>
            <a:solidFill>
              <a:srgbClr val="92D050"/>
            </a:solidFill>
            <a:ln w="25400">
              <a:noFill/>
            </a:ln>
          </c:spPr>
          <c:invertIfNegative val="0"/>
          <c:cat>
            <c:strRef>
              <c:f>'ESFA MAY GRAF'!$B$40:$G$40</c:f>
              <c:strCache>
                <c:ptCount val="3"/>
                <c:pt idx="0">
                  <c:v> Abril </c:v>
                </c:pt>
                <c:pt idx="2">
                  <c:v> Mayo </c:v>
                </c:pt>
              </c:strCache>
            </c:strRef>
          </c:cat>
          <c:val>
            <c:numRef>
              <c:f>'ESFA MAY GRAF'!$B$43:$G$43</c:f>
              <c:numCache>
                <c:formatCode>_(* #,##0_);_(* \(#,##0\);_(* "-"??_);_(@_)</c:formatCode>
                <c:ptCount val="3"/>
                <c:pt idx="0">
                  <c:v>6876070.4199999999</c:v>
                </c:pt>
                <c:pt idx="2">
                  <c:v>7171827.1300000064</c:v>
                </c:pt>
              </c:numCache>
            </c:numRef>
          </c:val>
          <c:extLst>
            <c:ext xmlns:c16="http://schemas.microsoft.com/office/drawing/2014/chart" uri="{C3380CC4-5D6E-409C-BE32-E72D297353CC}">
              <c16:uniqueId val="{00000002-CA5B-4BB0-A9A7-BBEA2AE24E12}"/>
            </c:ext>
          </c:extLst>
        </c:ser>
        <c:ser>
          <c:idx val="16"/>
          <c:order val="3"/>
          <c:tx>
            <c:strRef>
              <c:f>'ESFA MAY GRAF'!$A$44</c:f>
              <c:strCache>
                <c:ptCount val="1"/>
              </c:strCache>
            </c:strRef>
          </c:tx>
          <c:spPr>
            <a:solidFill>
              <a:srgbClr val="8064A2"/>
            </a:solidFill>
            <a:ln w="25400">
              <a:noFill/>
            </a:ln>
          </c:spPr>
          <c:invertIfNegative val="0"/>
          <c:cat>
            <c:strRef>
              <c:f>'ESFA MAY GRAF'!$B$40:$G$40</c:f>
              <c:strCache>
                <c:ptCount val="3"/>
                <c:pt idx="0">
                  <c:v> Abril </c:v>
                </c:pt>
                <c:pt idx="2">
                  <c:v> Mayo </c:v>
                </c:pt>
              </c:strCache>
            </c:strRef>
          </c:cat>
          <c:val>
            <c:numRef>
              <c:f>'ESFA MAY GRAF'!$B$44:$G$44</c:f>
            </c:numRef>
          </c:val>
          <c:extLst>
            <c:ext xmlns:c16="http://schemas.microsoft.com/office/drawing/2014/chart" uri="{C3380CC4-5D6E-409C-BE32-E72D297353CC}">
              <c16:uniqueId val="{00000003-CA5B-4BB0-A9A7-BBEA2AE24E12}"/>
            </c:ext>
          </c:extLst>
        </c:ser>
        <c:ser>
          <c:idx val="17"/>
          <c:order val="4"/>
          <c:tx>
            <c:strRef>
              <c:f>'ESFA MAY GRAF'!$A$45</c:f>
              <c:strCache>
                <c:ptCount val="1"/>
                <c:pt idx="0">
                  <c:v>Excedente- reconocimiento talud</c:v>
                </c:pt>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GRAF'!$B$45:$G$45</c:f>
              <c:numCache>
                <c:formatCode>_(* #,##0_);_(* \(#,##0\);_(* "-"??_);_(@_)</c:formatCode>
                <c:ptCount val="3"/>
                <c:pt idx="0">
                  <c:v>0</c:v>
                </c:pt>
                <c:pt idx="2">
                  <c:v>248452.74</c:v>
                </c:pt>
              </c:numCache>
            </c:numRef>
          </c:val>
          <c:extLst>
            <c:ext xmlns:c16="http://schemas.microsoft.com/office/drawing/2014/chart" uri="{C3380CC4-5D6E-409C-BE32-E72D297353CC}">
              <c16:uniqueId val="{00000004-CA5B-4BB0-A9A7-BBEA2AE24E12}"/>
            </c:ext>
          </c:extLst>
        </c:ser>
        <c:dLbls>
          <c:showLegendKey val="0"/>
          <c:showVal val="0"/>
          <c:showCatName val="0"/>
          <c:showSerName val="0"/>
          <c:showPercent val="0"/>
          <c:showBubbleSize val="0"/>
        </c:dLbls>
        <c:gapWidth val="50"/>
        <c:axId val="1432901984"/>
        <c:axId val="1"/>
      </c:barChart>
      <c:catAx>
        <c:axId val="143290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01984"/>
        <c:crosses val="autoZero"/>
        <c:crossBetween val="between"/>
      </c:valAx>
      <c:dTable>
        <c:showHorzBorder val="1"/>
        <c:showVertBorder val="1"/>
        <c:showOutline val="1"/>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Activos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mayo - junio 2025</a:t>
            </a:r>
          </a:p>
        </c:rich>
      </c:tx>
      <c:layout>
        <c:manualLayout>
          <c:xMode val="edge"/>
          <c:yMode val="edge"/>
          <c:x val="0.49768772348033374"/>
          <c:y val="8.9473684210526316E-2"/>
        </c:manualLayout>
      </c:layout>
      <c:overlay val="0"/>
      <c:spPr>
        <a:noFill/>
        <a:ln w="25400">
          <a:noFill/>
        </a:ln>
      </c:spPr>
    </c:title>
    <c:autoTitleDeleted val="0"/>
    <c:plotArea>
      <c:layout>
        <c:manualLayout>
          <c:layoutTarget val="inner"/>
          <c:xMode val="edge"/>
          <c:yMode val="edge"/>
          <c:x val="0.34160671215263766"/>
          <c:y val="8.526315789473686E-2"/>
          <c:w val="0.6583932878473624"/>
          <c:h val="0.47620389556568588"/>
        </c:manualLayout>
      </c:layout>
      <c:barChart>
        <c:barDir val="col"/>
        <c:grouping val="clustered"/>
        <c:varyColors val="0"/>
        <c:ser>
          <c:idx val="0"/>
          <c:order val="0"/>
          <c:tx>
            <c:strRef>
              <c:f>'ESFA JUN GRAF 2025'!$A$5</c:f>
              <c:strCache>
                <c:ptCount val="1"/>
                <c:pt idx="0">
                  <c:v> Efectivo y sus equivalentes </c:v>
                </c:pt>
              </c:strCache>
            </c:strRef>
          </c:tx>
          <c:spPr>
            <a:solidFill>
              <a:schemeClr val="accent3">
                <a:lumMod val="75000"/>
              </a:schemeClr>
            </a:solidFill>
            <a:ln>
              <a:noFill/>
            </a:ln>
            <a:effectLst/>
          </c:spPr>
          <c:invertIfNegative val="0"/>
          <c:cat>
            <c:strRef>
              <c:f>'ESFA JUN GRAF 2025'!$B$4:$I$4</c:f>
              <c:strCache>
                <c:ptCount val="3"/>
                <c:pt idx="0">
                  <c:v> Mayo </c:v>
                </c:pt>
                <c:pt idx="2">
                  <c:v> Junio </c:v>
                </c:pt>
              </c:strCache>
            </c:strRef>
          </c:cat>
          <c:val>
            <c:numRef>
              <c:f>'ESFA JUN GRAF 2025'!$B$5:$I$5</c:f>
              <c:numCache>
                <c:formatCode>_(* #,##0_);_(* \(#,##0\);_(* "-"??_);_(@_)</c:formatCode>
                <c:ptCount val="3"/>
                <c:pt idx="0">
                  <c:v>52872060.759999998</c:v>
                </c:pt>
                <c:pt idx="2">
                  <c:v>48166178.640000001</c:v>
                </c:pt>
              </c:numCache>
            </c:numRef>
          </c:val>
          <c:extLst>
            <c:ext xmlns:c16="http://schemas.microsoft.com/office/drawing/2014/chart" uri="{C3380CC4-5D6E-409C-BE32-E72D297353CC}">
              <c16:uniqueId val="{00000000-ECA7-4BFC-96B5-50BB0ED48028}"/>
            </c:ext>
          </c:extLst>
        </c:ser>
        <c:ser>
          <c:idx val="1"/>
          <c:order val="1"/>
          <c:tx>
            <c:strRef>
              <c:f>'ESFA JUN GRAF 2025'!$A$6</c:f>
              <c:strCache>
                <c:ptCount val="1"/>
              </c:strCache>
            </c:strRef>
          </c:tx>
          <c:spPr>
            <a:solidFill>
              <a:srgbClr val="C0504D"/>
            </a:solidFill>
            <a:ln w="25400">
              <a:noFill/>
            </a:ln>
          </c:spPr>
          <c:invertIfNegative val="0"/>
          <c:cat>
            <c:strRef>
              <c:f>'ESFA JUN GRAF 2025'!$B$4:$I$4</c:f>
              <c:strCache>
                <c:ptCount val="3"/>
                <c:pt idx="0">
                  <c:v> Mayo </c:v>
                </c:pt>
                <c:pt idx="2">
                  <c:v> Junio </c:v>
                </c:pt>
              </c:strCache>
            </c:strRef>
          </c:cat>
          <c:val>
            <c:numRef>
              <c:f>'ESFA JUN GRAF 2025'!$B$6:$I$6</c:f>
            </c:numRef>
          </c:val>
          <c:extLst>
            <c:ext xmlns:c16="http://schemas.microsoft.com/office/drawing/2014/chart" uri="{C3380CC4-5D6E-409C-BE32-E72D297353CC}">
              <c16:uniqueId val="{00000001-ECA7-4BFC-96B5-50BB0ED48028}"/>
            </c:ext>
          </c:extLst>
        </c:ser>
        <c:ser>
          <c:idx val="2"/>
          <c:order val="2"/>
          <c:tx>
            <c:strRef>
              <c:f>'ESFA JUN GRAF 2025'!$A$7</c:f>
              <c:strCache>
                <c:ptCount val="1"/>
                <c:pt idx="0">
                  <c:v> Fiducuenta Bancolombia </c:v>
                </c:pt>
              </c:strCache>
            </c:strRef>
          </c:tx>
          <c:spPr>
            <a:solidFill>
              <a:schemeClr val="bg1">
                <a:lumMod val="85000"/>
              </a:schemeClr>
            </a:solidFill>
            <a:ln>
              <a:noFill/>
            </a:ln>
            <a:effectLst/>
          </c:spPr>
          <c:invertIfNegative val="0"/>
          <c:cat>
            <c:strRef>
              <c:f>'ESFA JUN GRAF 2025'!$B$4:$I$4</c:f>
              <c:strCache>
                <c:ptCount val="3"/>
                <c:pt idx="0">
                  <c:v> Mayo </c:v>
                </c:pt>
                <c:pt idx="2">
                  <c:v> Junio </c:v>
                </c:pt>
              </c:strCache>
            </c:strRef>
          </c:cat>
          <c:val>
            <c:numRef>
              <c:f>'ESFA JUN GRAF 2025'!$B$7:$I$7</c:f>
              <c:numCache>
                <c:formatCode>_(* #,##0_);_(* \(#,##0\);_(* "-"??_);_(@_)</c:formatCode>
                <c:ptCount val="3"/>
                <c:pt idx="0">
                  <c:v>8658779.9299999997</c:v>
                </c:pt>
                <c:pt idx="2">
                  <c:v>10764303.619999999</c:v>
                </c:pt>
              </c:numCache>
            </c:numRef>
          </c:val>
          <c:extLst>
            <c:ext xmlns:c16="http://schemas.microsoft.com/office/drawing/2014/chart" uri="{C3380CC4-5D6E-409C-BE32-E72D297353CC}">
              <c16:uniqueId val="{00000002-ECA7-4BFC-96B5-50BB0ED48028}"/>
            </c:ext>
          </c:extLst>
        </c:ser>
        <c:ser>
          <c:idx val="3"/>
          <c:order val="3"/>
          <c:tx>
            <c:strRef>
              <c:f>'ESFA JUN GRAF 2025'!$A$8</c:f>
              <c:strCache>
                <c:ptCount val="1"/>
              </c:strCache>
            </c:strRef>
          </c:tx>
          <c:spPr>
            <a:solidFill>
              <a:srgbClr val="8064A2"/>
            </a:solidFill>
            <a:ln w="25400">
              <a:noFill/>
            </a:ln>
          </c:spPr>
          <c:invertIfNegative val="0"/>
          <c:cat>
            <c:strRef>
              <c:f>'ESFA JUN GRAF 2025'!$B$4:$I$4</c:f>
              <c:strCache>
                <c:ptCount val="3"/>
                <c:pt idx="0">
                  <c:v> Mayo </c:v>
                </c:pt>
                <c:pt idx="2">
                  <c:v> Junio </c:v>
                </c:pt>
              </c:strCache>
            </c:strRef>
          </c:cat>
          <c:val>
            <c:numRef>
              <c:f>'ESFA JUN GRAF 2025'!$B$8:$I$8</c:f>
            </c:numRef>
          </c:val>
          <c:extLst>
            <c:ext xmlns:c16="http://schemas.microsoft.com/office/drawing/2014/chart" uri="{C3380CC4-5D6E-409C-BE32-E72D297353CC}">
              <c16:uniqueId val="{00000003-ECA7-4BFC-96B5-50BB0ED48028}"/>
            </c:ext>
          </c:extLst>
        </c:ser>
        <c:ser>
          <c:idx val="4"/>
          <c:order val="4"/>
          <c:tx>
            <c:strRef>
              <c:f>'ESFA JUN GRAF 2025'!$A$9</c:f>
              <c:strCache>
                <c:ptCount val="1"/>
                <c:pt idx="0">
                  <c:v>CXC Administración</c:v>
                </c:pt>
              </c:strCache>
            </c:strRef>
          </c:tx>
          <c:spPr>
            <a:solidFill>
              <a:srgbClr val="4BACC6"/>
            </a:solidFill>
            <a:ln w="25400">
              <a:noFill/>
            </a:ln>
          </c:spPr>
          <c:invertIfNegative val="0"/>
          <c:cat>
            <c:strRef>
              <c:f>'ESFA JUN GRAF 2025'!$B$4:$I$4</c:f>
              <c:strCache>
                <c:ptCount val="3"/>
                <c:pt idx="0">
                  <c:v> Mayo </c:v>
                </c:pt>
                <c:pt idx="2">
                  <c:v> Junio </c:v>
                </c:pt>
              </c:strCache>
            </c:strRef>
          </c:cat>
          <c:val>
            <c:numRef>
              <c:f>'ESFA JUN GRAF 2025'!$B$9:$I$9</c:f>
              <c:numCache>
                <c:formatCode>_(* #,##0_);_(* \(#,##0\);_(* "-"??_);_(@_)</c:formatCode>
                <c:ptCount val="3"/>
                <c:pt idx="0">
                  <c:v>3942142</c:v>
                </c:pt>
                <c:pt idx="2">
                  <c:v>11341985</c:v>
                </c:pt>
              </c:numCache>
            </c:numRef>
          </c:val>
          <c:extLst>
            <c:ext xmlns:c16="http://schemas.microsoft.com/office/drawing/2014/chart" uri="{C3380CC4-5D6E-409C-BE32-E72D297353CC}">
              <c16:uniqueId val="{00000004-ECA7-4BFC-96B5-50BB0ED48028}"/>
            </c:ext>
          </c:extLst>
        </c:ser>
        <c:ser>
          <c:idx val="5"/>
          <c:order val="5"/>
          <c:tx>
            <c:strRef>
              <c:f>'ESFA JUN GRAF 2025'!$A$10</c:f>
              <c:strCache>
                <c:ptCount val="1"/>
              </c:strCache>
            </c:strRef>
          </c:tx>
          <c:spPr>
            <a:solidFill>
              <a:srgbClr val="F79646"/>
            </a:solidFill>
            <a:ln w="25400">
              <a:noFill/>
            </a:ln>
          </c:spPr>
          <c:invertIfNegative val="0"/>
          <c:cat>
            <c:strRef>
              <c:f>'ESFA JUN GRAF 2025'!$B$4:$I$4</c:f>
              <c:strCache>
                <c:ptCount val="3"/>
                <c:pt idx="0">
                  <c:v> Mayo </c:v>
                </c:pt>
                <c:pt idx="2">
                  <c:v> Junio </c:v>
                </c:pt>
              </c:strCache>
            </c:strRef>
          </c:cat>
          <c:val>
            <c:numRef>
              <c:f>'ESFA JUN GRAF 2025'!$B$10:$I$10</c:f>
            </c:numRef>
          </c:val>
          <c:extLst>
            <c:ext xmlns:c16="http://schemas.microsoft.com/office/drawing/2014/chart" uri="{C3380CC4-5D6E-409C-BE32-E72D297353CC}">
              <c16:uniqueId val="{00000005-ECA7-4BFC-96B5-50BB0ED48028}"/>
            </c:ext>
          </c:extLst>
        </c:ser>
        <c:ser>
          <c:idx val="6"/>
          <c:order val="6"/>
          <c:tx>
            <c:strRef>
              <c:f>'ESFA JUN GRAF 2025'!$A$11</c:f>
              <c:strCache>
                <c:ptCount val="1"/>
                <c:pt idx="0">
                  <c:v> Pagos sin identificar </c:v>
                </c:pt>
              </c:strCache>
            </c:strRef>
          </c:tx>
          <c:spPr>
            <a:solidFill>
              <a:srgbClr val="FF0000"/>
            </a:solidFill>
            <a:ln w="25400">
              <a:noFill/>
            </a:ln>
          </c:spPr>
          <c:invertIfNegative val="0"/>
          <c:cat>
            <c:strRef>
              <c:f>'ESFA JUN GRAF 2025'!$B$4:$I$4</c:f>
              <c:strCache>
                <c:ptCount val="3"/>
                <c:pt idx="0">
                  <c:v> Mayo </c:v>
                </c:pt>
                <c:pt idx="2">
                  <c:v> Junio </c:v>
                </c:pt>
              </c:strCache>
            </c:strRef>
          </c:cat>
          <c:val>
            <c:numRef>
              <c:f>'ESFA JUN GRAF 2025'!$B$11:$I$11</c:f>
            </c:numRef>
          </c:val>
          <c:extLst>
            <c:ext xmlns:c16="http://schemas.microsoft.com/office/drawing/2014/chart" uri="{C3380CC4-5D6E-409C-BE32-E72D297353CC}">
              <c16:uniqueId val="{00000006-ECA7-4BFC-96B5-50BB0ED48028}"/>
            </c:ext>
          </c:extLst>
        </c:ser>
        <c:ser>
          <c:idx val="7"/>
          <c:order val="7"/>
          <c:tx>
            <c:strRef>
              <c:f>'ESFA JUN GRAF 2025'!$A$12</c:f>
              <c:strCache>
                <c:ptCount val="1"/>
              </c:strCache>
            </c:strRef>
          </c:tx>
          <c:spPr>
            <a:solidFill>
              <a:schemeClr val="accent2">
                <a:lumMod val="60000"/>
              </a:schemeClr>
            </a:solidFill>
            <a:ln>
              <a:noFill/>
            </a:ln>
            <a:effectLst/>
          </c:spPr>
          <c:invertIfNegative val="0"/>
          <c:cat>
            <c:strRef>
              <c:f>'ESFA JUN GRAF 2025'!$B$4:$I$4</c:f>
              <c:strCache>
                <c:ptCount val="3"/>
                <c:pt idx="0">
                  <c:v> Mayo </c:v>
                </c:pt>
                <c:pt idx="2">
                  <c:v> Junio </c:v>
                </c:pt>
              </c:strCache>
            </c:strRef>
          </c:cat>
          <c:val>
            <c:numRef>
              <c:f>'ESFA JUN GRAF 2025'!$B$12:$I$12</c:f>
            </c:numRef>
          </c:val>
          <c:extLst>
            <c:ext xmlns:c16="http://schemas.microsoft.com/office/drawing/2014/chart" uri="{C3380CC4-5D6E-409C-BE32-E72D297353CC}">
              <c16:uniqueId val="{00000007-ECA7-4BFC-96B5-50BB0ED48028}"/>
            </c:ext>
          </c:extLst>
        </c:ser>
        <c:ser>
          <c:idx val="8"/>
          <c:order val="8"/>
          <c:tx>
            <c:strRef>
              <c:f>'ESFA JUN GRAF 2025'!$A$13</c:f>
              <c:strCache>
                <c:ptCount val="1"/>
                <c:pt idx="0">
                  <c:v> Reclamaciones a proveedores </c:v>
                </c:pt>
              </c:strCache>
            </c:strRef>
          </c:tx>
          <c:spPr>
            <a:solidFill>
              <a:schemeClr val="accent3">
                <a:lumMod val="60000"/>
              </a:schemeClr>
            </a:solidFill>
            <a:ln>
              <a:noFill/>
            </a:ln>
            <a:effectLst/>
          </c:spPr>
          <c:invertIfNegative val="0"/>
          <c:cat>
            <c:strRef>
              <c:f>'ESFA JUN GRAF 2025'!$B$4:$I$4</c:f>
              <c:strCache>
                <c:ptCount val="3"/>
                <c:pt idx="0">
                  <c:v> Mayo </c:v>
                </c:pt>
                <c:pt idx="2">
                  <c:v> Junio </c:v>
                </c:pt>
              </c:strCache>
            </c:strRef>
          </c:cat>
          <c:val>
            <c:numRef>
              <c:f>'ESFA JUN GRAF 2025'!$B$13:$I$13</c:f>
            </c:numRef>
          </c:val>
          <c:extLst>
            <c:ext xmlns:c16="http://schemas.microsoft.com/office/drawing/2014/chart" uri="{C3380CC4-5D6E-409C-BE32-E72D297353CC}">
              <c16:uniqueId val="{00000008-ECA7-4BFC-96B5-50BB0ED48028}"/>
            </c:ext>
          </c:extLst>
        </c:ser>
        <c:ser>
          <c:idx val="9"/>
          <c:order val="9"/>
          <c:tx>
            <c:strRef>
              <c:f>'ESFA JUN GRAF 2025'!$A$14</c:f>
              <c:strCache>
                <c:ptCount val="1"/>
              </c:strCache>
            </c:strRef>
          </c:tx>
          <c:spPr>
            <a:solidFill>
              <a:schemeClr val="accent4">
                <a:lumMod val="60000"/>
              </a:schemeClr>
            </a:solidFill>
            <a:ln>
              <a:noFill/>
            </a:ln>
            <a:effectLst/>
          </c:spPr>
          <c:invertIfNegative val="0"/>
          <c:cat>
            <c:strRef>
              <c:f>'ESFA JUN GRAF 2025'!$B$4:$I$4</c:f>
              <c:strCache>
                <c:ptCount val="3"/>
                <c:pt idx="0">
                  <c:v> Mayo </c:v>
                </c:pt>
                <c:pt idx="2">
                  <c:v> Junio </c:v>
                </c:pt>
              </c:strCache>
            </c:strRef>
          </c:cat>
          <c:val>
            <c:numRef>
              <c:f>'ESFA JUN GRAF 2025'!$B$14:$I$14</c:f>
            </c:numRef>
          </c:val>
          <c:extLst>
            <c:ext xmlns:c16="http://schemas.microsoft.com/office/drawing/2014/chart" uri="{C3380CC4-5D6E-409C-BE32-E72D297353CC}">
              <c16:uniqueId val="{00000009-ECA7-4BFC-96B5-50BB0ED48028}"/>
            </c:ext>
          </c:extLst>
        </c:ser>
        <c:ser>
          <c:idx val="10"/>
          <c:order val="10"/>
          <c:tx>
            <c:strRef>
              <c:f>'ESFA JUN GRAF 2025'!$A$15</c:f>
              <c:strCache>
                <c:ptCount val="1"/>
                <c:pt idx="0">
                  <c:v> Gasto por anticipado póliza seguros </c:v>
                </c:pt>
              </c:strCache>
            </c:strRef>
          </c:tx>
          <c:spPr>
            <a:solidFill>
              <a:schemeClr val="accent5">
                <a:lumMod val="60000"/>
              </a:schemeClr>
            </a:solidFill>
            <a:ln>
              <a:noFill/>
            </a:ln>
            <a:effectLst/>
          </c:spPr>
          <c:invertIfNegative val="0"/>
          <c:cat>
            <c:strRef>
              <c:f>'ESFA JUN GRAF 2025'!$B$4:$I$4</c:f>
              <c:strCache>
                <c:ptCount val="3"/>
                <c:pt idx="0">
                  <c:v> Mayo </c:v>
                </c:pt>
                <c:pt idx="2">
                  <c:v> Junio </c:v>
                </c:pt>
              </c:strCache>
            </c:strRef>
          </c:cat>
          <c:val>
            <c:numRef>
              <c:f>'ESFA JUN GRAF 2025'!$B$15:$I$15</c:f>
              <c:numCache>
                <c:formatCode>_(* #,##0_);_(* \(#,##0\);_(* "-"??_);_(@_)</c:formatCode>
                <c:ptCount val="3"/>
                <c:pt idx="0">
                  <c:v>13871914</c:v>
                </c:pt>
                <c:pt idx="2">
                  <c:v>12428599</c:v>
                </c:pt>
              </c:numCache>
            </c:numRef>
          </c:val>
          <c:extLst>
            <c:ext xmlns:c16="http://schemas.microsoft.com/office/drawing/2014/chart" uri="{C3380CC4-5D6E-409C-BE32-E72D297353CC}">
              <c16:uniqueId val="{0000000A-ECA7-4BFC-96B5-50BB0ED48028}"/>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 mayo - junio 2025 </a:t>
            </a:r>
          </a:p>
        </c:rich>
      </c:tx>
      <c:layout>
        <c:manualLayout>
          <c:xMode val="edge"/>
          <c:yMode val="edge"/>
          <c:x val="0.33427106557916819"/>
          <c:y val="4.2328042328042326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JUN GRAF 2025'!$A$51:$D$51</c:f>
              <c:strCache>
                <c:ptCount val="4"/>
                <c:pt idx="0">
                  <c:v>ACTIVO</c:v>
                </c:pt>
              </c:strCache>
            </c:strRef>
          </c:tx>
          <c:spPr>
            <a:solidFill>
              <a:srgbClr val="FFC000"/>
            </a:solidFill>
            <a:ln w="25400">
              <a:solidFill>
                <a:srgbClr val="FFC000"/>
              </a:solidFill>
            </a:ln>
          </c:spPr>
          <c:invertIfNegative val="0"/>
          <c:cat>
            <c:numRef>
              <c:f>'ESFA JUN GRAF 2025'!$E$50:$I$50</c:f>
              <c:numCache>
                <c:formatCode>mmm\-yy</c:formatCode>
                <c:ptCount val="3"/>
                <c:pt idx="0">
                  <c:v>45778</c:v>
                </c:pt>
                <c:pt idx="2">
                  <c:v>45809</c:v>
                </c:pt>
              </c:numCache>
            </c:numRef>
          </c:cat>
          <c:val>
            <c:numRef>
              <c:f>'ESFA JUN GRAF 2025'!$E$51:$I$51</c:f>
              <c:numCache>
                <c:formatCode>_(* #,##0_);_(* \(#,##0\);_(* "-"??_);_(@_)</c:formatCode>
                <c:ptCount val="3"/>
                <c:pt idx="0">
                  <c:v>79344896.689999998</c:v>
                </c:pt>
                <c:pt idx="2">
                  <c:v>82701066.25999999</c:v>
                </c:pt>
              </c:numCache>
            </c:numRef>
          </c:val>
          <c:extLst>
            <c:ext xmlns:c16="http://schemas.microsoft.com/office/drawing/2014/chart" uri="{C3380CC4-5D6E-409C-BE32-E72D297353CC}">
              <c16:uniqueId val="{00000000-C483-44F8-9AB9-DA39561301E0}"/>
            </c:ext>
          </c:extLst>
        </c:ser>
        <c:ser>
          <c:idx val="0"/>
          <c:order val="1"/>
          <c:tx>
            <c:strRef>
              <c:f>'ESFA JUN GRAF 2025'!$A$52:$D$52</c:f>
              <c:strCache>
                <c:ptCount val="4"/>
                <c:pt idx="0">
                  <c:v>PASIVO</c:v>
                </c:pt>
              </c:strCache>
            </c:strRef>
          </c:tx>
          <c:invertIfNegative val="0"/>
          <c:cat>
            <c:numRef>
              <c:f>'ESFA JUN GRAF 2025'!$E$50:$I$50</c:f>
              <c:numCache>
                <c:formatCode>mmm\-yy</c:formatCode>
                <c:ptCount val="3"/>
                <c:pt idx="0">
                  <c:v>45778</c:v>
                </c:pt>
                <c:pt idx="2">
                  <c:v>45809</c:v>
                </c:pt>
              </c:numCache>
            </c:numRef>
          </c:cat>
          <c:val>
            <c:numRef>
              <c:f>'ESFA JUN GRAF 2025'!$E$52:$I$52</c:f>
              <c:numCache>
                <c:formatCode>_(* #,##0_);_(* \(#,##0\);_(* "-"??_);_(@_)</c:formatCode>
                <c:ptCount val="3"/>
                <c:pt idx="0">
                  <c:v>29813541.060000002</c:v>
                </c:pt>
                <c:pt idx="2">
                  <c:v>53160895.030000001</c:v>
                </c:pt>
              </c:numCache>
            </c:numRef>
          </c:val>
          <c:extLst>
            <c:ext xmlns:c16="http://schemas.microsoft.com/office/drawing/2014/chart" uri="{C3380CC4-5D6E-409C-BE32-E72D297353CC}">
              <c16:uniqueId val="{00000001-C483-44F8-9AB9-DA39561301E0}"/>
            </c:ext>
          </c:extLst>
        </c:ser>
        <c:ser>
          <c:idx val="1"/>
          <c:order val="2"/>
          <c:tx>
            <c:strRef>
              <c:f>'ESFA JUN GRAF 2025'!$A$53:$D$53</c:f>
              <c:strCache>
                <c:ptCount val="4"/>
                <c:pt idx="0">
                  <c:v>PATRIMONIO</c:v>
                </c:pt>
              </c:strCache>
            </c:strRef>
          </c:tx>
          <c:invertIfNegative val="0"/>
          <c:cat>
            <c:numRef>
              <c:f>'ESFA JUN GRAF 2025'!$E$50:$I$50</c:f>
              <c:numCache>
                <c:formatCode>mmm\-yy</c:formatCode>
                <c:ptCount val="3"/>
                <c:pt idx="0">
                  <c:v>45778</c:v>
                </c:pt>
                <c:pt idx="2">
                  <c:v>45809</c:v>
                </c:pt>
              </c:numCache>
            </c:numRef>
          </c:cat>
          <c:val>
            <c:numRef>
              <c:f>'ESFA JUN GRAF 2025'!$E$53:$I$53</c:f>
              <c:numCache>
                <c:formatCode>_(* #,##0_);_(* \(#,##0\);_(* "-"??_);_(@_)</c:formatCode>
                <c:ptCount val="3"/>
                <c:pt idx="0">
                  <c:v>17194244.750000004</c:v>
                </c:pt>
                <c:pt idx="2" formatCode="#,##0">
                  <c:v>20990049.230000004</c:v>
                </c:pt>
              </c:numCache>
            </c:numRef>
          </c:val>
          <c:extLst>
            <c:ext xmlns:c16="http://schemas.microsoft.com/office/drawing/2014/chart" uri="{C3380CC4-5D6E-409C-BE32-E72D297353CC}">
              <c16:uniqueId val="{00000002-C483-44F8-9AB9-DA39561301E0}"/>
            </c:ext>
          </c:extLst>
        </c:ser>
        <c:dLbls>
          <c:showLegendKey val="0"/>
          <c:showVal val="0"/>
          <c:showCatName val="0"/>
          <c:showSerName val="0"/>
          <c:showPercent val="0"/>
          <c:showBubbleSize val="0"/>
        </c:dLbls>
        <c:gapWidth val="50"/>
        <c:axId val="1432886144"/>
        <c:axId val="1"/>
      </c:barChart>
      <c:dateAx>
        <c:axId val="1432886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6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Pasivos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mayo - junio 2025 </a:t>
            </a:r>
          </a:p>
        </c:rich>
      </c:tx>
      <c:layout>
        <c:manualLayout>
          <c:xMode val="edge"/>
          <c:yMode val="edge"/>
          <c:x val="0.52437416121554536"/>
          <c:y val="9.374524754326552E-2"/>
        </c:manualLayout>
      </c:layout>
      <c:overlay val="0"/>
      <c:spPr>
        <a:noFill/>
        <a:ln w="25400">
          <a:noFill/>
        </a:ln>
      </c:spPr>
    </c:title>
    <c:autoTitleDeleted val="0"/>
    <c:plotArea>
      <c:layout>
        <c:manualLayout>
          <c:layoutTarget val="inner"/>
          <c:xMode val="edge"/>
          <c:yMode val="edge"/>
          <c:x val="0.2252058599945567"/>
          <c:y val="4.806598383645317E-2"/>
          <c:w val="0.74857244751438257"/>
          <c:h val="0.53395342073006047"/>
        </c:manualLayout>
      </c:layout>
      <c:barChart>
        <c:barDir val="col"/>
        <c:grouping val="clustered"/>
        <c:varyColors val="0"/>
        <c:ser>
          <c:idx val="0"/>
          <c:order val="0"/>
          <c:tx>
            <c:strRef>
              <c:f>'ESFA JUN GRAF 2025'!$A$23</c:f>
              <c:strCache>
                <c:ptCount val="1"/>
                <c:pt idx="0">
                  <c:v> CXP  honorarios </c:v>
                </c:pt>
              </c:strCache>
            </c:strRef>
          </c:tx>
          <c:spPr>
            <a:solidFill>
              <a:schemeClr val="tx2">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2025'!$B$23:$I$23</c:f>
              <c:numCache>
                <c:formatCode>_(* #,##0_);_(* \(#,##0\);_(* "-"??_);_(@_)</c:formatCode>
                <c:ptCount val="3"/>
                <c:pt idx="0">
                  <c:v>534252</c:v>
                </c:pt>
                <c:pt idx="2">
                  <c:v>727051</c:v>
                </c:pt>
              </c:numCache>
            </c:numRef>
          </c:val>
          <c:extLst>
            <c:ext xmlns:c16="http://schemas.microsoft.com/office/drawing/2014/chart" uri="{C3380CC4-5D6E-409C-BE32-E72D297353CC}">
              <c16:uniqueId val="{00000000-297E-4E2D-A4C7-1F99E79A2203}"/>
            </c:ext>
          </c:extLst>
        </c:ser>
        <c:ser>
          <c:idx val="1"/>
          <c:order val="1"/>
          <c:tx>
            <c:strRef>
              <c:f>'ESFA JUN GRAF 2025'!$A$24</c:f>
              <c:strCache>
                <c:ptCount val="1"/>
              </c:strCache>
            </c:strRef>
          </c:tx>
          <c:spPr>
            <a:solidFill>
              <a:srgbClr val="C0504D"/>
            </a:solidFill>
            <a:ln w="25400">
              <a:noFill/>
            </a:ln>
          </c:spPr>
          <c:invertIfNegative val="0"/>
          <c:cat>
            <c:strRef>
              <c:f>'ESFA JUN GRAF 2025'!$B$22:$I$22</c:f>
              <c:strCache>
                <c:ptCount val="3"/>
                <c:pt idx="0">
                  <c:v> Mayo </c:v>
                </c:pt>
                <c:pt idx="2">
                  <c:v> Junio </c:v>
                </c:pt>
              </c:strCache>
            </c:strRef>
          </c:cat>
          <c:val>
            <c:numRef>
              <c:f>'ESFA JUN GRAF 2025'!$B$24:$I$24</c:f>
            </c:numRef>
          </c:val>
          <c:extLst>
            <c:ext xmlns:c16="http://schemas.microsoft.com/office/drawing/2014/chart" uri="{C3380CC4-5D6E-409C-BE32-E72D297353CC}">
              <c16:uniqueId val="{00000001-297E-4E2D-A4C7-1F99E79A2203}"/>
            </c:ext>
          </c:extLst>
        </c:ser>
        <c:ser>
          <c:idx val="2"/>
          <c:order val="2"/>
          <c:tx>
            <c:strRef>
              <c:f>'ESFA JUN GRAF 2025'!$A$25</c:f>
              <c:strCache>
                <c:ptCount val="1"/>
                <c:pt idx="0">
                  <c:v>CXP </c:v>
                </c:pt>
              </c:strCache>
            </c:strRef>
          </c:tx>
          <c:spPr>
            <a:solidFill>
              <a:schemeClr val="accent6">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2025'!$B$25:$I$25</c:f>
            </c:numRef>
          </c:val>
          <c:extLst>
            <c:ext xmlns:c16="http://schemas.microsoft.com/office/drawing/2014/chart" uri="{C3380CC4-5D6E-409C-BE32-E72D297353CC}">
              <c16:uniqueId val="{00000002-297E-4E2D-A4C7-1F99E79A2203}"/>
            </c:ext>
          </c:extLst>
        </c:ser>
        <c:ser>
          <c:idx val="3"/>
          <c:order val="3"/>
          <c:tx>
            <c:strRef>
              <c:f>'ESFA JUN GRAF 2025'!$A$26</c:f>
              <c:strCache>
                <c:ptCount val="1"/>
              </c:strCache>
            </c:strRef>
          </c:tx>
          <c:spPr>
            <a:solidFill>
              <a:srgbClr val="8064A2"/>
            </a:solidFill>
            <a:ln w="25400">
              <a:noFill/>
            </a:ln>
          </c:spPr>
          <c:invertIfNegative val="0"/>
          <c:cat>
            <c:strRef>
              <c:f>'ESFA JUN GRAF 2025'!$B$22:$I$22</c:f>
              <c:strCache>
                <c:ptCount val="3"/>
                <c:pt idx="0">
                  <c:v> Mayo </c:v>
                </c:pt>
                <c:pt idx="2">
                  <c:v> Junio </c:v>
                </c:pt>
              </c:strCache>
            </c:strRef>
          </c:cat>
          <c:val>
            <c:numRef>
              <c:f>'ESFA JUN GRAF 2025'!$B$26:$I$26</c:f>
            </c:numRef>
          </c:val>
          <c:extLst>
            <c:ext xmlns:c16="http://schemas.microsoft.com/office/drawing/2014/chart" uri="{C3380CC4-5D6E-409C-BE32-E72D297353CC}">
              <c16:uniqueId val="{00000003-297E-4E2D-A4C7-1F99E79A2203}"/>
            </c:ext>
          </c:extLst>
        </c:ser>
        <c:ser>
          <c:idx val="4"/>
          <c:order val="4"/>
          <c:tx>
            <c:strRef>
              <c:f>'ESFA JUN GRAF 2025'!$A$27</c:f>
              <c:strCache>
                <c:ptCount val="1"/>
                <c:pt idx="0">
                  <c:v>CXP Impuestos</c:v>
                </c:pt>
              </c:strCache>
            </c:strRef>
          </c:tx>
          <c:spPr>
            <a:solidFill>
              <a:srgbClr val="FF0000"/>
            </a:solidFill>
            <a:ln w="25400">
              <a:noFill/>
            </a:ln>
          </c:spPr>
          <c:invertIfNegative val="0"/>
          <c:cat>
            <c:strRef>
              <c:f>'ESFA JUN GRAF 2025'!$B$22:$I$22</c:f>
              <c:strCache>
                <c:ptCount val="3"/>
                <c:pt idx="0">
                  <c:v> Mayo </c:v>
                </c:pt>
                <c:pt idx="2">
                  <c:v> Junio </c:v>
                </c:pt>
              </c:strCache>
            </c:strRef>
          </c:cat>
          <c:val>
            <c:numRef>
              <c:f>'ESFA JUN GRAF 2025'!$B$27:$I$27</c:f>
              <c:numCache>
                <c:formatCode>_(* #,##0_);_(* \(#,##0\);_(* "-"??_);_(@_)</c:formatCode>
                <c:ptCount val="3"/>
                <c:pt idx="0">
                  <c:v>102902.06</c:v>
                </c:pt>
                <c:pt idx="2">
                  <c:v>62996.27</c:v>
                </c:pt>
              </c:numCache>
            </c:numRef>
          </c:val>
          <c:extLst>
            <c:ext xmlns:c16="http://schemas.microsoft.com/office/drawing/2014/chart" uri="{C3380CC4-5D6E-409C-BE32-E72D297353CC}">
              <c16:uniqueId val="{00000004-297E-4E2D-A4C7-1F99E79A2203}"/>
            </c:ext>
          </c:extLst>
        </c:ser>
        <c:ser>
          <c:idx val="5"/>
          <c:order val="5"/>
          <c:tx>
            <c:strRef>
              <c:f>'ESFA JUN GRAF 2025'!$A$28</c:f>
              <c:strCache>
                <c:ptCount val="1"/>
              </c:strCache>
            </c:strRef>
          </c:tx>
          <c:spPr>
            <a:solidFill>
              <a:srgbClr val="F79646"/>
            </a:solidFill>
            <a:ln w="25400">
              <a:noFill/>
            </a:ln>
          </c:spPr>
          <c:invertIfNegative val="0"/>
          <c:cat>
            <c:strRef>
              <c:f>'ESFA JUN GRAF 2025'!$B$22:$I$22</c:f>
              <c:strCache>
                <c:ptCount val="3"/>
                <c:pt idx="0">
                  <c:v> Mayo </c:v>
                </c:pt>
                <c:pt idx="2">
                  <c:v> Junio </c:v>
                </c:pt>
              </c:strCache>
            </c:strRef>
          </c:cat>
          <c:val>
            <c:numRef>
              <c:f>'ESFA JUN GRAF 2025'!$B$28:$I$28</c:f>
            </c:numRef>
          </c:val>
          <c:extLst>
            <c:ext xmlns:c16="http://schemas.microsoft.com/office/drawing/2014/chart" uri="{C3380CC4-5D6E-409C-BE32-E72D297353CC}">
              <c16:uniqueId val="{00000005-297E-4E2D-A4C7-1F99E79A2203}"/>
            </c:ext>
          </c:extLst>
        </c:ser>
        <c:ser>
          <c:idx val="6"/>
          <c:order val="6"/>
          <c:tx>
            <c:strRef>
              <c:f>'ESFA JUN GRAF 2025'!$A$29</c:f>
              <c:strCache>
                <c:ptCount val="1"/>
                <c:pt idx="0">
                  <c:v>Reclamación Seguro</c:v>
                </c:pt>
              </c:strCache>
            </c:strRef>
          </c:tx>
          <c:spPr>
            <a:solidFill>
              <a:schemeClr val="accent1">
                <a:lumMod val="60000"/>
              </a:schemeClr>
            </a:solidFill>
            <a:ln>
              <a:noFill/>
            </a:ln>
            <a:effectLst/>
          </c:spPr>
          <c:invertIfNegative val="0"/>
          <c:cat>
            <c:strRef>
              <c:f>'ESFA JUN GRAF 2025'!$B$22:$I$22</c:f>
              <c:strCache>
                <c:ptCount val="3"/>
                <c:pt idx="0">
                  <c:v> Mayo </c:v>
                </c:pt>
                <c:pt idx="2">
                  <c:v> Junio </c:v>
                </c:pt>
              </c:strCache>
            </c:strRef>
          </c:cat>
          <c:val>
            <c:numRef>
              <c:f>'ESFA JUN GRAF 2025'!$B$29:$I$29</c:f>
            </c:numRef>
          </c:val>
          <c:extLst>
            <c:ext xmlns:c16="http://schemas.microsoft.com/office/drawing/2014/chart" uri="{C3380CC4-5D6E-409C-BE32-E72D297353CC}">
              <c16:uniqueId val="{00000006-297E-4E2D-A4C7-1F99E79A2203}"/>
            </c:ext>
          </c:extLst>
        </c:ser>
        <c:ser>
          <c:idx val="7"/>
          <c:order val="7"/>
          <c:tx>
            <c:strRef>
              <c:f>'ESFA JUN GRAF 2025'!$A$30</c:f>
              <c:strCache>
                <c:ptCount val="1"/>
              </c:strCache>
            </c:strRef>
          </c:tx>
          <c:spPr>
            <a:solidFill>
              <a:schemeClr val="accent2">
                <a:lumMod val="60000"/>
              </a:schemeClr>
            </a:solidFill>
            <a:ln>
              <a:noFill/>
            </a:ln>
            <a:effectLst/>
          </c:spPr>
          <c:invertIfNegative val="0"/>
          <c:cat>
            <c:strRef>
              <c:f>'ESFA JUN GRAF 2025'!$B$22:$I$22</c:f>
              <c:strCache>
                <c:ptCount val="3"/>
                <c:pt idx="0">
                  <c:v> Mayo </c:v>
                </c:pt>
                <c:pt idx="2">
                  <c:v> Junio </c:v>
                </c:pt>
              </c:strCache>
            </c:strRef>
          </c:cat>
          <c:val>
            <c:numRef>
              <c:f>'ESFA JUN GRAF 2025'!$B$30:$I$30</c:f>
            </c:numRef>
          </c:val>
          <c:extLst>
            <c:ext xmlns:c16="http://schemas.microsoft.com/office/drawing/2014/chart" uri="{C3380CC4-5D6E-409C-BE32-E72D297353CC}">
              <c16:uniqueId val="{00000007-297E-4E2D-A4C7-1F99E79A2203}"/>
            </c:ext>
          </c:extLst>
        </c:ser>
        <c:ser>
          <c:idx val="8"/>
          <c:order val="8"/>
          <c:tx>
            <c:strRef>
              <c:f>'ESFA JUN GRAF 2025'!$A$31</c:f>
              <c:strCache>
                <c:ptCount val="1"/>
                <c:pt idx="0">
                  <c:v>Cuotas extras 2023</c:v>
                </c:pt>
              </c:strCache>
            </c:strRef>
          </c:tx>
          <c:spPr>
            <a:solidFill>
              <a:srgbClr val="92D050"/>
            </a:solidFill>
            <a:ln w="25400">
              <a:noFill/>
            </a:ln>
          </c:spPr>
          <c:invertIfNegative val="0"/>
          <c:cat>
            <c:strRef>
              <c:f>'ESFA JUN GRAF 2025'!$B$22:$I$22</c:f>
              <c:strCache>
                <c:ptCount val="3"/>
                <c:pt idx="0">
                  <c:v> Mayo </c:v>
                </c:pt>
                <c:pt idx="2">
                  <c:v> Junio </c:v>
                </c:pt>
              </c:strCache>
            </c:strRef>
          </c:cat>
          <c:val>
            <c:numRef>
              <c:f>'ESFA JUN GRAF 2025'!$B$31:$I$31</c:f>
            </c:numRef>
          </c:val>
          <c:extLst>
            <c:ext xmlns:c16="http://schemas.microsoft.com/office/drawing/2014/chart" uri="{C3380CC4-5D6E-409C-BE32-E72D297353CC}">
              <c16:uniqueId val="{00000008-297E-4E2D-A4C7-1F99E79A2203}"/>
            </c:ext>
          </c:extLst>
        </c:ser>
        <c:ser>
          <c:idx val="9"/>
          <c:order val="9"/>
          <c:tx>
            <c:strRef>
              <c:f>'ESFA JUN GRAF 2025'!$A$32</c:f>
              <c:strCache>
                <c:ptCount val="1"/>
              </c:strCache>
            </c:strRef>
          </c:tx>
          <c:spPr>
            <a:solidFill>
              <a:schemeClr val="accent4">
                <a:lumMod val="60000"/>
              </a:schemeClr>
            </a:solidFill>
            <a:ln>
              <a:noFill/>
            </a:ln>
            <a:effectLst/>
          </c:spPr>
          <c:invertIfNegative val="0"/>
          <c:cat>
            <c:strRef>
              <c:f>'ESFA JUN GRAF 2025'!$B$22:$I$22</c:f>
              <c:strCache>
                <c:ptCount val="3"/>
                <c:pt idx="0">
                  <c:v> Mayo </c:v>
                </c:pt>
                <c:pt idx="2">
                  <c:v> Junio </c:v>
                </c:pt>
              </c:strCache>
            </c:strRef>
          </c:cat>
          <c:val>
            <c:numRef>
              <c:f>'ESFA JUN GRAF 2025'!$B$32:$I$32</c:f>
            </c:numRef>
          </c:val>
          <c:extLst>
            <c:ext xmlns:c16="http://schemas.microsoft.com/office/drawing/2014/chart" uri="{C3380CC4-5D6E-409C-BE32-E72D297353CC}">
              <c16:uniqueId val="{00000009-297E-4E2D-A4C7-1F99E79A2203}"/>
            </c:ext>
          </c:extLst>
        </c:ser>
        <c:ser>
          <c:idx val="10"/>
          <c:order val="10"/>
          <c:tx>
            <c:strRef>
              <c:f>'ESFA JUN GRAF 2025'!$A$33</c:f>
              <c:strCache>
                <c:ptCount val="1"/>
                <c:pt idx="0">
                  <c:v>Saldo Inversión vigilancia</c:v>
                </c:pt>
              </c:strCache>
            </c:strRef>
          </c:tx>
          <c:spPr>
            <a:solidFill>
              <a:schemeClr val="accent3">
                <a:lumMod val="75000"/>
              </a:schemeClr>
            </a:solidFill>
            <a:ln>
              <a:noFill/>
            </a:ln>
            <a:effectLst/>
          </c:spPr>
          <c:invertIfNegative val="0"/>
          <c:cat>
            <c:strRef>
              <c:f>'ESFA JUN GRAF 2025'!$B$22:$I$22</c:f>
              <c:strCache>
                <c:ptCount val="3"/>
                <c:pt idx="0">
                  <c:v> Mayo </c:v>
                </c:pt>
                <c:pt idx="2">
                  <c:v> Junio </c:v>
                </c:pt>
              </c:strCache>
            </c:strRef>
          </c:cat>
          <c:val>
            <c:numRef>
              <c:f>'ESFA JUN GRAF 2025'!$B$33:$I$33</c:f>
            </c:numRef>
          </c:val>
          <c:extLst>
            <c:ext xmlns:c16="http://schemas.microsoft.com/office/drawing/2014/chart" uri="{C3380CC4-5D6E-409C-BE32-E72D297353CC}">
              <c16:uniqueId val="{0000000A-297E-4E2D-A4C7-1F99E79A2203}"/>
            </c:ext>
          </c:extLst>
        </c:ser>
        <c:ser>
          <c:idx val="11"/>
          <c:order val="11"/>
          <c:tx>
            <c:strRef>
              <c:f>'ESFA JUN GRAF 2025'!$A$34</c:f>
              <c:strCache>
                <c:ptCount val="1"/>
              </c:strCache>
            </c:strRef>
          </c:tx>
          <c:invertIfNegative val="0"/>
          <c:cat>
            <c:strRef>
              <c:f>'ESFA JUN GRAF 2025'!$B$22:$I$22</c:f>
              <c:strCache>
                <c:ptCount val="3"/>
                <c:pt idx="0">
                  <c:v> Mayo </c:v>
                </c:pt>
                <c:pt idx="2">
                  <c:v> Junio </c:v>
                </c:pt>
              </c:strCache>
            </c:strRef>
          </c:cat>
          <c:val>
            <c:numRef>
              <c:f>'ESFA JUN GRAF 2025'!$B$34:$I$34</c:f>
            </c:numRef>
          </c:val>
          <c:extLst>
            <c:ext xmlns:c16="http://schemas.microsoft.com/office/drawing/2014/chart" uri="{C3380CC4-5D6E-409C-BE32-E72D297353CC}">
              <c16:uniqueId val="{0000000B-297E-4E2D-A4C7-1F99E79A2203}"/>
            </c:ext>
          </c:extLst>
        </c:ser>
        <c:ser>
          <c:idx val="12"/>
          <c:order val="12"/>
          <c:tx>
            <c:strRef>
              <c:f>'ESFA JUN GRAF 2025'!$A$35</c:f>
              <c:strCache>
                <c:ptCount val="1"/>
                <c:pt idx="0">
                  <c:v>Cuota extra 2024</c:v>
                </c:pt>
              </c:strCache>
            </c:strRef>
          </c:tx>
          <c:spPr>
            <a:solidFill>
              <a:srgbClr val="FF0000"/>
            </a:solidFill>
          </c:spPr>
          <c:invertIfNegative val="0"/>
          <c:cat>
            <c:strRef>
              <c:f>'ESFA JUN GRAF 2025'!$B$22:$I$22</c:f>
              <c:strCache>
                <c:ptCount val="3"/>
                <c:pt idx="0">
                  <c:v> Mayo </c:v>
                </c:pt>
                <c:pt idx="2">
                  <c:v> Junio </c:v>
                </c:pt>
              </c:strCache>
            </c:strRef>
          </c:cat>
          <c:val>
            <c:numRef>
              <c:f>'ESFA JUN GRAF 2025'!$B$35:$I$35</c:f>
              <c:numCache>
                <c:formatCode>_(* #,##0_);_(* \(#,##0\);_(* "-"??_);_(@_)</c:formatCode>
                <c:ptCount val="3"/>
                <c:pt idx="0">
                  <c:v>45463372.880000003</c:v>
                </c:pt>
                <c:pt idx="2">
                  <c:v>44870844.759999998</c:v>
                </c:pt>
              </c:numCache>
            </c:numRef>
          </c:val>
          <c:extLst>
            <c:ext xmlns:c16="http://schemas.microsoft.com/office/drawing/2014/chart" uri="{C3380CC4-5D6E-409C-BE32-E72D297353CC}">
              <c16:uniqueId val="{0000000C-297E-4E2D-A4C7-1F99E79A2203}"/>
            </c:ext>
          </c:extLst>
        </c:ser>
        <c:ser>
          <c:idx val="13"/>
          <c:order val="13"/>
          <c:tx>
            <c:strRef>
              <c:f>'ESFA JUN GRAF 2025'!$A$36</c:f>
              <c:strCache>
                <c:ptCount val="1"/>
                <c:pt idx="0">
                  <c:v>Cuota extra 2025</c:v>
                </c:pt>
              </c:strCache>
            </c:strRef>
          </c:tx>
          <c:spPr>
            <a:solidFill>
              <a:schemeClr val="accent3">
                <a:lumMod val="60000"/>
                <a:lumOff val="40000"/>
              </a:schemeClr>
            </a:solidFill>
          </c:spPr>
          <c:invertIfNegative val="0"/>
          <c:cat>
            <c:strRef>
              <c:f>'ESFA JUN GRAF 2025'!$B$22:$I$22</c:f>
              <c:strCache>
                <c:ptCount val="3"/>
                <c:pt idx="0">
                  <c:v> Mayo </c:v>
                </c:pt>
                <c:pt idx="2">
                  <c:v> Junio </c:v>
                </c:pt>
              </c:strCache>
            </c:strRef>
          </c:cat>
          <c:val>
            <c:numRef>
              <c:f>'ESFA JUN GRAF 2025'!$B$36:$I$36</c:f>
              <c:numCache>
                <c:formatCode>_(* #,##0_);_(* \(#,##0\);_(* "-"??_);_(@_)</c:formatCode>
                <c:ptCount val="3"/>
                <c:pt idx="0">
                  <c:v>7500003</c:v>
                </c:pt>
                <c:pt idx="2">
                  <c:v>7500003</c:v>
                </c:pt>
              </c:numCache>
            </c:numRef>
          </c:val>
          <c:extLst>
            <c:ext xmlns:c16="http://schemas.microsoft.com/office/drawing/2014/chart" uri="{C3380CC4-5D6E-409C-BE32-E72D297353CC}">
              <c16:uniqueId val="{0000000D-297E-4E2D-A4C7-1F99E79A2203}"/>
            </c:ext>
          </c:extLst>
        </c:ser>
        <c:dLbls>
          <c:showLegendKey val="0"/>
          <c:showVal val="0"/>
          <c:showCatName val="0"/>
          <c:showSerName val="0"/>
          <c:showPercent val="0"/>
          <c:showBubbleSize val="0"/>
        </c:dLbls>
        <c:gapWidth val="50"/>
        <c:axId val="1432899104"/>
        <c:axId val="1"/>
      </c:barChart>
      <c:catAx>
        <c:axId val="143289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99104"/>
        <c:crosses val="autoZero"/>
        <c:crossBetween val="between"/>
      </c:valAx>
      <c:dTable>
        <c:showHorzBorder val="1"/>
        <c:showVertBorder val="1"/>
        <c:showOutline val="1"/>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900" b="1"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abril - mayo 2025 </a:t>
            </a:r>
          </a:p>
        </c:rich>
      </c:tx>
      <c:layout>
        <c:manualLayout>
          <c:xMode val="edge"/>
          <c:yMode val="edge"/>
          <c:x val="0.52065099389458036"/>
          <c:y val="5.2910052910052907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MAY GRAF'!$A$41</c:f>
              <c:strCache>
                <c:ptCount val="1"/>
                <c:pt idx="0">
                  <c:v>Reserva de ley 675 2001</c:v>
                </c:pt>
              </c:strCache>
            </c:strRef>
          </c:tx>
          <c:spPr>
            <a:solidFill>
              <a:srgbClr val="FFC000"/>
            </a:solidFill>
            <a:ln w="25400">
              <a:solidFill>
                <a:srgbClr val="FFC000"/>
              </a:solidFill>
            </a:ln>
          </c:spPr>
          <c:invertIfNegative val="0"/>
          <c:cat>
            <c:strRef>
              <c:f>'ESFA MAY GRAF'!$B$40:$G$40</c:f>
              <c:strCache>
                <c:ptCount val="3"/>
                <c:pt idx="0">
                  <c:v> Abril </c:v>
                </c:pt>
                <c:pt idx="2">
                  <c:v> Mayo </c:v>
                </c:pt>
              </c:strCache>
            </c:strRef>
          </c:cat>
          <c:val>
            <c:numRef>
              <c:f>'ESFA MAY GRAF'!$B$41:$G$41</c:f>
              <c:numCache>
                <c:formatCode>_(* #,##0_);_(* \(#,##0\);_(* "-"??_);_(@_)</c:formatCode>
                <c:ptCount val="3"/>
                <c:pt idx="0">
                  <c:v>9476606.8800000008</c:v>
                </c:pt>
                <c:pt idx="2">
                  <c:v>9773964.8800000008</c:v>
                </c:pt>
              </c:numCache>
            </c:numRef>
          </c:val>
          <c:extLst>
            <c:ext xmlns:c16="http://schemas.microsoft.com/office/drawing/2014/chart" uri="{C3380CC4-5D6E-409C-BE32-E72D297353CC}">
              <c16:uniqueId val="{00000000-EF80-44B4-8E45-BE976B20E03C}"/>
            </c:ext>
          </c:extLst>
        </c:ser>
        <c:ser>
          <c:idx val="14"/>
          <c:order val="1"/>
          <c:tx>
            <c:strRef>
              <c:f>'ESFA MAY GRAF'!$A$42</c:f>
              <c:strCache>
                <c:ptCount val="1"/>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GRAF'!$B$42:$G$42</c:f>
            </c:numRef>
          </c:val>
          <c:extLst>
            <c:ext xmlns:c16="http://schemas.microsoft.com/office/drawing/2014/chart" uri="{C3380CC4-5D6E-409C-BE32-E72D297353CC}">
              <c16:uniqueId val="{00000001-EF80-44B4-8E45-BE976B20E03C}"/>
            </c:ext>
          </c:extLst>
        </c:ser>
        <c:ser>
          <c:idx val="15"/>
          <c:order val="2"/>
          <c:tx>
            <c:strRef>
              <c:f>'ESFA MAY GRAF'!$A$43</c:f>
              <c:strCache>
                <c:ptCount val="1"/>
                <c:pt idx="0">
                  <c:v>Resultados del presente ejercicio</c:v>
                </c:pt>
              </c:strCache>
            </c:strRef>
          </c:tx>
          <c:spPr>
            <a:solidFill>
              <a:srgbClr val="92D050"/>
            </a:solidFill>
            <a:ln w="25400">
              <a:noFill/>
            </a:ln>
          </c:spPr>
          <c:invertIfNegative val="0"/>
          <c:cat>
            <c:strRef>
              <c:f>'ESFA MAY GRAF'!$B$40:$G$40</c:f>
              <c:strCache>
                <c:ptCount val="3"/>
                <c:pt idx="0">
                  <c:v> Abril </c:v>
                </c:pt>
                <c:pt idx="2">
                  <c:v> Mayo </c:v>
                </c:pt>
              </c:strCache>
            </c:strRef>
          </c:cat>
          <c:val>
            <c:numRef>
              <c:f>'ESFA MAY GRAF'!$B$43:$G$43</c:f>
              <c:numCache>
                <c:formatCode>_(* #,##0_);_(* \(#,##0\);_(* "-"??_);_(@_)</c:formatCode>
                <c:ptCount val="3"/>
                <c:pt idx="0">
                  <c:v>6876070.4199999999</c:v>
                </c:pt>
                <c:pt idx="2">
                  <c:v>7171827.1300000064</c:v>
                </c:pt>
              </c:numCache>
            </c:numRef>
          </c:val>
          <c:extLst>
            <c:ext xmlns:c16="http://schemas.microsoft.com/office/drawing/2014/chart" uri="{C3380CC4-5D6E-409C-BE32-E72D297353CC}">
              <c16:uniqueId val="{00000002-EF80-44B4-8E45-BE976B20E03C}"/>
            </c:ext>
          </c:extLst>
        </c:ser>
        <c:ser>
          <c:idx val="16"/>
          <c:order val="3"/>
          <c:tx>
            <c:strRef>
              <c:f>'ESFA MAY GRAF'!$A$44</c:f>
              <c:strCache>
                <c:ptCount val="1"/>
              </c:strCache>
            </c:strRef>
          </c:tx>
          <c:spPr>
            <a:solidFill>
              <a:srgbClr val="8064A2"/>
            </a:solidFill>
            <a:ln w="25400">
              <a:noFill/>
            </a:ln>
          </c:spPr>
          <c:invertIfNegative val="0"/>
          <c:cat>
            <c:strRef>
              <c:f>'ESFA MAY GRAF'!$B$40:$G$40</c:f>
              <c:strCache>
                <c:ptCount val="3"/>
                <c:pt idx="0">
                  <c:v> Abril </c:v>
                </c:pt>
                <c:pt idx="2">
                  <c:v> Mayo </c:v>
                </c:pt>
              </c:strCache>
            </c:strRef>
          </c:cat>
          <c:val>
            <c:numRef>
              <c:f>'ESFA MAY GRAF'!$B$44:$G$44</c:f>
            </c:numRef>
          </c:val>
          <c:extLst>
            <c:ext xmlns:c16="http://schemas.microsoft.com/office/drawing/2014/chart" uri="{C3380CC4-5D6E-409C-BE32-E72D297353CC}">
              <c16:uniqueId val="{00000003-EF80-44B4-8E45-BE976B20E03C}"/>
            </c:ext>
          </c:extLst>
        </c:ser>
        <c:ser>
          <c:idx val="17"/>
          <c:order val="4"/>
          <c:tx>
            <c:strRef>
              <c:f>'ESFA MAY GRAF'!$A$45</c:f>
              <c:strCache>
                <c:ptCount val="1"/>
                <c:pt idx="0">
                  <c:v>Excedente- reconocimiento talud</c:v>
                </c:pt>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GRAF'!$B$45:$G$45</c:f>
              <c:numCache>
                <c:formatCode>_(* #,##0_);_(* \(#,##0\);_(* "-"??_);_(@_)</c:formatCode>
                <c:ptCount val="3"/>
                <c:pt idx="0">
                  <c:v>0</c:v>
                </c:pt>
                <c:pt idx="2">
                  <c:v>248452.74</c:v>
                </c:pt>
              </c:numCache>
            </c:numRef>
          </c:val>
          <c:extLst>
            <c:ext xmlns:c16="http://schemas.microsoft.com/office/drawing/2014/chart" uri="{C3380CC4-5D6E-409C-BE32-E72D297353CC}">
              <c16:uniqueId val="{00000004-EF80-44B4-8E45-BE976B20E03C}"/>
            </c:ext>
          </c:extLst>
        </c:ser>
        <c:dLbls>
          <c:showLegendKey val="0"/>
          <c:showVal val="0"/>
          <c:showCatName val="0"/>
          <c:showSerName val="0"/>
          <c:showPercent val="0"/>
          <c:showBubbleSize val="0"/>
        </c:dLbls>
        <c:gapWidth val="50"/>
        <c:axId val="1432901984"/>
        <c:axId val="1"/>
      </c:barChart>
      <c:catAx>
        <c:axId val="143290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01984"/>
        <c:crosses val="autoZero"/>
        <c:crossBetween val="between"/>
      </c:valAx>
      <c:dTable>
        <c:showHorzBorder val="1"/>
        <c:showVertBorder val="1"/>
        <c:showOutline val="1"/>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O"/>
              <a:t>Diferencia entre Presupuesto acumulado aprobado</a:t>
            </a:r>
            <a:r>
              <a:rPr lang="es-CO" baseline="0"/>
              <a:t> </a:t>
            </a:r>
            <a:r>
              <a:rPr lang="es-CO"/>
              <a:t>y real ejecutado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ESTAD RESUL 2025'!$B$81</c:f>
              <c:strCache>
                <c:ptCount val="1"/>
                <c:pt idx="0">
                  <c:v>Ingresos operacionales pptados</c:v>
                </c:pt>
              </c:strCache>
            </c:strRef>
          </c:tx>
          <c:spPr>
            <a:solidFill>
              <a:schemeClr val="accent3">
                <a:lumMod val="75000"/>
              </a:schemeClr>
            </a:solidFill>
            <a:ln>
              <a:noFill/>
            </a:ln>
            <a:effectLst/>
          </c:spPr>
          <c:invertIfNegative val="0"/>
          <c:cat>
            <c:numRef>
              <c:f>'TABLA ESTAD RESUL 2025'!$C$80:$L$80</c:f>
              <c:numCache>
                <c:formatCode>mmm\-yy</c:formatCode>
                <c:ptCount val="2"/>
                <c:pt idx="0">
                  <c:v>45839</c:v>
                </c:pt>
                <c:pt idx="1">
                  <c:v>45870</c:v>
                </c:pt>
              </c:numCache>
            </c:numRef>
          </c:cat>
          <c:val>
            <c:numRef>
              <c:f>'TABLA ESTAD RESUL 2025'!$C$81:$L$81</c:f>
              <c:numCache>
                <c:formatCode>#,##0</c:formatCode>
                <c:ptCount val="2"/>
                <c:pt idx="0">
                  <c:v>29735584</c:v>
                </c:pt>
                <c:pt idx="1">
                  <c:v>29735584</c:v>
                </c:pt>
              </c:numCache>
            </c:numRef>
          </c:val>
          <c:extLst>
            <c:ext xmlns:c16="http://schemas.microsoft.com/office/drawing/2014/chart" uri="{C3380CC4-5D6E-409C-BE32-E72D297353CC}">
              <c16:uniqueId val="{00000000-EDF9-4132-A32A-301DA37EDE7C}"/>
            </c:ext>
          </c:extLst>
        </c:ser>
        <c:ser>
          <c:idx val="1"/>
          <c:order val="1"/>
          <c:tx>
            <c:strRef>
              <c:f>'TABLA ESTAD RESUL 2025'!$B$82</c:f>
              <c:strCache>
                <c:ptCount val="1"/>
                <c:pt idx="0">
                  <c:v>Ingresos operacionales reales</c:v>
                </c:pt>
              </c:strCache>
            </c:strRef>
          </c:tx>
          <c:spPr>
            <a:solidFill>
              <a:srgbClr val="C0504D"/>
            </a:solidFill>
            <a:ln w="25400">
              <a:noFill/>
            </a:ln>
          </c:spPr>
          <c:invertIfNegative val="0"/>
          <c:cat>
            <c:numRef>
              <c:f>'TABLA ESTAD RESUL 2025'!$C$80:$L$80</c:f>
              <c:numCache>
                <c:formatCode>mmm\-yy</c:formatCode>
                <c:ptCount val="2"/>
                <c:pt idx="0">
                  <c:v>45839</c:v>
                </c:pt>
                <c:pt idx="1">
                  <c:v>45870</c:v>
                </c:pt>
              </c:numCache>
            </c:numRef>
          </c:cat>
          <c:val>
            <c:numRef>
              <c:f>'TABLA ESTAD RESUL 2025'!$C$82:$L$82</c:f>
              <c:numCache>
                <c:formatCode>#,##0</c:formatCode>
                <c:ptCount val="2"/>
                <c:pt idx="0">
                  <c:v>30337759.760000002</c:v>
                </c:pt>
                <c:pt idx="1">
                  <c:v>30255290.699999999</c:v>
                </c:pt>
              </c:numCache>
            </c:numRef>
          </c:val>
          <c:extLst>
            <c:ext xmlns:c16="http://schemas.microsoft.com/office/drawing/2014/chart" uri="{C3380CC4-5D6E-409C-BE32-E72D297353CC}">
              <c16:uniqueId val="{00000001-EDF9-4132-A32A-301DA37EDE7C}"/>
            </c:ext>
          </c:extLst>
        </c:ser>
        <c:ser>
          <c:idx val="2"/>
          <c:order val="2"/>
          <c:tx>
            <c:strRef>
              <c:f>'TABLA ESTAD RESUL 2025'!$B$83</c:f>
              <c:strCache>
                <c:ptCount val="1"/>
                <c:pt idx="0">
                  <c:v>Ingresos marginales</c:v>
                </c:pt>
              </c:strCache>
            </c:strRef>
          </c:tx>
          <c:spPr>
            <a:solidFill>
              <a:schemeClr val="tx1"/>
            </a:solidFill>
            <a:ln>
              <a:noFill/>
            </a:ln>
            <a:effectLst/>
          </c:spPr>
          <c:invertIfNegative val="0"/>
          <c:dLbls>
            <c:dLbl>
              <c:idx val="0"/>
              <c:layout>
                <c:manualLayout>
                  <c:x val="7.6972418216805644E-3"/>
                  <c:y val="-6.42054574638844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DF9-4132-A32A-301DA37EDE7C}"/>
                </c:ext>
              </c:extLst>
            </c:dLbl>
            <c:dLbl>
              <c:idx val="1"/>
              <c:layout>
                <c:manualLayout>
                  <c:x val="2.5657472738935213E-3"/>
                  <c:y val="-6.42054574638844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DF9-4132-A32A-301DA37EDE7C}"/>
                </c:ext>
              </c:extLst>
            </c:dLbl>
            <c:dLbl>
              <c:idx val="2"/>
              <c:layout>
                <c:manualLayout>
                  <c:x val="6.4143681847338039E-3"/>
                  <c:y val="-1.28410914927769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DF9-4132-A32A-301DA37EDE7C}"/>
                </c:ext>
              </c:extLst>
            </c:dLbl>
            <c:dLbl>
              <c:idx val="3"/>
              <c:layout>
                <c:manualLayout>
                  <c:x val="7.6972418216804707E-3"/>
                  <c:y val="-2.5682182985553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DF9-4132-A32A-301DA37EDE7C}"/>
                </c:ext>
              </c:extLst>
            </c:dLbl>
            <c:dLbl>
              <c:idx val="4"/>
              <c:layout>
                <c:manualLayout>
                  <c:x val="1.0262989095574085E-2"/>
                  <c:y val="-4.81540930979133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DF9-4132-A32A-301DA37EDE7C}"/>
                </c:ext>
              </c:extLst>
            </c:dLbl>
            <c:dLbl>
              <c:idx val="5"/>
              <c:layout>
                <c:manualLayout>
                  <c:x val="5.1314945477870426E-3"/>
                  <c:y val="-2.88924558587479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DF9-4132-A32A-301DA37EDE7C}"/>
                </c:ext>
              </c:extLst>
            </c:dLbl>
            <c:dLbl>
              <c:idx val="6"/>
              <c:layout>
                <c:manualLayout>
                  <c:x val="6.4143681847338039E-3"/>
                  <c:y val="-2.5682182985553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DF9-4132-A32A-301DA37EDE7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'TABLA ESTAD RESUL 2025'!$C$80:$L$80</c:f>
              <c:numCache>
                <c:formatCode>mmm\-yy</c:formatCode>
                <c:ptCount val="2"/>
                <c:pt idx="0">
                  <c:v>45839</c:v>
                </c:pt>
                <c:pt idx="1">
                  <c:v>45870</c:v>
                </c:pt>
              </c:numCache>
            </c:numRef>
          </c:cat>
          <c:val>
            <c:numRef>
              <c:f>'TABLA ESTAD RESUL 2025'!$C$83:$L$83</c:f>
              <c:numCache>
                <c:formatCode>#,##0</c:formatCode>
                <c:ptCount val="2"/>
                <c:pt idx="0">
                  <c:v>602175.76</c:v>
                </c:pt>
                <c:pt idx="1">
                  <c:v>519706.7</c:v>
                </c:pt>
              </c:numCache>
            </c:numRef>
          </c:val>
          <c:extLst>
            <c:ext xmlns:c16="http://schemas.microsoft.com/office/drawing/2014/chart" uri="{C3380CC4-5D6E-409C-BE32-E72D297353CC}">
              <c16:uniqueId val="{00000002-EDF9-4132-A32A-301DA37EDE7C}"/>
            </c:ext>
          </c:extLst>
        </c:ser>
        <c:dLbls>
          <c:showLegendKey val="0"/>
          <c:showVal val="0"/>
          <c:showCatName val="0"/>
          <c:showSerName val="0"/>
          <c:showPercent val="0"/>
          <c:showBubbleSize val="0"/>
        </c:dLbls>
        <c:gapWidth val="50"/>
        <c:axId val="1432885664"/>
        <c:axId val="1"/>
      </c:barChart>
      <c:dateAx>
        <c:axId val="143288566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ln w="9525">
            <a:noFill/>
          </a:ln>
        </c:spPr>
        <c:txPr>
          <a:bodyPr rot="0" vert="horz"/>
          <a:lstStyle/>
          <a:p>
            <a:pPr>
              <a:defRPr/>
            </a:pPr>
            <a:endParaRPr lang="es-CO"/>
          </a:p>
        </c:txPr>
        <c:crossAx val="1432885664"/>
        <c:crosses val="autoZero"/>
        <c:crossBetween val="between"/>
      </c:valAx>
      <c:dTable>
        <c:showHorzBorder val="1"/>
        <c:showVertBorder val="0"/>
        <c:showOutline val="0"/>
        <c:showKeys val="1"/>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1"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Ingresos marginales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stacked"/>
        <c:varyColors val="0"/>
        <c:ser>
          <c:idx val="0"/>
          <c:order val="0"/>
          <c:tx>
            <c:strRef>
              <c:f>'TABLA ESTAD RESUL 2025'!$B$92</c:f>
              <c:strCache>
                <c:ptCount val="1"/>
                <c:pt idx="0">
                  <c:v>Intereses de mora</c:v>
                </c:pt>
              </c:strCache>
            </c:strRef>
          </c:tx>
          <c:spPr>
            <a:solidFill>
              <a:schemeClr val="accent1"/>
            </a:solidFill>
            <a:ln>
              <a:noFill/>
            </a:ln>
            <a:effectLst/>
          </c:spPr>
          <c:invertIfNegative val="0"/>
          <c:cat>
            <c:numRef>
              <c:f>'TABLA ESTAD RESUL 2025'!$C$91:$L$91</c:f>
              <c:numCache>
                <c:formatCode>mmm\-yy</c:formatCode>
                <c:ptCount val="2"/>
                <c:pt idx="0">
                  <c:v>45839</c:v>
                </c:pt>
                <c:pt idx="1">
                  <c:v>45870</c:v>
                </c:pt>
              </c:numCache>
            </c:numRef>
          </c:cat>
          <c:val>
            <c:numRef>
              <c:f>'TABLA ESTAD RESUL 2025'!$C$92:$L$92</c:f>
              <c:numCache>
                <c:formatCode>#,##0</c:formatCode>
                <c:ptCount val="2"/>
                <c:pt idx="0">
                  <c:v>249985</c:v>
                </c:pt>
                <c:pt idx="1">
                  <c:v>188163</c:v>
                </c:pt>
              </c:numCache>
            </c:numRef>
          </c:val>
          <c:extLst>
            <c:ext xmlns:c16="http://schemas.microsoft.com/office/drawing/2014/chart" uri="{C3380CC4-5D6E-409C-BE32-E72D297353CC}">
              <c16:uniqueId val="{00000000-9687-455E-A06D-E7AC482E6C03}"/>
            </c:ext>
          </c:extLst>
        </c:ser>
        <c:ser>
          <c:idx val="1"/>
          <c:order val="1"/>
          <c:tx>
            <c:strRef>
              <c:f>'TABLA ESTAD RESUL 2025'!$B$93</c:f>
              <c:strCache>
                <c:ptCount val="1"/>
                <c:pt idx="0">
                  <c:v>Intereses financieros</c:v>
                </c:pt>
              </c:strCache>
            </c:strRef>
          </c:tx>
          <c:spPr>
            <a:solidFill>
              <a:schemeClr val="accent2"/>
            </a:solidFill>
            <a:ln>
              <a:noFill/>
            </a:ln>
            <a:effectLst/>
          </c:spPr>
          <c:invertIfNegative val="0"/>
          <c:cat>
            <c:numRef>
              <c:f>'TABLA ESTAD RESUL 2025'!$C$91:$L$91</c:f>
              <c:numCache>
                <c:formatCode>mmm\-yy</c:formatCode>
                <c:ptCount val="2"/>
                <c:pt idx="0">
                  <c:v>45839</c:v>
                </c:pt>
                <c:pt idx="1">
                  <c:v>45870</c:v>
                </c:pt>
              </c:numCache>
            </c:numRef>
          </c:cat>
          <c:val>
            <c:numRef>
              <c:f>'TABLA ESTAD RESUL 2025'!$C$93:$L$93</c:f>
              <c:numCache>
                <c:formatCode>#,##0</c:formatCode>
                <c:ptCount val="2"/>
                <c:pt idx="0">
                  <c:v>92232.760000000009</c:v>
                </c:pt>
                <c:pt idx="1">
                  <c:v>69440.7</c:v>
                </c:pt>
              </c:numCache>
            </c:numRef>
          </c:val>
          <c:extLst>
            <c:ext xmlns:c16="http://schemas.microsoft.com/office/drawing/2014/chart" uri="{C3380CC4-5D6E-409C-BE32-E72D297353CC}">
              <c16:uniqueId val="{00000001-9687-455E-A06D-E7AC482E6C03}"/>
            </c:ext>
          </c:extLst>
        </c:ser>
        <c:ser>
          <c:idx val="2"/>
          <c:order val="2"/>
          <c:tx>
            <c:strRef>
              <c:f>'TABLA ESTAD RESUL 2025'!$B$94</c:f>
              <c:strCache>
                <c:ptCount val="1"/>
                <c:pt idx="0">
                  <c:v>Descuentos pronto pago</c:v>
                </c:pt>
              </c:strCache>
            </c:strRef>
          </c:tx>
          <c:spPr>
            <a:solidFill>
              <a:schemeClr val="accent3"/>
            </a:solidFill>
            <a:ln>
              <a:noFill/>
            </a:ln>
            <a:effectLst/>
          </c:spPr>
          <c:invertIfNegative val="0"/>
          <c:cat>
            <c:numRef>
              <c:f>'TABLA ESTAD RESUL 2025'!$C$91:$L$91</c:f>
              <c:numCache>
                <c:formatCode>mmm\-yy</c:formatCode>
                <c:ptCount val="2"/>
                <c:pt idx="0">
                  <c:v>45839</c:v>
                </c:pt>
                <c:pt idx="1">
                  <c:v>45870</c:v>
                </c:pt>
              </c:numCache>
            </c:numRef>
          </c:cat>
          <c:val>
            <c:numRef>
              <c:f>'TABLA ESTAD RESUL 2025'!$C$94:$L$94</c:f>
              <c:numCache>
                <c:formatCode>#,##0</c:formatCode>
                <c:ptCount val="2"/>
                <c:pt idx="0">
                  <c:v>259958</c:v>
                </c:pt>
                <c:pt idx="1">
                  <c:v>262103</c:v>
                </c:pt>
              </c:numCache>
            </c:numRef>
          </c:val>
          <c:extLst>
            <c:ext xmlns:c16="http://schemas.microsoft.com/office/drawing/2014/chart" uri="{C3380CC4-5D6E-409C-BE32-E72D297353CC}">
              <c16:uniqueId val="{00000002-9687-455E-A06D-E7AC482E6C03}"/>
            </c:ext>
          </c:extLst>
        </c:ser>
        <c:dLbls>
          <c:showLegendKey val="0"/>
          <c:showVal val="0"/>
          <c:showCatName val="0"/>
          <c:showSerName val="0"/>
          <c:showPercent val="0"/>
          <c:showBubbleSize val="0"/>
        </c:dLbls>
        <c:gapWidth val="150"/>
        <c:overlap val="100"/>
        <c:axId val="43336464"/>
        <c:axId val="43331664"/>
      </c:barChart>
      <c:dateAx>
        <c:axId val="4333646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1664"/>
        <c:crosses val="autoZero"/>
        <c:auto val="1"/>
        <c:lblOffset val="100"/>
        <c:baseTimeUnit val="months"/>
      </c:dateAx>
      <c:valAx>
        <c:axId val="43331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6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acumulado hasta agosto 2025</a:t>
            </a:r>
          </a:p>
        </c:rich>
      </c:tx>
      <c:layout>
        <c:manualLayout>
          <c:xMode val="edge"/>
          <c:yMode val="edge"/>
          <c:x val="0.65011918641149347"/>
          <c:y val="0.27877191821610536"/>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7.298801129668768E-2"/>
          <c:y val="2.2358756169775607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3E5A-4A4D-8034-31EA1CCE72E4}"/>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3E5A-4A4D-8034-31EA1CCE72E4}"/>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3E5A-4A4D-8034-31EA1CCE72E4}"/>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3E5A-4A4D-8034-31EA1CCE72E4}"/>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3E5A-4A4D-8034-31EA1CCE72E4}"/>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3E5A-4A4D-8034-31EA1CCE72E4}"/>
              </c:ext>
            </c:extLst>
          </c:dPt>
          <c:dPt>
            <c:idx val="7"/>
            <c:invertIfNegative val="0"/>
            <c:bubble3D val="0"/>
            <c:extLst>
              <c:ext xmlns:c16="http://schemas.microsoft.com/office/drawing/2014/chart" uri="{C3380CC4-5D6E-409C-BE32-E72D297353CC}">
                <c16:uniqueId val="{0000000C-3E5A-4A4D-8034-31EA1CCE72E4}"/>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3E5A-4A4D-8034-31EA1CCE72E4}"/>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0-3E5A-4A4D-8034-31EA1CCE72E4}"/>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2-3E5A-4A4D-8034-31EA1CCE72E4}"/>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4-3E5A-4A4D-8034-31EA1CCE72E4}"/>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6-3E5A-4A4D-8034-31EA1CCE72E4}"/>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8-3E5A-4A4D-8034-31EA1CCE72E4}"/>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A-3E5A-4A4D-8034-31EA1CCE72E4}"/>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C-3E5A-4A4D-8034-31EA1CCE72E4}"/>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E5A-4A4D-8034-31EA1CCE72E4}"/>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E5A-4A4D-8034-31EA1CCE72E4}"/>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E5A-4A4D-8034-31EA1CCE72E4}"/>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3E5A-4A4D-8034-31EA1CCE72E4}"/>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3E5A-4A4D-8034-31EA1CCE72E4}"/>
                </c:ext>
              </c:extLst>
            </c:dLbl>
            <c:spPr>
              <a:noFill/>
              <a:ln>
                <a:noFill/>
              </a:ln>
              <a:effectLst/>
            </c:spPr>
            <c:txPr>
              <a:bodyPr wrap="square" lIns="38100" tIns="19050" rIns="38100" bIns="19050" anchor="ctr">
                <a:spAutoFit/>
              </a:bodyPr>
              <a:lstStyle/>
              <a:p>
                <a:pPr>
                  <a:defRPr b="1"/>
                </a:pPr>
                <a:endParaRPr lang="es-CO"/>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'TABLA ESTAD RESUL 2025'!$AB$32:$AB$49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'TABLA ESTAD RESUL 2025'!$AC$32:$AC$49</c:f>
              <c:numCache>
                <c:formatCode>#,##0</c:formatCode>
                <c:ptCount val="18"/>
                <c:pt idx="0">
                  <c:v>126820743.59333336</c:v>
                </c:pt>
                <c:pt idx="1">
                  <c:v>123989061</c:v>
                </c:pt>
                <c:pt idx="2">
                  <c:v>2831682.5933333635</c:v>
                </c:pt>
                <c:pt idx="4">
                  <c:v>41119612.213333331</c:v>
                </c:pt>
                <c:pt idx="5">
                  <c:v>37817243</c:v>
                </c:pt>
                <c:pt idx="6">
                  <c:v>3302369.213333331</c:v>
                </c:pt>
                <c:pt idx="8">
                  <c:v>42114505</c:v>
                </c:pt>
                <c:pt idx="9">
                  <c:v>40064192.879999995</c:v>
                </c:pt>
                <c:pt idx="10">
                  <c:v>2050312.1200000048</c:v>
                </c:pt>
                <c:pt idx="12">
                  <c:v>27839757.333333332</c:v>
                </c:pt>
                <c:pt idx="13">
                  <c:v>27377671.32</c:v>
                </c:pt>
                <c:pt idx="14">
                  <c:v>462086.01333333179</c:v>
                </c:pt>
                <c:pt idx="16">
                  <c:v>0</c:v>
                </c:pt>
                <c:pt idx="17">
                  <c:v>515365</c:v>
                </c:pt>
              </c:numCache>
            </c:numRef>
          </c:val>
          <c:shape val="cylinder"/>
          <c:extLst>
            <c:ext xmlns:c16="http://schemas.microsoft.com/office/drawing/2014/chart" uri="{C3380CC4-5D6E-409C-BE32-E72D297353CC}">
              <c16:uniqueId val="{0000001D-3E5A-4A4D-8034-31EA1CCE72E4}"/>
            </c:ext>
          </c:extLst>
        </c:ser>
        <c:dLbls>
          <c:showLegendKey val="0"/>
          <c:showVal val="0"/>
          <c:showCatName val="0"/>
          <c:showSerName val="0"/>
          <c:showPercent val="0"/>
          <c:showBubbleSize val="0"/>
        </c:dLbls>
        <c:gapWidth val="0"/>
        <c:gapDepth val="0"/>
        <c:shape val="box"/>
        <c:axId val="1432909184"/>
        <c:axId val="1"/>
        <c:axId val="0"/>
      </c:bar3DChart>
      <c:catAx>
        <c:axId val="14329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1000" b="1"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0" sourceLinked="1"/>
        <c:majorTickMark val="out"/>
        <c:minorTickMark val="none"/>
        <c:tickLblPos val="nextTo"/>
        <c:spPr>
          <a:solidFill>
            <a:schemeClr val="bg1"/>
          </a:solidFill>
          <a:ln>
            <a:solidFill>
              <a:sysClr val="window" lastClr="FFFFFF"/>
            </a:solidFill>
          </a:ln>
          <a:effectLst/>
        </c:spPr>
        <c:txPr>
          <a:bodyPr rot="0" vert="horz"/>
          <a:lstStyle/>
          <a:p>
            <a:pPr>
              <a:defRPr sz="1000" b="1" i="0" u="none" strike="noStrike" baseline="0">
                <a:solidFill>
                  <a:srgbClr val="333333"/>
                </a:solidFill>
                <a:latin typeface="Calibri"/>
                <a:ea typeface="Calibri"/>
                <a:cs typeface="Calibri"/>
              </a:defRPr>
            </a:pPr>
            <a:endParaRPr lang="es-CO"/>
          </a:p>
        </c:txPr>
        <c:crossAx val="14329091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O"/>
              <a:t>Diferencia entre Ingresos</a:t>
            </a:r>
          </a:p>
          <a:p>
            <a:pPr>
              <a:defRPr/>
            </a:pPr>
            <a:r>
              <a:rPr lang="es-CO"/>
              <a:t>pptado y ejecutado acumulado hasta agosto 2025</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ESTAD RESUL 2025'!$B$81</c:f>
              <c:strCache>
                <c:ptCount val="1"/>
                <c:pt idx="0">
                  <c:v>Ingresos operacionales pptados</c:v>
                </c:pt>
              </c:strCache>
            </c:strRef>
          </c:tx>
          <c:spPr>
            <a:solidFill>
              <a:schemeClr val="accent3">
                <a:lumMod val="75000"/>
              </a:schemeClr>
            </a:solidFill>
            <a:ln>
              <a:noFill/>
            </a:ln>
            <a:effectLst/>
          </c:spPr>
          <c:invertIfNegative val="0"/>
          <c:cat>
            <c:numRef>
              <c:f>'TABLA ESTAD RESUL 2025'!$C$80:$L$80</c:f>
              <c:numCache>
                <c:formatCode>mmm\-yy</c:formatCode>
                <c:ptCount val="2"/>
                <c:pt idx="0">
                  <c:v>45839</c:v>
                </c:pt>
                <c:pt idx="1">
                  <c:v>45870</c:v>
                </c:pt>
              </c:numCache>
            </c:numRef>
          </c:cat>
          <c:val>
            <c:numRef>
              <c:f>'TABLA ESTAD RESUL 2025'!$C$81:$L$81</c:f>
              <c:numCache>
                <c:formatCode>#,##0</c:formatCode>
                <c:ptCount val="2"/>
                <c:pt idx="0">
                  <c:v>29735584</c:v>
                </c:pt>
                <c:pt idx="1">
                  <c:v>29735584</c:v>
                </c:pt>
              </c:numCache>
            </c:numRef>
          </c:val>
          <c:extLst>
            <c:ext xmlns:c16="http://schemas.microsoft.com/office/drawing/2014/chart" uri="{C3380CC4-5D6E-409C-BE32-E72D297353CC}">
              <c16:uniqueId val="{00000000-2004-4568-AD15-458441C7D7E7}"/>
            </c:ext>
          </c:extLst>
        </c:ser>
        <c:ser>
          <c:idx val="1"/>
          <c:order val="1"/>
          <c:tx>
            <c:strRef>
              <c:f>'TABLA ESTAD RESUL 2025'!$B$82</c:f>
              <c:strCache>
                <c:ptCount val="1"/>
                <c:pt idx="0">
                  <c:v>Ingresos operacionales reales</c:v>
                </c:pt>
              </c:strCache>
            </c:strRef>
          </c:tx>
          <c:spPr>
            <a:solidFill>
              <a:srgbClr val="C0504D"/>
            </a:solidFill>
            <a:ln w="25400">
              <a:noFill/>
            </a:ln>
          </c:spPr>
          <c:invertIfNegative val="0"/>
          <c:cat>
            <c:numRef>
              <c:f>'TABLA ESTAD RESUL 2025'!$C$80:$L$80</c:f>
              <c:numCache>
                <c:formatCode>mmm\-yy</c:formatCode>
                <c:ptCount val="2"/>
                <c:pt idx="0">
                  <c:v>45839</c:v>
                </c:pt>
                <c:pt idx="1">
                  <c:v>45870</c:v>
                </c:pt>
              </c:numCache>
            </c:numRef>
          </c:cat>
          <c:val>
            <c:numRef>
              <c:f>'TABLA ESTAD RESUL 2025'!$C$82:$L$82</c:f>
              <c:numCache>
                <c:formatCode>#,##0</c:formatCode>
                <c:ptCount val="2"/>
                <c:pt idx="0">
                  <c:v>30337759.760000002</c:v>
                </c:pt>
                <c:pt idx="1">
                  <c:v>30255290.699999999</c:v>
                </c:pt>
              </c:numCache>
            </c:numRef>
          </c:val>
          <c:extLst>
            <c:ext xmlns:c16="http://schemas.microsoft.com/office/drawing/2014/chart" uri="{C3380CC4-5D6E-409C-BE32-E72D297353CC}">
              <c16:uniqueId val="{00000001-2004-4568-AD15-458441C7D7E7}"/>
            </c:ext>
          </c:extLst>
        </c:ser>
        <c:ser>
          <c:idx val="2"/>
          <c:order val="2"/>
          <c:tx>
            <c:strRef>
              <c:f>'TABLA ESTAD RESUL 2025'!$B$83</c:f>
              <c:strCache>
                <c:ptCount val="1"/>
                <c:pt idx="0">
                  <c:v>Ingresos marginales</c:v>
                </c:pt>
              </c:strCache>
            </c:strRef>
          </c:tx>
          <c:spPr>
            <a:solidFill>
              <a:schemeClr val="tx1"/>
            </a:solidFill>
            <a:ln>
              <a:noFill/>
            </a:ln>
            <a:effectLst/>
          </c:spPr>
          <c:invertIfNegative val="0"/>
          <c:dLbls>
            <c:dLbl>
              <c:idx val="0"/>
              <c:layout>
                <c:manualLayout>
                  <c:x val="7.6972418216805644E-3"/>
                  <c:y val="-6.42054574638844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004-4568-AD15-458441C7D7E7}"/>
                </c:ext>
              </c:extLst>
            </c:dLbl>
            <c:dLbl>
              <c:idx val="1"/>
              <c:layout>
                <c:manualLayout>
                  <c:x val="2.5657472738935213E-3"/>
                  <c:y val="-6.42054574638844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004-4568-AD15-458441C7D7E7}"/>
                </c:ext>
              </c:extLst>
            </c:dLbl>
            <c:dLbl>
              <c:idx val="2"/>
              <c:layout>
                <c:manualLayout>
                  <c:x val="6.4143681847338039E-3"/>
                  <c:y val="-1.28410914927769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004-4568-AD15-458441C7D7E7}"/>
                </c:ext>
              </c:extLst>
            </c:dLbl>
            <c:dLbl>
              <c:idx val="3"/>
              <c:layout>
                <c:manualLayout>
                  <c:x val="7.6972418216804707E-3"/>
                  <c:y val="-2.5682182985553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004-4568-AD15-458441C7D7E7}"/>
                </c:ext>
              </c:extLst>
            </c:dLbl>
            <c:dLbl>
              <c:idx val="4"/>
              <c:layout>
                <c:manualLayout>
                  <c:x val="1.0262989095574085E-2"/>
                  <c:y val="-4.81540930979133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004-4568-AD15-458441C7D7E7}"/>
                </c:ext>
              </c:extLst>
            </c:dLbl>
            <c:dLbl>
              <c:idx val="5"/>
              <c:layout>
                <c:manualLayout>
                  <c:x val="5.1314945477870426E-3"/>
                  <c:y val="-2.88924558587479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004-4568-AD15-458441C7D7E7}"/>
                </c:ext>
              </c:extLst>
            </c:dLbl>
            <c:dLbl>
              <c:idx val="6"/>
              <c:layout>
                <c:manualLayout>
                  <c:x val="6.4143681847338039E-3"/>
                  <c:y val="-2.5682182985553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004-4568-AD15-458441C7D7E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'TABLA ESTAD RESUL 2025'!$C$80:$L$80</c:f>
              <c:numCache>
                <c:formatCode>mmm\-yy</c:formatCode>
                <c:ptCount val="2"/>
                <c:pt idx="0">
                  <c:v>45839</c:v>
                </c:pt>
                <c:pt idx="1">
                  <c:v>45870</c:v>
                </c:pt>
              </c:numCache>
            </c:numRef>
          </c:cat>
          <c:val>
            <c:numRef>
              <c:f>'TABLA ESTAD RESUL 2025'!$C$83:$L$83</c:f>
              <c:numCache>
                <c:formatCode>#,##0</c:formatCode>
                <c:ptCount val="2"/>
                <c:pt idx="0">
                  <c:v>602175.76</c:v>
                </c:pt>
                <c:pt idx="1">
                  <c:v>519706.7</c:v>
                </c:pt>
              </c:numCache>
            </c:numRef>
          </c:val>
          <c:extLst>
            <c:ext xmlns:c16="http://schemas.microsoft.com/office/drawing/2014/chart" uri="{C3380CC4-5D6E-409C-BE32-E72D297353CC}">
              <c16:uniqueId val="{00000009-2004-4568-AD15-458441C7D7E7}"/>
            </c:ext>
          </c:extLst>
        </c:ser>
        <c:dLbls>
          <c:showLegendKey val="0"/>
          <c:showVal val="0"/>
          <c:showCatName val="0"/>
          <c:showSerName val="0"/>
          <c:showPercent val="0"/>
          <c:showBubbleSize val="0"/>
        </c:dLbls>
        <c:gapWidth val="50"/>
        <c:axId val="1432885664"/>
        <c:axId val="1"/>
      </c:barChart>
      <c:dateAx>
        <c:axId val="143288566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ln w="9525">
            <a:noFill/>
          </a:ln>
        </c:spPr>
        <c:txPr>
          <a:bodyPr rot="0" vert="horz"/>
          <a:lstStyle/>
          <a:p>
            <a:pPr>
              <a:defRPr/>
            </a:pPr>
            <a:endParaRPr lang="es-CO"/>
          </a:p>
        </c:txPr>
        <c:crossAx val="1432885664"/>
        <c:crosses val="autoZero"/>
        <c:crossBetween val="between"/>
      </c:valAx>
      <c:dTable>
        <c:showHorzBorder val="1"/>
        <c:showVertBorder val="0"/>
        <c:showOutline val="0"/>
        <c:showKeys val="1"/>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1"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Indicador presupuestal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tx>
            <c:strRef>
              <c:f>'TABLA ESTAD RESUL 2025'!$B$99:$D$99</c:f>
              <c:strCache>
                <c:ptCount val="3"/>
                <c:pt idx="0">
                  <c:v>pptoejecutado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'TABLA ESTAD RESUL 2025'!$E$98:$L$98</c:f>
              <c:numCache>
                <c:formatCode>mmm\-yy</c:formatCode>
                <c:ptCount val="2"/>
                <c:pt idx="0">
                  <c:v>45839</c:v>
                </c:pt>
                <c:pt idx="1">
                  <c:v>45870</c:v>
                </c:pt>
              </c:numCache>
            </c:numRef>
          </c:cat>
          <c:val>
            <c:numRef>
              <c:f>'TABLA ESTAD RESUL 2025'!$E$99:$L$99</c:f>
              <c:numCache>
                <c:formatCode>#,##0</c:formatCode>
                <c:ptCount val="2"/>
                <c:pt idx="0">
                  <c:v>29171361</c:v>
                </c:pt>
                <c:pt idx="1">
                  <c:v>30300743.600000001</c:v>
                </c:pt>
              </c:numCache>
            </c:numRef>
          </c:val>
          <c:smooth val="0"/>
          <c:extLst>
            <c:ext xmlns:c16="http://schemas.microsoft.com/office/drawing/2014/chart" uri="{C3380CC4-5D6E-409C-BE32-E72D297353CC}">
              <c16:uniqueId val="{00000000-370B-4B4E-96B6-1E7BF73D7D7F}"/>
            </c:ext>
          </c:extLst>
        </c:ser>
        <c:ser>
          <c:idx val="1"/>
          <c:order val="1"/>
          <c:tx>
            <c:strRef>
              <c:f>'TABLA ESTAD RESUL 2025'!$B$100:$D$100</c:f>
              <c:strCache>
                <c:ptCount val="3"/>
                <c:pt idx="0">
                  <c:v>Ppto aprobado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'TABLA ESTAD RESUL 2025'!$E$98:$L$98</c:f>
              <c:numCache>
                <c:formatCode>mmm\-yy</c:formatCode>
                <c:ptCount val="2"/>
                <c:pt idx="0">
                  <c:v>45839</c:v>
                </c:pt>
                <c:pt idx="1">
                  <c:v>45870</c:v>
                </c:pt>
              </c:numCache>
            </c:numRef>
          </c:cat>
          <c:val>
            <c:numRef>
              <c:f>'TABLA ESTAD RESUL 2025'!$E$100:$L$100</c:f>
              <c:numCache>
                <c:formatCode>#,##0</c:formatCode>
                <c:ptCount val="2"/>
                <c:pt idx="0">
                  <c:v>29735584</c:v>
                </c:pt>
                <c:pt idx="1">
                  <c:v>29735584</c:v>
                </c:pt>
              </c:numCache>
            </c:numRef>
          </c:val>
          <c:smooth val="0"/>
          <c:extLst>
            <c:ext xmlns:c16="http://schemas.microsoft.com/office/drawing/2014/chart" uri="{C3380CC4-5D6E-409C-BE32-E72D297353CC}">
              <c16:uniqueId val="{00000001-370B-4B4E-96B6-1E7BF73D7D7F}"/>
            </c:ext>
          </c:extLst>
        </c:ser>
        <c:dLbls>
          <c:showLegendKey val="0"/>
          <c:showVal val="0"/>
          <c:showCatName val="0"/>
          <c:showSerName val="0"/>
          <c:showPercent val="0"/>
          <c:showBubbleSize val="0"/>
        </c:dLbls>
        <c:marker val="1"/>
        <c:smooth val="0"/>
        <c:axId val="62930000"/>
        <c:axId val="62945360"/>
      </c:lineChart>
      <c:lineChart>
        <c:grouping val="standard"/>
        <c:varyColors val="0"/>
        <c:ser>
          <c:idx val="2"/>
          <c:order val="2"/>
          <c:tx>
            <c:strRef>
              <c:f>'TABLA ESTAD RESUL 2025'!$B$101:$D$101</c:f>
              <c:strCache>
                <c:ptCount val="3"/>
                <c:pt idx="0">
                  <c:v>minimo</c:v>
                </c:pt>
              </c:strCache>
            </c:strRef>
          </c:tx>
          <c:spPr>
            <a:ln w="28575" cap="rnd">
              <a:solidFill>
                <a:schemeClr val="accent3"/>
              </a:solidFill>
              <a:round/>
            </a:ln>
            <a:effectLst/>
          </c:spPr>
          <c:marker>
            <c:symbol val="none"/>
          </c:marker>
          <c:cat>
            <c:numRef>
              <c:f>'TABLA ESTAD RESUL 2025'!$E$98:$L$98</c:f>
              <c:numCache>
                <c:formatCode>mmm\-yy</c:formatCode>
                <c:ptCount val="2"/>
                <c:pt idx="0">
                  <c:v>45839</c:v>
                </c:pt>
                <c:pt idx="1">
                  <c:v>45870</c:v>
                </c:pt>
              </c:numCache>
            </c:numRef>
          </c:cat>
          <c:val>
            <c:numRef>
              <c:f>'TABLA ESTAD RESUL 2025'!$E$101:$L$101</c:f>
              <c:numCache>
                <c:formatCode>0%</c:formatCode>
                <c:ptCount val="2"/>
                <c:pt idx="0">
                  <c:v>0.95</c:v>
                </c:pt>
                <c:pt idx="1">
                  <c:v>0.95</c:v>
                </c:pt>
              </c:numCache>
            </c:numRef>
          </c:val>
          <c:smooth val="0"/>
          <c:extLst>
            <c:ext xmlns:c16="http://schemas.microsoft.com/office/drawing/2014/chart" uri="{C3380CC4-5D6E-409C-BE32-E72D297353CC}">
              <c16:uniqueId val="{00000002-370B-4B4E-96B6-1E7BF73D7D7F}"/>
            </c:ext>
          </c:extLst>
        </c:ser>
        <c:ser>
          <c:idx val="3"/>
          <c:order val="3"/>
          <c:tx>
            <c:strRef>
              <c:f>'TABLA ESTAD RESUL 2025'!$B$102:$D$102</c:f>
              <c:strCache>
                <c:ptCount val="3"/>
                <c:pt idx="0">
                  <c:v>Indicador pptal</c:v>
                </c:pt>
              </c:strCache>
            </c:strRef>
          </c:tx>
          <c:spPr>
            <a:ln w="28575" cap="rnd">
              <a:solidFill>
                <a:schemeClr val="accent4"/>
              </a:solidFill>
              <a:round/>
            </a:ln>
            <a:effectLst/>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0-721C-4904-8F15-A71FBCFBD580}"/>
                </c:ext>
              </c:extLst>
            </c:dLbl>
            <c:dLbl>
              <c:idx val="1"/>
              <c:layout>
                <c:manualLayout>
                  <c:x val="-2.6923076923076925E-2"/>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70B-4B4E-96B6-1E7BF73D7D7F}"/>
                </c:ext>
              </c:extLst>
            </c:dLbl>
            <c:dLbl>
              <c:idx val="2"/>
              <c:layout>
                <c:manualLayout>
                  <c:x val="1.538461538461529E-2"/>
                  <c:y val="0.152777777777777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70B-4B4E-96B6-1E7BF73D7D7F}"/>
                </c:ext>
              </c:extLst>
            </c:dLbl>
            <c:dLbl>
              <c:idx val="3"/>
              <c:layout>
                <c:manualLayout>
                  <c:x val="2.0512820512820419E-2"/>
                  <c:y val="0.134259259259259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70B-4B4E-96B6-1E7BF73D7D7F}"/>
                </c:ext>
              </c:extLst>
            </c:dLbl>
            <c:dLbl>
              <c:idx val="4"/>
              <c:layout>
                <c:manualLayout>
                  <c:x val="-2.5641025641026582E-3"/>
                  <c:y val="-0.134259259259259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70B-4B4E-96B6-1E7BF73D7D7F}"/>
                </c:ext>
              </c:extLst>
            </c:dLbl>
            <c:dLbl>
              <c:idx val="5"/>
              <c:layout>
                <c:manualLayout>
                  <c:x val="-1.0256410256410256E-2"/>
                  <c:y val="-0.16666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70B-4B4E-96B6-1E7BF73D7D7F}"/>
                </c:ext>
              </c:extLst>
            </c:dLbl>
            <c:dLbl>
              <c:idx val="6"/>
              <c:layout>
                <c:manualLayout>
                  <c:x val="-5.1282051282052219E-3"/>
                  <c:y val="0.120370370370370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70B-4B4E-96B6-1E7BF73D7D7F}"/>
                </c:ext>
              </c:extLst>
            </c:dLbl>
            <c:dLbl>
              <c:idx val="7"/>
              <c:layout>
                <c:manualLayout>
                  <c:x val="3.8461538461538464E-3"/>
                  <c:y val="-8.79629629629629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70B-4B4E-96B6-1E7BF73D7D7F}"/>
                </c:ext>
              </c:extLst>
            </c:dLbl>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 ESTAD RESUL 2025'!$E$98:$L$98</c:f>
              <c:numCache>
                <c:formatCode>mmm\-yy</c:formatCode>
                <c:ptCount val="2"/>
                <c:pt idx="0">
                  <c:v>45839</c:v>
                </c:pt>
                <c:pt idx="1">
                  <c:v>45870</c:v>
                </c:pt>
              </c:numCache>
            </c:numRef>
          </c:cat>
          <c:val>
            <c:numRef>
              <c:f>'TABLA ESTAD RESUL 2025'!$E$102:$L$102</c:f>
              <c:numCache>
                <c:formatCode>0.00%</c:formatCode>
                <c:ptCount val="2"/>
                <c:pt idx="0">
                  <c:v>0.98102532642372187</c:v>
                </c:pt>
                <c:pt idx="1">
                  <c:v>1.0190061711920642</c:v>
                </c:pt>
              </c:numCache>
            </c:numRef>
          </c:val>
          <c:smooth val="0"/>
          <c:extLst>
            <c:ext xmlns:c16="http://schemas.microsoft.com/office/drawing/2014/chart" uri="{C3380CC4-5D6E-409C-BE32-E72D297353CC}">
              <c16:uniqueId val="{00000003-370B-4B4E-96B6-1E7BF73D7D7F}"/>
            </c:ext>
          </c:extLst>
        </c:ser>
        <c:ser>
          <c:idx val="4"/>
          <c:order val="4"/>
          <c:tx>
            <c:strRef>
              <c:f>'TABLA ESTAD RESUL 2025'!$B$103:$D$103</c:f>
              <c:strCache>
                <c:ptCount val="3"/>
                <c:pt idx="0">
                  <c:v>maximo</c:v>
                </c:pt>
              </c:strCache>
            </c:strRef>
          </c:tx>
          <c:spPr>
            <a:ln w="28575" cap="rnd">
              <a:solidFill>
                <a:schemeClr val="accent5"/>
              </a:solidFill>
              <a:round/>
            </a:ln>
            <a:effectLst/>
          </c:spPr>
          <c:marker>
            <c:symbol val="none"/>
          </c:marker>
          <c:dLbls>
            <c:dLbl>
              <c:idx val="0"/>
              <c:layout>
                <c:manualLayout>
                  <c:x val="-1.9230769230769232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21C-4904-8F15-A71FBCFBD58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 ESTAD RESUL 2025'!$E$98:$L$98</c:f>
              <c:numCache>
                <c:formatCode>mmm\-yy</c:formatCode>
                <c:ptCount val="2"/>
                <c:pt idx="0">
                  <c:v>45839</c:v>
                </c:pt>
                <c:pt idx="1">
                  <c:v>45870</c:v>
                </c:pt>
              </c:numCache>
            </c:numRef>
          </c:cat>
          <c:val>
            <c:numRef>
              <c:f>'TABLA ESTAD RESUL 2025'!$E$103:$L$103</c:f>
              <c:numCache>
                <c:formatCode>0.00%</c:formatCode>
                <c:ptCount val="2"/>
                <c:pt idx="0">
                  <c:v>1.05</c:v>
                </c:pt>
                <c:pt idx="1">
                  <c:v>1.05</c:v>
                </c:pt>
              </c:numCache>
            </c:numRef>
          </c:val>
          <c:smooth val="0"/>
          <c:extLst>
            <c:ext xmlns:c16="http://schemas.microsoft.com/office/drawing/2014/chart" uri="{C3380CC4-5D6E-409C-BE32-E72D297353CC}">
              <c16:uniqueId val="{00000004-370B-4B4E-96B6-1E7BF73D7D7F}"/>
            </c:ext>
          </c:extLst>
        </c:ser>
        <c:dLbls>
          <c:showLegendKey val="0"/>
          <c:showVal val="0"/>
          <c:showCatName val="0"/>
          <c:showSerName val="0"/>
          <c:showPercent val="0"/>
          <c:showBubbleSize val="0"/>
        </c:dLbls>
        <c:marker val="1"/>
        <c:smooth val="0"/>
        <c:axId val="62930000"/>
        <c:axId val="62945360"/>
      </c:lineChart>
      <c:catAx>
        <c:axId val="6293000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62945360"/>
        <c:crossesAt val="0"/>
        <c:auto val="0"/>
        <c:lblAlgn val="ctr"/>
        <c:lblOffset val="100"/>
        <c:noMultiLvlLbl val="0"/>
      </c:catAx>
      <c:valAx>
        <c:axId val="6294536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2930000"/>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s-CO"/>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hPercent val="384"/>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1-E89B-43AF-BD4F-AC430ECF0233}"/>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3-E89B-43AF-BD4F-AC430ECF0233}"/>
              </c:ext>
            </c:extLst>
          </c:dPt>
          <c:cat>
            <c:strRef>
              <c:f>'[9]ESTAD RESUL GRAF MAY'!$AA$10:$AA$12</c:f>
              <c:strCache>
                <c:ptCount val="3"/>
                <c:pt idx="0">
                  <c:v>Ingresos presupuestados</c:v>
                </c:pt>
                <c:pt idx="1">
                  <c:v>Ingresos ejecutados</c:v>
                </c:pt>
                <c:pt idx="2">
                  <c:v>Ingresos marginales</c:v>
                </c:pt>
              </c:strCache>
            </c:strRef>
          </c:cat>
          <c:val>
            <c:numRef>
              <c:f>'[9]ESTAD RESUL GRAF JUN'!$AC$10:$AC$12</c:f>
              <c:numCache>
                <c:formatCode>General</c:formatCode>
                <c:ptCount val="3"/>
                <c:pt idx="0">
                  <c:v>178420963.5</c:v>
                </c:pt>
                <c:pt idx="1">
                  <c:v>178413504</c:v>
                </c:pt>
                <c:pt idx="2">
                  <c:v>7459.5</c:v>
                </c:pt>
              </c:numCache>
            </c:numRef>
          </c:val>
          <c:shape val="cylinder"/>
          <c:extLst>
            <c:ext xmlns:c16="http://schemas.microsoft.com/office/drawing/2014/chart" uri="{C3380CC4-5D6E-409C-BE32-E72D297353CC}">
              <c16:uniqueId val="{00000004-E89B-43AF-BD4F-AC430ECF0233}"/>
            </c:ext>
          </c:extLst>
        </c:ser>
        <c:dLbls>
          <c:showLegendKey val="0"/>
          <c:showVal val="0"/>
          <c:showCatName val="0"/>
          <c:showSerName val="0"/>
          <c:showPercent val="0"/>
          <c:showBubbleSize val="0"/>
        </c:dLbls>
        <c:gapWidth val="150"/>
        <c:shape val="box"/>
        <c:axId val="123822624"/>
        <c:axId val="1"/>
        <c:axId val="0"/>
      </c:bar3DChart>
      <c:catAx>
        <c:axId val="12382262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23822624"/>
        <c:crosses val="autoZero"/>
        <c:crossBetween val="between"/>
      </c:valAx>
      <c:dTable>
        <c:showHorzBorder val="1"/>
        <c:showVertBorder val="0"/>
        <c:showOutline val="0"/>
        <c:showKeys val="0"/>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JUNIO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5226-480F-BC61-3C2E5ACF9C0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226-480F-BC61-3C2E5ACF9C0E}"/>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5226-480F-BC61-3C2E5ACF9C0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226-480F-BC61-3C2E5ACF9C0E}"/>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226-480F-BC61-3C2E5ACF9C0E}"/>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226-480F-BC61-3C2E5ACF9C0E}"/>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D-5226-480F-BC61-3C2E5ACF9C0E}"/>
              </c:ext>
            </c:extLst>
          </c:dPt>
          <c:dPt>
            <c:idx val="7"/>
            <c:bubble3D val="0"/>
            <c:extLst>
              <c:ext xmlns:c16="http://schemas.microsoft.com/office/drawing/2014/chart" uri="{C3380CC4-5D6E-409C-BE32-E72D297353CC}">
                <c16:uniqueId val="{0000000E-5226-480F-BC61-3C2E5ACF9C0E}"/>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226-480F-BC61-3C2E5ACF9C0E}"/>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226-480F-BC61-3C2E5ACF9C0E}"/>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226-480F-BC61-3C2E5ACF9C0E}"/>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5226-480F-BC61-3C2E5ACF9C0E}"/>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5226-480F-BC61-3C2E5ACF9C0E}"/>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'[9]ESTAD RESULT graf abr'!$AG$58:$AG$66</c:f>
              <c:numCache>
                <c:formatCode>General</c:formatCode>
                <c:ptCount val="9"/>
                <c:pt idx="0">
                  <c:v>0.16025186355848939</c:v>
                </c:pt>
                <c:pt idx="2">
                  <c:v>0.52235986015946412</c:v>
                </c:pt>
                <c:pt idx="4">
                  <c:v>0.15601691125353381</c:v>
                </c:pt>
                <c:pt idx="7">
                  <c:v>0.11576512369825998</c:v>
                </c:pt>
              </c:numCache>
            </c:numRef>
          </c:val>
          <c:extLst>
            <c:ext xmlns:c16="http://schemas.microsoft.com/office/drawing/2014/chart" uri="{C3380CC4-5D6E-409C-BE32-E72D297353CC}">
              <c16:uniqueId val="{00000010-5226-480F-BC61-3C2E5ACF9C0E}"/>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hPercent val="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1"/>
            <c:invertIfNegative val="0"/>
            <c:bubble3D val="0"/>
            <c:spPr>
              <a:solidFill>
                <a:srgbClr val="FFC000"/>
              </a:solidFill>
              <a:ln w="25400">
                <a:noFill/>
              </a:ln>
            </c:spPr>
            <c:extLst>
              <c:ext xmlns:c16="http://schemas.microsoft.com/office/drawing/2014/chart" uri="{C3380CC4-5D6E-409C-BE32-E72D297353CC}">
                <c16:uniqueId val="{00000001-A333-4CD5-8EA3-D058D235B4BD}"/>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3-A333-4CD5-8EA3-D058D235B4BD}"/>
              </c:ext>
            </c:extLst>
          </c:dPt>
          <c:cat>
            <c:strRef>
              <c:f>'[9]ESTAD RESUL GRAF JUN'!$AH$10:$AH$12</c:f>
              <c:strCache>
                <c:ptCount val="3"/>
                <c:pt idx="0">
                  <c:v>Egresos operacionales presupuestados</c:v>
                </c:pt>
                <c:pt idx="1">
                  <c:v>Egresos operacionales reales</c:v>
                </c:pt>
                <c:pt idx="2">
                  <c:v>Diferencia</c:v>
                </c:pt>
              </c:strCache>
            </c:strRef>
          </c:cat>
          <c:val>
            <c:numRef>
              <c:f>'[9]ESTAD RESUL GRAF JUN'!$AK$10:$AK$12</c:f>
              <c:numCache>
                <c:formatCode>General</c:formatCode>
                <c:ptCount val="3"/>
                <c:pt idx="0">
                  <c:v>178420963.60500002</c:v>
                </c:pt>
                <c:pt idx="1">
                  <c:v>170395092.59999999</c:v>
                </c:pt>
                <c:pt idx="2">
                  <c:v>8025871.005000025</c:v>
                </c:pt>
              </c:numCache>
            </c:numRef>
          </c:val>
          <c:shape val="cylinder"/>
          <c:extLst>
            <c:ext xmlns:c16="http://schemas.microsoft.com/office/drawing/2014/chart" uri="{C3380CC4-5D6E-409C-BE32-E72D297353CC}">
              <c16:uniqueId val="{00000004-A333-4CD5-8EA3-D058D235B4BD}"/>
            </c:ext>
          </c:extLst>
        </c:ser>
        <c:dLbls>
          <c:showLegendKey val="0"/>
          <c:showVal val="0"/>
          <c:showCatName val="0"/>
          <c:showSerName val="0"/>
          <c:showPercent val="0"/>
          <c:showBubbleSize val="0"/>
        </c:dLbls>
        <c:gapWidth val="150"/>
        <c:shape val="box"/>
        <c:axId val="123828384"/>
        <c:axId val="1"/>
        <c:axId val="0"/>
      </c:bar3DChart>
      <c:catAx>
        <c:axId val="12382838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2382838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Enero-  junio 2025</a:t>
            </a:r>
          </a:p>
        </c:rich>
      </c:tx>
      <c:layout>
        <c:manualLayout>
          <c:xMode val="edge"/>
          <c:yMode val="edge"/>
          <c:x val="0.63105175292153592"/>
          <c:y val="0.27877176444493734"/>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8.2434405121351723E-2"/>
          <c:y val="2.0496629502348859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841E-4277-BCB0-951FB78FFA9D}"/>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841E-4277-BCB0-951FB78FFA9D}"/>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841E-4277-BCB0-951FB78FFA9D}"/>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841E-4277-BCB0-951FB78FFA9D}"/>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841E-4277-BCB0-951FB78FFA9D}"/>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841E-4277-BCB0-951FB78FFA9D}"/>
              </c:ext>
            </c:extLst>
          </c:dPt>
          <c:dPt>
            <c:idx val="7"/>
            <c:invertIfNegative val="0"/>
            <c:bubble3D val="0"/>
            <c:extLst>
              <c:ext xmlns:c16="http://schemas.microsoft.com/office/drawing/2014/chart" uri="{C3380CC4-5D6E-409C-BE32-E72D297353CC}">
                <c16:uniqueId val="{0000000C-841E-4277-BCB0-951FB78FFA9D}"/>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841E-4277-BCB0-951FB78FFA9D}"/>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0-841E-4277-BCB0-951FB78FFA9D}"/>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2-841E-4277-BCB0-951FB78FFA9D}"/>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4-841E-4277-BCB0-951FB78FFA9D}"/>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6-841E-4277-BCB0-951FB78FFA9D}"/>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8-841E-4277-BCB0-951FB78FFA9D}"/>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A-841E-4277-BCB0-951FB78FFA9D}"/>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C-841E-4277-BCB0-951FB78FFA9D}"/>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41E-4277-BCB0-951FB78FFA9D}"/>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41E-4277-BCB0-951FB78FFA9D}"/>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841E-4277-BCB0-951FB78FFA9D}"/>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841E-4277-BCB0-951FB78FFA9D}"/>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841E-4277-BCB0-951FB78FFA9D}"/>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'[9]TABLA ESTAD RESUL 2025'!$AB$32:$AB$49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'[9]TABLA ESTAD RESUL 2025'!$AC$32:$AC$49</c:f>
              <c:numCache>
                <c:formatCode>General</c:formatCode>
                <c:ptCount val="18"/>
                <c:pt idx="0">
                  <c:v>126820743.59333336</c:v>
                </c:pt>
                <c:pt idx="1">
                  <c:v>123989061</c:v>
                </c:pt>
                <c:pt idx="2">
                  <c:v>2831682.5933333635</c:v>
                </c:pt>
                <c:pt idx="4">
                  <c:v>41119612.213333331</c:v>
                </c:pt>
                <c:pt idx="5">
                  <c:v>37957243</c:v>
                </c:pt>
                <c:pt idx="6">
                  <c:v>3162369.213333331</c:v>
                </c:pt>
                <c:pt idx="8">
                  <c:v>42114505</c:v>
                </c:pt>
                <c:pt idx="9">
                  <c:v>40064192.879999995</c:v>
                </c:pt>
                <c:pt idx="10">
                  <c:v>2050312.1200000048</c:v>
                </c:pt>
                <c:pt idx="12">
                  <c:v>27839757.333333332</c:v>
                </c:pt>
                <c:pt idx="13">
                  <c:v>27302121.32</c:v>
                </c:pt>
                <c:pt idx="14">
                  <c:v>537636.01333333179</c:v>
                </c:pt>
                <c:pt idx="16">
                  <c:v>0</c:v>
                </c:pt>
                <c:pt idx="17">
                  <c:v>515365</c:v>
                </c:pt>
              </c:numCache>
            </c:numRef>
          </c:val>
          <c:shape val="cylinder"/>
          <c:extLst>
            <c:ext xmlns:c16="http://schemas.microsoft.com/office/drawing/2014/chart" uri="{C3380CC4-5D6E-409C-BE32-E72D297353CC}">
              <c16:uniqueId val="{0000001D-841E-4277-BCB0-951FB78FFA9D}"/>
            </c:ext>
          </c:extLst>
        </c:ser>
        <c:dLbls>
          <c:showLegendKey val="0"/>
          <c:showVal val="0"/>
          <c:showCatName val="0"/>
          <c:showSerName val="0"/>
          <c:showPercent val="0"/>
          <c:showBubbleSize val="0"/>
        </c:dLbls>
        <c:gapWidth val="0"/>
        <c:gapDepth val="0"/>
        <c:shape val="box"/>
        <c:axId val="123832704"/>
        <c:axId val="1"/>
        <c:axId val="0"/>
      </c:bar3DChart>
      <c:catAx>
        <c:axId val="12383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General" sourceLinked="1"/>
        <c:majorTickMark val="out"/>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2383270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1-C3B3-46B9-B0B2-738E2F0C32A3}"/>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3-C3B3-46B9-B0B2-738E2F0C32A3}"/>
              </c:ext>
            </c:extLst>
          </c:dPt>
          <c:cat>
            <c:strRef>
              <c:f>'ESTAD RESUL GRAF MAY'!$AA$10:$AA$12</c:f>
              <c:strCache>
                <c:ptCount val="3"/>
                <c:pt idx="0">
                  <c:v>Ingresos presupuestados</c:v>
                </c:pt>
                <c:pt idx="1">
                  <c:v>Ingresos ejecutados</c:v>
                </c:pt>
                <c:pt idx="2">
                  <c:v>Ingresos marginales</c:v>
                </c:pt>
              </c:strCache>
            </c:strRef>
          </c:cat>
          <c:val>
            <c:numRef>
              <c:f>'ESTAD RESUL GRAF JUN'!$AC$10:$AC$12</c:f>
              <c:numCache>
                <c:formatCode>[$$-240A]\ #,##0</c:formatCode>
                <c:ptCount val="3"/>
                <c:pt idx="0">
                  <c:v>178420963.5</c:v>
                </c:pt>
                <c:pt idx="1">
                  <c:v>178413504</c:v>
                </c:pt>
                <c:pt idx="2">
                  <c:v>7459.5</c:v>
                </c:pt>
              </c:numCache>
            </c:numRef>
          </c:val>
          <c:shape val="cylinder"/>
          <c:extLst>
            <c:ext xmlns:c16="http://schemas.microsoft.com/office/drawing/2014/chart" uri="{C3380CC4-5D6E-409C-BE32-E72D297353CC}">
              <c16:uniqueId val="{00000004-C3B3-46B9-B0B2-738E2F0C32A3}"/>
            </c:ext>
          </c:extLst>
        </c:ser>
        <c:dLbls>
          <c:showLegendKey val="0"/>
          <c:showVal val="0"/>
          <c:showCatName val="0"/>
          <c:showSerName val="0"/>
          <c:showPercent val="0"/>
          <c:showBubbleSize val="0"/>
        </c:dLbls>
        <c:gapWidth val="150"/>
        <c:shape val="box"/>
        <c:axId val="1432913024"/>
        <c:axId val="1"/>
        <c:axId val="0"/>
      </c:bar3DChart>
      <c:catAx>
        <c:axId val="143291302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3024"/>
        <c:crosses val="autoZero"/>
        <c:crossBetween val="between"/>
      </c:valAx>
      <c:dTable>
        <c:showHorzBorder val="1"/>
        <c:showVertBorder val="0"/>
        <c:showOutline val="0"/>
        <c:showKeys val="0"/>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JUNIO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1AFA-4CAF-8D51-BF115003EA5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AFA-4CAF-8D51-BF115003EA57}"/>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1AFA-4CAF-8D51-BF115003EA5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AFA-4CAF-8D51-BF115003EA57}"/>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AFA-4CAF-8D51-BF115003EA5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1AFA-4CAF-8D51-BF115003EA57}"/>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D-1AFA-4CAF-8D51-BF115003EA57}"/>
              </c:ext>
            </c:extLst>
          </c:dPt>
          <c:dPt>
            <c:idx val="7"/>
            <c:bubble3D val="0"/>
            <c:extLst>
              <c:ext xmlns:c16="http://schemas.microsoft.com/office/drawing/2014/chart" uri="{C3380CC4-5D6E-409C-BE32-E72D297353CC}">
                <c16:uniqueId val="{0000000E-1AFA-4CAF-8D51-BF115003EA57}"/>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AFA-4CAF-8D51-BF115003EA57}"/>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AFA-4CAF-8D51-BF115003EA57}"/>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AFA-4CAF-8D51-BF115003EA57}"/>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1AFA-4CAF-8D51-BF115003EA57}"/>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1AFA-4CAF-8D51-BF115003EA57}"/>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'ESTAD RESULT graf abr'!$AG$58:$AG$66</c:f>
              <c:numCache>
                <c:formatCode>0.00%</c:formatCode>
                <c:ptCount val="8"/>
                <c:pt idx="0">
                  <c:v>0.16025186355848939</c:v>
                </c:pt>
                <c:pt idx="2">
                  <c:v>0.52235986015946412</c:v>
                </c:pt>
                <c:pt idx="4">
                  <c:v>0.15601691125353381</c:v>
                </c:pt>
                <c:pt idx="6">
                  <c:v>0.11576512369825998</c:v>
                </c:pt>
              </c:numCache>
            </c:numRef>
          </c:val>
          <c:extLst>
            <c:ext xmlns:c16="http://schemas.microsoft.com/office/drawing/2014/chart" uri="{C3380CC4-5D6E-409C-BE32-E72D297353CC}">
              <c16:uniqueId val="{00000010-1AFA-4CAF-8D51-BF115003EA57}"/>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1"/>
            <c:invertIfNegative val="0"/>
            <c:bubble3D val="0"/>
            <c:spPr>
              <a:solidFill>
                <a:srgbClr val="FFC000"/>
              </a:solidFill>
              <a:ln w="25400">
                <a:noFill/>
              </a:ln>
            </c:spPr>
            <c:extLst>
              <c:ext xmlns:c16="http://schemas.microsoft.com/office/drawing/2014/chart" uri="{C3380CC4-5D6E-409C-BE32-E72D297353CC}">
                <c16:uniqueId val="{00000001-B4FC-4AE5-A961-E6DB3358813F}"/>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3-B4FC-4AE5-A961-E6DB3358813F}"/>
              </c:ext>
            </c:extLst>
          </c:dPt>
          <c:cat>
            <c:strRef>
              <c:f>'ESTAD RESUL GRAF JUN'!$AH$10:$AH$12</c:f>
              <c:strCache>
                <c:ptCount val="3"/>
                <c:pt idx="0">
                  <c:v>Egresos operacionales presupuestados</c:v>
                </c:pt>
                <c:pt idx="1">
                  <c:v>Egresos operacionales reales</c:v>
                </c:pt>
                <c:pt idx="2">
                  <c:v>Diferencia</c:v>
                </c:pt>
              </c:strCache>
            </c:strRef>
          </c:cat>
          <c:val>
            <c:numRef>
              <c:f>'ESTAD RESUL GRAF JUN'!$AK$10:$AK$12</c:f>
              <c:numCache>
                <c:formatCode>#,##0</c:formatCode>
                <c:ptCount val="3"/>
                <c:pt idx="0">
                  <c:v>178420963.60500002</c:v>
                </c:pt>
                <c:pt idx="1">
                  <c:v>170395092.59999999</c:v>
                </c:pt>
                <c:pt idx="2">
                  <c:v>8025871.005000025</c:v>
                </c:pt>
              </c:numCache>
            </c:numRef>
          </c:val>
          <c:shape val="cylinder"/>
          <c:extLst>
            <c:ext xmlns:c16="http://schemas.microsoft.com/office/drawing/2014/chart" uri="{C3380CC4-5D6E-409C-BE32-E72D297353CC}">
              <c16:uniqueId val="{00000004-B4FC-4AE5-A961-E6DB3358813F}"/>
            </c:ext>
          </c:extLst>
        </c:ser>
        <c:dLbls>
          <c:showLegendKey val="0"/>
          <c:showVal val="0"/>
          <c:showCatName val="0"/>
          <c:showSerName val="0"/>
          <c:showPercent val="0"/>
          <c:showBubbleSize val="0"/>
        </c:dLbls>
        <c:gapWidth val="150"/>
        <c:shape val="box"/>
        <c:axId val="1432910144"/>
        <c:axId val="1"/>
        <c:axId val="0"/>
      </c:bar3DChart>
      <c:catAx>
        <c:axId val="143291014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0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Enero-  junio 2025</a:t>
            </a:r>
          </a:p>
        </c:rich>
      </c:tx>
      <c:layout>
        <c:manualLayout>
          <c:xMode val="edge"/>
          <c:yMode val="edge"/>
          <c:x val="0.65011918641149347"/>
          <c:y val="0.27877191821610536"/>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8.2434405121351723E-2"/>
          <c:y val="2.0496629502348859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1D8B-4901-AFE2-7F3197B07DFF}"/>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1D8B-4901-AFE2-7F3197B07DFF}"/>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1D8B-4901-AFE2-7F3197B07DFF}"/>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1D8B-4901-AFE2-7F3197B07DFF}"/>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1D8B-4901-AFE2-7F3197B07DFF}"/>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1D8B-4901-AFE2-7F3197B07DFF}"/>
              </c:ext>
            </c:extLst>
          </c:dPt>
          <c:dPt>
            <c:idx val="7"/>
            <c:invertIfNegative val="0"/>
            <c:bubble3D val="0"/>
            <c:extLst>
              <c:ext xmlns:c16="http://schemas.microsoft.com/office/drawing/2014/chart" uri="{C3380CC4-5D6E-409C-BE32-E72D297353CC}">
                <c16:uniqueId val="{0000000C-1D8B-4901-AFE2-7F3197B07DFF}"/>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1D8B-4901-AFE2-7F3197B07DFF}"/>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0-1D8B-4901-AFE2-7F3197B07DFF}"/>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2-1D8B-4901-AFE2-7F3197B07DFF}"/>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4-1D8B-4901-AFE2-7F3197B07DFF}"/>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6-1D8B-4901-AFE2-7F3197B07DFF}"/>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8-1D8B-4901-AFE2-7F3197B07DFF}"/>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A-1D8B-4901-AFE2-7F3197B07DFF}"/>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C-1D8B-4901-AFE2-7F3197B07DFF}"/>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D8B-4901-AFE2-7F3197B07DFF}"/>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D8B-4901-AFE2-7F3197B07DFF}"/>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1D8B-4901-AFE2-7F3197B07DFF}"/>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1D8B-4901-AFE2-7F3197B07DFF}"/>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1D8B-4901-AFE2-7F3197B07DF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'TABLA ESTAD RESUL 2025'!$AB$32:$AB$49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'TABLA ESTAD RESUL 2025'!$AC$32:$AC$49</c:f>
              <c:numCache>
                <c:formatCode>#,##0</c:formatCode>
                <c:ptCount val="18"/>
                <c:pt idx="0">
                  <c:v>126820743.59333336</c:v>
                </c:pt>
                <c:pt idx="1">
                  <c:v>123989061</c:v>
                </c:pt>
                <c:pt idx="2">
                  <c:v>2831682.5933333635</c:v>
                </c:pt>
                <c:pt idx="4">
                  <c:v>41119612.213333331</c:v>
                </c:pt>
                <c:pt idx="5">
                  <c:v>37817243</c:v>
                </c:pt>
                <c:pt idx="6">
                  <c:v>3302369.213333331</c:v>
                </c:pt>
                <c:pt idx="8">
                  <c:v>42114505</c:v>
                </c:pt>
                <c:pt idx="9">
                  <c:v>40064192.879999995</c:v>
                </c:pt>
                <c:pt idx="10">
                  <c:v>2050312.1200000048</c:v>
                </c:pt>
                <c:pt idx="12">
                  <c:v>27839757.333333332</c:v>
                </c:pt>
                <c:pt idx="13">
                  <c:v>27377671.32</c:v>
                </c:pt>
                <c:pt idx="14">
                  <c:v>462086.01333333179</c:v>
                </c:pt>
                <c:pt idx="16">
                  <c:v>0</c:v>
                </c:pt>
                <c:pt idx="17">
                  <c:v>515365</c:v>
                </c:pt>
              </c:numCache>
            </c:numRef>
          </c:val>
          <c:shape val="cylinder"/>
          <c:extLst>
            <c:ext xmlns:c16="http://schemas.microsoft.com/office/drawing/2014/chart" uri="{C3380CC4-5D6E-409C-BE32-E72D297353CC}">
              <c16:uniqueId val="{0000001D-1D8B-4901-AFE2-7F3197B07DFF}"/>
            </c:ext>
          </c:extLst>
        </c:ser>
        <c:dLbls>
          <c:showLegendKey val="0"/>
          <c:showVal val="0"/>
          <c:showCatName val="0"/>
          <c:showSerName val="0"/>
          <c:showPercent val="0"/>
          <c:showBubbleSize val="0"/>
        </c:dLbls>
        <c:gapWidth val="0"/>
        <c:gapDepth val="0"/>
        <c:shape val="box"/>
        <c:axId val="1432909184"/>
        <c:axId val="1"/>
        <c:axId val="0"/>
      </c:bar3DChart>
      <c:catAx>
        <c:axId val="14329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0" sourceLinked="1"/>
        <c:majorTickMark val="out"/>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4329091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6.0881771425315978E-2"/>
          <c:y val="2.3295329879971693E-2"/>
          <c:w val="0.92607106733624034"/>
          <c:h val="0.64728055284955766"/>
        </c:manualLayout>
      </c:layout>
      <c:barChart>
        <c:barDir val="col"/>
        <c:grouping val="clustered"/>
        <c:varyColors val="0"/>
        <c:ser>
          <c:idx val="0"/>
          <c:order val="0"/>
          <c:tx>
            <c:strRef>
              <c:f>'TABLA ESTAD RESUL 2025'!$B$81</c:f>
              <c:strCache>
                <c:ptCount val="1"/>
                <c:pt idx="0">
                  <c:v>Ingresos operacionales pptados</c:v>
                </c:pt>
              </c:strCache>
            </c:strRef>
          </c:tx>
          <c:spPr>
            <a:solidFill>
              <a:schemeClr val="accent1"/>
            </a:solidFill>
            <a:ln>
              <a:noFill/>
            </a:ln>
            <a:effectLst/>
          </c:spPr>
          <c:invertIfNegative val="0"/>
          <c:cat>
            <c:numRef>
              <c:f>'TABLA ESTAD RESUL 2025'!$C$80:$K$80</c:f>
              <c:numCache>
                <c:formatCode>mmm\-yy</c:formatCode>
                <c:ptCount val="1"/>
                <c:pt idx="0">
                  <c:v>45839</c:v>
                </c:pt>
              </c:numCache>
            </c:numRef>
          </c:cat>
          <c:val>
            <c:numRef>
              <c:f>'TABLA ESTAD RESUL 2025'!$C$81:$K$81</c:f>
              <c:numCache>
                <c:formatCode>#,##0</c:formatCode>
                <c:ptCount val="1"/>
                <c:pt idx="0">
                  <c:v>29735584</c:v>
                </c:pt>
              </c:numCache>
            </c:numRef>
          </c:val>
          <c:extLst>
            <c:ext xmlns:c16="http://schemas.microsoft.com/office/drawing/2014/chart" uri="{C3380CC4-5D6E-409C-BE32-E72D297353CC}">
              <c16:uniqueId val="{00000000-9FB9-4BCB-A89A-79A972888C45}"/>
            </c:ext>
          </c:extLst>
        </c:ser>
        <c:ser>
          <c:idx val="1"/>
          <c:order val="1"/>
          <c:tx>
            <c:strRef>
              <c:f>'TABLA ESTAD RESUL 2025'!$B$82</c:f>
              <c:strCache>
                <c:ptCount val="1"/>
                <c:pt idx="0">
                  <c:v>Ingresos operacionales reales</c:v>
                </c:pt>
              </c:strCache>
            </c:strRef>
          </c:tx>
          <c:spPr>
            <a:solidFill>
              <a:schemeClr val="accent3"/>
            </a:solidFill>
            <a:ln>
              <a:noFill/>
            </a:ln>
            <a:effectLst/>
          </c:spPr>
          <c:invertIfNegative val="0"/>
          <c:cat>
            <c:numRef>
              <c:f>'TABLA ESTAD RESUL 2025'!$C$80:$K$80</c:f>
              <c:numCache>
                <c:formatCode>mmm\-yy</c:formatCode>
                <c:ptCount val="1"/>
                <c:pt idx="0">
                  <c:v>45839</c:v>
                </c:pt>
              </c:numCache>
            </c:numRef>
          </c:cat>
          <c:val>
            <c:numRef>
              <c:f>'TABLA ESTAD RESUL 2025'!$C$82:$K$82</c:f>
              <c:numCache>
                <c:formatCode>#,##0</c:formatCode>
                <c:ptCount val="1"/>
                <c:pt idx="0">
                  <c:v>30337759.760000002</c:v>
                </c:pt>
              </c:numCache>
            </c:numRef>
          </c:val>
          <c:extLst>
            <c:ext xmlns:c16="http://schemas.microsoft.com/office/drawing/2014/chart" uri="{C3380CC4-5D6E-409C-BE32-E72D297353CC}">
              <c16:uniqueId val="{00000001-9FB9-4BCB-A89A-79A972888C45}"/>
            </c:ext>
          </c:extLst>
        </c:ser>
        <c:ser>
          <c:idx val="2"/>
          <c:order val="2"/>
          <c:tx>
            <c:strRef>
              <c:f>'TABLA ESTAD RESUL 2025'!$B$83</c:f>
              <c:strCache>
                <c:ptCount val="1"/>
                <c:pt idx="0">
                  <c:v>Ingresos marginales</c:v>
                </c:pt>
              </c:strCache>
            </c:strRef>
          </c:tx>
          <c:spPr>
            <a:solidFill>
              <a:schemeClr val="accent5"/>
            </a:solidFill>
            <a:ln>
              <a:noFill/>
            </a:ln>
            <a:effectLst/>
          </c:spPr>
          <c:invertIfNegative val="0"/>
          <c:dLbls>
            <c:dLbl>
              <c:idx val="2"/>
              <c:layout>
                <c:manualLayout>
                  <c:x val="2.3722111342624762E-2"/>
                  <c:y val="-4.66541120239702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FB9-4BCB-A89A-79A972888C45}"/>
                </c:ext>
              </c:extLst>
            </c:dLbl>
            <c:dLbl>
              <c:idx val="3"/>
              <c:layout>
                <c:manualLayout>
                  <c:x val="1.3047161238443643E-2"/>
                  <c:y val="-2.96889803788901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FB9-4BCB-A89A-79A972888C45}"/>
                </c:ext>
              </c:extLst>
            </c:dLbl>
            <c:dLbl>
              <c:idx val="4"/>
              <c:layout>
                <c:manualLayout>
                  <c:x val="2.2536005775493563E-2"/>
                  <c:y val="-4.6654112023970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FB9-4BCB-A89A-79A972888C45}"/>
                </c:ext>
              </c:extLst>
            </c:dLbl>
            <c:dLbl>
              <c:idx val="5"/>
              <c:layout>
                <c:manualLayout>
                  <c:x val="1.7791583506968515E-2"/>
                  <c:y val="-4.24128291127001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FB9-4BCB-A89A-79A972888C45}"/>
                </c:ext>
              </c:extLst>
            </c:dLbl>
            <c:dLbl>
              <c:idx val="6"/>
              <c:layout>
                <c:manualLayout>
                  <c:x val="1.3047161238443643E-2"/>
                  <c:y val="-3.81715462014302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FB9-4BCB-A89A-79A972888C45}"/>
                </c:ext>
              </c:extLst>
            </c:dLbl>
            <c:dLbl>
              <c:idx val="7"/>
              <c:layout>
                <c:manualLayout>
                  <c:x val="1.8977689074099843E-2"/>
                  <c:y val="-4.6654112023970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FB9-4BCB-A89A-79A972888C45}"/>
                </c:ext>
              </c:extLst>
            </c:dLbl>
            <c:dLbl>
              <c:idx val="8"/>
              <c:layout>
                <c:manualLayout>
                  <c:x val="7.1166334027872678E-3"/>
                  <c:y val="-3.3930263290160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FB9-4BCB-A89A-79A972888C4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 ESTAD RESUL 2025'!$C$80:$K$80</c:f>
              <c:numCache>
                <c:formatCode>mmm\-yy</c:formatCode>
                <c:ptCount val="1"/>
                <c:pt idx="0">
                  <c:v>45839</c:v>
                </c:pt>
              </c:numCache>
            </c:numRef>
          </c:cat>
          <c:val>
            <c:numRef>
              <c:f>'TABLA ESTAD RESUL 2025'!$C$83:$K$83</c:f>
              <c:numCache>
                <c:formatCode>#,##0</c:formatCode>
                <c:ptCount val="1"/>
                <c:pt idx="0">
                  <c:v>602175.76</c:v>
                </c:pt>
              </c:numCache>
            </c:numRef>
          </c:val>
          <c:extLst>
            <c:ext xmlns:c16="http://schemas.microsoft.com/office/drawing/2014/chart" uri="{C3380CC4-5D6E-409C-BE32-E72D297353CC}">
              <c16:uniqueId val="{00000009-9FB9-4BCB-A89A-79A972888C45}"/>
            </c:ext>
          </c:extLst>
        </c:ser>
        <c:dLbls>
          <c:showLegendKey val="0"/>
          <c:showVal val="0"/>
          <c:showCatName val="0"/>
          <c:showSerName val="0"/>
          <c:showPercent val="0"/>
          <c:showBubbleSize val="0"/>
        </c:dLbls>
        <c:gapWidth val="219"/>
        <c:overlap val="-27"/>
        <c:axId val="43340784"/>
        <c:axId val="43332144"/>
      </c:barChart>
      <c:catAx>
        <c:axId val="4334078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2144"/>
        <c:crosses val="autoZero"/>
        <c:auto val="0"/>
        <c:lblAlgn val="ctr"/>
        <c:lblOffset val="100"/>
        <c:noMultiLvlLbl val="0"/>
      </c:catAx>
      <c:valAx>
        <c:axId val="43332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40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stacked"/>
        <c:varyColors val="0"/>
        <c:ser>
          <c:idx val="0"/>
          <c:order val="0"/>
          <c:tx>
            <c:strRef>
              <c:f>'TABLA ESTAD RESUL 2025'!$B$92</c:f>
              <c:strCache>
                <c:ptCount val="1"/>
                <c:pt idx="0">
                  <c:v>Intereses de mora</c:v>
                </c:pt>
              </c:strCache>
            </c:strRef>
          </c:tx>
          <c:spPr>
            <a:solidFill>
              <a:schemeClr val="accent1"/>
            </a:solidFill>
            <a:ln>
              <a:noFill/>
            </a:ln>
            <a:effectLst/>
          </c:spPr>
          <c:invertIfNegative val="0"/>
          <c:cat>
            <c:numRef>
              <c:f>'TABLA ESTAD RESUL 2025'!$C$91:$K$91</c:f>
              <c:numCache>
                <c:formatCode>mmm\-yy</c:formatCode>
                <c:ptCount val="1"/>
                <c:pt idx="0">
                  <c:v>45839</c:v>
                </c:pt>
              </c:numCache>
            </c:numRef>
          </c:cat>
          <c:val>
            <c:numRef>
              <c:f>'TABLA ESTAD RESUL 2025'!$C$92:$K$92</c:f>
              <c:numCache>
                <c:formatCode>#,##0</c:formatCode>
                <c:ptCount val="1"/>
                <c:pt idx="0">
                  <c:v>249985</c:v>
                </c:pt>
              </c:numCache>
            </c:numRef>
          </c:val>
          <c:extLst>
            <c:ext xmlns:c16="http://schemas.microsoft.com/office/drawing/2014/chart" uri="{C3380CC4-5D6E-409C-BE32-E72D297353CC}">
              <c16:uniqueId val="{00000000-AB11-4AA2-8E90-94B99652AA5B}"/>
            </c:ext>
          </c:extLst>
        </c:ser>
        <c:ser>
          <c:idx val="1"/>
          <c:order val="1"/>
          <c:tx>
            <c:strRef>
              <c:f>'TABLA ESTAD RESUL 2025'!$B$93</c:f>
              <c:strCache>
                <c:ptCount val="1"/>
                <c:pt idx="0">
                  <c:v>Intereses financieros</c:v>
                </c:pt>
              </c:strCache>
            </c:strRef>
          </c:tx>
          <c:spPr>
            <a:solidFill>
              <a:schemeClr val="accent2"/>
            </a:solidFill>
            <a:ln>
              <a:noFill/>
            </a:ln>
            <a:effectLst/>
          </c:spPr>
          <c:invertIfNegative val="0"/>
          <c:cat>
            <c:numRef>
              <c:f>'TABLA ESTAD RESUL 2025'!$C$91:$K$91</c:f>
              <c:numCache>
                <c:formatCode>mmm\-yy</c:formatCode>
                <c:ptCount val="1"/>
                <c:pt idx="0">
                  <c:v>45839</c:v>
                </c:pt>
              </c:numCache>
            </c:numRef>
          </c:cat>
          <c:val>
            <c:numRef>
              <c:f>'TABLA ESTAD RESUL 2025'!$C$93:$K$93</c:f>
              <c:numCache>
                <c:formatCode>#,##0</c:formatCode>
                <c:ptCount val="1"/>
                <c:pt idx="0">
                  <c:v>92232.760000000009</c:v>
                </c:pt>
              </c:numCache>
            </c:numRef>
          </c:val>
          <c:extLst>
            <c:ext xmlns:c16="http://schemas.microsoft.com/office/drawing/2014/chart" uri="{C3380CC4-5D6E-409C-BE32-E72D297353CC}">
              <c16:uniqueId val="{00000001-AB11-4AA2-8E90-94B99652AA5B}"/>
            </c:ext>
          </c:extLst>
        </c:ser>
        <c:ser>
          <c:idx val="2"/>
          <c:order val="2"/>
          <c:tx>
            <c:strRef>
              <c:f>'TABLA ESTAD RESUL 2025'!$B$94</c:f>
              <c:strCache>
                <c:ptCount val="1"/>
                <c:pt idx="0">
                  <c:v>Descuentos pronto pago</c:v>
                </c:pt>
              </c:strCache>
            </c:strRef>
          </c:tx>
          <c:spPr>
            <a:solidFill>
              <a:schemeClr val="accent3"/>
            </a:solidFill>
            <a:ln>
              <a:noFill/>
            </a:ln>
            <a:effectLst/>
          </c:spPr>
          <c:invertIfNegative val="0"/>
          <c:cat>
            <c:numRef>
              <c:f>'TABLA ESTAD RESUL 2025'!$C$91:$K$91</c:f>
              <c:numCache>
                <c:formatCode>mmm\-yy</c:formatCode>
                <c:ptCount val="1"/>
                <c:pt idx="0">
                  <c:v>45839</c:v>
                </c:pt>
              </c:numCache>
            </c:numRef>
          </c:cat>
          <c:val>
            <c:numRef>
              <c:f>'TABLA ESTAD RESUL 2025'!$C$94:$K$94</c:f>
              <c:numCache>
                <c:formatCode>#,##0</c:formatCode>
                <c:ptCount val="1"/>
                <c:pt idx="0">
                  <c:v>259958</c:v>
                </c:pt>
              </c:numCache>
            </c:numRef>
          </c:val>
          <c:extLst>
            <c:ext xmlns:c16="http://schemas.microsoft.com/office/drawing/2014/chart" uri="{C3380CC4-5D6E-409C-BE32-E72D297353CC}">
              <c16:uniqueId val="{00000002-AB11-4AA2-8E90-94B99652AA5B}"/>
            </c:ext>
          </c:extLst>
        </c:ser>
        <c:ser>
          <c:idx val="3"/>
          <c:order val="3"/>
          <c:tx>
            <c:strRef>
              <c:f>'TABLA ESTAD RESUL 2025'!$B$95</c:f>
              <c:strCache>
                <c:ptCount val="1"/>
                <c:pt idx="0">
                  <c:v>Aprovechamientos</c:v>
                </c:pt>
              </c:strCache>
            </c:strRef>
          </c:tx>
          <c:spPr>
            <a:solidFill>
              <a:schemeClr val="accent4"/>
            </a:solidFill>
            <a:ln>
              <a:noFill/>
            </a:ln>
            <a:effectLst/>
          </c:spPr>
          <c:invertIfNegative val="0"/>
          <c:cat>
            <c:numRef>
              <c:f>'TABLA ESTAD RESUL 2025'!$C$91:$K$91</c:f>
              <c:numCache>
                <c:formatCode>mmm\-yy</c:formatCode>
                <c:ptCount val="1"/>
                <c:pt idx="0">
                  <c:v>45839</c:v>
                </c:pt>
              </c:numCache>
            </c:numRef>
          </c:cat>
          <c:val>
            <c:numRef>
              <c:f>'TABLA ESTAD RESUL 2025'!$C$95:$K$95</c:f>
              <c:numCache>
                <c:formatCode>#,##0</c:formatCode>
                <c:ptCount val="1"/>
                <c:pt idx="0">
                  <c:v>0</c:v>
                </c:pt>
              </c:numCache>
            </c:numRef>
          </c:val>
          <c:extLst>
            <c:ext xmlns:c16="http://schemas.microsoft.com/office/drawing/2014/chart" uri="{C3380CC4-5D6E-409C-BE32-E72D297353CC}">
              <c16:uniqueId val="{00000003-AB11-4AA2-8E90-94B99652AA5B}"/>
            </c:ext>
          </c:extLst>
        </c:ser>
        <c:dLbls>
          <c:showLegendKey val="0"/>
          <c:showVal val="0"/>
          <c:showCatName val="0"/>
          <c:showSerName val="0"/>
          <c:showPercent val="0"/>
          <c:showBubbleSize val="0"/>
        </c:dLbls>
        <c:gapWidth val="150"/>
        <c:overlap val="100"/>
        <c:axId val="43336464"/>
        <c:axId val="43331664"/>
      </c:barChart>
      <c:dateAx>
        <c:axId val="4333646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1664"/>
        <c:crosses val="autoZero"/>
        <c:auto val="1"/>
        <c:lblOffset val="100"/>
        <c:baseTimeUnit val="months"/>
      </c:dateAx>
      <c:valAx>
        <c:axId val="43331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6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1-1B6A-4567-8FB9-5F69A0B94765}"/>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3-1B6A-4567-8FB9-5F69A0B94765}"/>
              </c:ext>
            </c:extLst>
          </c:dPt>
          <c:cat>
            <c:strRef>
              <c:f>'ESTAD RESUL GRAF MAY'!$AA$10:$AA$12</c:f>
              <c:strCache>
                <c:ptCount val="3"/>
                <c:pt idx="0">
                  <c:v>Ingresos presupuestados</c:v>
                </c:pt>
                <c:pt idx="1">
                  <c:v>Ingresos ejecutados</c:v>
                </c:pt>
                <c:pt idx="2">
                  <c:v>Ingresos marginales</c:v>
                </c:pt>
              </c:strCache>
            </c:strRef>
          </c:cat>
          <c:val>
            <c:numRef>
              <c:f>'ESTAD RESUL GRAF JUN'!$AC$10:$AC$12</c:f>
              <c:numCache>
                <c:formatCode>[$$-240A]\ #,##0</c:formatCode>
                <c:ptCount val="3"/>
                <c:pt idx="0">
                  <c:v>178420963.5</c:v>
                </c:pt>
                <c:pt idx="1">
                  <c:v>178413504</c:v>
                </c:pt>
                <c:pt idx="2">
                  <c:v>7459.5</c:v>
                </c:pt>
              </c:numCache>
            </c:numRef>
          </c:val>
          <c:shape val="cylinder"/>
          <c:extLst>
            <c:ext xmlns:c16="http://schemas.microsoft.com/office/drawing/2014/chart" uri="{C3380CC4-5D6E-409C-BE32-E72D297353CC}">
              <c16:uniqueId val="{00000004-1B6A-4567-8FB9-5F69A0B94765}"/>
            </c:ext>
          </c:extLst>
        </c:ser>
        <c:dLbls>
          <c:showLegendKey val="0"/>
          <c:showVal val="0"/>
          <c:showCatName val="0"/>
          <c:showSerName val="0"/>
          <c:showPercent val="0"/>
          <c:showBubbleSize val="0"/>
        </c:dLbls>
        <c:gapWidth val="150"/>
        <c:shape val="box"/>
        <c:axId val="1432913024"/>
        <c:axId val="1"/>
        <c:axId val="0"/>
      </c:bar3DChart>
      <c:catAx>
        <c:axId val="143291302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3024"/>
        <c:crosses val="autoZero"/>
        <c:crossBetween val="between"/>
      </c:valAx>
      <c:dTable>
        <c:showHorzBorder val="1"/>
        <c:showVertBorder val="0"/>
        <c:showOutline val="0"/>
        <c:showKeys val="0"/>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JUNIO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5980-4340-9E8F-DF43C0C80AE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980-4340-9E8F-DF43C0C80AE4}"/>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5980-4340-9E8F-DF43C0C80AE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980-4340-9E8F-DF43C0C80AE4}"/>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980-4340-9E8F-DF43C0C80AE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980-4340-9E8F-DF43C0C80AE4}"/>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D-5980-4340-9E8F-DF43C0C80AE4}"/>
              </c:ext>
            </c:extLst>
          </c:dPt>
          <c:dPt>
            <c:idx val="7"/>
            <c:bubble3D val="0"/>
            <c:extLst>
              <c:ext xmlns:c16="http://schemas.microsoft.com/office/drawing/2014/chart" uri="{C3380CC4-5D6E-409C-BE32-E72D297353CC}">
                <c16:uniqueId val="{0000000E-5980-4340-9E8F-DF43C0C80AE4}"/>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980-4340-9E8F-DF43C0C80AE4}"/>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980-4340-9E8F-DF43C0C80AE4}"/>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980-4340-9E8F-DF43C0C80AE4}"/>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5980-4340-9E8F-DF43C0C80AE4}"/>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5980-4340-9E8F-DF43C0C80AE4}"/>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'ESTAD RESULT graf abr'!$AG$58:$AG$66</c:f>
              <c:numCache>
                <c:formatCode>0.00%</c:formatCode>
                <c:ptCount val="8"/>
                <c:pt idx="0">
                  <c:v>0.16025186355848939</c:v>
                </c:pt>
                <c:pt idx="2">
                  <c:v>0.52235986015946412</c:v>
                </c:pt>
                <c:pt idx="4">
                  <c:v>0.15601691125353381</c:v>
                </c:pt>
                <c:pt idx="6">
                  <c:v>0.11576512369825998</c:v>
                </c:pt>
              </c:numCache>
            </c:numRef>
          </c:val>
          <c:extLst>
            <c:ext xmlns:c16="http://schemas.microsoft.com/office/drawing/2014/chart" uri="{C3380CC4-5D6E-409C-BE32-E72D297353CC}">
              <c16:uniqueId val="{00000010-5980-4340-9E8F-DF43C0C80AE4}"/>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1"/>
            <c:invertIfNegative val="0"/>
            <c:bubble3D val="0"/>
            <c:spPr>
              <a:solidFill>
                <a:srgbClr val="FFC000"/>
              </a:solidFill>
              <a:ln w="25400">
                <a:noFill/>
              </a:ln>
            </c:spPr>
            <c:extLst>
              <c:ext xmlns:c16="http://schemas.microsoft.com/office/drawing/2014/chart" uri="{C3380CC4-5D6E-409C-BE32-E72D297353CC}">
                <c16:uniqueId val="{00000001-ABC0-4163-9E5D-2272B6096899}"/>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3-ABC0-4163-9E5D-2272B6096899}"/>
              </c:ext>
            </c:extLst>
          </c:dPt>
          <c:cat>
            <c:strRef>
              <c:f>'ESTAD RESUL GRAF JUN'!$AH$10:$AH$12</c:f>
              <c:strCache>
                <c:ptCount val="3"/>
                <c:pt idx="0">
                  <c:v>Egresos operacionales presupuestados</c:v>
                </c:pt>
                <c:pt idx="1">
                  <c:v>Egresos operacionales reales</c:v>
                </c:pt>
                <c:pt idx="2">
                  <c:v>Diferencia</c:v>
                </c:pt>
              </c:strCache>
            </c:strRef>
          </c:cat>
          <c:val>
            <c:numRef>
              <c:f>'ESTAD RESUL GRAF JUN'!$AK$10:$AK$12</c:f>
              <c:numCache>
                <c:formatCode>#,##0</c:formatCode>
                <c:ptCount val="3"/>
                <c:pt idx="0">
                  <c:v>178420963.60500002</c:v>
                </c:pt>
                <c:pt idx="1">
                  <c:v>170395092.59999999</c:v>
                </c:pt>
                <c:pt idx="2">
                  <c:v>8025871.005000025</c:v>
                </c:pt>
              </c:numCache>
            </c:numRef>
          </c:val>
          <c:shape val="cylinder"/>
          <c:extLst>
            <c:ext xmlns:c16="http://schemas.microsoft.com/office/drawing/2014/chart" uri="{C3380CC4-5D6E-409C-BE32-E72D297353CC}">
              <c16:uniqueId val="{00000004-ABC0-4163-9E5D-2272B6096899}"/>
            </c:ext>
          </c:extLst>
        </c:ser>
        <c:dLbls>
          <c:showLegendKey val="0"/>
          <c:showVal val="0"/>
          <c:showCatName val="0"/>
          <c:showSerName val="0"/>
          <c:showPercent val="0"/>
          <c:showBubbleSize val="0"/>
        </c:dLbls>
        <c:gapWidth val="150"/>
        <c:shape val="box"/>
        <c:axId val="1432910144"/>
        <c:axId val="1"/>
        <c:axId val="0"/>
      </c:bar3DChart>
      <c:catAx>
        <c:axId val="143291014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0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acumulado Enero-  agosto 2025</a:t>
            </a:r>
          </a:p>
        </c:rich>
      </c:tx>
      <c:layout>
        <c:manualLayout>
          <c:xMode val="edge"/>
          <c:yMode val="edge"/>
          <c:x val="0.64784832991392538"/>
          <c:y val="0.15459865966877154"/>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8.2434405121351723E-2"/>
          <c:y val="2.0496629502348859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AEEE-4851-8CFF-C5C088790A1E}"/>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AEEE-4851-8CFF-C5C088790A1E}"/>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AEEE-4851-8CFF-C5C088790A1E}"/>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AEEE-4851-8CFF-C5C088790A1E}"/>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AEEE-4851-8CFF-C5C088790A1E}"/>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AEEE-4851-8CFF-C5C088790A1E}"/>
              </c:ext>
            </c:extLst>
          </c:dPt>
          <c:dPt>
            <c:idx val="7"/>
            <c:invertIfNegative val="0"/>
            <c:bubble3D val="0"/>
            <c:extLst>
              <c:ext xmlns:c16="http://schemas.microsoft.com/office/drawing/2014/chart" uri="{C3380CC4-5D6E-409C-BE32-E72D297353CC}">
                <c16:uniqueId val="{0000000C-AEEE-4851-8CFF-C5C088790A1E}"/>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AEEE-4851-8CFF-C5C088790A1E}"/>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0-AEEE-4851-8CFF-C5C088790A1E}"/>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2-AEEE-4851-8CFF-C5C088790A1E}"/>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4-AEEE-4851-8CFF-C5C088790A1E}"/>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6-AEEE-4851-8CFF-C5C088790A1E}"/>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8-AEEE-4851-8CFF-C5C088790A1E}"/>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A-AEEE-4851-8CFF-C5C088790A1E}"/>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C-AEEE-4851-8CFF-C5C088790A1E}"/>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EEE-4851-8CFF-C5C088790A1E}"/>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EEE-4851-8CFF-C5C088790A1E}"/>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EEE-4851-8CFF-C5C088790A1E}"/>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AEEE-4851-8CFF-C5C088790A1E}"/>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AEEE-4851-8CFF-C5C088790A1E}"/>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'ESTAD RESUL GRAF MAY'!$AA$32:$AA$49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'ESTAD RESUL GRAF MAY'!$AB$32:$AB$49</c:f>
              <c:numCache>
                <c:formatCode>#,##0</c:formatCode>
                <c:ptCount val="18"/>
                <c:pt idx="0">
                  <c:v>79262964.745833352</c:v>
                </c:pt>
                <c:pt idx="1">
                  <c:v>78009039</c:v>
                </c:pt>
                <c:pt idx="2">
                  <c:v>1253925.7458333522</c:v>
                </c:pt>
                <c:pt idx="4">
                  <c:v>25699757.633333333</c:v>
                </c:pt>
                <c:pt idx="5">
                  <c:v>23763013</c:v>
                </c:pt>
                <c:pt idx="6">
                  <c:v>1936744.6333333328</c:v>
                </c:pt>
                <c:pt idx="8">
                  <c:v>26321565.625</c:v>
                </c:pt>
                <c:pt idx="9">
                  <c:v>24638043.879999999</c:v>
                </c:pt>
                <c:pt idx="10">
                  <c:v>1683521.745000001</c:v>
                </c:pt>
                <c:pt idx="12">
                  <c:v>17399848.333333332</c:v>
                </c:pt>
                <c:pt idx="13">
                  <c:v>16820757.719999999</c:v>
                </c:pt>
                <c:pt idx="14">
                  <c:v>579090.61333333328</c:v>
                </c:pt>
                <c:pt idx="16">
                  <c:v>0</c:v>
                </c:pt>
                <c:pt idx="17">
                  <c:v>515365</c:v>
                </c:pt>
              </c:numCache>
            </c:numRef>
          </c:val>
          <c:shape val="cylinder"/>
          <c:extLst>
            <c:ext xmlns:c16="http://schemas.microsoft.com/office/drawing/2014/chart" uri="{C3380CC4-5D6E-409C-BE32-E72D297353CC}">
              <c16:uniqueId val="{0000001D-AEEE-4851-8CFF-C5C088790A1E}"/>
            </c:ext>
          </c:extLst>
        </c:ser>
        <c:dLbls>
          <c:showLegendKey val="0"/>
          <c:showVal val="0"/>
          <c:showCatName val="0"/>
          <c:showSerName val="0"/>
          <c:showPercent val="0"/>
          <c:showBubbleSize val="0"/>
        </c:dLbls>
        <c:gapWidth val="0"/>
        <c:gapDepth val="0"/>
        <c:shape val="box"/>
        <c:axId val="1432909184"/>
        <c:axId val="1"/>
        <c:axId val="0"/>
      </c:bar3DChart>
      <c:catAx>
        <c:axId val="14329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0" sourceLinked="1"/>
        <c:majorTickMark val="out"/>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4329091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6.0881771425315978E-2"/>
          <c:y val="2.3295329879971693E-2"/>
          <c:w val="0.92607106733624034"/>
          <c:h val="0.64728055284955766"/>
        </c:manualLayout>
      </c:layout>
      <c:barChart>
        <c:barDir val="col"/>
        <c:grouping val="clustered"/>
        <c:varyColors val="0"/>
        <c:ser>
          <c:idx val="0"/>
          <c:order val="0"/>
          <c:tx>
            <c:strRef>
              <c:f>'TABLA ESTAD RESUL 2025'!$B$81</c:f>
              <c:strCache>
                <c:ptCount val="1"/>
                <c:pt idx="0">
                  <c:v>Ingresos operacionales pptados</c:v>
                </c:pt>
              </c:strCache>
            </c:strRef>
          </c:tx>
          <c:spPr>
            <a:solidFill>
              <a:schemeClr val="accent1"/>
            </a:solidFill>
            <a:ln>
              <a:noFill/>
            </a:ln>
            <a:effectLst/>
          </c:spPr>
          <c:invertIfNegative val="0"/>
          <c:cat>
            <c:numRef>
              <c:f>'TABLA ESTAD RESUL 2025'!$C$80:$K$80</c:f>
              <c:numCache>
                <c:formatCode>mmm\-yy</c:formatCode>
                <c:ptCount val="1"/>
                <c:pt idx="0">
                  <c:v>45839</c:v>
                </c:pt>
              </c:numCache>
            </c:numRef>
          </c:cat>
          <c:val>
            <c:numRef>
              <c:f>'TABLA ESTAD RESUL 2025'!$C$81:$K$81</c:f>
              <c:numCache>
                <c:formatCode>#,##0</c:formatCode>
                <c:ptCount val="1"/>
                <c:pt idx="0">
                  <c:v>29735584</c:v>
                </c:pt>
              </c:numCache>
            </c:numRef>
          </c:val>
          <c:extLst>
            <c:ext xmlns:c16="http://schemas.microsoft.com/office/drawing/2014/chart" uri="{C3380CC4-5D6E-409C-BE32-E72D297353CC}">
              <c16:uniqueId val="{00000000-348C-430F-B7FB-82357735583C}"/>
            </c:ext>
          </c:extLst>
        </c:ser>
        <c:ser>
          <c:idx val="1"/>
          <c:order val="1"/>
          <c:tx>
            <c:strRef>
              <c:f>'TABLA ESTAD RESUL 2025'!$B$82</c:f>
              <c:strCache>
                <c:ptCount val="1"/>
                <c:pt idx="0">
                  <c:v>Ingresos operacionales reales</c:v>
                </c:pt>
              </c:strCache>
            </c:strRef>
          </c:tx>
          <c:spPr>
            <a:solidFill>
              <a:schemeClr val="accent3"/>
            </a:solidFill>
            <a:ln>
              <a:noFill/>
            </a:ln>
            <a:effectLst/>
          </c:spPr>
          <c:invertIfNegative val="0"/>
          <c:cat>
            <c:numRef>
              <c:f>'TABLA ESTAD RESUL 2025'!$C$80:$K$80</c:f>
              <c:numCache>
                <c:formatCode>mmm\-yy</c:formatCode>
                <c:ptCount val="1"/>
                <c:pt idx="0">
                  <c:v>45839</c:v>
                </c:pt>
              </c:numCache>
            </c:numRef>
          </c:cat>
          <c:val>
            <c:numRef>
              <c:f>'TABLA ESTAD RESUL 2025'!$C$82:$K$82</c:f>
              <c:numCache>
                <c:formatCode>#,##0</c:formatCode>
                <c:ptCount val="1"/>
                <c:pt idx="0">
                  <c:v>30337759.760000002</c:v>
                </c:pt>
              </c:numCache>
            </c:numRef>
          </c:val>
          <c:extLst>
            <c:ext xmlns:c16="http://schemas.microsoft.com/office/drawing/2014/chart" uri="{C3380CC4-5D6E-409C-BE32-E72D297353CC}">
              <c16:uniqueId val="{00000001-348C-430F-B7FB-82357735583C}"/>
            </c:ext>
          </c:extLst>
        </c:ser>
        <c:ser>
          <c:idx val="2"/>
          <c:order val="2"/>
          <c:tx>
            <c:strRef>
              <c:f>'TABLA ESTAD RESUL 2025'!$B$83</c:f>
              <c:strCache>
                <c:ptCount val="1"/>
                <c:pt idx="0">
                  <c:v>Ingresos marginales</c:v>
                </c:pt>
              </c:strCache>
            </c:strRef>
          </c:tx>
          <c:spPr>
            <a:solidFill>
              <a:schemeClr val="accent5"/>
            </a:solidFill>
            <a:ln>
              <a:noFill/>
            </a:ln>
            <a:effectLst/>
          </c:spPr>
          <c:invertIfNegative val="0"/>
          <c:dLbls>
            <c:dLbl>
              <c:idx val="2"/>
              <c:layout>
                <c:manualLayout>
                  <c:x val="2.3722111342624762E-2"/>
                  <c:y val="-4.66541120239702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8C-430F-B7FB-82357735583C}"/>
                </c:ext>
              </c:extLst>
            </c:dLbl>
            <c:dLbl>
              <c:idx val="3"/>
              <c:layout>
                <c:manualLayout>
                  <c:x val="1.3047161238443643E-2"/>
                  <c:y val="-2.96889803788901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8C-430F-B7FB-82357735583C}"/>
                </c:ext>
              </c:extLst>
            </c:dLbl>
            <c:dLbl>
              <c:idx val="4"/>
              <c:layout>
                <c:manualLayout>
                  <c:x val="2.2536005775493563E-2"/>
                  <c:y val="-4.6654112023970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8C-430F-B7FB-82357735583C}"/>
                </c:ext>
              </c:extLst>
            </c:dLbl>
            <c:dLbl>
              <c:idx val="5"/>
              <c:layout>
                <c:manualLayout>
                  <c:x val="1.7791583506968515E-2"/>
                  <c:y val="-4.24128291127001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8C-430F-B7FB-82357735583C}"/>
                </c:ext>
              </c:extLst>
            </c:dLbl>
            <c:dLbl>
              <c:idx val="6"/>
              <c:layout>
                <c:manualLayout>
                  <c:x val="1.3047161238443643E-2"/>
                  <c:y val="-3.81715462014302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8C-430F-B7FB-82357735583C}"/>
                </c:ext>
              </c:extLst>
            </c:dLbl>
            <c:dLbl>
              <c:idx val="7"/>
              <c:layout>
                <c:manualLayout>
                  <c:x val="1.8977689074099843E-2"/>
                  <c:y val="-4.6654112023970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8C-430F-B7FB-82357735583C}"/>
                </c:ext>
              </c:extLst>
            </c:dLbl>
            <c:dLbl>
              <c:idx val="8"/>
              <c:layout>
                <c:manualLayout>
                  <c:x val="7.1166334027872678E-3"/>
                  <c:y val="-3.3930263290160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8C-430F-B7FB-82357735583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 ESTAD RESUL 2025'!$C$80:$K$80</c:f>
              <c:numCache>
                <c:formatCode>mmm\-yy</c:formatCode>
                <c:ptCount val="1"/>
                <c:pt idx="0">
                  <c:v>45839</c:v>
                </c:pt>
              </c:numCache>
            </c:numRef>
          </c:cat>
          <c:val>
            <c:numRef>
              <c:f>'TABLA ESTAD RESUL 2025'!$C$83:$K$83</c:f>
              <c:numCache>
                <c:formatCode>#,##0</c:formatCode>
                <c:ptCount val="1"/>
                <c:pt idx="0">
                  <c:v>602175.76</c:v>
                </c:pt>
              </c:numCache>
            </c:numRef>
          </c:val>
          <c:extLst>
            <c:ext xmlns:c16="http://schemas.microsoft.com/office/drawing/2014/chart" uri="{C3380CC4-5D6E-409C-BE32-E72D297353CC}">
              <c16:uniqueId val="{00000002-348C-430F-B7FB-82357735583C}"/>
            </c:ext>
          </c:extLst>
        </c:ser>
        <c:dLbls>
          <c:showLegendKey val="0"/>
          <c:showVal val="0"/>
          <c:showCatName val="0"/>
          <c:showSerName val="0"/>
          <c:showPercent val="0"/>
          <c:showBubbleSize val="0"/>
        </c:dLbls>
        <c:gapWidth val="219"/>
        <c:overlap val="-27"/>
        <c:axId val="43340784"/>
        <c:axId val="43332144"/>
      </c:barChart>
      <c:catAx>
        <c:axId val="4334078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2144"/>
        <c:crosses val="autoZero"/>
        <c:auto val="0"/>
        <c:lblAlgn val="ctr"/>
        <c:lblOffset val="100"/>
        <c:noMultiLvlLbl val="0"/>
      </c:catAx>
      <c:valAx>
        <c:axId val="43332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40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stacked"/>
        <c:varyColors val="0"/>
        <c:ser>
          <c:idx val="0"/>
          <c:order val="0"/>
          <c:tx>
            <c:strRef>
              <c:f>'TABLA ESTAD RESUL 2025'!$B$92</c:f>
              <c:strCache>
                <c:ptCount val="1"/>
                <c:pt idx="0">
                  <c:v>Intereses de mora</c:v>
                </c:pt>
              </c:strCache>
            </c:strRef>
          </c:tx>
          <c:spPr>
            <a:solidFill>
              <a:schemeClr val="accent1"/>
            </a:solidFill>
            <a:ln>
              <a:noFill/>
            </a:ln>
            <a:effectLst/>
          </c:spPr>
          <c:invertIfNegative val="0"/>
          <c:cat>
            <c:numRef>
              <c:f>'TABLA ESTAD RESUL 2025'!$C$91:$K$91</c:f>
              <c:numCache>
                <c:formatCode>mmm\-yy</c:formatCode>
                <c:ptCount val="1"/>
                <c:pt idx="0">
                  <c:v>45839</c:v>
                </c:pt>
              </c:numCache>
            </c:numRef>
          </c:cat>
          <c:val>
            <c:numRef>
              <c:f>'TABLA ESTAD RESUL 2025'!$C$92:$K$92</c:f>
              <c:numCache>
                <c:formatCode>#,##0</c:formatCode>
                <c:ptCount val="1"/>
                <c:pt idx="0">
                  <c:v>249985</c:v>
                </c:pt>
              </c:numCache>
            </c:numRef>
          </c:val>
          <c:extLst>
            <c:ext xmlns:c16="http://schemas.microsoft.com/office/drawing/2014/chart" uri="{C3380CC4-5D6E-409C-BE32-E72D297353CC}">
              <c16:uniqueId val="{00000000-95DC-4FF4-952C-E246B2C6483D}"/>
            </c:ext>
          </c:extLst>
        </c:ser>
        <c:ser>
          <c:idx val="1"/>
          <c:order val="1"/>
          <c:tx>
            <c:strRef>
              <c:f>'TABLA ESTAD RESUL 2025'!$B$93</c:f>
              <c:strCache>
                <c:ptCount val="1"/>
                <c:pt idx="0">
                  <c:v>Intereses financieros</c:v>
                </c:pt>
              </c:strCache>
            </c:strRef>
          </c:tx>
          <c:spPr>
            <a:solidFill>
              <a:schemeClr val="accent2"/>
            </a:solidFill>
            <a:ln>
              <a:noFill/>
            </a:ln>
            <a:effectLst/>
          </c:spPr>
          <c:invertIfNegative val="0"/>
          <c:cat>
            <c:numRef>
              <c:f>'TABLA ESTAD RESUL 2025'!$C$91:$K$91</c:f>
              <c:numCache>
                <c:formatCode>mmm\-yy</c:formatCode>
                <c:ptCount val="1"/>
                <c:pt idx="0">
                  <c:v>45839</c:v>
                </c:pt>
              </c:numCache>
            </c:numRef>
          </c:cat>
          <c:val>
            <c:numRef>
              <c:f>'TABLA ESTAD RESUL 2025'!$C$93:$K$93</c:f>
              <c:numCache>
                <c:formatCode>#,##0</c:formatCode>
                <c:ptCount val="1"/>
                <c:pt idx="0">
                  <c:v>92232.760000000009</c:v>
                </c:pt>
              </c:numCache>
            </c:numRef>
          </c:val>
          <c:extLst>
            <c:ext xmlns:c16="http://schemas.microsoft.com/office/drawing/2014/chart" uri="{C3380CC4-5D6E-409C-BE32-E72D297353CC}">
              <c16:uniqueId val="{00000001-95DC-4FF4-952C-E246B2C6483D}"/>
            </c:ext>
          </c:extLst>
        </c:ser>
        <c:ser>
          <c:idx val="2"/>
          <c:order val="2"/>
          <c:tx>
            <c:strRef>
              <c:f>'TABLA ESTAD RESUL 2025'!$B$94</c:f>
              <c:strCache>
                <c:ptCount val="1"/>
                <c:pt idx="0">
                  <c:v>Descuentos pronto pago</c:v>
                </c:pt>
              </c:strCache>
            </c:strRef>
          </c:tx>
          <c:spPr>
            <a:solidFill>
              <a:schemeClr val="accent3"/>
            </a:solidFill>
            <a:ln>
              <a:noFill/>
            </a:ln>
            <a:effectLst/>
          </c:spPr>
          <c:invertIfNegative val="0"/>
          <c:cat>
            <c:numRef>
              <c:f>'TABLA ESTAD RESUL 2025'!$C$91:$K$91</c:f>
              <c:numCache>
                <c:formatCode>mmm\-yy</c:formatCode>
                <c:ptCount val="1"/>
                <c:pt idx="0">
                  <c:v>45839</c:v>
                </c:pt>
              </c:numCache>
            </c:numRef>
          </c:cat>
          <c:val>
            <c:numRef>
              <c:f>'TABLA ESTAD RESUL 2025'!$C$94:$K$94</c:f>
              <c:numCache>
                <c:formatCode>#,##0</c:formatCode>
                <c:ptCount val="1"/>
                <c:pt idx="0">
                  <c:v>259958</c:v>
                </c:pt>
              </c:numCache>
            </c:numRef>
          </c:val>
          <c:extLst>
            <c:ext xmlns:c16="http://schemas.microsoft.com/office/drawing/2014/chart" uri="{C3380CC4-5D6E-409C-BE32-E72D297353CC}">
              <c16:uniqueId val="{00000002-95DC-4FF4-952C-E246B2C6483D}"/>
            </c:ext>
          </c:extLst>
        </c:ser>
        <c:ser>
          <c:idx val="3"/>
          <c:order val="3"/>
          <c:tx>
            <c:strRef>
              <c:f>'TABLA ESTAD RESUL 2025'!$B$95</c:f>
              <c:strCache>
                <c:ptCount val="1"/>
                <c:pt idx="0">
                  <c:v>Aprovechamientos</c:v>
                </c:pt>
              </c:strCache>
            </c:strRef>
          </c:tx>
          <c:spPr>
            <a:solidFill>
              <a:schemeClr val="accent4"/>
            </a:solidFill>
            <a:ln>
              <a:noFill/>
            </a:ln>
            <a:effectLst/>
          </c:spPr>
          <c:invertIfNegative val="0"/>
          <c:cat>
            <c:numRef>
              <c:f>'TABLA ESTAD RESUL 2025'!$C$91:$K$91</c:f>
              <c:numCache>
                <c:formatCode>mmm\-yy</c:formatCode>
                <c:ptCount val="1"/>
                <c:pt idx="0">
                  <c:v>45839</c:v>
                </c:pt>
              </c:numCache>
            </c:numRef>
          </c:cat>
          <c:val>
            <c:numRef>
              <c:f>'TABLA ESTAD RESUL 2025'!$C$95:$K$95</c:f>
              <c:numCache>
                <c:formatCode>#,##0</c:formatCode>
                <c:ptCount val="1"/>
                <c:pt idx="0">
                  <c:v>0</c:v>
                </c:pt>
              </c:numCache>
            </c:numRef>
          </c:val>
          <c:extLst>
            <c:ext xmlns:c16="http://schemas.microsoft.com/office/drawing/2014/chart" uri="{C3380CC4-5D6E-409C-BE32-E72D297353CC}">
              <c16:uniqueId val="{00000003-95DC-4FF4-952C-E246B2C6483D}"/>
            </c:ext>
          </c:extLst>
        </c:ser>
        <c:dLbls>
          <c:showLegendKey val="0"/>
          <c:showVal val="0"/>
          <c:showCatName val="0"/>
          <c:showSerName val="0"/>
          <c:showPercent val="0"/>
          <c:showBubbleSize val="0"/>
        </c:dLbls>
        <c:gapWidth val="150"/>
        <c:overlap val="100"/>
        <c:axId val="43336464"/>
        <c:axId val="43331664"/>
      </c:barChart>
      <c:dateAx>
        <c:axId val="4333646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1664"/>
        <c:crosses val="autoZero"/>
        <c:auto val="1"/>
        <c:lblOffset val="100"/>
        <c:baseTimeUnit val="months"/>
      </c:dateAx>
      <c:valAx>
        <c:axId val="43331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6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CO" b="1"/>
              <a:t>Comportamiento de la cartera</a:t>
            </a:r>
            <a:r>
              <a:rPr lang="es-CO" b="1" baseline="0"/>
              <a:t> 2025</a:t>
            </a:r>
            <a:endParaRPr lang="es-CO" b="1"/>
          </a:p>
        </c:rich>
      </c:tx>
      <c:overlay val="0"/>
      <c:spPr>
        <a:noFill/>
        <a:ln w="25400">
          <a:noFill/>
        </a:ln>
      </c:spPr>
    </c:title>
    <c:autoTitleDeleted val="0"/>
    <c:plotArea>
      <c:layout/>
      <c:barChart>
        <c:barDir val="col"/>
        <c:grouping val="clustered"/>
        <c:varyColors val="0"/>
        <c:ser>
          <c:idx val="0"/>
          <c:order val="0"/>
          <c:tx>
            <c:strRef>
              <c:f>'Graf Cartera 2025 Contab'!$A$34</c:f>
              <c:strCache>
                <c:ptCount val="1"/>
                <c:pt idx="0">
                  <c:v>Cartera</c:v>
                </c:pt>
              </c:strCache>
            </c:strRef>
          </c:tx>
          <c:spPr>
            <a:solidFill>
              <a:srgbClr val="C00000"/>
            </a:solidFill>
            <a:ln w="25400">
              <a:noFill/>
            </a:ln>
          </c:spPr>
          <c:invertIfNegative val="0"/>
          <c:dLbls>
            <c:dLbl>
              <c:idx val="1"/>
              <c:layout>
                <c:manualLayout>
                  <c:x val="2.2121670231390928E-3"/>
                  <c:y val="1.8991442261716195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0F10-475C-86DC-D90A11C81DA2}"/>
                </c:ext>
              </c:extLst>
            </c:dLbl>
            <c:dLbl>
              <c:idx val="3"/>
              <c:layout>
                <c:manualLayout>
                  <c:x val="0"/>
                  <c:y val="2.3739302827145349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0F10-475C-86DC-D90A11C81DA2}"/>
                </c:ext>
              </c:extLst>
            </c:dLbl>
            <c:dLbl>
              <c:idx val="4"/>
              <c:layout>
                <c:manualLayout>
                  <c:x val="4.4243340462781855E-3"/>
                  <c:y val="-2.8487163392574507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0F10-475C-86DC-D90A11C81DA2}"/>
                </c:ext>
              </c:extLst>
            </c:dLbl>
            <c:dLbl>
              <c:idx val="5"/>
              <c:layout>
                <c:manualLayout>
                  <c:x val="0"/>
                  <c:y val="2.3739302827145262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0F10-475C-86DC-D90A11C81DA2}"/>
                </c:ext>
              </c:extLst>
            </c:dLbl>
            <c:dLbl>
              <c:idx val="6"/>
              <c:layout>
                <c:manualLayout>
                  <c:x val="1.1060835115695384E-2"/>
                  <c:y val="-4.7478605654290703E-3"/>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0F10-475C-86DC-D90A11C81DA2}"/>
                </c:ext>
              </c:extLst>
            </c:dLbl>
            <c:dLbl>
              <c:idx val="7"/>
              <c:layout>
                <c:manualLayout>
                  <c:x val="0"/>
                  <c:y val="9.4957211308580539E-3"/>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0F10-475C-86DC-D90A11C81DA2}"/>
                </c:ext>
              </c:extLst>
            </c:dLbl>
            <c:numFmt formatCode="#,##0" sourceLinked="0"/>
            <c:spPr>
              <a:noFill/>
              <a:ln w="25400">
                <a:noFill/>
              </a:ln>
            </c:spPr>
            <c:txPr>
              <a:bodyPr wrap="square" lIns="38100" tIns="19050" rIns="38100" bIns="19050" anchor="ctr">
                <a:spAutoFit/>
              </a:bodyPr>
              <a:lstStyle/>
              <a:p>
                <a:pPr>
                  <a:defRPr sz="900" b="1"/>
                </a:pPr>
                <a:endParaRPr lang="es-CO"/>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'Graf Cartera 2025 Contab'!$W$38:$BC$38</c:f>
              <c:strCache>
                <c:ptCount val="8"/>
                <c:pt idx="0">
                  <c:v>agos</c:v>
                </c:pt>
                <c:pt idx="1">
                  <c:v>jul</c:v>
                </c:pt>
                <c:pt idx="2">
                  <c:v>jun</c:v>
                </c:pt>
                <c:pt idx="3">
                  <c:v>may</c:v>
                </c:pt>
                <c:pt idx="4">
                  <c:v>abr</c:v>
                </c:pt>
                <c:pt idx="5">
                  <c:v>marz</c:v>
                </c:pt>
                <c:pt idx="6">
                  <c:v>feb</c:v>
                </c:pt>
                <c:pt idx="7">
                  <c:v>ene</c:v>
                </c:pt>
              </c:strCache>
            </c:strRef>
          </c:cat>
          <c:val>
            <c:numRef>
              <c:f>'Graf Cartera 2025 Contab'!$B$34:$BC$34</c:f>
              <c:numCache>
                <c:formatCode>#,##0_ ;[Red]\-#,##0\ </c:formatCode>
                <c:ptCount val="8"/>
                <c:pt idx="0">
                  <c:v>14423568</c:v>
                </c:pt>
                <c:pt idx="1">
                  <c:v>8689091</c:v>
                </c:pt>
                <c:pt idx="2">
                  <c:v>12541985</c:v>
                </c:pt>
                <c:pt idx="3">
                  <c:v>3942142</c:v>
                </c:pt>
                <c:pt idx="4">
                  <c:v>4516113</c:v>
                </c:pt>
                <c:pt idx="5">
                  <c:v>4129452</c:v>
                </c:pt>
                <c:pt idx="6">
                  <c:v>5984340</c:v>
                </c:pt>
                <c:pt idx="7">
                  <c:v>4630022</c:v>
                </c:pt>
              </c:numCache>
            </c:numRef>
          </c:val>
          <c:extLst>
            <c:ext xmlns:c16="http://schemas.microsoft.com/office/drawing/2014/chart" uri="{C3380CC4-5D6E-409C-BE32-E72D297353CC}">
              <c16:uniqueId val="{00000000-965E-4A35-A873-4DEE8CDBC2D1}"/>
            </c:ext>
          </c:extLst>
        </c:ser>
        <c:ser>
          <c:idx val="1"/>
          <c:order val="1"/>
          <c:tx>
            <c:strRef>
              <c:f>'Graf Cartera 2025 Contab'!$A$35</c:f>
              <c:strCache>
                <c:ptCount val="1"/>
                <c:pt idx="0">
                  <c:v>Facturación</c:v>
                </c:pt>
              </c:strCache>
            </c:strRef>
          </c:tx>
          <c:spPr>
            <a:solidFill>
              <a:srgbClr val="FFC000"/>
            </a:solidFill>
            <a:ln w="25400">
              <a:noFill/>
            </a:ln>
          </c:spPr>
          <c:invertIfNegative val="0"/>
          <c:cat>
            <c:strRef>
              <c:f>'Graf Cartera 2025 Contab'!$W$38:$BC$38</c:f>
              <c:strCache>
                <c:ptCount val="8"/>
                <c:pt idx="0">
                  <c:v>agos</c:v>
                </c:pt>
                <c:pt idx="1">
                  <c:v>jul</c:v>
                </c:pt>
                <c:pt idx="2">
                  <c:v>jun</c:v>
                </c:pt>
                <c:pt idx="3">
                  <c:v>may</c:v>
                </c:pt>
                <c:pt idx="4">
                  <c:v>abr</c:v>
                </c:pt>
                <c:pt idx="5">
                  <c:v>marz</c:v>
                </c:pt>
                <c:pt idx="6">
                  <c:v>feb</c:v>
                </c:pt>
                <c:pt idx="7">
                  <c:v>ene</c:v>
                </c:pt>
              </c:strCache>
            </c:strRef>
          </c:cat>
          <c:val>
            <c:numRef>
              <c:f>'Graf Cartera 2025 Contab'!$B$35:$BC$35</c:f>
              <c:numCache>
                <c:formatCode>#,##0</c:formatCode>
                <c:ptCount val="8"/>
                <c:pt idx="0">
                  <c:v>46112831</c:v>
                </c:pt>
                <c:pt idx="1">
                  <c:v>42527554</c:v>
                </c:pt>
                <c:pt idx="2">
                  <c:v>33785820</c:v>
                </c:pt>
                <c:pt idx="3">
                  <c:v>42169112</c:v>
                </c:pt>
                <c:pt idx="4">
                  <c:v>36919858</c:v>
                </c:pt>
                <c:pt idx="5">
                  <c:v>34865211</c:v>
                </c:pt>
                <c:pt idx="6">
                  <c:v>33481694</c:v>
                </c:pt>
                <c:pt idx="7">
                  <c:v>32149530</c:v>
                </c:pt>
              </c:numCache>
            </c:numRef>
          </c:val>
          <c:extLst>
            <c:ext xmlns:c16="http://schemas.microsoft.com/office/drawing/2014/chart" uri="{C3380CC4-5D6E-409C-BE32-E72D297353CC}">
              <c16:uniqueId val="{00000001-965E-4A35-A873-4DEE8CDBC2D1}"/>
            </c:ext>
          </c:extLst>
        </c:ser>
        <c:ser>
          <c:idx val="2"/>
          <c:order val="2"/>
          <c:tx>
            <c:strRef>
              <c:f>'Graf Cartera 2025 Contab'!$A$36</c:f>
              <c:strCache>
                <c:ptCount val="1"/>
                <c:pt idx="0">
                  <c:v>Recaudo</c:v>
                </c:pt>
              </c:strCache>
            </c:strRef>
          </c:tx>
          <c:spPr>
            <a:solidFill>
              <a:srgbClr val="9BBB59"/>
            </a:solidFill>
            <a:ln w="25400">
              <a:noFill/>
            </a:ln>
          </c:spPr>
          <c:invertIfNegative val="0"/>
          <c:cat>
            <c:strRef>
              <c:f>'Graf Cartera 2025 Contab'!$W$38:$BC$38</c:f>
              <c:strCache>
                <c:ptCount val="8"/>
                <c:pt idx="0">
                  <c:v>agos</c:v>
                </c:pt>
                <c:pt idx="1">
                  <c:v>jul</c:v>
                </c:pt>
                <c:pt idx="2">
                  <c:v>jun</c:v>
                </c:pt>
                <c:pt idx="3">
                  <c:v>may</c:v>
                </c:pt>
                <c:pt idx="4">
                  <c:v>abr</c:v>
                </c:pt>
                <c:pt idx="5">
                  <c:v>marz</c:v>
                </c:pt>
                <c:pt idx="6">
                  <c:v>feb</c:v>
                </c:pt>
                <c:pt idx="7">
                  <c:v>ene</c:v>
                </c:pt>
              </c:strCache>
            </c:strRef>
          </c:cat>
          <c:val>
            <c:numRef>
              <c:f>'Graf Cartera 2025 Contab'!$B$36:$BC$36</c:f>
              <c:numCache>
                <c:formatCode>#,##0</c:formatCode>
                <c:ptCount val="8"/>
                <c:pt idx="0">
                  <c:v>31689263</c:v>
                </c:pt>
                <c:pt idx="1">
                  <c:v>33838463</c:v>
                </c:pt>
                <c:pt idx="2">
                  <c:v>22443835</c:v>
                </c:pt>
                <c:pt idx="3">
                  <c:v>38519785</c:v>
                </c:pt>
                <c:pt idx="4">
                  <c:v>32403745</c:v>
                </c:pt>
                <c:pt idx="5">
                  <c:v>30735759</c:v>
                </c:pt>
                <c:pt idx="6">
                  <c:v>27497354</c:v>
                </c:pt>
                <c:pt idx="7">
                  <c:v>27519508</c:v>
                </c:pt>
              </c:numCache>
            </c:numRef>
          </c:val>
          <c:extLst>
            <c:ext xmlns:c16="http://schemas.microsoft.com/office/drawing/2014/chart" uri="{C3380CC4-5D6E-409C-BE32-E72D297353CC}">
              <c16:uniqueId val="{00000002-965E-4A35-A873-4DEE8CDBC2D1}"/>
            </c:ext>
          </c:extLst>
        </c:ser>
        <c:dLbls>
          <c:showLegendKey val="0"/>
          <c:showVal val="0"/>
          <c:showCatName val="0"/>
          <c:showSerName val="0"/>
          <c:showPercent val="0"/>
          <c:showBubbleSize val="0"/>
        </c:dLbls>
        <c:gapWidth val="219"/>
        <c:overlap val="-27"/>
        <c:axId val="1432878944"/>
        <c:axId val="1"/>
      </c:barChart>
      <c:lineChart>
        <c:grouping val="standard"/>
        <c:varyColors val="0"/>
        <c:ser>
          <c:idx val="3"/>
          <c:order val="3"/>
          <c:tx>
            <c:strRef>
              <c:f>'Graf Cartera 2025 Contab'!$A$37</c:f>
              <c:strCache>
                <c:ptCount val="1"/>
                <c:pt idx="0">
                  <c:v>%cartera</c:v>
                </c:pt>
              </c:strCache>
            </c:strRef>
          </c:tx>
          <c:spPr>
            <a:ln w="28575" cap="rnd">
              <a:solidFill>
                <a:schemeClr val="accent4"/>
              </a:solidFill>
              <a:round/>
            </a:ln>
            <a:effectLst/>
          </c:spPr>
          <c:marker>
            <c:symbol val="none"/>
          </c:marker>
          <c:dLbls>
            <c:dLbl>
              <c:idx val="0"/>
              <c:layout>
                <c:manualLayout>
                  <c:x val="-6.8180555330564815E-2"/>
                  <c:y val="-3.7628103446535541E-2"/>
                </c:manualLayout>
              </c:layout>
              <c:spPr>
                <a:solidFill>
                  <a:srgbClr val="FFFF00"/>
                </a:solidFill>
                <a:ln w="25400">
                  <a:noFill/>
                </a:ln>
              </c:spPr>
              <c:txPr>
                <a:bodyPr wrap="square" lIns="38100" tIns="19050" rIns="38100" bIns="19050" anchor="ctr">
                  <a:spAutoFit/>
                </a:bodyPr>
                <a:lstStyle/>
                <a:p>
                  <a:pPr>
                    <a:defRPr sz="1000" b="1"/>
                  </a:pPr>
                  <a:endParaRPr lang="es-CO"/>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65E-4A35-A873-4DEE8CDBC2D1}"/>
                </c:ext>
              </c:extLst>
            </c:dLbl>
            <c:dLbl>
              <c:idx val="1"/>
              <c:layout>
                <c:manualLayout>
                  <c:x val="-4.336734693877551E-2"/>
                  <c:y val="-2.7777777777777755E-2"/>
                </c:manualLayout>
              </c:layout>
              <c:spPr>
                <a:solidFill>
                  <a:srgbClr val="FFFF00"/>
                </a:solidFill>
                <a:ln w="25400">
                  <a:noFill/>
                </a:ln>
              </c:spPr>
              <c:txPr>
                <a:bodyPr wrap="square" lIns="38100" tIns="19050" rIns="38100" bIns="19050" anchor="ctr">
                  <a:spAutoFit/>
                </a:bodyPr>
                <a:lstStyle/>
                <a:p>
                  <a:pPr>
                    <a:defRPr sz="1000" b="1"/>
                  </a:pPr>
                  <a:endParaRPr lang="es-CO"/>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65E-4A35-A873-4DEE8CDBC2D1}"/>
                </c:ext>
              </c:extLst>
            </c:dLbl>
            <c:dLbl>
              <c:idx val="2"/>
              <c:spPr>
                <a:solidFill>
                  <a:srgbClr val="FFFF00"/>
                </a:solidFill>
                <a:ln w="25400">
                  <a:noFill/>
                </a:ln>
              </c:spPr>
              <c:txPr>
                <a:bodyPr wrap="square" lIns="38100" tIns="19050" rIns="38100" bIns="19050" anchor="ctr">
                  <a:spAutoFit/>
                </a:bodyPr>
                <a:lstStyle/>
                <a:p>
                  <a:pPr>
                    <a:defRPr sz="900" b="1"/>
                  </a:pPr>
                  <a:endParaRPr lang="es-CO"/>
                </a:p>
              </c:txPr>
              <c:showLegendKey val="0"/>
              <c:showVal val="1"/>
              <c:showCatName val="0"/>
              <c:showSerName val="0"/>
              <c:showPercent val="0"/>
              <c:showBubbleSize val="0"/>
              <c:extLst>
                <c:ext xmlns:c16="http://schemas.microsoft.com/office/drawing/2014/chart" uri="{C3380CC4-5D6E-409C-BE32-E72D297353CC}">
                  <c16:uniqueId val="{00000000-0C15-4A2F-948E-E1EB6BB608E7}"/>
                </c:ext>
              </c:extLst>
            </c:dLbl>
            <c:dLbl>
              <c:idx val="3"/>
              <c:layout>
                <c:manualLayout>
                  <c:x val="2.2959183673469295E-2"/>
                  <c:y val="-3.7037037037037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65E-4A35-A873-4DEE8CDBC2D1}"/>
                </c:ext>
              </c:extLst>
            </c:dLbl>
            <c:spPr>
              <a:noFill/>
              <a:ln w="25400">
                <a:noFill/>
              </a:ln>
            </c:spPr>
            <c:txPr>
              <a:bodyPr wrap="square" lIns="38100" tIns="19050" rIns="38100" bIns="19050" anchor="ctr">
                <a:spAutoFit/>
              </a:bodyPr>
              <a:lstStyle/>
              <a:p>
                <a:pPr>
                  <a:defRPr sz="800"/>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'Graf Cartera 2025 Contab'!$B$37:$BC$37</c:f>
              <c:numCache>
                <c:formatCode>0.00%</c:formatCode>
                <c:ptCount val="8"/>
                <c:pt idx="0">
                  <c:v>0.3127886032414709</c:v>
                </c:pt>
                <c:pt idx="1">
                  <c:v>0.2043167354510913</c:v>
                </c:pt>
                <c:pt idx="2">
                  <c:v>0.37122038180514783</c:v>
                </c:pt>
                <c:pt idx="3">
                  <c:v>9.3484112257331858E-2</c:v>
                </c:pt>
                <c:pt idx="4">
                  <c:v>0.12232205768505393</c:v>
                </c:pt>
                <c:pt idx="5">
                  <c:v>0.11844047064565305</c:v>
                </c:pt>
                <c:pt idx="6">
                  <c:v>0.17873468409334367</c:v>
                </c:pt>
                <c:pt idx="7">
                  <c:v>0.14401523132686544</c:v>
                </c:pt>
              </c:numCache>
            </c:numRef>
          </c:val>
          <c:smooth val="0"/>
          <c:extLst>
            <c:ext xmlns:c16="http://schemas.microsoft.com/office/drawing/2014/chart" uri="{C3380CC4-5D6E-409C-BE32-E72D297353CC}">
              <c16:uniqueId val="{00000006-965E-4A35-A873-4DEE8CDBC2D1}"/>
            </c:ext>
          </c:extLst>
        </c:ser>
        <c:dLbls>
          <c:showLegendKey val="0"/>
          <c:showVal val="0"/>
          <c:showCatName val="0"/>
          <c:showSerName val="0"/>
          <c:showPercent val="0"/>
          <c:showBubbleSize val="0"/>
        </c:dLbls>
        <c:marker val="1"/>
        <c:smooth val="0"/>
        <c:axId val="3"/>
        <c:axId val="4"/>
      </c:lineChart>
      <c:catAx>
        <c:axId val="143287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ln w="9525">
            <a:noFill/>
          </a:ln>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1432878944"/>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numFmt formatCode="0.00%" sourceLinked="1"/>
        <c:majorTickMark val="none"/>
        <c:minorTickMark val="none"/>
        <c:tickLblPos val="nextTo"/>
        <c:spPr>
          <a:ln w="9525">
            <a:noFill/>
          </a:ln>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3"/>
        <c:crosses val="max"/>
        <c:crossBetween val="between"/>
      </c:valAx>
      <c:spPr>
        <a:noFill/>
        <a:ln w="25400">
          <a:noFill/>
        </a:ln>
      </c:spPr>
    </c:plotArea>
    <c:legend>
      <c:legendPos val="b"/>
      <c:overlay val="0"/>
      <c:spPr>
        <a:noFill/>
        <a:ln w="25400">
          <a:noFill/>
        </a:ln>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1-2E06-4D91-B730-1380E22E55A2}"/>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3-2E06-4D91-B730-1380E22E55A2}"/>
              </c:ext>
            </c:extLst>
          </c:dPt>
          <c:cat>
            <c:strRef>
              <c:f>'ESTAD RESUL GRAF MAY'!$AA$10:$AA$12</c:f>
              <c:strCache>
                <c:ptCount val="3"/>
                <c:pt idx="0">
                  <c:v>Ingresos presupuestados</c:v>
                </c:pt>
                <c:pt idx="1">
                  <c:v>Ingresos ejecutados</c:v>
                </c:pt>
                <c:pt idx="2">
                  <c:v>Ingresos marginales</c:v>
                </c:pt>
              </c:strCache>
            </c:strRef>
          </c:cat>
          <c:val>
            <c:numRef>
              <c:f>'ESTAD RESUL GRAF JUN'!$AC$10:$AC$12</c:f>
              <c:numCache>
                <c:formatCode>[$$-240A]\ #,##0</c:formatCode>
                <c:ptCount val="3"/>
                <c:pt idx="0">
                  <c:v>178420963.5</c:v>
                </c:pt>
                <c:pt idx="1">
                  <c:v>178413504</c:v>
                </c:pt>
                <c:pt idx="2">
                  <c:v>7459.5</c:v>
                </c:pt>
              </c:numCache>
            </c:numRef>
          </c:val>
          <c:shape val="cylinder"/>
          <c:extLst>
            <c:ext xmlns:c16="http://schemas.microsoft.com/office/drawing/2014/chart" uri="{C3380CC4-5D6E-409C-BE32-E72D297353CC}">
              <c16:uniqueId val="{00000004-2E06-4D91-B730-1380E22E55A2}"/>
            </c:ext>
          </c:extLst>
        </c:ser>
        <c:dLbls>
          <c:showLegendKey val="0"/>
          <c:showVal val="0"/>
          <c:showCatName val="0"/>
          <c:showSerName val="0"/>
          <c:showPercent val="0"/>
          <c:showBubbleSize val="0"/>
        </c:dLbls>
        <c:gapWidth val="150"/>
        <c:shape val="box"/>
        <c:axId val="1432913024"/>
        <c:axId val="1"/>
        <c:axId val="0"/>
      </c:bar3DChart>
      <c:catAx>
        <c:axId val="143291302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3024"/>
        <c:crosses val="autoZero"/>
        <c:crossBetween val="between"/>
      </c:valAx>
      <c:dTable>
        <c:showHorzBorder val="1"/>
        <c:showVertBorder val="0"/>
        <c:showOutline val="0"/>
        <c:showKeys val="0"/>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JUNIO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D20E-495E-A8B4-250D5670F6C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20E-495E-A8B4-250D5670F6C1}"/>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D20E-495E-A8B4-250D5670F6C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20E-495E-A8B4-250D5670F6C1}"/>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20E-495E-A8B4-250D5670F6C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D20E-495E-A8B4-250D5670F6C1}"/>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D-D20E-495E-A8B4-250D5670F6C1}"/>
              </c:ext>
            </c:extLst>
          </c:dPt>
          <c:dPt>
            <c:idx val="7"/>
            <c:bubble3D val="0"/>
            <c:extLst>
              <c:ext xmlns:c16="http://schemas.microsoft.com/office/drawing/2014/chart" uri="{C3380CC4-5D6E-409C-BE32-E72D297353CC}">
                <c16:uniqueId val="{0000000E-D20E-495E-A8B4-250D5670F6C1}"/>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20E-495E-A8B4-250D5670F6C1}"/>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20E-495E-A8B4-250D5670F6C1}"/>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20E-495E-A8B4-250D5670F6C1}"/>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20E-495E-A8B4-250D5670F6C1}"/>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D20E-495E-A8B4-250D5670F6C1}"/>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'ESTAD RESULT graf abr'!$AG$58:$AG$66</c:f>
              <c:numCache>
                <c:formatCode>0.00%</c:formatCode>
                <c:ptCount val="8"/>
                <c:pt idx="0">
                  <c:v>0.16025186355848939</c:v>
                </c:pt>
                <c:pt idx="2">
                  <c:v>0.52235986015946412</c:v>
                </c:pt>
                <c:pt idx="4">
                  <c:v>0.15601691125353381</c:v>
                </c:pt>
                <c:pt idx="6">
                  <c:v>0.11576512369825998</c:v>
                </c:pt>
              </c:numCache>
            </c:numRef>
          </c:val>
          <c:extLst>
            <c:ext xmlns:c16="http://schemas.microsoft.com/office/drawing/2014/chart" uri="{C3380CC4-5D6E-409C-BE32-E72D297353CC}">
              <c16:uniqueId val="{00000010-D20E-495E-A8B4-250D5670F6C1}"/>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1"/>
            <c:invertIfNegative val="0"/>
            <c:bubble3D val="0"/>
            <c:spPr>
              <a:solidFill>
                <a:srgbClr val="FFC000"/>
              </a:solidFill>
              <a:ln w="25400">
                <a:noFill/>
              </a:ln>
            </c:spPr>
            <c:extLst>
              <c:ext xmlns:c16="http://schemas.microsoft.com/office/drawing/2014/chart" uri="{C3380CC4-5D6E-409C-BE32-E72D297353CC}">
                <c16:uniqueId val="{00000001-F2D1-476F-B387-519310AE35C9}"/>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3-F2D1-476F-B387-519310AE35C9}"/>
              </c:ext>
            </c:extLst>
          </c:dPt>
          <c:cat>
            <c:strRef>
              <c:f>'ESTAD RESUL GRAF JUN'!$AH$10:$AH$12</c:f>
              <c:strCache>
                <c:ptCount val="3"/>
                <c:pt idx="0">
                  <c:v>Egresos operacionales presupuestados</c:v>
                </c:pt>
                <c:pt idx="1">
                  <c:v>Egresos operacionales reales</c:v>
                </c:pt>
                <c:pt idx="2">
                  <c:v>Diferencia</c:v>
                </c:pt>
              </c:strCache>
            </c:strRef>
          </c:cat>
          <c:val>
            <c:numRef>
              <c:f>'ESTAD RESUL GRAF JUN'!$AK$10:$AK$12</c:f>
              <c:numCache>
                <c:formatCode>#,##0</c:formatCode>
                <c:ptCount val="3"/>
                <c:pt idx="0">
                  <c:v>178420963.60500002</c:v>
                </c:pt>
                <c:pt idx="1">
                  <c:v>170395092.59999999</c:v>
                </c:pt>
                <c:pt idx="2">
                  <c:v>8025871.005000025</c:v>
                </c:pt>
              </c:numCache>
            </c:numRef>
          </c:val>
          <c:shape val="cylinder"/>
          <c:extLst>
            <c:ext xmlns:c16="http://schemas.microsoft.com/office/drawing/2014/chart" uri="{C3380CC4-5D6E-409C-BE32-E72D297353CC}">
              <c16:uniqueId val="{00000004-F2D1-476F-B387-519310AE35C9}"/>
            </c:ext>
          </c:extLst>
        </c:ser>
        <c:dLbls>
          <c:showLegendKey val="0"/>
          <c:showVal val="0"/>
          <c:showCatName val="0"/>
          <c:showSerName val="0"/>
          <c:showPercent val="0"/>
          <c:showBubbleSize val="0"/>
        </c:dLbls>
        <c:gapWidth val="150"/>
        <c:shape val="box"/>
        <c:axId val="1432910144"/>
        <c:axId val="1"/>
        <c:axId val="0"/>
      </c:bar3DChart>
      <c:catAx>
        <c:axId val="143291014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0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Enero-  junio 2025</a:t>
            </a:r>
          </a:p>
        </c:rich>
      </c:tx>
      <c:layout>
        <c:manualLayout>
          <c:xMode val="edge"/>
          <c:yMode val="edge"/>
          <c:x val="0.65011918641149347"/>
          <c:y val="0.27877191821610536"/>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6.9944621264626916E-2"/>
          <c:y val="2.0496510526074988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EEFF-4AFD-97D0-0314E67D0D29}"/>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EEFF-4AFD-97D0-0314E67D0D29}"/>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EEFF-4AFD-97D0-0314E67D0D29}"/>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EEFF-4AFD-97D0-0314E67D0D29}"/>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EEFF-4AFD-97D0-0314E67D0D29}"/>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EEFF-4AFD-97D0-0314E67D0D29}"/>
              </c:ext>
            </c:extLst>
          </c:dPt>
          <c:dPt>
            <c:idx val="7"/>
            <c:invertIfNegative val="0"/>
            <c:bubble3D val="0"/>
            <c:extLst>
              <c:ext xmlns:c16="http://schemas.microsoft.com/office/drawing/2014/chart" uri="{C3380CC4-5D6E-409C-BE32-E72D297353CC}">
                <c16:uniqueId val="{0000000C-EEFF-4AFD-97D0-0314E67D0D29}"/>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EEFF-4AFD-97D0-0314E67D0D29}"/>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0-EEFF-4AFD-97D0-0314E67D0D29}"/>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2-EEFF-4AFD-97D0-0314E67D0D29}"/>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4-EEFF-4AFD-97D0-0314E67D0D29}"/>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6-EEFF-4AFD-97D0-0314E67D0D29}"/>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8-EEFF-4AFD-97D0-0314E67D0D29}"/>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A-EEFF-4AFD-97D0-0314E67D0D29}"/>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C-EEFF-4AFD-97D0-0314E67D0D29}"/>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EFF-4AFD-97D0-0314E67D0D29}"/>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EFF-4AFD-97D0-0314E67D0D29}"/>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EFF-4AFD-97D0-0314E67D0D29}"/>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EEFF-4AFD-97D0-0314E67D0D29}"/>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EEFF-4AFD-97D0-0314E67D0D29}"/>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'ESTAD RESUL GRAF MAY'!$AA$32:$AA$49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'ESTAD RESUL GRAF MAY'!$AB$32:$AB$49</c:f>
              <c:numCache>
                <c:formatCode>#,##0</c:formatCode>
                <c:ptCount val="18"/>
                <c:pt idx="0">
                  <c:v>79262964.745833352</c:v>
                </c:pt>
                <c:pt idx="1">
                  <c:v>78009039</c:v>
                </c:pt>
                <c:pt idx="2">
                  <c:v>1253925.7458333522</c:v>
                </c:pt>
                <c:pt idx="4">
                  <c:v>25699757.633333333</c:v>
                </c:pt>
                <c:pt idx="5">
                  <c:v>23763013</c:v>
                </c:pt>
                <c:pt idx="6">
                  <c:v>1936744.6333333328</c:v>
                </c:pt>
                <c:pt idx="8">
                  <c:v>26321565.625</c:v>
                </c:pt>
                <c:pt idx="9">
                  <c:v>24638043.879999999</c:v>
                </c:pt>
                <c:pt idx="10">
                  <c:v>1683521.745000001</c:v>
                </c:pt>
                <c:pt idx="12">
                  <c:v>17399848.333333332</c:v>
                </c:pt>
                <c:pt idx="13">
                  <c:v>16820757.719999999</c:v>
                </c:pt>
                <c:pt idx="14">
                  <c:v>579090.61333333328</c:v>
                </c:pt>
                <c:pt idx="16">
                  <c:v>0</c:v>
                </c:pt>
                <c:pt idx="17">
                  <c:v>515365</c:v>
                </c:pt>
              </c:numCache>
            </c:numRef>
          </c:val>
          <c:shape val="cylinder"/>
          <c:extLst>
            <c:ext xmlns:c16="http://schemas.microsoft.com/office/drawing/2014/chart" uri="{C3380CC4-5D6E-409C-BE32-E72D297353CC}">
              <c16:uniqueId val="{0000001D-EEFF-4AFD-97D0-0314E67D0D29}"/>
            </c:ext>
          </c:extLst>
        </c:ser>
        <c:dLbls>
          <c:showLegendKey val="0"/>
          <c:showVal val="0"/>
          <c:showCatName val="0"/>
          <c:showSerName val="0"/>
          <c:showPercent val="0"/>
          <c:showBubbleSize val="0"/>
        </c:dLbls>
        <c:gapWidth val="0"/>
        <c:gapDepth val="0"/>
        <c:shape val="box"/>
        <c:axId val="1432909184"/>
        <c:axId val="1"/>
        <c:axId val="0"/>
      </c:bar3DChart>
      <c:catAx>
        <c:axId val="14329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0" sourceLinked="1"/>
        <c:majorTickMark val="out"/>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4329091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Activos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abril- Mayo 2025</a:t>
            </a:r>
          </a:p>
        </c:rich>
      </c:tx>
      <c:layout>
        <c:manualLayout>
          <c:xMode val="edge"/>
          <c:yMode val="edge"/>
          <c:x val="0.49768772348033374"/>
          <c:y val="8.9473684210526316E-2"/>
        </c:manualLayout>
      </c:layout>
      <c:overlay val="0"/>
      <c:spPr>
        <a:noFill/>
        <a:ln w="25400">
          <a:noFill/>
        </a:ln>
      </c:spPr>
    </c:title>
    <c:autoTitleDeleted val="0"/>
    <c:plotArea>
      <c:layout>
        <c:manualLayout>
          <c:layoutTarget val="inner"/>
          <c:xMode val="edge"/>
          <c:yMode val="edge"/>
          <c:x val="0.34160671215263766"/>
          <c:y val="8.526315789473686E-2"/>
          <c:w val="0.6583932878473624"/>
          <c:h val="0.47620389556568588"/>
        </c:manualLayout>
      </c:layout>
      <c:barChart>
        <c:barDir val="col"/>
        <c:grouping val="clustered"/>
        <c:varyColors val="0"/>
        <c:ser>
          <c:idx val="0"/>
          <c:order val="0"/>
          <c:tx>
            <c:strRef>
              <c:f>'ESFA MAY GRAF'!$A$5</c:f>
              <c:strCache>
                <c:ptCount val="1"/>
                <c:pt idx="0">
                  <c:v> Efectivo y sus equivalentes </c:v>
                </c:pt>
              </c:strCache>
            </c:strRef>
          </c:tx>
          <c:spPr>
            <a:solidFill>
              <a:schemeClr val="accent3">
                <a:lumMod val="75000"/>
              </a:schemeClr>
            </a:solidFill>
            <a:ln>
              <a:noFill/>
            </a:ln>
            <a:effectLst/>
          </c:spPr>
          <c:invertIfNegative val="0"/>
          <c:cat>
            <c:strRef>
              <c:f>'ESFA MAY GRAF'!$B$4:$G$4</c:f>
              <c:strCache>
                <c:ptCount val="3"/>
                <c:pt idx="0">
                  <c:v> Abril </c:v>
                </c:pt>
                <c:pt idx="2">
                  <c:v> Mayo </c:v>
                </c:pt>
              </c:strCache>
            </c:strRef>
          </c:cat>
          <c:val>
            <c:numRef>
              <c:f>'ESFA MAY GRAF'!$B$5:$G$5</c:f>
              <c:numCache>
                <c:formatCode>_(* #,##0_);_(* \(#,##0\);_(* "-"??_);_(@_)</c:formatCode>
                <c:ptCount val="3"/>
                <c:pt idx="0">
                  <c:v>16436253.85</c:v>
                </c:pt>
                <c:pt idx="2">
                  <c:v>52872060.759999998</c:v>
                </c:pt>
              </c:numCache>
            </c:numRef>
          </c:val>
          <c:extLst>
            <c:ext xmlns:c16="http://schemas.microsoft.com/office/drawing/2014/chart" uri="{C3380CC4-5D6E-409C-BE32-E72D297353CC}">
              <c16:uniqueId val="{00000000-CD95-4D57-8B65-A3A0CCAB3692}"/>
            </c:ext>
          </c:extLst>
        </c:ser>
        <c:ser>
          <c:idx val="1"/>
          <c:order val="1"/>
          <c:tx>
            <c:strRef>
              <c:f>'ESFA MAY GRAF'!$A$6</c:f>
              <c:strCache>
                <c:ptCount val="1"/>
              </c:strCache>
            </c:strRef>
          </c:tx>
          <c:spPr>
            <a:solidFill>
              <a:srgbClr val="C0504D"/>
            </a:solidFill>
            <a:ln w="25400">
              <a:noFill/>
            </a:ln>
          </c:spPr>
          <c:invertIfNegative val="0"/>
          <c:cat>
            <c:strRef>
              <c:f>'ESFA MAY GRAF'!$B$4:$G$4</c:f>
              <c:strCache>
                <c:ptCount val="3"/>
                <c:pt idx="0">
                  <c:v> Abril </c:v>
                </c:pt>
                <c:pt idx="2">
                  <c:v> Mayo </c:v>
                </c:pt>
              </c:strCache>
            </c:strRef>
          </c:cat>
          <c:val>
            <c:numRef>
              <c:f>'ESFA MAY GRAF'!$B$6:$G$6</c:f>
            </c:numRef>
          </c:val>
          <c:extLst>
            <c:ext xmlns:c16="http://schemas.microsoft.com/office/drawing/2014/chart" uri="{C3380CC4-5D6E-409C-BE32-E72D297353CC}">
              <c16:uniqueId val="{00000001-CD95-4D57-8B65-A3A0CCAB3692}"/>
            </c:ext>
          </c:extLst>
        </c:ser>
        <c:ser>
          <c:idx val="2"/>
          <c:order val="2"/>
          <c:tx>
            <c:strRef>
              <c:f>'ESFA MAY GRAF'!$A$7</c:f>
              <c:strCache>
                <c:ptCount val="1"/>
                <c:pt idx="0">
                  <c:v> Fiducuenta Bancolombia </c:v>
                </c:pt>
              </c:strCache>
            </c:strRef>
          </c:tx>
          <c:spPr>
            <a:solidFill>
              <a:schemeClr val="bg1">
                <a:lumMod val="85000"/>
              </a:schemeClr>
            </a:solidFill>
            <a:ln>
              <a:noFill/>
            </a:ln>
            <a:effectLst/>
          </c:spPr>
          <c:invertIfNegative val="0"/>
          <c:cat>
            <c:strRef>
              <c:f>'ESFA MAY GRAF'!$B$4:$G$4</c:f>
              <c:strCache>
                <c:ptCount val="3"/>
                <c:pt idx="0">
                  <c:v> Abril </c:v>
                </c:pt>
                <c:pt idx="2">
                  <c:v> Mayo </c:v>
                </c:pt>
              </c:strCache>
            </c:strRef>
          </c:cat>
          <c:val>
            <c:numRef>
              <c:f>'ESFA MAY GRAF'!$B$7:$G$7</c:f>
              <c:numCache>
                <c:formatCode>_(* #,##0_);_(* \(#,##0\);_(* "-"??_);_(@_)</c:formatCode>
                <c:ptCount val="3"/>
                <c:pt idx="0">
                  <c:v>8594287.8300000001</c:v>
                </c:pt>
                <c:pt idx="2">
                  <c:v>8658779.9299999997</c:v>
                </c:pt>
              </c:numCache>
            </c:numRef>
          </c:val>
          <c:extLst>
            <c:ext xmlns:c16="http://schemas.microsoft.com/office/drawing/2014/chart" uri="{C3380CC4-5D6E-409C-BE32-E72D297353CC}">
              <c16:uniqueId val="{00000002-CD95-4D57-8B65-A3A0CCAB3692}"/>
            </c:ext>
          </c:extLst>
        </c:ser>
        <c:ser>
          <c:idx val="3"/>
          <c:order val="3"/>
          <c:tx>
            <c:strRef>
              <c:f>'ESFA MAY GRAF'!$A$8</c:f>
              <c:strCache>
                <c:ptCount val="1"/>
              </c:strCache>
            </c:strRef>
          </c:tx>
          <c:spPr>
            <a:solidFill>
              <a:srgbClr val="8064A2"/>
            </a:solidFill>
            <a:ln w="25400">
              <a:noFill/>
            </a:ln>
          </c:spPr>
          <c:invertIfNegative val="0"/>
          <c:cat>
            <c:strRef>
              <c:f>'ESFA MAY GRAF'!$B$4:$G$4</c:f>
              <c:strCache>
                <c:ptCount val="3"/>
                <c:pt idx="0">
                  <c:v> Abril </c:v>
                </c:pt>
                <c:pt idx="2">
                  <c:v> Mayo </c:v>
                </c:pt>
              </c:strCache>
            </c:strRef>
          </c:cat>
          <c:val>
            <c:numRef>
              <c:f>'ESFA MAY GRAF'!$B$8:$G$8</c:f>
            </c:numRef>
          </c:val>
          <c:extLst>
            <c:ext xmlns:c16="http://schemas.microsoft.com/office/drawing/2014/chart" uri="{C3380CC4-5D6E-409C-BE32-E72D297353CC}">
              <c16:uniqueId val="{00000003-CD95-4D57-8B65-A3A0CCAB3692}"/>
            </c:ext>
          </c:extLst>
        </c:ser>
        <c:ser>
          <c:idx val="4"/>
          <c:order val="4"/>
          <c:tx>
            <c:strRef>
              <c:f>'ESFA MAY GRAF'!$A$9</c:f>
              <c:strCache>
                <c:ptCount val="1"/>
                <c:pt idx="0">
                  <c:v>CXC Administración</c:v>
                </c:pt>
              </c:strCache>
            </c:strRef>
          </c:tx>
          <c:spPr>
            <a:solidFill>
              <a:srgbClr val="4BACC6"/>
            </a:solidFill>
            <a:ln w="25400">
              <a:noFill/>
            </a:ln>
          </c:spPr>
          <c:invertIfNegative val="0"/>
          <c:cat>
            <c:strRef>
              <c:f>'ESFA MAY GRAF'!$B$4:$G$4</c:f>
              <c:strCache>
                <c:ptCount val="3"/>
                <c:pt idx="0">
                  <c:v> Abril </c:v>
                </c:pt>
                <c:pt idx="2">
                  <c:v> Mayo </c:v>
                </c:pt>
              </c:strCache>
            </c:strRef>
          </c:cat>
          <c:val>
            <c:numRef>
              <c:f>'ESFA MAY GRAF'!$B$9:$G$9</c:f>
              <c:numCache>
                <c:formatCode>_(* #,##0_);_(* \(#,##0\);_(* "-"??_);_(@_)</c:formatCode>
                <c:ptCount val="3"/>
                <c:pt idx="0">
                  <c:v>4269712</c:v>
                </c:pt>
                <c:pt idx="2">
                  <c:v>3942142</c:v>
                </c:pt>
              </c:numCache>
            </c:numRef>
          </c:val>
          <c:extLst>
            <c:ext xmlns:c16="http://schemas.microsoft.com/office/drawing/2014/chart" uri="{C3380CC4-5D6E-409C-BE32-E72D297353CC}">
              <c16:uniqueId val="{00000004-CD95-4D57-8B65-A3A0CCAB3692}"/>
            </c:ext>
          </c:extLst>
        </c:ser>
        <c:ser>
          <c:idx val="5"/>
          <c:order val="5"/>
          <c:tx>
            <c:strRef>
              <c:f>'ESFA MAY GRAF'!$A$10</c:f>
              <c:strCache>
                <c:ptCount val="1"/>
              </c:strCache>
            </c:strRef>
          </c:tx>
          <c:spPr>
            <a:solidFill>
              <a:srgbClr val="F79646"/>
            </a:solidFill>
            <a:ln w="25400">
              <a:noFill/>
            </a:ln>
          </c:spPr>
          <c:invertIfNegative val="0"/>
          <c:cat>
            <c:strRef>
              <c:f>'ESFA MAY GRAF'!$B$4:$G$4</c:f>
              <c:strCache>
                <c:ptCount val="3"/>
                <c:pt idx="0">
                  <c:v> Abril </c:v>
                </c:pt>
                <c:pt idx="2">
                  <c:v> Mayo </c:v>
                </c:pt>
              </c:strCache>
            </c:strRef>
          </c:cat>
          <c:val>
            <c:numRef>
              <c:f>'ESFA MAY GRAF'!$B$10:$G$10</c:f>
            </c:numRef>
          </c:val>
          <c:extLst>
            <c:ext xmlns:c16="http://schemas.microsoft.com/office/drawing/2014/chart" uri="{C3380CC4-5D6E-409C-BE32-E72D297353CC}">
              <c16:uniqueId val="{00000005-CD95-4D57-8B65-A3A0CCAB3692}"/>
            </c:ext>
          </c:extLst>
        </c:ser>
        <c:ser>
          <c:idx val="6"/>
          <c:order val="6"/>
          <c:tx>
            <c:strRef>
              <c:f>'ESFA MAY GRAF'!$A$11</c:f>
              <c:strCache>
                <c:ptCount val="1"/>
                <c:pt idx="0">
                  <c:v> Pagos sin identificar </c:v>
                </c:pt>
              </c:strCache>
            </c:strRef>
          </c:tx>
          <c:spPr>
            <a:solidFill>
              <a:srgbClr val="FF0000"/>
            </a:solidFill>
            <a:ln w="25400">
              <a:noFill/>
            </a:ln>
          </c:spPr>
          <c:invertIfNegative val="0"/>
          <c:cat>
            <c:strRef>
              <c:f>'ESFA MAY GRAF'!$B$4:$G$4</c:f>
              <c:strCache>
                <c:ptCount val="3"/>
                <c:pt idx="0">
                  <c:v> Abril </c:v>
                </c:pt>
                <c:pt idx="2">
                  <c:v> Mayo </c:v>
                </c:pt>
              </c:strCache>
            </c:strRef>
          </c:cat>
          <c:val>
            <c:numRef>
              <c:f>'ESFA MAY GRAF'!$B$11:$G$11</c:f>
            </c:numRef>
          </c:val>
          <c:extLst>
            <c:ext xmlns:c16="http://schemas.microsoft.com/office/drawing/2014/chart" uri="{C3380CC4-5D6E-409C-BE32-E72D297353CC}">
              <c16:uniqueId val="{00000006-CD95-4D57-8B65-A3A0CCAB3692}"/>
            </c:ext>
          </c:extLst>
        </c:ser>
        <c:ser>
          <c:idx val="7"/>
          <c:order val="7"/>
          <c:tx>
            <c:strRef>
              <c:f>'ESFA MAY GRAF'!$A$12</c:f>
              <c:strCache>
                <c:ptCount val="1"/>
              </c:strCache>
            </c:strRef>
          </c:tx>
          <c:spPr>
            <a:solidFill>
              <a:schemeClr val="accent2">
                <a:lumMod val="60000"/>
              </a:schemeClr>
            </a:solidFill>
            <a:ln>
              <a:noFill/>
            </a:ln>
            <a:effectLst/>
          </c:spPr>
          <c:invertIfNegative val="0"/>
          <c:cat>
            <c:strRef>
              <c:f>'ESFA MAY GRAF'!$B$4:$G$4</c:f>
              <c:strCache>
                <c:ptCount val="3"/>
                <c:pt idx="0">
                  <c:v> Abril </c:v>
                </c:pt>
                <c:pt idx="2">
                  <c:v> Mayo </c:v>
                </c:pt>
              </c:strCache>
            </c:strRef>
          </c:cat>
          <c:val>
            <c:numRef>
              <c:f>'ESFA MAY GRAF'!$B$12:$G$12</c:f>
            </c:numRef>
          </c:val>
          <c:extLst>
            <c:ext xmlns:c16="http://schemas.microsoft.com/office/drawing/2014/chart" uri="{C3380CC4-5D6E-409C-BE32-E72D297353CC}">
              <c16:uniqueId val="{00000007-CD95-4D57-8B65-A3A0CCAB3692}"/>
            </c:ext>
          </c:extLst>
        </c:ser>
        <c:ser>
          <c:idx val="8"/>
          <c:order val="8"/>
          <c:tx>
            <c:strRef>
              <c:f>'ESFA MAY GRAF'!$A$13</c:f>
              <c:strCache>
                <c:ptCount val="1"/>
                <c:pt idx="0">
                  <c:v> Reclamaciones a proveedores </c:v>
                </c:pt>
              </c:strCache>
            </c:strRef>
          </c:tx>
          <c:spPr>
            <a:solidFill>
              <a:schemeClr val="accent3">
                <a:lumMod val="60000"/>
              </a:schemeClr>
            </a:solidFill>
            <a:ln>
              <a:noFill/>
            </a:ln>
            <a:effectLst/>
          </c:spPr>
          <c:invertIfNegative val="0"/>
          <c:cat>
            <c:strRef>
              <c:f>'ESFA MAY GRAF'!$B$4:$G$4</c:f>
              <c:strCache>
                <c:ptCount val="3"/>
                <c:pt idx="0">
                  <c:v> Abril </c:v>
                </c:pt>
                <c:pt idx="2">
                  <c:v> Mayo </c:v>
                </c:pt>
              </c:strCache>
            </c:strRef>
          </c:cat>
          <c:val>
            <c:numRef>
              <c:f>'ESFA MAY GRAF'!$B$13:$G$13</c:f>
              <c:numCache>
                <c:formatCode>_(* #,##0_);_(* \(#,##0\);_(* "-"??_);_(@_)</c:formatCode>
                <c:ptCount val="3"/>
                <c:pt idx="0">
                  <c:v>440118</c:v>
                </c:pt>
                <c:pt idx="2">
                  <c:v>0</c:v>
                </c:pt>
              </c:numCache>
            </c:numRef>
          </c:val>
          <c:extLst>
            <c:ext xmlns:c16="http://schemas.microsoft.com/office/drawing/2014/chart" uri="{C3380CC4-5D6E-409C-BE32-E72D297353CC}">
              <c16:uniqueId val="{00000008-CD95-4D57-8B65-A3A0CCAB3692}"/>
            </c:ext>
          </c:extLst>
        </c:ser>
        <c:ser>
          <c:idx val="9"/>
          <c:order val="9"/>
          <c:tx>
            <c:strRef>
              <c:f>'ESFA MAY GRAF'!$A$14</c:f>
              <c:strCache>
                <c:ptCount val="1"/>
              </c:strCache>
            </c:strRef>
          </c:tx>
          <c:spPr>
            <a:solidFill>
              <a:schemeClr val="accent4">
                <a:lumMod val="60000"/>
              </a:schemeClr>
            </a:solidFill>
            <a:ln>
              <a:noFill/>
            </a:ln>
            <a:effectLst/>
          </c:spPr>
          <c:invertIfNegative val="0"/>
          <c:cat>
            <c:strRef>
              <c:f>'ESFA MAY GRAF'!$B$4:$G$4</c:f>
              <c:strCache>
                <c:ptCount val="3"/>
                <c:pt idx="0">
                  <c:v> Abril </c:v>
                </c:pt>
                <c:pt idx="2">
                  <c:v> Mayo </c:v>
                </c:pt>
              </c:strCache>
            </c:strRef>
          </c:cat>
          <c:val>
            <c:numRef>
              <c:f>'ESFA MAY GRAF'!$B$14:$G$14</c:f>
            </c:numRef>
          </c:val>
          <c:extLst>
            <c:ext xmlns:c16="http://schemas.microsoft.com/office/drawing/2014/chart" uri="{C3380CC4-5D6E-409C-BE32-E72D297353CC}">
              <c16:uniqueId val="{00000009-CD95-4D57-8B65-A3A0CCAB3692}"/>
            </c:ext>
          </c:extLst>
        </c:ser>
        <c:ser>
          <c:idx val="10"/>
          <c:order val="10"/>
          <c:tx>
            <c:strRef>
              <c:f>'ESFA MAY GRAF'!$A$15</c:f>
              <c:strCache>
                <c:ptCount val="1"/>
                <c:pt idx="0">
                  <c:v> Gasto por anticipado póliza seguros </c:v>
                </c:pt>
              </c:strCache>
            </c:strRef>
          </c:tx>
          <c:spPr>
            <a:solidFill>
              <a:schemeClr val="accent5">
                <a:lumMod val="60000"/>
              </a:schemeClr>
            </a:solidFill>
            <a:ln>
              <a:noFill/>
            </a:ln>
            <a:effectLst/>
          </c:spPr>
          <c:invertIfNegative val="0"/>
          <c:cat>
            <c:strRef>
              <c:f>'ESFA MAY GRAF'!$B$4:$G$4</c:f>
              <c:strCache>
                <c:ptCount val="3"/>
                <c:pt idx="0">
                  <c:v> Abril </c:v>
                </c:pt>
                <c:pt idx="2">
                  <c:v> Mayo </c:v>
                </c:pt>
              </c:strCache>
            </c:strRef>
          </c:cat>
          <c:val>
            <c:numRef>
              <c:f>'ESFA MAY GRAF'!$B$15:$G$15</c:f>
              <c:numCache>
                <c:formatCode>_(* #,##0_);_(* \(#,##0\);_(* "-"??_);_(@_)</c:formatCode>
                <c:ptCount val="3"/>
                <c:pt idx="0">
                  <c:v>15358191</c:v>
                </c:pt>
                <c:pt idx="2">
                  <c:v>13871914</c:v>
                </c:pt>
              </c:numCache>
            </c:numRef>
          </c:val>
          <c:extLst>
            <c:ext xmlns:c16="http://schemas.microsoft.com/office/drawing/2014/chart" uri="{C3380CC4-5D6E-409C-BE32-E72D297353CC}">
              <c16:uniqueId val="{0000000A-CD95-4D57-8B65-A3A0CCAB3692}"/>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abril - mayo 2025 </a:t>
            </a:r>
          </a:p>
        </c:rich>
      </c:tx>
      <c:layout>
        <c:manualLayout>
          <c:xMode val="edge"/>
          <c:yMode val="edge"/>
          <c:x val="0.33427106557916819"/>
          <c:y val="4.2328042328042326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MAY GRAF'!$A$51:$D$51</c:f>
              <c:strCache>
                <c:ptCount val="4"/>
                <c:pt idx="0">
                  <c:v>ACTIVO</c:v>
                </c:pt>
              </c:strCache>
            </c:strRef>
          </c:tx>
          <c:spPr>
            <a:solidFill>
              <a:srgbClr val="FFC000"/>
            </a:solidFill>
            <a:ln w="25400">
              <a:solidFill>
                <a:srgbClr val="FFC000"/>
              </a:solidFill>
            </a:ln>
          </c:spPr>
          <c:invertIfNegative val="0"/>
          <c:cat>
            <c:numRef>
              <c:f>'ESFA MAY GRAF'!$E$50:$G$50</c:f>
              <c:numCache>
                <c:formatCode>General</c:formatCode>
                <c:ptCount val="3"/>
                <c:pt idx="0" formatCode="mmm\-yy">
                  <c:v>45748</c:v>
                </c:pt>
                <c:pt idx="2" formatCode="mmm\-yy">
                  <c:v>45778</c:v>
                </c:pt>
              </c:numCache>
            </c:numRef>
          </c:cat>
          <c:val>
            <c:numRef>
              <c:f>'ESFA MAY GRAF'!$E$51:$G$51</c:f>
              <c:numCache>
                <c:formatCode>General</c:formatCode>
                <c:ptCount val="3"/>
                <c:pt idx="0" formatCode="_(* #,##0_);_(* \(#,##0\);_(* &quot;-&quot;??_);_(@_)">
                  <c:v>45098562.68</c:v>
                </c:pt>
                <c:pt idx="2" formatCode="_(* #,##0_);_(* \(#,##0\);_(* &quot;-&quot;??_);_(@_)">
                  <c:v>79344896.689999998</c:v>
                </c:pt>
              </c:numCache>
            </c:numRef>
          </c:val>
          <c:extLst>
            <c:ext xmlns:c16="http://schemas.microsoft.com/office/drawing/2014/chart" uri="{C3380CC4-5D6E-409C-BE32-E72D297353CC}">
              <c16:uniqueId val="{00000000-A81D-4809-9DB6-8A9A2F7DA972}"/>
            </c:ext>
          </c:extLst>
        </c:ser>
        <c:ser>
          <c:idx val="0"/>
          <c:order val="1"/>
          <c:tx>
            <c:strRef>
              <c:f>'ESFA MAY GRAF'!$A$52:$D$52</c:f>
              <c:strCache>
                <c:ptCount val="4"/>
                <c:pt idx="0">
                  <c:v>PASIVO</c:v>
                </c:pt>
              </c:strCache>
            </c:strRef>
          </c:tx>
          <c:invertIfNegative val="0"/>
          <c:cat>
            <c:numRef>
              <c:f>'ESFA MAY GRAF'!$E$50:$G$50</c:f>
              <c:numCache>
                <c:formatCode>General</c:formatCode>
                <c:ptCount val="3"/>
                <c:pt idx="0" formatCode="mmm\-yy">
                  <c:v>45748</c:v>
                </c:pt>
                <c:pt idx="2" formatCode="mmm\-yy">
                  <c:v>45778</c:v>
                </c:pt>
              </c:numCache>
            </c:numRef>
          </c:cat>
          <c:val>
            <c:numRef>
              <c:f>'ESFA MAY GRAF'!$E$52:$G$52</c:f>
              <c:numCache>
                <c:formatCode>General</c:formatCode>
                <c:ptCount val="3"/>
                <c:pt idx="0" formatCode="_(* #,##0_);_(* \(#,##0\);_(* &quot;-&quot;??_);_(@_)">
                  <c:v>25473876.879999999</c:v>
                </c:pt>
                <c:pt idx="2" formatCode="_(* #,##0_);_(* \(#,##0\);_(* &quot;-&quot;??_);_(@_)">
                  <c:v>29813541.060000002</c:v>
                </c:pt>
              </c:numCache>
            </c:numRef>
          </c:val>
          <c:extLst>
            <c:ext xmlns:c16="http://schemas.microsoft.com/office/drawing/2014/chart" uri="{C3380CC4-5D6E-409C-BE32-E72D297353CC}">
              <c16:uniqueId val="{00000001-A81D-4809-9DB6-8A9A2F7DA972}"/>
            </c:ext>
          </c:extLst>
        </c:ser>
        <c:ser>
          <c:idx val="1"/>
          <c:order val="2"/>
          <c:tx>
            <c:strRef>
              <c:f>'ESFA MAY GRAF'!$A$53:$D$53</c:f>
              <c:strCache>
                <c:ptCount val="4"/>
                <c:pt idx="0">
                  <c:v>PATRIMONIO</c:v>
                </c:pt>
              </c:strCache>
            </c:strRef>
          </c:tx>
          <c:invertIfNegative val="0"/>
          <c:cat>
            <c:numRef>
              <c:f>'ESFA MAY GRAF'!$E$50:$G$50</c:f>
              <c:numCache>
                <c:formatCode>General</c:formatCode>
                <c:ptCount val="3"/>
                <c:pt idx="0" formatCode="mmm\-yy">
                  <c:v>45748</c:v>
                </c:pt>
                <c:pt idx="2" formatCode="mmm\-yy">
                  <c:v>45778</c:v>
                </c:pt>
              </c:numCache>
            </c:numRef>
          </c:cat>
          <c:val>
            <c:numRef>
              <c:f>'ESFA MAY GRAF'!$E$53:$G$53</c:f>
              <c:numCache>
                <c:formatCode>General</c:formatCode>
                <c:ptCount val="3"/>
                <c:pt idx="0" formatCode="_(* #,##0_);_(* \(#,##0\);_(* &quot;-&quot;??_);_(@_)">
                  <c:v>16352677.300000001</c:v>
                </c:pt>
                <c:pt idx="2" formatCode="_(* #,##0_);_(* \(#,##0\);_(* &quot;-&quot;??_);_(@_)">
                  <c:v>17194244.750000004</c:v>
                </c:pt>
              </c:numCache>
            </c:numRef>
          </c:val>
          <c:extLst>
            <c:ext xmlns:c16="http://schemas.microsoft.com/office/drawing/2014/chart" uri="{C3380CC4-5D6E-409C-BE32-E72D297353CC}">
              <c16:uniqueId val="{00000002-A81D-4809-9DB6-8A9A2F7DA972}"/>
            </c:ext>
          </c:extLst>
        </c:ser>
        <c:dLbls>
          <c:showLegendKey val="0"/>
          <c:showVal val="0"/>
          <c:showCatName val="0"/>
          <c:showSerName val="0"/>
          <c:showPercent val="0"/>
          <c:showBubbleSize val="0"/>
        </c:dLbls>
        <c:gapWidth val="50"/>
        <c:axId val="1432886144"/>
        <c:axId val="1"/>
      </c:barChart>
      <c:dateAx>
        <c:axId val="1432886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6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Pasivos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abril -mayo 2025 </a:t>
            </a:r>
          </a:p>
        </c:rich>
      </c:tx>
      <c:layout>
        <c:manualLayout>
          <c:xMode val="edge"/>
          <c:yMode val="edge"/>
          <c:x val="0.52437416121554536"/>
          <c:y val="9.374524754326552E-2"/>
        </c:manualLayout>
      </c:layout>
      <c:overlay val="0"/>
      <c:spPr>
        <a:noFill/>
        <a:ln w="25400">
          <a:noFill/>
        </a:ln>
      </c:spPr>
    </c:title>
    <c:autoTitleDeleted val="0"/>
    <c:plotArea>
      <c:layout>
        <c:manualLayout>
          <c:layoutTarget val="inner"/>
          <c:xMode val="edge"/>
          <c:yMode val="edge"/>
          <c:x val="0.2252058599945567"/>
          <c:y val="4.806598383645317E-2"/>
          <c:w val="0.74857244751438257"/>
          <c:h val="0.53395342073006047"/>
        </c:manualLayout>
      </c:layout>
      <c:barChart>
        <c:barDir val="col"/>
        <c:grouping val="clustered"/>
        <c:varyColors val="0"/>
        <c:ser>
          <c:idx val="0"/>
          <c:order val="0"/>
          <c:tx>
            <c:strRef>
              <c:f>'ESFA MAY GRAF'!$A$23</c:f>
              <c:strCache>
                <c:ptCount val="1"/>
                <c:pt idx="0">
                  <c:v> CXP  honorarios </c:v>
                </c:pt>
              </c:strCache>
            </c:strRef>
          </c:tx>
          <c:spPr>
            <a:solidFill>
              <a:schemeClr val="tx2">
                <a:lumMod val="40000"/>
                <a:lumOff val="60000"/>
              </a:schemeClr>
            </a:solidFill>
            <a:ln>
              <a:noFill/>
            </a:ln>
            <a:effectLst/>
          </c:spPr>
          <c:invertIfNegative val="0"/>
          <c:cat>
            <c:strRef>
              <c:f>'ESFA MAY GRAF'!$B$22:$G$22</c:f>
              <c:strCache>
                <c:ptCount val="3"/>
                <c:pt idx="0">
                  <c:v> Abril </c:v>
                </c:pt>
                <c:pt idx="2">
                  <c:v> Mayo </c:v>
                </c:pt>
              </c:strCache>
            </c:strRef>
          </c:cat>
          <c:val>
            <c:numRef>
              <c:f>'ESFA MAY GRAF'!$B$23:$G$23</c:f>
              <c:numCache>
                <c:formatCode>_(* #,##0_);_(* \(#,##0\);_(* "-"??_);_(@_)</c:formatCode>
                <c:ptCount val="3"/>
                <c:pt idx="0">
                  <c:v>6714065</c:v>
                </c:pt>
                <c:pt idx="2">
                  <c:v>534252</c:v>
                </c:pt>
              </c:numCache>
            </c:numRef>
          </c:val>
          <c:extLst>
            <c:ext xmlns:c16="http://schemas.microsoft.com/office/drawing/2014/chart" uri="{C3380CC4-5D6E-409C-BE32-E72D297353CC}">
              <c16:uniqueId val="{00000000-BF9A-466E-B7DE-CD1E9D4542CF}"/>
            </c:ext>
          </c:extLst>
        </c:ser>
        <c:ser>
          <c:idx val="1"/>
          <c:order val="1"/>
          <c:tx>
            <c:strRef>
              <c:f>'ESFA MAY GRAF'!$A$24</c:f>
              <c:strCache>
                <c:ptCount val="1"/>
              </c:strCache>
            </c:strRef>
          </c:tx>
          <c:spPr>
            <a:solidFill>
              <a:srgbClr val="C0504D"/>
            </a:solidFill>
            <a:ln w="25400">
              <a:noFill/>
            </a:ln>
          </c:spPr>
          <c:invertIfNegative val="0"/>
          <c:cat>
            <c:strRef>
              <c:f>'ESFA MAY GRAF'!$B$22:$G$22</c:f>
              <c:strCache>
                <c:ptCount val="3"/>
                <c:pt idx="0">
                  <c:v> Abril </c:v>
                </c:pt>
                <c:pt idx="2">
                  <c:v> Mayo </c:v>
                </c:pt>
              </c:strCache>
            </c:strRef>
          </c:cat>
          <c:val>
            <c:numRef>
              <c:f>'ESFA MAY GRAF'!$B$24:$G$24</c:f>
            </c:numRef>
          </c:val>
          <c:extLst>
            <c:ext xmlns:c16="http://schemas.microsoft.com/office/drawing/2014/chart" uri="{C3380CC4-5D6E-409C-BE32-E72D297353CC}">
              <c16:uniqueId val="{00000001-BF9A-466E-B7DE-CD1E9D4542CF}"/>
            </c:ext>
          </c:extLst>
        </c:ser>
        <c:ser>
          <c:idx val="2"/>
          <c:order val="2"/>
          <c:tx>
            <c:strRef>
              <c:f>'ESFA MAY GRAF'!$A$25</c:f>
              <c:strCache>
                <c:ptCount val="1"/>
                <c:pt idx="0">
                  <c:v>CXP </c:v>
                </c:pt>
              </c:strCache>
            </c:strRef>
          </c:tx>
          <c:spPr>
            <a:solidFill>
              <a:schemeClr val="accent6">
                <a:lumMod val="40000"/>
                <a:lumOff val="60000"/>
              </a:schemeClr>
            </a:solidFill>
            <a:ln>
              <a:noFill/>
            </a:ln>
            <a:effectLst/>
          </c:spPr>
          <c:invertIfNegative val="0"/>
          <c:cat>
            <c:strRef>
              <c:f>'ESFA MAY GRAF'!$B$22:$G$22</c:f>
              <c:strCache>
                <c:ptCount val="3"/>
                <c:pt idx="0">
                  <c:v> Abril </c:v>
                </c:pt>
                <c:pt idx="2">
                  <c:v> Mayo </c:v>
                </c:pt>
              </c:strCache>
            </c:strRef>
          </c:cat>
          <c:val>
            <c:numRef>
              <c:f>'ESFA MAY GRAF'!$B$25:$G$25</c:f>
            </c:numRef>
          </c:val>
          <c:extLst>
            <c:ext xmlns:c16="http://schemas.microsoft.com/office/drawing/2014/chart" uri="{C3380CC4-5D6E-409C-BE32-E72D297353CC}">
              <c16:uniqueId val="{00000002-BF9A-466E-B7DE-CD1E9D4542CF}"/>
            </c:ext>
          </c:extLst>
        </c:ser>
        <c:ser>
          <c:idx val="3"/>
          <c:order val="3"/>
          <c:tx>
            <c:strRef>
              <c:f>'ESFA MAY GRAF'!$A$26</c:f>
              <c:strCache>
                <c:ptCount val="1"/>
              </c:strCache>
            </c:strRef>
          </c:tx>
          <c:spPr>
            <a:solidFill>
              <a:srgbClr val="8064A2"/>
            </a:solidFill>
            <a:ln w="25400">
              <a:noFill/>
            </a:ln>
          </c:spPr>
          <c:invertIfNegative val="0"/>
          <c:cat>
            <c:strRef>
              <c:f>'ESFA MAY GRAF'!$B$22:$G$22</c:f>
              <c:strCache>
                <c:ptCount val="3"/>
                <c:pt idx="0">
                  <c:v> Abril </c:v>
                </c:pt>
                <c:pt idx="2">
                  <c:v> Mayo </c:v>
                </c:pt>
              </c:strCache>
            </c:strRef>
          </c:cat>
          <c:val>
            <c:numRef>
              <c:f>'ESFA MAY GRAF'!$B$26:$G$26</c:f>
            </c:numRef>
          </c:val>
          <c:extLst>
            <c:ext xmlns:c16="http://schemas.microsoft.com/office/drawing/2014/chart" uri="{C3380CC4-5D6E-409C-BE32-E72D297353CC}">
              <c16:uniqueId val="{00000003-BF9A-466E-B7DE-CD1E9D4542CF}"/>
            </c:ext>
          </c:extLst>
        </c:ser>
        <c:ser>
          <c:idx val="4"/>
          <c:order val="4"/>
          <c:tx>
            <c:strRef>
              <c:f>'ESFA MAY GRAF'!$A$27</c:f>
              <c:strCache>
                <c:ptCount val="1"/>
                <c:pt idx="0">
                  <c:v>CXP Impuestos</c:v>
                </c:pt>
              </c:strCache>
            </c:strRef>
          </c:tx>
          <c:spPr>
            <a:solidFill>
              <a:srgbClr val="FF0000"/>
            </a:solidFill>
            <a:ln w="25400">
              <a:noFill/>
            </a:ln>
          </c:spPr>
          <c:invertIfNegative val="0"/>
          <c:cat>
            <c:strRef>
              <c:f>'ESFA MAY GRAF'!$B$22:$G$22</c:f>
              <c:strCache>
                <c:ptCount val="3"/>
                <c:pt idx="0">
                  <c:v> Abril </c:v>
                </c:pt>
                <c:pt idx="2">
                  <c:v> Mayo </c:v>
                </c:pt>
              </c:strCache>
            </c:strRef>
          </c:cat>
          <c:val>
            <c:numRef>
              <c:f>'ESFA MAY GRAF'!$B$27:$G$27</c:f>
              <c:numCache>
                <c:formatCode>_(* #,##0_);_(* \(#,##0\);_(* "-"??_);_(@_)</c:formatCode>
                <c:ptCount val="3"/>
                <c:pt idx="0">
                  <c:v>167450.88</c:v>
                </c:pt>
                <c:pt idx="2">
                  <c:v>102902.06</c:v>
                </c:pt>
              </c:numCache>
            </c:numRef>
          </c:val>
          <c:extLst>
            <c:ext xmlns:c16="http://schemas.microsoft.com/office/drawing/2014/chart" uri="{C3380CC4-5D6E-409C-BE32-E72D297353CC}">
              <c16:uniqueId val="{00000004-BF9A-466E-B7DE-CD1E9D4542CF}"/>
            </c:ext>
          </c:extLst>
        </c:ser>
        <c:ser>
          <c:idx val="5"/>
          <c:order val="5"/>
          <c:tx>
            <c:strRef>
              <c:f>'ESFA MAY GRAF'!$A$28</c:f>
              <c:strCache>
                <c:ptCount val="1"/>
              </c:strCache>
            </c:strRef>
          </c:tx>
          <c:spPr>
            <a:solidFill>
              <a:srgbClr val="F79646"/>
            </a:solidFill>
            <a:ln w="25400">
              <a:noFill/>
            </a:ln>
          </c:spPr>
          <c:invertIfNegative val="0"/>
          <c:cat>
            <c:strRef>
              <c:f>'ESFA MAY GRAF'!$B$22:$G$22</c:f>
              <c:strCache>
                <c:ptCount val="3"/>
                <c:pt idx="0">
                  <c:v> Abril </c:v>
                </c:pt>
                <c:pt idx="2">
                  <c:v> Mayo </c:v>
                </c:pt>
              </c:strCache>
            </c:strRef>
          </c:cat>
          <c:val>
            <c:numRef>
              <c:f>'ESFA MAY GRAF'!$B$28:$G$28</c:f>
            </c:numRef>
          </c:val>
          <c:extLst>
            <c:ext xmlns:c16="http://schemas.microsoft.com/office/drawing/2014/chart" uri="{C3380CC4-5D6E-409C-BE32-E72D297353CC}">
              <c16:uniqueId val="{00000005-BF9A-466E-B7DE-CD1E9D4542CF}"/>
            </c:ext>
          </c:extLst>
        </c:ser>
        <c:ser>
          <c:idx val="6"/>
          <c:order val="6"/>
          <c:tx>
            <c:strRef>
              <c:f>'ESFA MAY GRAF'!$A$29</c:f>
              <c:strCache>
                <c:ptCount val="1"/>
                <c:pt idx="0">
                  <c:v>Reclamación Seguro</c:v>
                </c:pt>
              </c:strCache>
            </c:strRef>
          </c:tx>
          <c:spPr>
            <a:solidFill>
              <a:schemeClr val="accent1">
                <a:lumMod val="60000"/>
              </a:schemeClr>
            </a:solidFill>
            <a:ln>
              <a:noFill/>
            </a:ln>
            <a:effectLst/>
          </c:spPr>
          <c:invertIfNegative val="0"/>
          <c:cat>
            <c:strRef>
              <c:f>'ESFA MAY GRAF'!$B$22:$G$22</c:f>
              <c:strCache>
                <c:ptCount val="3"/>
                <c:pt idx="0">
                  <c:v> Abril </c:v>
                </c:pt>
                <c:pt idx="2">
                  <c:v> Mayo </c:v>
                </c:pt>
              </c:strCache>
            </c:strRef>
          </c:cat>
          <c:val>
            <c:numRef>
              <c:f>'ESFA MAY GRAF'!$B$29:$G$29</c:f>
            </c:numRef>
          </c:val>
          <c:extLst>
            <c:ext xmlns:c16="http://schemas.microsoft.com/office/drawing/2014/chart" uri="{C3380CC4-5D6E-409C-BE32-E72D297353CC}">
              <c16:uniqueId val="{00000006-BF9A-466E-B7DE-CD1E9D4542CF}"/>
            </c:ext>
          </c:extLst>
        </c:ser>
        <c:ser>
          <c:idx val="7"/>
          <c:order val="7"/>
          <c:tx>
            <c:strRef>
              <c:f>'ESFA MAY GRAF'!$A$30</c:f>
              <c:strCache>
                <c:ptCount val="1"/>
              </c:strCache>
            </c:strRef>
          </c:tx>
          <c:spPr>
            <a:solidFill>
              <a:schemeClr val="accent2">
                <a:lumMod val="60000"/>
              </a:schemeClr>
            </a:solidFill>
            <a:ln>
              <a:noFill/>
            </a:ln>
            <a:effectLst/>
          </c:spPr>
          <c:invertIfNegative val="0"/>
          <c:cat>
            <c:strRef>
              <c:f>'ESFA MAY GRAF'!$B$22:$G$22</c:f>
              <c:strCache>
                <c:ptCount val="3"/>
                <c:pt idx="0">
                  <c:v> Abril </c:v>
                </c:pt>
                <c:pt idx="2">
                  <c:v> Mayo </c:v>
                </c:pt>
              </c:strCache>
            </c:strRef>
          </c:cat>
          <c:val>
            <c:numRef>
              <c:f>'ESFA MAY GRAF'!$B$30:$G$30</c:f>
            </c:numRef>
          </c:val>
          <c:extLst>
            <c:ext xmlns:c16="http://schemas.microsoft.com/office/drawing/2014/chart" uri="{C3380CC4-5D6E-409C-BE32-E72D297353CC}">
              <c16:uniqueId val="{00000007-BF9A-466E-B7DE-CD1E9D4542CF}"/>
            </c:ext>
          </c:extLst>
        </c:ser>
        <c:ser>
          <c:idx val="8"/>
          <c:order val="8"/>
          <c:tx>
            <c:strRef>
              <c:f>'ESFA MAY GRAF'!$A$31</c:f>
              <c:strCache>
                <c:ptCount val="1"/>
                <c:pt idx="0">
                  <c:v>Cuotas extras 2023</c:v>
                </c:pt>
              </c:strCache>
            </c:strRef>
          </c:tx>
          <c:spPr>
            <a:solidFill>
              <a:srgbClr val="92D050"/>
            </a:solidFill>
            <a:ln w="25400">
              <a:noFill/>
            </a:ln>
          </c:spPr>
          <c:invertIfNegative val="0"/>
          <c:cat>
            <c:strRef>
              <c:f>'ESFA MAY GRAF'!$B$22:$G$22</c:f>
              <c:strCache>
                <c:ptCount val="3"/>
                <c:pt idx="0">
                  <c:v> Abril </c:v>
                </c:pt>
                <c:pt idx="2">
                  <c:v> Mayo </c:v>
                </c:pt>
              </c:strCache>
            </c:strRef>
          </c:cat>
          <c:val>
            <c:numRef>
              <c:f>'ESFA MAY GRAF'!$B$31:$G$31</c:f>
            </c:numRef>
          </c:val>
          <c:extLst>
            <c:ext xmlns:c16="http://schemas.microsoft.com/office/drawing/2014/chart" uri="{C3380CC4-5D6E-409C-BE32-E72D297353CC}">
              <c16:uniqueId val="{00000008-BF9A-466E-B7DE-CD1E9D4542CF}"/>
            </c:ext>
          </c:extLst>
        </c:ser>
        <c:ser>
          <c:idx val="9"/>
          <c:order val="9"/>
          <c:tx>
            <c:strRef>
              <c:f>'ESFA MAY GRAF'!$A$32</c:f>
              <c:strCache>
                <c:ptCount val="1"/>
              </c:strCache>
            </c:strRef>
          </c:tx>
          <c:spPr>
            <a:solidFill>
              <a:schemeClr val="accent4">
                <a:lumMod val="60000"/>
              </a:schemeClr>
            </a:solidFill>
            <a:ln>
              <a:noFill/>
            </a:ln>
            <a:effectLst/>
          </c:spPr>
          <c:invertIfNegative val="0"/>
          <c:cat>
            <c:strRef>
              <c:f>'ESFA MAY GRAF'!$B$22:$G$22</c:f>
              <c:strCache>
                <c:ptCount val="3"/>
                <c:pt idx="0">
                  <c:v> Abril </c:v>
                </c:pt>
                <c:pt idx="2">
                  <c:v> Mayo </c:v>
                </c:pt>
              </c:strCache>
            </c:strRef>
          </c:cat>
          <c:val>
            <c:numRef>
              <c:f>'ESFA MAY GRAF'!$B$32:$G$32</c:f>
            </c:numRef>
          </c:val>
          <c:extLst>
            <c:ext xmlns:c16="http://schemas.microsoft.com/office/drawing/2014/chart" uri="{C3380CC4-5D6E-409C-BE32-E72D297353CC}">
              <c16:uniqueId val="{00000009-BF9A-466E-B7DE-CD1E9D4542CF}"/>
            </c:ext>
          </c:extLst>
        </c:ser>
        <c:ser>
          <c:idx val="10"/>
          <c:order val="10"/>
          <c:tx>
            <c:strRef>
              <c:f>'ESFA MAY GRAF'!$A$33</c:f>
              <c:strCache>
                <c:ptCount val="1"/>
                <c:pt idx="0">
                  <c:v>Saldo Inversión vigilancia</c:v>
                </c:pt>
              </c:strCache>
            </c:strRef>
          </c:tx>
          <c:spPr>
            <a:solidFill>
              <a:schemeClr val="accent3">
                <a:lumMod val="75000"/>
              </a:schemeClr>
            </a:solidFill>
            <a:ln>
              <a:noFill/>
            </a:ln>
            <a:effectLst/>
          </c:spPr>
          <c:invertIfNegative val="0"/>
          <c:cat>
            <c:strRef>
              <c:f>'ESFA MAY GRAF'!$B$22:$G$22</c:f>
              <c:strCache>
                <c:ptCount val="3"/>
                <c:pt idx="0">
                  <c:v> Abril </c:v>
                </c:pt>
                <c:pt idx="2">
                  <c:v> Mayo </c:v>
                </c:pt>
              </c:strCache>
            </c:strRef>
          </c:cat>
          <c:val>
            <c:numRef>
              <c:f>'ESFA MAY GRAF'!$B$33:$G$33</c:f>
            </c:numRef>
          </c:val>
          <c:extLst>
            <c:ext xmlns:c16="http://schemas.microsoft.com/office/drawing/2014/chart" uri="{C3380CC4-5D6E-409C-BE32-E72D297353CC}">
              <c16:uniqueId val="{0000000A-BF9A-466E-B7DE-CD1E9D4542CF}"/>
            </c:ext>
          </c:extLst>
        </c:ser>
        <c:ser>
          <c:idx val="11"/>
          <c:order val="11"/>
          <c:tx>
            <c:strRef>
              <c:f>'ESFA MAY GRAF'!$A$34</c:f>
              <c:strCache>
                <c:ptCount val="1"/>
              </c:strCache>
            </c:strRef>
          </c:tx>
          <c:invertIfNegative val="0"/>
          <c:cat>
            <c:strRef>
              <c:f>'ESFA MAY GRAF'!$B$22:$G$22</c:f>
              <c:strCache>
                <c:ptCount val="3"/>
                <c:pt idx="0">
                  <c:v> Abril </c:v>
                </c:pt>
                <c:pt idx="2">
                  <c:v> Mayo </c:v>
                </c:pt>
              </c:strCache>
            </c:strRef>
          </c:cat>
          <c:val>
            <c:numRef>
              <c:f>'ESFA MAY GRAF'!$B$34:$G$34</c:f>
            </c:numRef>
          </c:val>
          <c:extLst>
            <c:ext xmlns:c16="http://schemas.microsoft.com/office/drawing/2014/chart" uri="{C3380CC4-5D6E-409C-BE32-E72D297353CC}">
              <c16:uniqueId val="{0000000B-BF9A-466E-B7DE-CD1E9D4542CF}"/>
            </c:ext>
          </c:extLst>
        </c:ser>
        <c:ser>
          <c:idx val="12"/>
          <c:order val="12"/>
          <c:tx>
            <c:strRef>
              <c:f>'ESFA MAY GRAF'!$A$35</c:f>
              <c:strCache>
                <c:ptCount val="1"/>
                <c:pt idx="0">
                  <c:v>Cuota extra 2024</c:v>
                </c:pt>
              </c:strCache>
            </c:strRef>
          </c:tx>
          <c:spPr>
            <a:solidFill>
              <a:srgbClr val="FF0000"/>
            </a:solidFill>
          </c:spPr>
          <c:invertIfNegative val="0"/>
          <c:cat>
            <c:strRef>
              <c:f>'ESFA MAY GRAF'!$B$22:$G$22</c:f>
              <c:strCache>
                <c:ptCount val="3"/>
                <c:pt idx="0">
                  <c:v> Abril </c:v>
                </c:pt>
                <c:pt idx="2">
                  <c:v> Mayo </c:v>
                </c:pt>
              </c:strCache>
            </c:strRef>
          </c:cat>
          <c:val>
            <c:numRef>
              <c:f>'ESFA MAY GRAF'!$B$35:$G$35</c:f>
              <c:numCache>
                <c:formatCode>_(* #,##0_);_(* \(#,##0\);_(* "-"??_);_(@_)</c:formatCode>
                <c:ptCount val="3"/>
                <c:pt idx="0">
                  <c:v>44870833</c:v>
                </c:pt>
                <c:pt idx="2">
                  <c:v>45463372.880000003</c:v>
                </c:pt>
              </c:numCache>
            </c:numRef>
          </c:val>
          <c:extLst>
            <c:ext xmlns:c16="http://schemas.microsoft.com/office/drawing/2014/chart" uri="{C3380CC4-5D6E-409C-BE32-E72D297353CC}">
              <c16:uniqueId val="{0000000C-BF9A-466E-B7DE-CD1E9D4542CF}"/>
            </c:ext>
          </c:extLst>
        </c:ser>
        <c:ser>
          <c:idx val="13"/>
          <c:order val="13"/>
          <c:tx>
            <c:strRef>
              <c:f>'ESFA MAY GRAF'!$A$36</c:f>
              <c:strCache>
                <c:ptCount val="1"/>
                <c:pt idx="0">
                  <c:v>Cuota extra 2025</c:v>
                </c:pt>
              </c:strCache>
            </c:strRef>
          </c:tx>
          <c:spPr>
            <a:solidFill>
              <a:schemeClr val="accent3">
                <a:lumMod val="60000"/>
                <a:lumOff val="40000"/>
              </a:schemeClr>
            </a:solidFill>
          </c:spPr>
          <c:invertIfNegative val="0"/>
          <c:cat>
            <c:strRef>
              <c:f>'ESFA MAY GRAF'!$B$22:$G$22</c:f>
              <c:strCache>
                <c:ptCount val="3"/>
                <c:pt idx="0">
                  <c:v> Abril </c:v>
                </c:pt>
                <c:pt idx="2">
                  <c:v> Mayo </c:v>
                </c:pt>
              </c:strCache>
            </c:strRef>
          </c:cat>
          <c:val>
            <c:numRef>
              <c:f>'ESFA MAY GRAF'!$B$36:$G$36</c:f>
              <c:numCache>
                <c:formatCode>_(* #,##0_);_(* \(#,##0\);_(* "-"??_);_(@_)</c:formatCode>
                <c:ptCount val="3"/>
                <c:pt idx="2">
                  <c:v>7500003</c:v>
                </c:pt>
              </c:numCache>
            </c:numRef>
          </c:val>
          <c:extLst>
            <c:ext xmlns:c16="http://schemas.microsoft.com/office/drawing/2014/chart" uri="{C3380CC4-5D6E-409C-BE32-E72D297353CC}">
              <c16:uniqueId val="{0000000D-BF9A-466E-B7DE-CD1E9D4542CF}"/>
            </c:ext>
          </c:extLst>
        </c:ser>
        <c:dLbls>
          <c:showLegendKey val="0"/>
          <c:showVal val="0"/>
          <c:showCatName val="0"/>
          <c:showSerName val="0"/>
          <c:showPercent val="0"/>
          <c:showBubbleSize val="0"/>
        </c:dLbls>
        <c:gapWidth val="50"/>
        <c:axId val="1432899104"/>
        <c:axId val="1"/>
      </c:barChart>
      <c:catAx>
        <c:axId val="143289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99104"/>
        <c:crosses val="autoZero"/>
        <c:crossBetween val="between"/>
      </c:valAx>
      <c:dTable>
        <c:showHorzBorder val="1"/>
        <c:showVertBorder val="1"/>
        <c:showOutline val="1"/>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900" b="1"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abril - mayo 2025 </a:t>
            </a:r>
          </a:p>
        </c:rich>
      </c:tx>
      <c:layout>
        <c:manualLayout>
          <c:xMode val="edge"/>
          <c:yMode val="edge"/>
          <c:x val="0.52065099389458036"/>
          <c:y val="5.2910052910052907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MAY GRAF'!$A$41</c:f>
              <c:strCache>
                <c:ptCount val="1"/>
                <c:pt idx="0">
                  <c:v>Reserva de ley 675 2001</c:v>
                </c:pt>
              </c:strCache>
            </c:strRef>
          </c:tx>
          <c:spPr>
            <a:solidFill>
              <a:srgbClr val="FFC000"/>
            </a:solidFill>
            <a:ln w="25400">
              <a:solidFill>
                <a:srgbClr val="FFC000"/>
              </a:solidFill>
            </a:ln>
          </c:spPr>
          <c:invertIfNegative val="0"/>
          <c:cat>
            <c:strRef>
              <c:f>'ESFA MAY GRAF'!$B$40:$G$40</c:f>
              <c:strCache>
                <c:ptCount val="3"/>
                <c:pt idx="0">
                  <c:v> Abril </c:v>
                </c:pt>
                <c:pt idx="2">
                  <c:v> Mayo </c:v>
                </c:pt>
              </c:strCache>
            </c:strRef>
          </c:cat>
          <c:val>
            <c:numRef>
              <c:f>'ESFA MAY GRAF'!$B$41:$G$41</c:f>
              <c:numCache>
                <c:formatCode>_(* #,##0_);_(* \(#,##0\);_(* "-"??_);_(@_)</c:formatCode>
                <c:ptCount val="3"/>
                <c:pt idx="0">
                  <c:v>9476606.8800000008</c:v>
                </c:pt>
                <c:pt idx="2">
                  <c:v>9773964.8800000008</c:v>
                </c:pt>
              </c:numCache>
            </c:numRef>
          </c:val>
          <c:extLst>
            <c:ext xmlns:c16="http://schemas.microsoft.com/office/drawing/2014/chart" uri="{C3380CC4-5D6E-409C-BE32-E72D297353CC}">
              <c16:uniqueId val="{00000000-66DC-4F03-9703-35BC51CA1CDE}"/>
            </c:ext>
          </c:extLst>
        </c:ser>
        <c:ser>
          <c:idx val="14"/>
          <c:order val="1"/>
          <c:tx>
            <c:strRef>
              <c:f>'ESFA MAY GRAF'!$A$42</c:f>
              <c:strCache>
                <c:ptCount val="1"/>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GRAF'!$B$42:$G$42</c:f>
            </c:numRef>
          </c:val>
          <c:extLst>
            <c:ext xmlns:c16="http://schemas.microsoft.com/office/drawing/2014/chart" uri="{C3380CC4-5D6E-409C-BE32-E72D297353CC}">
              <c16:uniqueId val="{00000001-66DC-4F03-9703-35BC51CA1CDE}"/>
            </c:ext>
          </c:extLst>
        </c:ser>
        <c:ser>
          <c:idx val="15"/>
          <c:order val="2"/>
          <c:tx>
            <c:strRef>
              <c:f>'ESFA MAY GRAF'!$A$43</c:f>
              <c:strCache>
                <c:ptCount val="1"/>
                <c:pt idx="0">
                  <c:v>Resultados del presente ejercicio</c:v>
                </c:pt>
              </c:strCache>
            </c:strRef>
          </c:tx>
          <c:spPr>
            <a:solidFill>
              <a:srgbClr val="92D050"/>
            </a:solidFill>
            <a:ln w="25400">
              <a:noFill/>
            </a:ln>
          </c:spPr>
          <c:invertIfNegative val="0"/>
          <c:cat>
            <c:strRef>
              <c:f>'ESFA MAY GRAF'!$B$40:$G$40</c:f>
              <c:strCache>
                <c:ptCount val="3"/>
                <c:pt idx="0">
                  <c:v> Abril </c:v>
                </c:pt>
                <c:pt idx="2">
                  <c:v> Mayo </c:v>
                </c:pt>
              </c:strCache>
            </c:strRef>
          </c:cat>
          <c:val>
            <c:numRef>
              <c:f>'ESFA MAY GRAF'!$B$43:$G$43</c:f>
              <c:numCache>
                <c:formatCode>_(* #,##0_);_(* \(#,##0\);_(* "-"??_);_(@_)</c:formatCode>
                <c:ptCount val="3"/>
                <c:pt idx="0">
                  <c:v>6876070.4199999999</c:v>
                </c:pt>
                <c:pt idx="2">
                  <c:v>7171827.1300000064</c:v>
                </c:pt>
              </c:numCache>
            </c:numRef>
          </c:val>
          <c:extLst>
            <c:ext xmlns:c16="http://schemas.microsoft.com/office/drawing/2014/chart" uri="{C3380CC4-5D6E-409C-BE32-E72D297353CC}">
              <c16:uniqueId val="{00000002-66DC-4F03-9703-35BC51CA1CDE}"/>
            </c:ext>
          </c:extLst>
        </c:ser>
        <c:ser>
          <c:idx val="16"/>
          <c:order val="3"/>
          <c:tx>
            <c:strRef>
              <c:f>'ESFA MAY GRAF'!$A$44</c:f>
              <c:strCache>
                <c:ptCount val="1"/>
              </c:strCache>
            </c:strRef>
          </c:tx>
          <c:spPr>
            <a:solidFill>
              <a:srgbClr val="8064A2"/>
            </a:solidFill>
            <a:ln w="25400">
              <a:noFill/>
            </a:ln>
          </c:spPr>
          <c:invertIfNegative val="0"/>
          <c:cat>
            <c:strRef>
              <c:f>'ESFA MAY GRAF'!$B$40:$G$40</c:f>
              <c:strCache>
                <c:ptCount val="3"/>
                <c:pt idx="0">
                  <c:v> Abril </c:v>
                </c:pt>
                <c:pt idx="2">
                  <c:v> Mayo </c:v>
                </c:pt>
              </c:strCache>
            </c:strRef>
          </c:cat>
          <c:val>
            <c:numRef>
              <c:f>'ESFA MAY GRAF'!$B$44:$G$44</c:f>
            </c:numRef>
          </c:val>
          <c:extLst>
            <c:ext xmlns:c16="http://schemas.microsoft.com/office/drawing/2014/chart" uri="{C3380CC4-5D6E-409C-BE32-E72D297353CC}">
              <c16:uniqueId val="{00000003-66DC-4F03-9703-35BC51CA1CDE}"/>
            </c:ext>
          </c:extLst>
        </c:ser>
        <c:ser>
          <c:idx val="17"/>
          <c:order val="4"/>
          <c:tx>
            <c:strRef>
              <c:f>'ESFA MAY GRAF'!$A$45</c:f>
              <c:strCache>
                <c:ptCount val="1"/>
                <c:pt idx="0">
                  <c:v>Excedente- reconocimiento talud</c:v>
                </c:pt>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GRAF'!$B$45:$G$45</c:f>
              <c:numCache>
                <c:formatCode>_(* #,##0_);_(* \(#,##0\);_(* "-"??_);_(@_)</c:formatCode>
                <c:ptCount val="3"/>
                <c:pt idx="0">
                  <c:v>0</c:v>
                </c:pt>
                <c:pt idx="2">
                  <c:v>248452.74</c:v>
                </c:pt>
              </c:numCache>
            </c:numRef>
          </c:val>
          <c:extLst>
            <c:ext xmlns:c16="http://schemas.microsoft.com/office/drawing/2014/chart" uri="{C3380CC4-5D6E-409C-BE32-E72D297353CC}">
              <c16:uniqueId val="{00000004-66DC-4F03-9703-35BC51CA1CDE}"/>
            </c:ext>
          </c:extLst>
        </c:ser>
        <c:dLbls>
          <c:showLegendKey val="0"/>
          <c:showVal val="0"/>
          <c:showCatName val="0"/>
          <c:showSerName val="0"/>
          <c:showPercent val="0"/>
          <c:showBubbleSize val="0"/>
        </c:dLbls>
        <c:gapWidth val="50"/>
        <c:axId val="1432901984"/>
        <c:axId val="1"/>
      </c:barChart>
      <c:catAx>
        <c:axId val="143290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01984"/>
        <c:crosses val="autoZero"/>
        <c:crossBetween val="between"/>
      </c:valAx>
      <c:dTable>
        <c:showHorzBorder val="1"/>
        <c:showVertBorder val="1"/>
        <c:showOutline val="1"/>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0-43F8-4232-BCBD-D42CCEC82C18}"/>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1-43F8-4232-BCBD-D42CCEC82C18}"/>
              </c:ext>
            </c:extLst>
          </c:dPt>
          <c:cat>
            <c:strRef>
              <c:f>'ESTAD RESUL GRAF MAY'!$AA$10:$AA$12</c:f>
              <c:strCache>
                <c:ptCount val="3"/>
                <c:pt idx="0">
                  <c:v>Ingresos presupuestados</c:v>
                </c:pt>
                <c:pt idx="1">
                  <c:v>Ingresos ejecutados</c:v>
                </c:pt>
                <c:pt idx="2">
                  <c:v>Ingresos marginales</c:v>
                </c:pt>
              </c:strCache>
            </c:strRef>
          </c:cat>
          <c:val>
            <c:numRef>
              <c:f>'ESTAD RESUL GRAF MAY'!$AC$10:$AC$12</c:f>
              <c:numCache>
                <c:formatCode>[$$-240A]\ #,##0</c:formatCode>
                <c:ptCount val="3"/>
                <c:pt idx="0">
                  <c:v>148684136.25</c:v>
                </c:pt>
                <c:pt idx="1">
                  <c:v>148677920</c:v>
                </c:pt>
                <c:pt idx="2">
                  <c:v>6216.25</c:v>
                </c:pt>
              </c:numCache>
            </c:numRef>
          </c:val>
          <c:shape val="cylinder"/>
          <c:extLst>
            <c:ext xmlns:c16="http://schemas.microsoft.com/office/drawing/2014/chart" uri="{C3380CC4-5D6E-409C-BE32-E72D297353CC}">
              <c16:uniqueId val="{00000002-43F8-4232-BCBD-D42CCEC82C18}"/>
            </c:ext>
          </c:extLst>
        </c:ser>
        <c:dLbls>
          <c:showLegendKey val="0"/>
          <c:showVal val="0"/>
          <c:showCatName val="0"/>
          <c:showSerName val="0"/>
          <c:showPercent val="0"/>
          <c:showBubbleSize val="0"/>
        </c:dLbls>
        <c:gapWidth val="150"/>
        <c:shape val="box"/>
        <c:axId val="1432913024"/>
        <c:axId val="1"/>
        <c:axId val="0"/>
      </c:bar3DChart>
      <c:catAx>
        <c:axId val="143291302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3024"/>
        <c:crosses val="autoZero"/>
        <c:crossBetween val="between"/>
      </c:valAx>
      <c:dTable>
        <c:showHorzBorder val="1"/>
        <c:showVertBorder val="0"/>
        <c:showOutline val="0"/>
        <c:showKeys val="0"/>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ABRIL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0-FA7A-484D-8B39-50D2A066CC3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FA7A-484D-8B39-50D2A066CC38}"/>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FA7A-484D-8B39-50D2A066CC3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FA7A-484D-8B39-50D2A066CC38}"/>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4-FA7A-484D-8B39-50D2A066CC38}"/>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FA7A-484D-8B39-50D2A066CC38}"/>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6-FA7A-484D-8B39-50D2A066CC38}"/>
              </c:ext>
            </c:extLst>
          </c:dPt>
          <c:dPt>
            <c:idx val="7"/>
            <c:bubble3D val="0"/>
            <c:extLst>
              <c:ext xmlns:c16="http://schemas.microsoft.com/office/drawing/2014/chart" uri="{C3380CC4-5D6E-409C-BE32-E72D297353CC}">
                <c16:uniqueId val="{00000007-FA7A-484D-8B39-50D2A066CC38}"/>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FA7A-484D-8B39-50D2A066CC38}"/>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A7A-484D-8B39-50D2A066CC38}"/>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FA7A-484D-8B39-50D2A066CC38}"/>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FA7A-484D-8B39-50D2A066CC38}"/>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FA7A-484D-8B39-50D2A066CC38}"/>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'ESTAD RESULT graf abr'!$AG$58:$AG$66</c:f>
              <c:numCache>
                <c:formatCode>0.00%</c:formatCode>
                <c:ptCount val="8"/>
                <c:pt idx="0">
                  <c:v>0.16025186355848939</c:v>
                </c:pt>
                <c:pt idx="2">
                  <c:v>0.52235986015946412</c:v>
                </c:pt>
                <c:pt idx="4">
                  <c:v>0.15601691125353381</c:v>
                </c:pt>
                <c:pt idx="6">
                  <c:v>0.11576512369825998</c:v>
                </c:pt>
              </c:numCache>
            </c:numRef>
          </c:val>
          <c:extLst>
            <c:ext xmlns:c16="http://schemas.microsoft.com/office/drawing/2014/chart" uri="{C3380CC4-5D6E-409C-BE32-E72D297353CC}">
              <c16:uniqueId val="{00000009-FA7A-484D-8B39-50D2A066CC38}"/>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1"/>
            <c:invertIfNegative val="0"/>
            <c:bubble3D val="0"/>
            <c:spPr>
              <a:solidFill>
                <a:srgbClr val="FFC000"/>
              </a:solidFill>
              <a:ln w="25400">
                <a:noFill/>
              </a:ln>
            </c:spPr>
            <c:extLst>
              <c:ext xmlns:c16="http://schemas.microsoft.com/office/drawing/2014/chart" uri="{C3380CC4-5D6E-409C-BE32-E72D297353CC}">
                <c16:uniqueId val="{00000000-3908-4C9E-B92A-13D4B8108DB2}"/>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1-3908-4C9E-B92A-13D4B8108DB2}"/>
              </c:ext>
            </c:extLst>
          </c:dPt>
          <c:cat>
            <c:strRef>
              <c:f>'ESTAD RESUL GRAF MAY'!$AH$10:$AH$12</c:f>
              <c:strCache>
                <c:ptCount val="3"/>
                <c:pt idx="0">
                  <c:v>Egresos operacionales presupuestados</c:v>
                </c:pt>
                <c:pt idx="1">
                  <c:v>Egresos operacionales reales</c:v>
                </c:pt>
                <c:pt idx="2">
                  <c:v>Diferencia</c:v>
                </c:pt>
              </c:strCache>
            </c:strRef>
          </c:cat>
          <c:val>
            <c:numRef>
              <c:f>'ESTAD RESUL GRAF MAY'!$AK$10:$AK$12</c:f>
              <c:numCache>
                <c:formatCode>#,##0</c:formatCode>
                <c:ptCount val="3"/>
                <c:pt idx="0">
                  <c:v>148684136.33750001</c:v>
                </c:pt>
                <c:pt idx="1">
                  <c:v>143746218.59999999</c:v>
                </c:pt>
                <c:pt idx="2">
                  <c:v>4937917.7375000119</c:v>
                </c:pt>
              </c:numCache>
            </c:numRef>
          </c:val>
          <c:shape val="cylinder"/>
          <c:extLst>
            <c:ext xmlns:c16="http://schemas.microsoft.com/office/drawing/2014/chart" uri="{C3380CC4-5D6E-409C-BE32-E72D297353CC}">
              <c16:uniqueId val="{00000002-3908-4C9E-B92A-13D4B8108DB2}"/>
            </c:ext>
          </c:extLst>
        </c:ser>
        <c:dLbls>
          <c:showLegendKey val="0"/>
          <c:showVal val="0"/>
          <c:showCatName val="0"/>
          <c:showSerName val="0"/>
          <c:showPercent val="0"/>
          <c:showBubbleSize val="0"/>
        </c:dLbls>
        <c:gapWidth val="150"/>
        <c:shape val="box"/>
        <c:axId val="1432910144"/>
        <c:axId val="1"/>
        <c:axId val="0"/>
      </c:bar3DChart>
      <c:catAx>
        <c:axId val="143291014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0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Enero-  mayo2025</a:t>
            </a:r>
          </a:p>
        </c:rich>
      </c:tx>
      <c:layout>
        <c:manualLayout>
          <c:xMode val="edge"/>
          <c:yMode val="edge"/>
          <c:x val="0.65011918641149347"/>
          <c:y val="0.27877191821610536"/>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6.9944621264626916E-2"/>
          <c:y val="2.0496510526074988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0-B66F-4F85-8CDA-AF4F7C5BC9F2}"/>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B66F-4F85-8CDA-AF4F7C5BC9F2}"/>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2-B66F-4F85-8CDA-AF4F7C5BC9F2}"/>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B66F-4F85-8CDA-AF4F7C5BC9F2}"/>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4-B66F-4F85-8CDA-AF4F7C5BC9F2}"/>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B66F-4F85-8CDA-AF4F7C5BC9F2}"/>
              </c:ext>
            </c:extLst>
          </c:dPt>
          <c:dPt>
            <c:idx val="7"/>
            <c:invertIfNegative val="0"/>
            <c:bubble3D val="0"/>
            <c:extLst>
              <c:ext xmlns:c16="http://schemas.microsoft.com/office/drawing/2014/chart" uri="{C3380CC4-5D6E-409C-BE32-E72D297353CC}">
                <c16:uniqueId val="{00000006-B66F-4F85-8CDA-AF4F7C5BC9F2}"/>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B66F-4F85-8CDA-AF4F7C5BC9F2}"/>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8-B66F-4F85-8CDA-AF4F7C5BC9F2}"/>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B66F-4F85-8CDA-AF4F7C5BC9F2}"/>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A-B66F-4F85-8CDA-AF4F7C5BC9F2}"/>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B66F-4F85-8CDA-AF4F7C5BC9F2}"/>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C-B66F-4F85-8CDA-AF4F7C5BC9F2}"/>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D-B66F-4F85-8CDA-AF4F7C5BC9F2}"/>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B66F-4F85-8CDA-AF4F7C5BC9F2}"/>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66F-4F85-8CDA-AF4F7C5BC9F2}"/>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6F-4F85-8CDA-AF4F7C5BC9F2}"/>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66F-4F85-8CDA-AF4F7C5BC9F2}"/>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66F-4F85-8CDA-AF4F7C5BC9F2}"/>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66F-4F85-8CDA-AF4F7C5BC9F2}"/>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'ESTAD RESUL GRAF MAY'!$AA$32:$AA$49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'ESTAD RESUL GRAF MAY'!$AB$32:$AB$49</c:f>
              <c:numCache>
                <c:formatCode>#,##0</c:formatCode>
                <c:ptCount val="18"/>
                <c:pt idx="0">
                  <c:v>79262964.745833352</c:v>
                </c:pt>
                <c:pt idx="1">
                  <c:v>78009039</c:v>
                </c:pt>
                <c:pt idx="2">
                  <c:v>1253925.7458333522</c:v>
                </c:pt>
                <c:pt idx="4">
                  <c:v>25699757.633333333</c:v>
                </c:pt>
                <c:pt idx="5">
                  <c:v>23763013</c:v>
                </c:pt>
                <c:pt idx="6">
                  <c:v>1936744.6333333328</c:v>
                </c:pt>
                <c:pt idx="8">
                  <c:v>26321565.625</c:v>
                </c:pt>
                <c:pt idx="9">
                  <c:v>24638043.879999999</c:v>
                </c:pt>
                <c:pt idx="10">
                  <c:v>1683521.745000001</c:v>
                </c:pt>
                <c:pt idx="12">
                  <c:v>17399848.333333332</c:v>
                </c:pt>
                <c:pt idx="13">
                  <c:v>16820757.719999999</c:v>
                </c:pt>
                <c:pt idx="14">
                  <c:v>579090.61333333328</c:v>
                </c:pt>
                <c:pt idx="16">
                  <c:v>0</c:v>
                </c:pt>
                <c:pt idx="17">
                  <c:v>515365</c:v>
                </c:pt>
              </c:numCache>
            </c:numRef>
          </c:val>
          <c:shape val="cylinder"/>
          <c:extLst>
            <c:ext xmlns:c16="http://schemas.microsoft.com/office/drawing/2014/chart" uri="{C3380CC4-5D6E-409C-BE32-E72D297353CC}">
              <c16:uniqueId val="{0000000F-B66F-4F85-8CDA-AF4F7C5BC9F2}"/>
            </c:ext>
          </c:extLst>
        </c:ser>
        <c:dLbls>
          <c:showLegendKey val="0"/>
          <c:showVal val="0"/>
          <c:showCatName val="0"/>
          <c:showSerName val="0"/>
          <c:showPercent val="0"/>
          <c:showBubbleSize val="0"/>
        </c:dLbls>
        <c:gapWidth val="0"/>
        <c:gapDepth val="0"/>
        <c:shape val="box"/>
        <c:axId val="1432909184"/>
        <c:axId val="1"/>
        <c:axId val="0"/>
      </c:bar3DChart>
      <c:catAx>
        <c:axId val="14329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0" sourceLinked="1"/>
        <c:majorTickMark val="out"/>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4329091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tx>
            <c:v>Diferencia</c:v>
          </c:tx>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0-4572-44A6-B950-7D1AB4158286}"/>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1-4572-44A6-B950-7D1AB4158286}"/>
              </c:ext>
            </c:extLst>
          </c:dPt>
          <c:dLbls>
            <c:dLbl>
              <c:idx val="0"/>
              <c:layout>
                <c:manualLayout>
                  <c:x val="-0.10793865606239655"/>
                  <c:y val="0"/>
                </c:manualLayout>
              </c:layout>
              <c:spPr>
                <a:noFill/>
                <a:ln>
                  <a:solidFill>
                    <a:schemeClr val="bg1"/>
                  </a:solidFill>
                </a:ln>
                <a:effectLst/>
              </c:spPr>
              <c:txPr>
                <a:bodyPr/>
                <a:lstStyle/>
                <a:p>
                  <a:pPr>
                    <a:defRPr sz="800" b="1"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572-44A6-B950-7D1AB4158286}"/>
                </c:ext>
              </c:extLst>
            </c:dLbl>
            <c:dLbl>
              <c:idx val="1"/>
              <c:layout>
                <c:manualLayout>
                  <c:x val="-1.2454460314891995E-2"/>
                  <c:y val="0.26495597785825292"/>
                </c:manualLayout>
              </c:layout>
              <c:spPr>
                <a:noFill/>
                <a:ln>
                  <a:solidFill>
                    <a:schemeClr val="bg1"/>
                  </a:solidFill>
                </a:ln>
                <a:effectLst/>
              </c:spPr>
              <c:txPr>
                <a:bodyPr/>
                <a:lstStyle/>
                <a:p>
                  <a:pPr>
                    <a:defRPr sz="800" b="0" i="0" u="none" strike="noStrike" baseline="0">
                      <a:solidFill>
                        <a:srgbClr val="000000"/>
                      </a:solidFill>
                      <a:latin typeface="Calibri"/>
                      <a:ea typeface="Calibri"/>
                      <a:cs typeface="Calibri"/>
                    </a:defRPr>
                  </a:pPr>
                  <a:endParaRPr lang="es-CO"/>
                </a:p>
              </c:txP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4572-44A6-B950-7D1AB4158286}"/>
                </c:ext>
              </c:extLst>
            </c:dLbl>
            <c:dLbl>
              <c:idx val="2"/>
              <c:layout>
                <c:manualLayout>
                  <c:x val="0.10842768159077128"/>
                  <c:y val="0.16932868083027378"/>
                </c:manualLayout>
              </c:layout>
              <c:spPr>
                <a:noFill/>
                <a:ln>
                  <a:solidFill>
                    <a:schemeClr val="bg1"/>
                  </a:solidFill>
                </a:ln>
                <a:effectLst/>
              </c:spPr>
              <c:txPr>
                <a:bodyPr/>
                <a:lstStyle/>
                <a:p>
                  <a:pPr>
                    <a:defRPr sz="800" b="1"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572-44A6-B950-7D1AB4158286}"/>
                </c:ext>
              </c:extLst>
            </c:dLbl>
            <c:spPr>
              <a:noFill/>
              <a:ln>
                <a:solidFill>
                  <a:schemeClr val="bg1"/>
                </a:solidFill>
              </a:ln>
              <a:effectLst/>
            </c:spPr>
            <c:txPr>
              <a:bodyPr wrap="square" lIns="38100" tIns="19050" rIns="38100" bIns="19050" anchor="ctr">
                <a:spAutoFit/>
              </a:bodyPr>
              <a:lstStyle/>
              <a:p>
                <a:pPr>
                  <a:defRPr sz="800" b="0" i="0" u="none" strike="noStrike" baseline="0">
                    <a:solidFill>
                      <a:srgbClr val="000000"/>
                    </a:solidFill>
                    <a:latin typeface="Calibri"/>
                    <a:ea typeface="Calibri"/>
                    <a:cs typeface="Calibri"/>
                  </a:defRPr>
                </a:pPr>
                <a:endParaRPr lang="es-CO"/>
              </a:p>
            </c:txPr>
            <c:showLegendKey val="0"/>
            <c:showVal val="1"/>
            <c:showCatName val="0"/>
            <c:showSerName val="1"/>
            <c:showPercent val="0"/>
            <c:showBubbleSize val="0"/>
            <c:showLeaderLines val="0"/>
            <c:extLst>
              <c:ext xmlns:c15="http://schemas.microsoft.com/office/drawing/2012/chart" uri="{CE6537A1-D6FC-4f65-9D91-7224C49458BB}">
                <c15:showLeaderLines val="0"/>
              </c:ext>
            </c:extLst>
          </c:dLbls>
          <c:cat>
            <c:strRef>
              <c:f>'ESTAD RESULT graf abr'!$AA$10:$AA$12</c:f>
              <c:strCache>
                <c:ptCount val="3"/>
                <c:pt idx="0">
                  <c:v>Ingresos presupuestados</c:v>
                </c:pt>
                <c:pt idx="1">
                  <c:v>Diferencia</c:v>
                </c:pt>
                <c:pt idx="2">
                  <c:v>Ingresos ejecutados</c:v>
                </c:pt>
              </c:strCache>
            </c:strRef>
          </c:cat>
          <c:val>
            <c:numRef>
              <c:f>'ESTAD RESULT graf abr'!$AC$10:$AC$12</c:f>
              <c:numCache>
                <c:formatCode>[$$-240A]\ #,##0</c:formatCode>
                <c:ptCount val="3"/>
                <c:pt idx="0">
                  <c:v>118947309</c:v>
                </c:pt>
                <c:pt idx="1">
                  <c:v>-4973</c:v>
                </c:pt>
                <c:pt idx="2">
                  <c:v>118942336</c:v>
                </c:pt>
              </c:numCache>
            </c:numRef>
          </c:val>
          <c:shape val="cylinder"/>
          <c:extLst>
            <c:ext xmlns:c16="http://schemas.microsoft.com/office/drawing/2014/chart" uri="{C3380CC4-5D6E-409C-BE32-E72D297353CC}">
              <c16:uniqueId val="{00000003-4572-44A6-B950-7D1AB4158286}"/>
            </c:ext>
          </c:extLst>
        </c:ser>
        <c:dLbls>
          <c:showLegendKey val="0"/>
          <c:showVal val="0"/>
          <c:showCatName val="0"/>
          <c:showSerName val="0"/>
          <c:showPercent val="0"/>
          <c:showBubbleSize val="0"/>
        </c:dLbls>
        <c:gapWidth val="150"/>
        <c:shape val="box"/>
        <c:axId val="1432913504"/>
        <c:axId val="1"/>
        <c:axId val="0"/>
      </c:bar3DChart>
      <c:catAx>
        <c:axId val="1432913504"/>
        <c:scaling>
          <c:orientation val="minMax"/>
        </c:scaling>
        <c:delete val="0"/>
        <c:axPos val="b"/>
        <c:numFmt formatCode="General"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1350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ABRIL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0-EDBF-4E26-BD78-A1AFBE61416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EDBF-4E26-BD78-A1AFBE614164}"/>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EDBF-4E26-BD78-A1AFBE61416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EDBF-4E26-BD78-A1AFBE614164}"/>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4-EDBF-4E26-BD78-A1AFBE61416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EDBF-4E26-BD78-A1AFBE614164}"/>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6-EDBF-4E26-BD78-A1AFBE614164}"/>
              </c:ext>
            </c:extLst>
          </c:dPt>
          <c:dPt>
            <c:idx val="7"/>
            <c:bubble3D val="0"/>
            <c:extLst>
              <c:ext xmlns:c16="http://schemas.microsoft.com/office/drawing/2014/chart" uri="{C3380CC4-5D6E-409C-BE32-E72D297353CC}">
                <c16:uniqueId val="{00000007-EDBF-4E26-BD78-A1AFBE614164}"/>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EDBF-4E26-BD78-A1AFBE614164}"/>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DBF-4E26-BD78-A1AFBE614164}"/>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DBF-4E26-BD78-A1AFBE614164}"/>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EDBF-4E26-BD78-A1AFBE614164}"/>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EDBF-4E26-BD78-A1AFBE614164}"/>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'ESTAD RESULT graf abr'!$AG$58:$AG$66</c:f>
              <c:numCache>
                <c:formatCode>0.00%</c:formatCode>
                <c:ptCount val="8"/>
                <c:pt idx="0">
                  <c:v>0.16025186355848939</c:v>
                </c:pt>
                <c:pt idx="2">
                  <c:v>0.52235986015946412</c:v>
                </c:pt>
                <c:pt idx="4">
                  <c:v>0.15601691125353381</c:v>
                </c:pt>
                <c:pt idx="6">
                  <c:v>0.11576512369825998</c:v>
                </c:pt>
              </c:numCache>
            </c:numRef>
          </c:val>
          <c:extLst>
            <c:ext xmlns:c16="http://schemas.microsoft.com/office/drawing/2014/chart" uri="{C3380CC4-5D6E-409C-BE32-E72D297353CC}">
              <c16:uniqueId val="{00000009-EDBF-4E26-BD78-A1AFBE614164}"/>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0-966C-4722-BA62-EDAD7B81F8EF}"/>
              </c:ext>
            </c:extLst>
          </c:dPt>
          <c:dLbls>
            <c:spPr>
              <a:noFill/>
              <a:ln w="25400">
                <a:noFill/>
              </a:ln>
            </c:spPr>
            <c:txPr>
              <a:bodyPr wrap="square" lIns="38100" tIns="19050" rIns="38100" bIns="19050" anchor="ctr">
                <a:spAutoFit/>
              </a:bodyPr>
              <a:lstStyle/>
              <a:p>
                <a:pPr>
                  <a:defRPr sz="800" b="1"/>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'ESTAD RESULT graf abr'!$AF$10:$AF$12</c:f>
              <c:strCache>
                <c:ptCount val="3"/>
                <c:pt idx="0">
                  <c:v>Ingresos operacionales presupuestados</c:v>
                </c:pt>
                <c:pt idx="1">
                  <c:v>Diferencia</c:v>
                </c:pt>
                <c:pt idx="2">
                  <c:v>Egresos operacionales reales</c:v>
                </c:pt>
              </c:strCache>
            </c:strRef>
          </c:cat>
          <c:val>
            <c:numRef>
              <c:f>'ESTAD RESULT graf abr'!$AG$10:$AG$12</c:f>
              <c:numCache>
                <c:formatCode>General</c:formatCode>
                <c:ptCount val="3"/>
              </c:numCache>
            </c:numRef>
          </c:val>
          <c:shape val="cylinder"/>
          <c:extLst>
            <c:ext xmlns:c16="http://schemas.microsoft.com/office/drawing/2014/chart" uri="{C3380CC4-5D6E-409C-BE32-E72D297353CC}">
              <c16:uniqueId val="{00000001-966C-4722-BA62-EDAD7B81F8EF}"/>
            </c:ext>
          </c:extLst>
        </c:ser>
        <c:ser>
          <c:idx val="1"/>
          <c:order val="1"/>
          <c:invertIfNegative val="0"/>
          <c:dPt>
            <c:idx val="0"/>
            <c:invertIfNegative val="0"/>
            <c:bubble3D val="0"/>
            <c:spPr>
              <a:solidFill>
                <a:srgbClr val="0070C0"/>
              </a:solidFill>
            </c:spPr>
            <c:extLst>
              <c:ext xmlns:c16="http://schemas.microsoft.com/office/drawing/2014/chart" uri="{C3380CC4-5D6E-409C-BE32-E72D297353CC}">
                <c16:uniqueId val="{00000002-966C-4722-BA62-EDAD7B81F8EF}"/>
              </c:ext>
            </c:extLst>
          </c:dPt>
          <c:dPt>
            <c:idx val="2"/>
            <c:invertIfNegative val="0"/>
            <c:bubble3D val="0"/>
            <c:spPr>
              <a:solidFill>
                <a:srgbClr val="00B050"/>
              </a:solidFill>
            </c:spPr>
            <c:extLst>
              <c:ext xmlns:c16="http://schemas.microsoft.com/office/drawing/2014/chart" uri="{C3380CC4-5D6E-409C-BE32-E72D297353CC}">
                <c16:uniqueId val="{00000003-966C-4722-BA62-EDAD7B81F8EF}"/>
              </c:ext>
            </c:extLst>
          </c:dPt>
          <c:cat>
            <c:strRef>
              <c:f>'ESTAD RESULT graf abr'!$AF$10:$AF$12</c:f>
              <c:strCache>
                <c:ptCount val="3"/>
                <c:pt idx="0">
                  <c:v>Ingresos operacionales presupuestados</c:v>
                </c:pt>
                <c:pt idx="1">
                  <c:v>Diferencia</c:v>
                </c:pt>
                <c:pt idx="2">
                  <c:v>Egresos operacionales reales</c:v>
                </c:pt>
              </c:strCache>
            </c:strRef>
          </c:cat>
          <c:val>
            <c:numRef>
              <c:f>'ESTAD RESULT graf abr'!$AH$10:$AH$12</c:f>
              <c:numCache>
                <c:formatCode>#,##0</c:formatCode>
                <c:ptCount val="3"/>
                <c:pt idx="0">
                  <c:v>118947309</c:v>
                </c:pt>
                <c:pt idx="1">
                  <c:v>-5090835.8799999952</c:v>
                </c:pt>
                <c:pt idx="2">
                  <c:v>113856473.12</c:v>
                </c:pt>
              </c:numCache>
            </c:numRef>
          </c:val>
          <c:extLst>
            <c:ext xmlns:c16="http://schemas.microsoft.com/office/drawing/2014/chart" uri="{C3380CC4-5D6E-409C-BE32-E72D297353CC}">
              <c16:uniqueId val="{00000004-966C-4722-BA62-EDAD7B81F8EF}"/>
            </c:ext>
          </c:extLst>
        </c:ser>
        <c:dLbls>
          <c:showLegendKey val="0"/>
          <c:showVal val="0"/>
          <c:showCatName val="0"/>
          <c:showSerName val="0"/>
          <c:showPercent val="0"/>
          <c:showBubbleSize val="0"/>
        </c:dLbls>
        <c:gapWidth val="150"/>
        <c:shape val="box"/>
        <c:axId val="1432907744"/>
        <c:axId val="1"/>
        <c:axId val="0"/>
      </c:bar3DChart>
      <c:catAx>
        <c:axId val="1432907744"/>
        <c:scaling>
          <c:orientation val="minMax"/>
        </c:scaling>
        <c:delete val="0"/>
        <c:axPos val="b"/>
        <c:numFmt formatCode="General"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077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Enero- abril 2025</a:t>
            </a:r>
          </a:p>
        </c:rich>
      </c:tx>
      <c:layout>
        <c:manualLayout>
          <c:xMode val="edge"/>
          <c:yMode val="edge"/>
          <c:x val="0.43211153797307594"/>
          <c:y val="1.5418659190063804E-2"/>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0.15788036120859744"/>
          <c:y val="0.11506063947078279"/>
          <c:w val="0.81649355147119784"/>
          <c:h val="0.54886599791464419"/>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0-4C9B-4534-9216-65CCE5309E9C}"/>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4C9B-4534-9216-65CCE5309E9C}"/>
              </c:ext>
            </c:extLst>
          </c:dPt>
          <c:dPt>
            <c:idx val="4"/>
            <c:invertIfNegative val="0"/>
            <c:bubble3D val="0"/>
            <c:spPr>
              <a:solidFill>
                <a:schemeClr val="accent3">
                  <a:lumMod val="60000"/>
                  <a:lumOff val="4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2-4C9B-4534-9216-65CCE5309E9C}"/>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4C9B-4534-9216-65CCE5309E9C}"/>
              </c:ext>
            </c:extLst>
          </c:dPt>
          <c:dPt>
            <c:idx val="7"/>
            <c:invertIfNegative val="0"/>
            <c:bubble3D val="0"/>
            <c:extLst>
              <c:ext xmlns:c16="http://schemas.microsoft.com/office/drawing/2014/chart" uri="{C3380CC4-5D6E-409C-BE32-E72D297353CC}">
                <c16:uniqueId val="{00000004-4C9B-4534-9216-65CCE5309E9C}"/>
              </c:ext>
            </c:extLst>
          </c:dPt>
          <c:dPt>
            <c:idx val="8"/>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4C9B-4534-9216-65CCE5309E9C}"/>
              </c:ext>
            </c:extLst>
          </c:dPt>
          <c:dPt>
            <c:idx val="10"/>
            <c:invertIfNegative val="0"/>
            <c:bubble3D val="0"/>
            <c:spPr>
              <a:solidFill>
                <a:schemeClr val="bg2">
                  <a:lumMod val="5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6-4C9B-4534-9216-65CCE5309E9C}"/>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4C9B-4534-9216-65CCE5309E9C}"/>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8-4C9B-4534-9216-65CCE5309E9C}"/>
              </c:ext>
            </c:extLst>
          </c:dPt>
          <c:dPt>
            <c:idx val="13"/>
            <c:invertIfNegative val="0"/>
            <c:bubble3D val="0"/>
            <c:extLst>
              <c:ext xmlns:c16="http://schemas.microsoft.com/office/drawing/2014/chart" uri="{C3380CC4-5D6E-409C-BE32-E72D297353CC}">
                <c16:uniqueId val="{00000009-4C9B-4534-9216-65CCE5309E9C}"/>
              </c:ext>
            </c:extLst>
          </c:dPt>
          <c:dPt>
            <c:idx val="14"/>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A-4C9B-4534-9216-65CCE5309E9C}"/>
              </c:ext>
            </c:extLst>
          </c:dPt>
          <c:dLbls>
            <c:dLbl>
              <c:idx val="0"/>
              <c:layout>
                <c:manualLayout>
                  <c:x val="-1.6259621342865512E-2"/>
                  <c:y val="-6.6701418287616984E-2"/>
                </c:manualLayout>
              </c:layout>
              <c:spPr>
                <a:noFill/>
                <a:ln w="25400">
                  <a:noFill/>
                </a:ln>
              </c:spPr>
              <c:txPr>
                <a:bodyPr/>
                <a:lstStyle/>
                <a:p>
                  <a:pPr>
                    <a:defRPr sz="900" b="0"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C9B-4534-9216-65CCE5309E9C}"/>
                </c:ext>
              </c:extLst>
            </c:dLbl>
            <c:dLbl>
              <c:idx val="4"/>
              <c:layout>
                <c:manualLayout>
                  <c:x val="-6.1786561102888833E-2"/>
                  <c:y val="6.2813244954300169E-3"/>
                </c:manualLayout>
              </c:layout>
              <c:spPr>
                <a:noFill/>
                <a:ln w="25400">
                  <a:noFill/>
                </a:ln>
              </c:spPr>
              <c:txPr>
                <a:bodyPr/>
                <a:lstStyle/>
                <a:p>
                  <a:pPr>
                    <a:defRPr sz="900" b="0"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C9B-4534-9216-65CCE5309E9C}"/>
                </c:ext>
              </c:extLst>
            </c:dLbl>
            <c:dLbl>
              <c:idx val="8"/>
              <c:layout>
                <c:manualLayout>
                  <c:x val="-3.2519242685730967E-3"/>
                  <c:y val="2.0907758918723145E-2"/>
                </c:manualLayout>
              </c:layout>
              <c:spPr>
                <a:noFill/>
                <a:ln w="25400">
                  <a:noFill/>
                </a:ln>
              </c:spPr>
              <c:txPr>
                <a:bodyPr/>
                <a:lstStyle/>
                <a:p>
                  <a:pPr>
                    <a:defRPr sz="900" b="0"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C9B-4534-9216-65CCE5309E9C}"/>
                </c:ext>
              </c:extLst>
            </c:dLbl>
            <c:spPr>
              <a:noFill/>
              <a:ln w="25400">
                <a:noFill/>
              </a:ln>
            </c:spPr>
            <c:txPr>
              <a:bodyPr wrap="square" lIns="38100" tIns="19050" rIns="38100" bIns="19050" anchor="ctr">
                <a:spAutoFit/>
              </a:bodyPr>
              <a:lstStyle/>
              <a:p>
                <a:pPr>
                  <a:defRPr sz="900" b="0"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'ESTAD RESULT graf abr'!$AA$32:$AA$44</c:f>
              <c:strCache>
                <c:ptCount val="13"/>
                <c:pt idx="0">
                  <c:v>Ingresos presupuestados</c:v>
                </c:pt>
                <c:pt idx="2">
                  <c:v>Ingresos marginales</c:v>
                </c:pt>
                <c:pt idx="4">
                  <c:v>Total ingresos</c:v>
                </c:pt>
                <c:pt idx="8">
                  <c:v>Egresos operacionales</c:v>
                </c:pt>
                <c:pt idx="10">
                  <c:v>Diferencia</c:v>
                </c:pt>
                <c:pt idx="12">
                  <c:v>Egresos presupuestados</c:v>
                </c:pt>
              </c:strCache>
            </c:strRef>
          </c:cat>
          <c:val>
            <c:numRef>
              <c:f>'ESTAD RESULT graf abr'!$AC$32:$AC$44</c:f>
              <c:numCache>
                <c:formatCode>General</c:formatCode>
                <c:ptCount val="13"/>
                <c:pt idx="0" formatCode="[$$-240A]\ #,##0">
                  <c:v>118947309</c:v>
                </c:pt>
                <c:pt idx="2" formatCode="[$$-240A]\ #,##0">
                  <c:v>1790208.42</c:v>
                </c:pt>
                <c:pt idx="4" formatCode="[$$-240A]\ #,##0">
                  <c:v>120737517.42</c:v>
                </c:pt>
                <c:pt idx="8" formatCode="[$$-240A]\ #,##0">
                  <c:v>113856473.12</c:v>
                </c:pt>
                <c:pt idx="10" formatCode="[$$-240A]\ #,##0">
                  <c:v>5090835.9500000142</c:v>
                </c:pt>
                <c:pt idx="12" formatCode="[$$-240A]\ #,##0">
                  <c:v>118947309.07000002</c:v>
                </c:pt>
              </c:numCache>
            </c:numRef>
          </c:val>
          <c:shape val="cylinder"/>
          <c:extLst>
            <c:ext xmlns:c16="http://schemas.microsoft.com/office/drawing/2014/chart" uri="{C3380CC4-5D6E-409C-BE32-E72D297353CC}">
              <c16:uniqueId val="{0000000C-4C9B-4534-9216-65CCE5309E9C}"/>
            </c:ext>
          </c:extLst>
        </c:ser>
        <c:dLbls>
          <c:showLegendKey val="0"/>
          <c:showVal val="0"/>
          <c:showCatName val="0"/>
          <c:showSerName val="0"/>
          <c:showPercent val="0"/>
          <c:showBubbleSize val="0"/>
        </c:dLbls>
        <c:gapWidth val="23"/>
        <c:gapDepth val="21"/>
        <c:shape val="box"/>
        <c:axId val="1432925984"/>
        <c:axId val="1"/>
        <c:axId val="0"/>
      </c:bar3DChart>
      <c:catAx>
        <c:axId val="143292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4329259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t>DISTRIBUCIÓN DEL GASTO A DICIEMBRE 2024</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9.7009544008483564E-2"/>
          <c:y val="0.26709461578173643"/>
          <c:w val="0.90299049580016955"/>
          <c:h val="0.51875151229699634"/>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0-FFA0-4DD6-8824-5A7F2D23909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FFA0-4DD6-8824-5A7F2D239093}"/>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FFA0-4DD6-8824-5A7F2D239093}"/>
              </c:ext>
            </c:extLst>
          </c:dPt>
          <c:dPt>
            <c:idx val="3"/>
            <c:bubble3D val="0"/>
            <c:extLst>
              <c:ext xmlns:c16="http://schemas.microsoft.com/office/drawing/2014/chart" uri="{C3380CC4-5D6E-409C-BE32-E72D297353CC}">
                <c16:uniqueId val="{00000003-FFA0-4DD6-8824-5A7F2D239093}"/>
              </c:ext>
            </c:extLst>
          </c:dPt>
          <c:dLbls>
            <c:dLbl>
              <c:idx val="0"/>
              <c:layout>
                <c:manualLayout>
                  <c:x val="-1.0498242332645853E-2"/>
                  <c:y val="4.8686762947268676E-3"/>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FFA0-4DD6-8824-5A7F2D239093}"/>
                </c:ext>
              </c:extLst>
            </c:dLbl>
            <c:dLbl>
              <c:idx val="2"/>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extLst>
                <c:ext xmlns:c16="http://schemas.microsoft.com/office/drawing/2014/chart" uri="{C3380CC4-5D6E-409C-BE32-E72D297353CC}">
                  <c16:uniqueId val="{00000002-FFA0-4DD6-8824-5A7F2D239093}"/>
                </c:ext>
              </c:extLst>
            </c:dLbl>
            <c:dLbl>
              <c:idx val="4"/>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extLst>
                <c:ext xmlns:c16="http://schemas.microsoft.com/office/drawing/2014/chart" uri="{C3380CC4-5D6E-409C-BE32-E72D297353CC}">
                  <c16:uniqueId val="{00000004-FFA0-4DD6-8824-5A7F2D239093}"/>
                </c:ext>
              </c:extLst>
            </c:dLbl>
            <c:dLbl>
              <c:idx val="6"/>
              <c:layout>
                <c:manualLayout>
                  <c:x val="4.0742812768764514E-3"/>
                  <c:y val="1.2787801542572119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FA0-4DD6-8824-5A7F2D239093}"/>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FFA0-4DD6-8824-5A7F2D239093}"/>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cat>
            <c:numRef>
              <c:f>'ESTAD RESULT graf abr'!$Z$68:$Z$71</c:f>
              <c:numCache>
                <c:formatCode>General</c:formatCode>
                <c:ptCount val="4"/>
              </c:numCache>
            </c:numRef>
          </c:cat>
          <c:val>
            <c:numRef>
              <c:f>'ESTAD RESULT graf abr'!$AA$68:$AA$71</c:f>
              <c:numCache>
                <c:formatCode>0.0%</c:formatCode>
                <c:ptCount val="4"/>
              </c:numCache>
            </c:numRef>
          </c:val>
          <c:extLst>
            <c:ext xmlns:c16="http://schemas.microsoft.com/office/drawing/2014/chart" uri="{C3380CC4-5D6E-409C-BE32-E72D297353CC}">
              <c16:uniqueId val="{00000007-FFA0-4DD6-8824-5A7F2D239093}"/>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0.20394190617308139"/>
          <c:y val="0.12290502793296089"/>
          <c:w val="0.77782540012980494"/>
          <c:h val="0.74757929001891521"/>
        </c:manualLayout>
      </c:layout>
      <c:bar3DChart>
        <c:barDir val="col"/>
        <c:grouping val="clustered"/>
        <c:varyColors val="0"/>
        <c:ser>
          <c:idx val="0"/>
          <c:order val="0"/>
          <c:spPr>
            <a:solidFill>
              <a:srgbClr val="4F81BD"/>
            </a:solidFill>
            <a:ln w="25400">
              <a:solidFill>
                <a:schemeClr val="bg1"/>
              </a:solidFill>
            </a:ln>
          </c:spPr>
          <c:invertIfNegative val="0"/>
          <c:dPt>
            <c:idx val="2"/>
            <c:invertIfNegative val="0"/>
            <c:bubble3D val="0"/>
            <c:spPr>
              <a:solidFill>
                <a:srgbClr val="E46C0A"/>
              </a:solidFill>
              <a:ln>
                <a:solidFill>
                  <a:schemeClr val="bg1"/>
                </a:solidFill>
              </a:ln>
              <a:effectLst/>
              <a:sp3d/>
            </c:spPr>
            <c:extLst>
              <c:ext xmlns:c16="http://schemas.microsoft.com/office/drawing/2014/chart" uri="{C3380CC4-5D6E-409C-BE32-E72D297353CC}">
                <c16:uniqueId val="{00000000-BA64-405A-968F-5851D0163867}"/>
              </c:ext>
            </c:extLst>
          </c:dPt>
          <c:dLbls>
            <c:dLbl>
              <c:idx val="0"/>
              <c:layout>
                <c:manualLayout>
                  <c:x val="-1.3801111155521835E-2"/>
                  <c:y val="3.1934556084680758E-3"/>
                </c:manualLayout>
              </c:layout>
              <c:spPr>
                <a:noFill/>
                <a:ln w="25400">
                  <a:noFill/>
                </a:ln>
              </c:spPr>
              <c:txPr>
                <a:bodyPr/>
                <a:lstStyle/>
                <a:p>
                  <a:pPr>
                    <a:defRPr sz="800" b="1" i="0" u="none" strike="noStrike" baseline="0">
                      <a:solidFill>
                        <a:srgbClr val="333333"/>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A64-405A-968F-5851D0163867}"/>
                </c:ext>
              </c:extLst>
            </c:dLbl>
            <c:dLbl>
              <c:idx val="2"/>
              <c:layout>
                <c:manualLayout>
                  <c:x val="2.539682539682539E-2"/>
                  <c:y val="-6.7598406913134734E-2"/>
                </c:manualLayout>
              </c:layout>
              <c:spPr>
                <a:noFill/>
                <a:ln w="25400">
                  <a:noFill/>
                </a:ln>
              </c:spPr>
              <c:txPr>
                <a:bodyPr/>
                <a:lstStyle/>
                <a:p>
                  <a:pPr>
                    <a:defRPr sz="800" b="1" i="0" u="none" strike="noStrike" baseline="0">
                      <a:solidFill>
                        <a:srgbClr val="333333"/>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A64-405A-968F-5851D016386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'ESTAD RESULT graf abr'!$AM$9:$AM$11</c:f>
              <c:strCache>
                <c:ptCount val="3"/>
                <c:pt idx="0">
                  <c:v>Egresos presupuestados</c:v>
                </c:pt>
                <c:pt idx="1">
                  <c:v>Diferencia</c:v>
                </c:pt>
                <c:pt idx="2">
                  <c:v>Egresos ejecutados</c:v>
                </c:pt>
              </c:strCache>
            </c:strRef>
          </c:cat>
          <c:val>
            <c:numRef>
              <c:f>'ESTAD RESULT graf abr'!$AN$9:$AN$11</c:f>
              <c:numCache>
                <c:formatCode>[$$-240A]\ #,##0</c:formatCode>
                <c:ptCount val="3"/>
              </c:numCache>
            </c:numRef>
          </c:val>
          <c:shape val="cylinder"/>
          <c:extLst>
            <c:ext xmlns:c16="http://schemas.microsoft.com/office/drawing/2014/chart" uri="{C3380CC4-5D6E-409C-BE32-E72D297353CC}">
              <c16:uniqueId val="{00000002-BA64-405A-968F-5851D0163867}"/>
            </c:ext>
          </c:extLst>
        </c:ser>
        <c:ser>
          <c:idx val="1"/>
          <c:order val="1"/>
          <c:invertIfNegative val="0"/>
          <c:cat>
            <c:strRef>
              <c:f>'ESTAD RESULT graf abr'!$AM$9:$AM$11</c:f>
              <c:strCache>
                <c:ptCount val="3"/>
                <c:pt idx="0">
                  <c:v>Egresos presupuestados</c:v>
                </c:pt>
                <c:pt idx="1">
                  <c:v>Diferencia</c:v>
                </c:pt>
                <c:pt idx="2">
                  <c:v>Egresos ejecutados</c:v>
                </c:pt>
              </c:strCache>
            </c:strRef>
          </c:cat>
          <c:val>
            <c:numRef>
              <c:f>'ESTAD RESULT graf abr'!$AO$9:$AO$11</c:f>
              <c:numCache>
                <c:formatCode>General</c:formatCode>
                <c:ptCount val="3"/>
              </c:numCache>
            </c:numRef>
          </c:val>
          <c:extLst>
            <c:ext xmlns:c16="http://schemas.microsoft.com/office/drawing/2014/chart" uri="{C3380CC4-5D6E-409C-BE32-E72D297353CC}">
              <c16:uniqueId val="{00000003-BA64-405A-968F-5851D0163867}"/>
            </c:ext>
          </c:extLst>
        </c:ser>
        <c:ser>
          <c:idx val="2"/>
          <c:order val="2"/>
          <c:invertIfNegative val="0"/>
          <c:dPt>
            <c:idx val="0"/>
            <c:invertIfNegative val="0"/>
            <c:bubble3D val="0"/>
            <c:spPr>
              <a:solidFill>
                <a:srgbClr val="0070C0"/>
              </a:solidFill>
            </c:spPr>
            <c:extLst>
              <c:ext xmlns:c16="http://schemas.microsoft.com/office/drawing/2014/chart" uri="{C3380CC4-5D6E-409C-BE32-E72D297353CC}">
                <c16:uniqueId val="{00000004-BA64-405A-968F-5851D0163867}"/>
              </c:ext>
            </c:extLst>
          </c:dPt>
          <c:dPt>
            <c:idx val="1"/>
            <c:invertIfNegative val="0"/>
            <c:bubble3D val="0"/>
            <c:spPr>
              <a:solidFill>
                <a:srgbClr val="FFC000"/>
              </a:solidFill>
            </c:spPr>
            <c:extLst>
              <c:ext xmlns:c16="http://schemas.microsoft.com/office/drawing/2014/chart" uri="{C3380CC4-5D6E-409C-BE32-E72D297353CC}">
                <c16:uniqueId val="{00000005-BA64-405A-968F-5851D0163867}"/>
              </c:ext>
            </c:extLst>
          </c:dPt>
          <c:cat>
            <c:strRef>
              <c:f>'ESTAD RESULT graf abr'!$AM$9:$AM$11</c:f>
              <c:strCache>
                <c:ptCount val="3"/>
                <c:pt idx="0">
                  <c:v>Egresos presupuestados</c:v>
                </c:pt>
                <c:pt idx="1">
                  <c:v>Diferencia</c:v>
                </c:pt>
                <c:pt idx="2">
                  <c:v>Egresos ejecutados</c:v>
                </c:pt>
              </c:strCache>
            </c:strRef>
          </c:cat>
          <c:val>
            <c:numRef>
              <c:f>'ESTAD RESULT graf abr'!$AP$9:$AP$11</c:f>
              <c:numCache>
                <c:formatCode>#,##0</c:formatCode>
                <c:ptCount val="3"/>
                <c:pt idx="0">
                  <c:v>118947309.07000001</c:v>
                </c:pt>
                <c:pt idx="1">
                  <c:v>-5090835.950000003</c:v>
                </c:pt>
                <c:pt idx="2">
                  <c:v>113856473.12</c:v>
                </c:pt>
              </c:numCache>
            </c:numRef>
          </c:val>
          <c:extLst>
            <c:ext xmlns:c16="http://schemas.microsoft.com/office/drawing/2014/chart" uri="{C3380CC4-5D6E-409C-BE32-E72D297353CC}">
              <c16:uniqueId val="{00000006-BA64-405A-968F-5851D0163867}"/>
            </c:ext>
          </c:extLst>
        </c:ser>
        <c:dLbls>
          <c:showLegendKey val="0"/>
          <c:showVal val="0"/>
          <c:showCatName val="0"/>
          <c:showSerName val="0"/>
          <c:showPercent val="0"/>
          <c:showBubbleSize val="0"/>
        </c:dLbls>
        <c:gapWidth val="150"/>
        <c:shape val="box"/>
        <c:axId val="1432929824"/>
        <c:axId val="1"/>
        <c:axId val="0"/>
      </c:bar3DChart>
      <c:catAx>
        <c:axId val="1432929824"/>
        <c:scaling>
          <c:orientation val="minMax"/>
        </c:scaling>
        <c:delete val="0"/>
        <c:axPos val="b"/>
        <c:numFmt formatCode="General" sourceLinked="1"/>
        <c:majorTickMark val="none"/>
        <c:minorTickMark val="none"/>
        <c:tickLblPos val="nextTo"/>
        <c:spPr>
          <a:ln w="9525">
            <a:noFill/>
          </a:ln>
        </c:spPr>
        <c:txPr>
          <a:bodyPr rot="0" vert="horz"/>
          <a:lstStyle/>
          <a:p>
            <a:pPr>
              <a:defRPr sz="800" b="0" i="0" u="none" strike="noStrike" baseline="0">
                <a:solidFill>
                  <a:srgbClr val="333333"/>
                </a:solidFill>
                <a:latin typeface="Arial"/>
                <a:ea typeface="Arial"/>
                <a:cs typeface="Arial"/>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spPr>
          <a:ln w="9525">
            <a:noFill/>
          </a:ln>
        </c:spPr>
        <c:txPr>
          <a:bodyPr rot="0" vert="horz"/>
          <a:lstStyle/>
          <a:p>
            <a:pPr>
              <a:defRPr sz="800" b="0" i="0" u="none" strike="noStrike" baseline="0">
                <a:solidFill>
                  <a:srgbClr val="333333"/>
                </a:solidFill>
                <a:latin typeface="Calibri Light"/>
                <a:ea typeface="Calibri Light"/>
                <a:cs typeface="Calibri Light"/>
              </a:defRPr>
            </a:pPr>
            <a:endParaRPr lang="es-CO"/>
          </a:p>
        </c:txPr>
        <c:crossAx val="143292982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Enero- abril 2025</a:t>
            </a:r>
          </a:p>
        </c:rich>
      </c:tx>
      <c:layout>
        <c:manualLayout>
          <c:xMode val="edge"/>
          <c:yMode val="edge"/>
          <c:x val="0.51340925359536671"/>
          <c:y val="6.1002228495023021E-2"/>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0.15788036120859744"/>
          <c:y val="0.11506063947078279"/>
          <c:w val="0.81649355147119784"/>
          <c:h val="0.54886599791464419"/>
        </c:manualLayout>
      </c:layout>
      <c:bar3DChart>
        <c:barDir val="col"/>
        <c:grouping val="clustered"/>
        <c:varyColors val="0"/>
        <c:ser>
          <c:idx val="0"/>
          <c:order val="0"/>
          <c:tx>
            <c:strRef>
              <c:f>'ESTAD RESULT graf abr'!$AN$33:$AN$43</c:f>
              <c:strCache>
                <c:ptCount val="11"/>
                <c:pt idx="0">
                  <c:v>Mantenimiento presupuestado</c:v>
                </c:pt>
                <c:pt idx="1">
                  <c:v>Mantenimiento Ejecutado</c:v>
                </c:pt>
                <c:pt idx="3">
                  <c:v>Seguridad presupuestado</c:v>
                </c:pt>
                <c:pt idx="4">
                  <c:v>Seguridad Ejecutada</c:v>
                </c:pt>
                <c:pt idx="6">
                  <c:v>Ambiental ppto</c:v>
                </c:pt>
                <c:pt idx="7">
                  <c:v>Ambiental ejecutado</c:v>
                </c:pt>
                <c:pt idx="9">
                  <c:v>Administrativos ppto</c:v>
                </c:pt>
                <c:pt idx="10">
                  <c:v>Administrativos ejecutado</c:v>
                </c:pt>
              </c:strCache>
            </c:strRef>
          </c:tx>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1"/>
            <c:invertIfNegative val="0"/>
            <c:bubble3D val="0"/>
            <c:spPr>
              <a:solidFill>
                <a:schemeClr val="accent3">
                  <a:lumMod val="60000"/>
                  <a:lumOff val="4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0-FDFE-4906-AFEF-08970B30A412}"/>
              </c:ext>
            </c:extLst>
          </c:dPt>
          <c:dPt>
            <c:idx val="4"/>
            <c:invertIfNegative val="0"/>
            <c:bubble3D val="0"/>
            <c:spPr>
              <a:solidFill>
                <a:schemeClr val="accent3">
                  <a:lumMod val="60000"/>
                  <a:lumOff val="4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FDFE-4906-AFEF-08970B30A412}"/>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2-FDFE-4906-AFEF-08970B30A412}"/>
              </c:ext>
            </c:extLst>
          </c:dPt>
          <c:dPt>
            <c:idx val="7"/>
            <c:invertIfNegative val="0"/>
            <c:bubble3D val="0"/>
            <c:extLst>
              <c:ext xmlns:c16="http://schemas.microsoft.com/office/drawing/2014/chart" uri="{C3380CC4-5D6E-409C-BE32-E72D297353CC}">
                <c16:uniqueId val="{00000003-FDFE-4906-AFEF-08970B30A412}"/>
              </c:ext>
            </c:extLst>
          </c:dPt>
          <c:dPt>
            <c:idx val="8"/>
            <c:invertIfNegative val="0"/>
            <c:bubble3D val="0"/>
            <c:spPr>
              <a:solidFill>
                <a:schemeClr val="accent3">
                  <a:lumMod val="60000"/>
                  <a:lumOff val="4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4-FDFE-4906-AFEF-08970B30A412}"/>
              </c:ext>
            </c:extLst>
          </c:dPt>
          <c:dPt>
            <c:idx val="10"/>
            <c:invertIfNegative val="0"/>
            <c:bubble3D val="0"/>
            <c:extLst>
              <c:ext xmlns:c16="http://schemas.microsoft.com/office/drawing/2014/chart" uri="{C3380CC4-5D6E-409C-BE32-E72D297353CC}">
                <c16:uniqueId val="{00000005-FDFE-4906-AFEF-08970B30A412}"/>
              </c:ext>
            </c:extLst>
          </c:dPt>
          <c:dPt>
            <c:idx val="11"/>
            <c:invertIfNegative val="0"/>
            <c:bubble3D val="0"/>
            <c:spPr>
              <a:solidFill>
                <a:schemeClr val="accent3">
                  <a:lumMod val="60000"/>
                  <a:lumOff val="4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6-FDFE-4906-AFEF-08970B30A412}"/>
              </c:ext>
            </c:extLst>
          </c:dPt>
          <c:dPt>
            <c:idx val="13"/>
            <c:invertIfNegative val="0"/>
            <c:bubble3D val="0"/>
            <c:extLst>
              <c:ext xmlns:c16="http://schemas.microsoft.com/office/drawing/2014/chart" uri="{C3380CC4-5D6E-409C-BE32-E72D297353CC}">
                <c16:uniqueId val="{00000007-FDFE-4906-AFEF-08970B30A412}"/>
              </c:ext>
            </c:extLst>
          </c:dPt>
          <c:dPt>
            <c:idx val="14"/>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8-FDFE-4906-AFEF-08970B30A412}"/>
              </c:ext>
            </c:extLst>
          </c:dPt>
          <c:cat>
            <c:strRef>
              <c:f>'ESTAD RESULT graf abr'!$AN$33:$AN$46</c:f>
              <c:strCache>
                <c:ptCount val="11"/>
                <c:pt idx="0">
                  <c:v>Mantenimiento presupuestado</c:v>
                </c:pt>
                <c:pt idx="1">
                  <c:v>Mantenimiento Ejecutado</c:v>
                </c:pt>
                <c:pt idx="3">
                  <c:v>Seguridad presupuestado</c:v>
                </c:pt>
                <c:pt idx="4">
                  <c:v>Seguridad Ejecutada</c:v>
                </c:pt>
                <c:pt idx="6">
                  <c:v>Ambiental ppto</c:v>
                </c:pt>
                <c:pt idx="7">
                  <c:v>Ambiental ejecutado</c:v>
                </c:pt>
                <c:pt idx="9">
                  <c:v>Administrativos ppto</c:v>
                </c:pt>
                <c:pt idx="10">
                  <c:v>Administrativos ejecutado</c:v>
                </c:pt>
              </c:strCache>
            </c:strRef>
          </c:cat>
          <c:val>
            <c:numRef>
              <c:f>'ESTAD RESULT graf abr'!$AP$33:$AP$43</c:f>
              <c:numCache>
                <c:formatCode>[$$-240A]\ #,##0</c:formatCode>
                <c:ptCount val="11"/>
                <c:pt idx="0">
                  <c:v>20559806.106666666</c:v>
                </c:pt>
                <c:pt idx="1">
                  <c:v>19060731</c:v>
                </c:pt>
                <c:pt idx="3" formatCode="#,##0">
                  <c:v>63410371.796666682</c:v>
                </c:pt>
                <c:pt idx="4">
                  <c:v>62130702</c:v>
                </c:pt>
                <c:pt idx="6" formatCode="#,##0">
                  <c:v>21057252.5</c:v>
                </c:pt>
                <c:pt idx="7" formatCode="#,##0">
                  <c:v>18557015.879999999</c:v>
                </c:pt>
                <c:pt idx="9" formatCode="#,##0">
                  <c:v>13919878.666666666</c:v>
                </c:pt>
                <c:pt idx="10" formatCode="#,##0">
                  <c:v>13769374.24</c:v>
                </c:pt>
              </c:numCache>
            </c:numRef>
          </c:val>
          <c:shape val="cylinder"/>
          <c:extLst>
            <c:ext xmlns:c16="http://schemas.microsoft.com/office/drawing/2014/chart" uri="{C3380CC4-5D6E-409C-BE32-E72D297353CC}">
              <c16:uniqueId val="{00000009-FDFE-4906-AFEF-08970B30A412}"/>
            </c:ext>
          </c:extLst>
        </c:ser>
        <c:dLbls>
          <c:showLegendKey val="0"/>
          <c:showVal val="0"/>
          <c:showCatName val="0"/>
          <c:showSerName val="0"/>
          <c:showPercent val="0"/>
          <c:showBubbleSize val="0"/>
        </c:dLbls>
        <c:gapWidth val="23"/>
        <c:gapDepth val="21"/>
        <c:shape val="box"/>
        <c:axId val="1432930784"/>
        <c:axId val="1"/>
        <c:axId val="0"/>
      </c:bar3DChart>
      <c:catAx>
        <c:axId val="143293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12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spPr>
          <a:solidFill>
            <a:schemeClr val="bg1"/>
          </a:solidFill>
          <a:ln>
            <a:solidFill>
              <a:sysClr val="window" lastClr="FFFFFF"/>
            </a:solidFill>
          </a:ln>
          <a:effectLst/>
        </c:spPr>
        <c:txPr>
          <a:bodyPr rot="0" vert="horz"/>
          <a:lstStyle/>
          <a:p>
            <a:pPr>
              <a:defRPr sz="1200" b="0" i="0" u="none" strike="noStrike" baseline="0">
                <a:solidFill>
                  <a:srgbClr val="333333"/>
                </a:solidFill>
                <a:latin typeface="Calibri"/>
                <a:ea typeface="Calibri"/>
                <a:cs typeface="Calibri"/>
              </a:defRPr>
            </a:pPr>
            <a:endParaRPr lang="es-CO"/>
          </a:p>
        </c:txPr>
        <c:crossAx val="14329307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ACUEDUCTO EL ESCOBERO M3 AÑO  </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1357097204954649"/>
          <c:y val="6.7660410373231649E-3"/>
        </c:manualLayout>
      </c:layout>
      <c:overlay val="0"/>
      <c:spPr>
        <a:noFill/>
        <a:ln w="25400">
          <a:noFill/>
        </a:ln>
      </c:spPr>
    </c:title>
    <c:autoTitleDeleted val="0"/>
    <c:plotArea>
      <c:layout>
        <c:manualLayout>
          <c:layoutTarget val="inner"/>
          <c:xMode val="edge"/>
          <c:yMode val="edge"/>
          <c:x val="0.13483092790859177"/>
          <c:y val="0.27128400352365079"/>
          <c:w val="0.84739877515310591"/>
          <c:h val="0.36994280903726595"/>
        </c:manualLayout>
      </c:layout>
      <c:barChart>
        <c:barDir val="col"/>
        <c:grouping val="stacked"/>
        <c:varyColors val="0"/>
        <c:ser>
          <c:idx val="0"/>
          <c:order val="0"/>
          <c:tx>
            <c:strRef>
              <c:f>'[14]SERVICIOS PUBLICOS'!$C$5</c:f>
              <c:strCache>
                <c:ptCount val="1"/>
                <c:pt idx="0">
                  <c:v>M3</c:v>
                </c:pt>
              </c:strCache>
            </c:strRef>
          </c:tx>
          <c:spPr>
            <a:solidFill>
              <a:srgbClr val="4F81BD"/>
            </a:solidFill>
            <a:ln w="25400">
              <a:noFill/>
            </a:ln>
          </c:spPr>
          <c:invertIfNegative val="0"/>
          <c:cat>
            <c:strRef>
              <c:f>'[14]SERVICIOS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'[14]SERVICIOS PUBLICOS'!$C$7:$C$10</c:f>
              <c:numCache>
                <c:formatCode>General</c:formatCode>
                <c:ptCount val="4"/>
                <c:pt idx="0">
                  <c:v>24</c:v>
                </c:pt>
                <c:pt idx="1">
                  <c:v>35</c:v>
                </c:pt>
                <c:pt idx="2">
                  <c:v>65</c:v>
                </c:pt>
                <c:pt idx="3">
                  <c:v>22</c:v>
                </c:pt>
              </c:numCache>
            </c:numRef>
          </c:val>
          <c:extLst>
            <c:ext xmlns:c16="http://schemas.microsoft.com/office/drawing/2014/chart" uri="{C3380CC4-5D6E-409C-BE32-E72D297353CC}">
              <c16:uniqueId val="{00000000-B4D4-4358-86E3-C53D0F835A41}"/>
            </c:ext>
          </c:extLst>
        </c:ser>
        <c:ser>
          <c:idx val="1"/>
          <c:order val="1"/>
          <c:tx>
            <c:strRef>
              <c:f>'[14]SERVICIOS PUBLICOS'!$D$5</c:f>
              <c:strCache>
                <c:ptCount val="1"/>
                <c:pt idx="0">
                  <c:v>valor  </c:v>
                </c:pt>
              </c:strCache>
            </c:strRef>
          </c:tx>
          <c:spPr>
            <a:solidFill>
              <a:srgbClr val="92D050"/>
            </a:solidFill>
          </c:spPr>
          <c:invertIfNegative val="0"/>
          <c:cat>
            <c:strRef>
              <c:f>'[14]SERVICIOS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'[14]SERVICIOS PUBLICOS'!$D$7:$D$21</c:f>
              <c:numCache>
                <c:formatCode>General</c:formatCode>
                <c:ptCount val="15"/>
                <c:pt idx="0">
                  <c:v>55531</c:v>
                </c:pt>
                <c:pt idx="1">
                  <c:v>81600</c:v>
                </c:pt>
                <c:pt idx="2">
                  <c:v>167528</c:v>
                </c:pt>
                <c:pt idx="3">
                  <c:v>67865</c:v>
                </c:pt>
                <c:pt idx="4">
                  <c:v>67865</c:v>
                </c:pt>
                <c:pt idx="5">
                  <c:v>57800</c:v>
                </c:pt>
                <c:pt idx="6">
                  <c:v>23691</c:v>
                </c:pt>
                <c:pt idx="7">
                  <c:v>122529</c:v>
                </c:pt>
                <c:pt idx="8">
                  <c:v>59965</c:v>
                </c:pt>
                <c:pt idx="9">
                  <c:v>55635</c:v>
                </c:pt>
                <c:pt idx="10">
                  <c:v>55635</c:v>
                </c:pt>
                <c:pt idx="11">
                  <c:v>15910</c:v>
                </c:pt>
                <c:pt idx="12">
                  <c:v>32788</c:v>
                </c:pt>
                <c:pt idx="13">
                  <c:v>39508</c:v>
                </c:pt>
                <c:pt idx="14">
                  <c:v>41874</c:v>
                </c:pt>
              </c:numCache>
            </c:numRef>
          </c:val>
          <c:extLst>
            <c:ext xmlns:c16="http://schemas.microsoft.com/office/drawing/2014/chart" uri="{C3380CC4-5D6E-409C-BE32-E72D297353CC}">
              <c16:uniqueId val="{00000001-B4D4-4358-86E3-C53D0F835A41}"/>
            </c:ext>
          </c:extLst>
        </c:ser>
        <c:dLbls>
          <c:showLegendKey val="0"/>
          <c:showVal val="0"/>
          <c:showCatName val="0"/>
          <c:showSerName val="0"/>
          <c:showPercent val="0"/>
          <c:showBubbleSize val="0"/>
        </c:dLbls>
        <c:gapWidth val="150"/>
        <c:overlap val="100"/>
        <c:axId val="1432934624"/>
        <c:axId val="1"/>
      </c:barChart>
      <c:catAx>
        <c:axId val="1432934624"/>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4329346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4803149606299213" l="0.70866141732283472" r="0.70866141732283472" t="0.74803149606299213" header="0.31496062992125984" footer="0.31496062992125984"/>
    <c:pageSetup orientation="landscape"/>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ENERGIA</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2531372120151643"/>
          <c:y val="3.9485494776729066E-2"/>
        </c:manualLayout>
      </c:layout>
      <c:overlay val="0"/>
      <c:spPr>
        <a:noFill/>
        <a:ln w="25400">
          <a:noFill/>
        </a:ln>
      </c:spPr>
    </c:title>
    <c:autoTitleDeleted val="0"/>
    <c:plotArea>
      <c:layout>
        <c:manualLayout>
          <c:layoutTarget val="inner"/>
          <c:xMode val="edge"/>
          <c:yMode val="edge"/>
          <c:x val="0.12097537141477263"/>
          <c:y val="0.28348599174425376"/>
          <c:w val="0.84739877515310591"/>
          <c:h val="0.43625938834712846"/>
        </c:manualLayout>
      </c:layout>
      <c:barChart>
        <c:barDir val="col"/>
        <c:grouping val="stacked"/>
        <c:varyColors val="0"/>
        <c:ser>
          <c:idx val="0"/>
          <c:order val="0"/>
          <c:tx>
            <c:strRef>
              <c:f>'[14]SERVICIOS PUBLICOS'!$M$5</c:f>
              <c:strCache>
                <c:ptCount val="1"/>
                <c:pt idx="0">
                  <c:v>Total KW</c:v>
                </c:pt>
              </c:strCache>
            </c:strRef>
          </c:tx>
          <c:spPr>
            <a:solidFill>
              <a:srgbClr val="4F81BD"/>
            </a:solidFill>
            <a:ln w="25400">
              <a:noFill/>
            </a:ln>
          </c:spPr>
          <c:invertIfNegative val="0"/>
          <c:cat>
            <c:strRef>
              <c:f>'[14]SERVICIOS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'[14]SERVICIOS PUBLICOS'!$M$7:$M$10</c:f>
              <c:numCache>
                <c:formatCode>General</c:formatCode>
                <c:ptCount val="4"/>
                <c:pt idx="0">
                  <c:v>3372</c:v>
                </c:pt>
                <c:pt idx="1">
                  <c:v>2903</c:v>
                </c:pt>
                <c:pt idx="2">
                  <c:v>2668</c:v>
                </c:pt>
                <c:pt idx="3">
                  <c:v>2321</c:v>
                </c:pt>
              </c:numCache>
            </c:numRef>
          </c:val>
          <c:extLst>
            <c:ext xmlns:c16="http://schemas.microsoft.com/office/drawing/2014/chart" uri="{C3380CC4-5D6E-409C-BE32-E72D297353CC}">
              <c16:uniqueId val="{00000000-CF00-4C6B-B463-63189B0363DE}"/>
            </c:ext>
          </c:extLst>
        </c:ser>
        <c:ser>
          <c:idx val="1"/>
          <c:order val="1"/>
          <c:tx>
            <c:strRef>
              <c:f>'[14]SERVICIOS PUBLICOS'!$N$5</c:f>
              <c:strCache>
                <c:ptCount val="1"/>
                <c:pt idx="0">
                  <c:v>Total Energia</c:v>
                </c:pt>
              </c:strCache>
            </c:strRef>
          </c:tx>
          <c:spPr>
            <a:solidFill>
              <a:srgbClr val="92D050"/>
            </a:solidFill>
          </c:spPr>
          <c:invertIfNegative val="0"/>
          <c:cat>
            <c:strRef>
              <c:f>'[14]SERVICIOS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'[14]SERVICIOS PUBLICOS'!$N$7:$N$21</c:f>
              <c:numCache>
                <c:formatCode>General</c:formatCode>
                <c:ptCount val="15"/>
                <c:pt idx="0">
                  <c:v>2530820</c:v>
                </c:pt>
                <c:pt idx="1">
                  <c:v>2195597</c:v>
                </c:pt>
                <c:pt idx="2">
                  <c:v>1839555</c:v>
                </c:pt>
                <c:pt idx="3">
                  <c:v>1680950</c:v>
                </c:pt>
                <c:pt idx="4">
                  <c:v>1680950</c:v>
                </c:pt>
                <c:pt idx="5">
                  <c:v>2404624</c:v>
                </c:pt>
                <c:pt idx="6">
                  <c:v>2232942</c:v>
                </c:pt>
                <c:pt idx="7">
                  <c:v>2103831</c:v>
                </c:pt>
                <c:pt idx="8">
                  <c:v>1904499</c:v>
                </c:pt>
                <c:pt idx="9">
                  <c:v>2417899</c:v>
                </c:pt>
                <c:pt idx="10">
                  <c:v>2761426</c:v>
                </c:pt>
                <c:pt idx="11">
                  <c:v>2956879</c:v>
                </c:pt>
                <c:pt idx="12">
                  <c:v>3538835</c:v>
                </c:pt>
                <c:pt idx="13">
                  <c:v>3392177</c:v>
                </c:pt>
                <c:pt idx="14">
                  <c:v>2770284</c:v>
                </c:pt>
              </c:numCache>
            </c:numRef>
          </c:val>
          <c:extLst>
            <c:ext xmlns:c16="http://schemas.microsoft.com/office/drawing/2014/chart" uri="{C3380CC4-5D6E-409C-BE32-E72D297353CC}">
              <c16:uniqueId val="{00000001-CF00-4C6B-B463-63189B0363DE}"/>
            </c:ext>
          </c:extLst>
        </c:ser>
        <c:dLbls>
          <c:showLegendKey val="0"/>
          <c:showVal val="0"/>
          <c:showCatName val="0"/>
          <c:showSerName val="0"/>
          <c:showPercent val="0"/>
          <c:showBubbleSize val="0"/>
        </c:dLbls>
        <c:gapWidth val="150"/>
        <c:overlap val="100"/>
        <c:axId val="1432937984"/>
        <c:axId val="1"/>
      </c:barChart>
      <c:catAx>
        <c:axId val="1432937984"/>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4329379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orientation="portrait"/>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ACUEDUCTO EL ESCOBERO M3 AÑO  </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1357097204954649"/>
          <c:y val="6.7660410373231649E-3"/>
        </c:manualLayout>
      </c:layout>
      <c:overlay val="0"/>
      <c:spPr>
        <a:noFill/>
        <a:ln w="25400">
          <a:noFill/>
        </a:ln>
      </c:spPr>
    </c:title>
    <c:autoTitleDeleted val="0"/>
    <c:plotArea>
      <c:layout>
        <c:manualLayout>
          <c:layoutTarget val="inner"/>
          <c:xMode val="edge"/>
          <c:yMode val="edge"/>
          <c:x val="0.13483092790859177"/>
          <c:y val="0.27128400352365079"/>
          <c:w val="0.84739877515310591"/>
          <c:h val="0.36994280903726595"/>
        </c:manualLayout>
      </c:layout>
      <c:barChart>
        <c:barDir val="col"/>
        <c:grouping val="stacked"/>
        <c:varyColors val="0"/>
        <c:ser>
          <c:idx val="0"/>
          <c:order val="0"/>
          <c:tx>
            <c:strRef>
              <c:f>'[14]SERVICIOS PUBLICOS'!$C$5</c:f>
              <c:strCache>
                <c:ptCount val="1"/>
                <c:pt idx="0">
                  <c:v>M3</c:v>
                </c:pt>
              </c:strCache>
            </c:strRef>
          </c:tx>
          <c:spPr>
            <a:solidFill>
              <a:srgbClr val="4F81BD"/>
            </a:solidFill>
            <a:ln w="25400">
              <a:noFill/>
            </a:ln>
          </c:spPr>
          <c:invertIfNegative val="0"/>
          <c:cat>
            <c:strRef>
              <c:f>'[14]SERVICIOS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'[14]SERVICIOS PUBLICOS'!$C$7:$C$10</c:f>
              <c:numCache>
                <c:formatCode>General</c:formatCode>
                <c:ptCount val="4"/>
                <c:pt idx="0">
                  <c:v>24</c:v>
                </c:pt>
                <c:pt idx="1">
                  <c:v>35</c:v>
                </c:pt>
                <c:pt idx="2">
                  <c:v>65</c:v>
                </c:pt>
                <c:pt idx="3">
                  <c:v>22</c:v>
                </c:pt>
              </c:numCache>
            </c:numRef>
          </c:val>
          <c:extLst>
            <c:ext xmlns:c16="http://schemas.microsoft.com/office/drawing/2014/chart" uri="{C3380CC4-5D6E-409C-BE32-E72D297353CC}">
              <c16:uniqueId val="{00000000-0968-475D-BB6F-D12F6DEF0DCB}"/>
            </c:ext>
          </c:extLst>
        </c:ser>
        <c:ser>
          <c:idx val="1"/>
          <c:order val="1"/>
          <c:tx>
            <c:strRef>
              <c:f>'[14]SERVICIOS PUBLICOS'!$D$5</c:f>
              <c:strCache>
                <c:ptCount val="1"/>
                <c:pt idx="0">
                  <c:v>valor  </c:v>
                </c:pt>
              </c:strCache>
            </c:strRef>
          </c:tx>
          <c:spPr>
            <a:solidFill>
              <a:srgbClr val="92D050"/>
            </a:solidFill>
          </c:spPr>
          <c:invertIfNegative val="0"/>
          <c:cat>
            <c:strRef>
              <c:f>'[14]SERVICIOS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'[14]SERVICIOS PUBLICOS'!$D$7:$D$21</c:f>
              <c:numCache>
                <c:formatCode>General</c:formatCode>
                <c:ptCount val="15"/>
                <c:pt idx="0">
                  <c:v>55531</c:v>
                </c:pt>
                <c:pt idx="1">
                  <c:v>81600</c:v>
                </c:pt>
                <c:pt idx="2">
                  <c:v>167528</c:v>
                </c:pt>
                <c:pt idx="3">
                  <c:v>67865</c:v>
                </c:pt>
                <c:pt idx="4">
                  <c:v>67865</c:v>
                </c:pt>
                <c:pt idx="5">
                  <c:v>57800</c:v>
                </c:pt>
                <c:pt idx="6">
                  <c:v>23691</c:v>
                </c:pt>
                <c:pt idx="7">
                  <c:v>122529</c:v>
                </c:pt>
                <c:pt idx="8">
                  <c:v>59965</c:v>
                </c:pt>
                <c:pt idx="9">
                  <c:v>55635</c:v>
                </c:pt>
                <c:pt idx="10">
                  <c:v>55635</c:v>
                </c:pt>
                <c:pt idx="11">
                  <c:v>15910</c:v>
                </c:pt>
                <c:pt idx="12">
                  <c:v>32788</c:v>
                </c:pt>
                <c:pt idx="13">
                  <c:v>39508</c:v>
                </c:pt>
                <c:pt idx="14">
                  <c:v>41874</c:v>
                </c:pt>
              </c:numCache>
            </c:numRef>
          </c:val>
          <c:extLst>
            <c:ext xmlns:c16="http://schemas.microsoft.com/office/drawing/2014/chart" uri="{C3380CC4-5D6E-409C-BE32-E72D297353CC}">
              <c16:uniqueId val="{00000001-0968-475D-BB6F-D12F6DEF0DCB}"/>
            </c:ext>
          </c:extLst>
        </c:ser>
        <c:dLbls>
          <c:showLegendKey val="0"/>
          <c:showVal val="0"/>
          <c:showCatName val="0"/>
          <c:showSerName val="0"/>
          <c:showPercent val="0"/>
          <c:showBubbleSize val="0"/>
        </c:dLbls>
        <c:gapWidth val="150"/>
        <c:overlap val="100"/>
        <c:axId val="1104086752"/>
        <c:axId val="1"/>
      </c:barChart>
      <c:catAx>
        <c:axId val="1104086752"/>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1040867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4803149606299213" l="0.70866141732283472" r="0.70866141732283472" t="0.74803149606299213" header="0.31496062992125984" footer="0.31496062992125984"/>
    <c:pageSetup orientation="landscape"/>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ENERGIA</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2531372120151643"/>
          <c:y val="3.9485494776729066E-2"/>
        </c:manualLayout>
      </c:layout>
      <c:overlay val="0"/>
      <c:spPr>
        <a:noFill/>
        <a:ln w="25400">
          <a:noFill/>
        </a:ln>
      </c:spPr>
    </c:title>
    <c:autoTitleDeleted val="0"/>
    <c:plotArea>
      <c:layout>
        <c:manualLayout>
          <c:layoutTarget val="inner"/>
          <c:xMode val="edge"/>
          <c:yMode val="edge"/>
          <c:x val="0.12097537141477263"/>
          <c:y val="0.28348599174425376"/>
          <c:w val="0.84739877515310591"/>
          <c:h val="0.43625938834712846"/>
        </c:manualLayout>
      </c:layout>
      <c:barChart>
        <c:barDir val="col"/>
        <c:grouping val="stacked"/>
        <c:varyColors val="0"/>
        <c:ser>
          <c:idx val="0"/>
          <c:order val="0"/>
          <c:tx>
            <c:strRef>
              <c:f>'[14]SERVICIOS PUBLICOS'!$M$5</c:f>
              <c:strCache>
                <c:ptCount val="1"/>
                <c:pt idx="0">
                  <c:v>Total KW</c:v>
                </c:pt>
              </c:strCache>
            </c:strRef>
          </c:tx>
          <c:spPr>
            <a:solidFill>
              <a:srgbClr val="4F81BD"/>
            </a:solidFill>
            <a:ln w="25400">
              <a:noFill/>
            </a:ln>
          </c:spPr>
          <c:invertIfNegative val="0"/>
          <c:cat>
            <c:strRef>
              <c:f>'[14]SERVICIOS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'[14]SERVICIOS PUBLICOS'!$M$7:$M$10</c:f>
              <c:numCache>
                <c:formatCode>General</c:formatCode>
                <c:ptCount val="4"/>
                <c:pt idx="0">
                  <c:v>3372</c:v>
                </c:pt>
                <c:pt idx="1">
                  <c:v>2903</c:v>
                </c:pt>
                <c:pt idx="2">
                  <c:v>2668</c:v>
                </c:pt>
                <c:pt idx="3">
                  <c:v>2321</c:v>
                </c:pt>
              </c:numCache>
            </c:numRef>
          </c:val>
          <c:extLst>
            <c:ext xmlns:c16="http://schemas.microsoft.com/office/drawing/2014/chart" uri="{C3380CC4-5D6E-409C-BE32-E72D297353CC}">
              <c16:uniqueId val="{00000000-79DB-4DE2-AAC5-4D8346C27DB5}"/>
            </c:ext>
          </c:extLst>
        </c:ser>
        <c:ser>
          <c:idx val="1"/>
          <c:order val="1"/>
          <c:tx>
            <c:strRef>
              <c:f>'[14]SERVICIOS PUBLICOS'!$N$5</c:f>
              <c:strCache>
                <c:ptCount val="1"/>
                <c:pt idx="0">
                  <c:v>Total Energia</c:v>
                </c:pt>
              </c:strCache>
            </c:strRef>
          </c:tx>
          <c:spPr>
            <a:solidFill>
              <a:srgbClr val="92D050"/>
            </a:solidFill>
          </c:spPr>
          <c:invertIfNegative val="0"/>
          <c:cat>
            <c:strRef>
              <c:f>'[14]SERVICIOS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'[14]SERVICIOS PUBLICOS'!$N$7:$N$21</c:f>
              <c:numCache>
                <c:formatCode>General</c:formatCode>
                <c:ptCount val="15"/>
                <c:pt idx="0">
                  <c:v>2530820</c:v>
                </c:pt>
                <c:pt idx="1">
                  <c:v>2195597</c:v>
                </c:pt>
                <c:pt idx="2">
                  <c:v>1839555</c:v>
                </c:pt>
                <c:pt idx="3">
                  <c:v>1680950</c:v>
                </c:pt>
                <c:pt idx="4">
                  <c:v>1680950</c:v>
                </c:pt>
                <c:pt idx="5">
                  <c:v>2404624</c:v>
                </c:pt>
                <c:pt idx="6">
                  <c:v>2232942</c:v>
                </c:pt>
                <c:pt idx="7">
                  <c:v>2103831</c:v>
                </c:pt>
                <c:pt idx="8">
                  <c:v>1904499</c:v>
                </c:pt>
                <c:pt idx="9">
                  <c:v>2417899</c:v>
                </c:pt>
                <c:pt idx="10">
                  <c:v>2761426</c:v>
                </c:pt>
                <c:pt idx="11">
                  <c:v>2956879</c:v>
                </c:pt>
                <c:pt idx="12">
                  <c:v>3538835</c:v>
                </c:pt>
                <c:pt idx="13">
                  <c:v>3392177</c:v>
                </c:pt>
                <c:pt idx="14">
                  <c:v>2770284</c:v>
                </c:pt>
              </c:numCache>
            </c:numRef>
          </c:val>
          <c:extLst>
            <c:ext xmlns:c16="http://schemas.microsoft.com/office/drawing/2014/chart" uri="{C3380CC4-5D6E-409C-BE32-E72D297353CC}">
              <c16:uniqueId val="{00000001-79DB-4DE2-AAC5-4D8346C27DB5}"/>
            </c:ext>
          </c:extLst>
        </c:ser>
        <c:dLbls>
          <c:showLegendKey val="0"/>
          <c:showVal val="0"/>
          <c:showCatName val="0"/>
          <c:showSerName val="0"/>
          <c:showPercent val="0"/>
          <c:showBubbleSize val="0"/>
        </c:dLbls>
        <c:gapWidth val="150"/>
        <c:overlap val="100"/>
        <c:axId val="1104087232"/>
        <c:axId val="1"/>
      </c:barChart>
      <c:catAx>
        <c:axId val="1104087232"/>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1040872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orientation="portrait"/>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ACUEDUCTO EL ESCOBERO M3 AÑO  </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1357097204954649"/>
          <c:y val="6.7660410373231649E-3"/>
        </c:manualLayout>
      </c:layout>
      <c:overlay val="0"/>
      <c:spPr>
        <a:noFill/>
        <a:ln w="25400">
          <a:noFill/>
        </a:ln>
      </c:spPr>
    </c:title>
    <c:autoTitleDeleted val="0"/>
    <c:plotArea>
      <c:layout>
        <c:manualLayout>
          <c:layoutTarget val="inner"/>
          <c:xMode val="edge"/>
          <c:yMode val="edge"/>
          <c:x val="0.13483092790859177"/>
          <c:y val="0.27128400352365079"/>
          <c:w val="0.84739877515310591"/>
          <c:h val="0.36994280903726595"/>
        </c:manualLayout>
      </c:layout>
      <c:barChart>
        <c:barDir val="col"/>
        <c:grouping val="stacked"/>
        <c:varyColors val="0"/>
        <c:ser>
          <c:idx val="0"/>
          <c:order val="0"/>
          <c:tx>
            <c:strRef>
              <c:f>'[14]SERVICIOS PUBLICOS'!$C$5</c:f>
              <c:strCache>
                <c:ptCount val="1"/>
                <c:pt idx="0">
                  <c:v>M3</c:v>
                </c:pt>
              </c:strCache>
            </c:strRef>
          </c:tx>
          <c:spPr>
            <a:solidFill>
              <a:srgbClr val="4F81BD"/>
            </a:solidFill>
            <a:ln w="25400">
              <a:noFill/>
            </a:ln>
          </c:spPr>
          <c:invertIfNegative val="0"/>
          <c:cat>
            <c:strRef>
              <c:f>'[14]SERVICIOS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'[14]SERVICIOS PUBLICOS'!$C$7:$C$10</c:f>
              <c:numCache>
                <c:formatCode>General</c:formatCode>
                <c:ptCount val="4"/>
                <c:pt idx="0">
                  <c:v>24</c:v>
                </c:pt>
                <c:pt idx="1">
                  <c:v>35</c:v>
                </c:pt>
                <c:pt idx="2">
                  <c:v>65</c:v>
                </c:pt>
                <c:pt idx="3">
                  <c:v>22</c:v>
                </c:pt>
              </c:numCache>
            </c:numRef>
          </c:val>
          <c:extLst>
            <c:ext xmlns:c16="http://schemas.microsoft.com/office/drawing/2014/chart" uri="{C3380CC4-5D6E-409C-BE32-E72D297353CC}">
              <c16:uniqueId val="{00000000-AF50-4C23-A12E-D0DB23F38CBF}"/>
            </c:ext>
          </c:extLst>
        </c:ser>
        <c:ser>
          <c:idx val="1"/>
          <c:order val="1"/>
          <c:tx>
            <c:strRef>
              <c:f>'[14]SERVICIOS PUBLICOS'!$D$5</c:f>
              <c:strCache>
                <c:ptCount val="1"/>
                <c:pt idx="0">
                  <c:v>valor  </c:v>
                </c:pt>
              </c:strCache>
            </c:strRef>
          </c:tx>
          <c:spPr>
            <a:solidFill>
              <a:srgbClr val="92D050"/>
            </a:solidFill>
          </c:spPr>
          <c:invertIfNegative val="0"/>
          <c:cat>
            <c:strRef>
              <c:f>'[14]SERVICIOS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'[14]SERVICIOS PUBLICOS'!$D$7:$D$21</c:f>
              <c:numCache>
                <c:formatCode>General</c:formatCode>
                <c:ptCount val="15"/>
                <c:pt idx="0">
                  <c:v>55531</c:v>
                </c:pt>
                <c:pt idx="1">
                  <c:v>81600</c:v>
                </c:pt>
                <c:pt idx="2">
                  <c:v>167528</c:v>
                </c:pt>
                <c:pt idx="3">
                  <c:v>67865</c:v>
                </c:pt>
                <c:pt idx="4">
                  <c:v>67865</c:v>
                </c:pt>
                <c:pt idx="5">
                  <c:v>57800</c:v>
                </c:pt>
                <c:pt idx="6">
                  <c:v>23691</c:v>
                </c:pt>
                <c:pt idx="7">
                  <c:v>122529</c:v>
                </c:pt>
                <c:pt idx="8">
                  <c:v>59965</c:v>
                </c:pt>
                <c:pt idx="9">
                  <c:v>55635</c:v>
                </c:pt>
                <c:pt idx="10">
                  <c:v>55635</c:v>
                </c:pt>
                <c:pt idx="11">
                  <c:v>15910</c:v>
                </c:pt>
                <c:pt idx="12">
                  <c:v>32788</c:v>
                </c:pt>
                <c:pt idx="13">
                  <c:v>39508</c:v>
                </c:pt>
                <c:pt idx="14">
                  <c:v>41874</c:v>
                </c:pt>
              </c:numCache>
            </c:numRef>
          </c:val>
          <c:extLst>
            <c:ext xmlns:c16="http://schemas.microsoft.com/office/drawing/2014/chart" uri="{C3380CC4-5D6E-409C-BE32-E72D297353CC}">
              <c16:uniqueId val="{00000001-AF50-4C23-A12E-D0DB23F38CBF}"/>
            </c:ext>
          </c:extLst>
        </c:ser>
        <c:dLbls>
          <c:showLegendKey val="0"/>
          <c:showVal val="0"/>
          <c:showCatName val="0"/>
          <c:showSerName val="0"/>
          <c:showPercent val="0"/>
          <c:showBubbleSize val="0"/>
        </c:dLbls>
        <c:gapWidth val="150"/>
        <c:overlap val="100"/>
        <c:axId val="1104087712"/>
        <c:axId val="1"/>
      </c:barChart>
      <c:catAx>
        <c:axId val="1104087712"/>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1040877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4803149606299213" l="0.70866141732283472" r="0.70866141732283472" t="0.74803149606299213" header="0.31496062992125984" footer="0.31496062992125984"/>
    <c:pageSetup orientation="landscape"/>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ENERGIA</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2531372120151643"/>
          <c:y val="3.9485494776729066E-2"/>
        </c:manualLayout>
      </c:layout>
      <c:overlay val="0"/>
      <c:spPr>
        <a:noFill/>
        <a:ln w="25400">
          <a:noFill/>
        </a:ln>
      </c:spPr>
    </c:title>
    <c:autoTitleDeleted val="0"/>
    <c:plotArea>
      <c:layout>
        <c:manualLayout>
          <c:layoutTarget val="inner"/>
          <c:xMode val="edge"/>
          <c:yMode val="edge"/>
          <c:x val="0.12097537141477263"/>
          <c:y val="0.28348599174425376"/>
          <c:w val="0.84739877515310591"/>
          <c:h val="0.43625938834712846"/>
        </c:manualLayout>
      </c:layout>
      <c:barChart>
        <c:barDir val="col"/>
        <c:grouping val="stacked"/>
        <c:varyColors val="0"/>
        <c:ser>
          <c:idx val="0"/>
          <c:order val="0"/>
          <c:tx>
            <c:strRef>
              <c:f>'[14]SERVICIOS PUBLICOS'!$M$5</c:f>
              <c:strCache>
                <c:ptCount val="1"/>
                <c:pt idx="0">
                  <c:v>Total KW</c:v>
                </c:pt>
              </c:strCache>
            </c:strRef>
          </c:tx>
          <c:spPr>
            <a:solidFill>
              <a:srgbClr val="4F81BD"/>
            </a:solidFill>
            <a:ln w="25400">
              <a:noFill/>
            </a:ln>
          </c:spPr>
          <c:invertIfNegative val="0"/>
          <c:cat>
            <c:strRef>
              <c:f>'[14]SERVICIOS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'[14]SERVICIOS PUBLICOS'!$M$7:$M$10</c:f>
              <c:numCache>
                <c:formatCode>General</c:formatCode>
                <c:ptCount val="4"/>
                <c:pt idx="0">
                  <c:v>3372</c:v>
                </c:pt>
                <c:pt idx="1">
                  <c:v>2903</c:v>
                </c:pt>
                <c:pt idx="2">
                  <c:v>2668</c:v>
                </c:pt>
                <c:pt idx="3">
                  <c:v>2321</c:v>
                </c:pt>
              </c:numCache>
            </c:numRef>
          </c:val>
          <c:extLst>
            <c:ext xmlns:c16="http://schemas.microsoft.com/office/drawing/2014/chart" uri="{C3380CC4-5D6E-409C-BE32-E72D297353CC}">
              <c16:uniqueId val="{00000000-541A-4F29-AE7C-30E0815C21D9}"/>
            </c:ext>
          </c:extLst>
        </c:ser>
        <c:ser>
          <c:idx val="1"/>
          <c:order val="1"/>
          <c:tx>
            <c:strRef>
              <c:f>'[14]SERVICIOS PUBLICOS'!$N$5</c:f>
              <c:strCache>
                <c:ptCount val="1"/>
                <c:pt idx="0">
                  <c:v>Total Energia</c:v>
                </c:pt>
              </c:strCache>
            </c:strRef>
          </c:tx>
          <c:spPr>
            <a:solidFill>
              <a:srgbClr val="92D050"/>
            </a:solidFill>
          </c:spPr>
          <c:invertIfNegative val="0"/>
          <c:cat>
            <c:strRef>
              <c:f>'[14]SERVICIOS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'[14]SERVICIOS PUBLICOS'!$N$7:$N$21</c:f>
              <c:numCache>
                <c:formatCode>General</c:formatCode>
                <c:ptCount val="15"/>
                <c:pt idx="0">
                  <c:v>2530820</c:v>
                </c:pt>
                <c:pt idx="1">
                  <c:v>2195597</c:v>
                </c:pt>
                <c:pt idx="2">
                  <c:v>1839555</c:v>
                </c:pt>
                <c:pt idx="3">
                  <c:v>1680950</c:v>
                </c:pt>
                <c:pt idx="4">
                  <c:v>1680950</c:v>
                </c:pt>
                <c:pt idx="5">
                  <c:v>2404624</c:v>
                </c:pt>
                <c:pt idx="6">
                  <c:v>2232942</c:v>
                </c:pt>
                <c:pt idx="7">
                  <c:v>2103831</c:v>
                </c:pt>
                <c:pt idx="8">
                  <c:v>1904499</c:v>
                </c:pt>
                <c:pt idx="9">
                  <c:v>2417899</c:v>
                </c:pt>
                <c:pt idx="10">
                  <c:v>2761426</c:v>
                </c:pt>
                <c:pt idx="11">
                  <c:v>2956879</c:v>
                </c:pt>
                <c:pt idx="12">
                  <c:v>3538835</c:v>
                </c:pt>
                <c:pt idx="13">
                  <c:v>3392177</c:v>
                </c:pt>
                <c:pt idx="14">
                  <c:v>2770284</c:v>
                </c:pt>
              </c:numCache>
            </c:numRef>
          </c:val>
          <c:extLst>
            <c:ext xmlns:c16="http://schemas.microsoft.com/office/drawing/2014/chart" uri="{C3380CC4-5D6E-409C-BE32-E72D297353CC}">
              <c16:uniqueId val="{00000001-541A-4F29-AE7C-30E0815C21D9}"/>
            </c:ext>
          </c:extLst>
        </c:ser>
        <c:dLbls>
          <c:showLegendKey val="0"/>
          <c:showVal val="0"/>
          <c:showCatName val="0"/>
          <c:showSerName val="0"/>
          <c:showPercent val="0"/>
          <c:showBubbleSize val="0"/>
        </c:dLbls>
        <c:gapWidth val="150"/>
        <c:overlap val="100"/>
        <c:axId val="1104077632"/>
        <c:axId val="1"/>
      </c:barChart>
      <c:catAx>
        <c:axId val="1104077632"/>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1040776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orientation="portrait"/>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cartera</a:t>
            </a:r>
            <a:r>
              <a:rPr lang="es-CO" baseline="0"/>
              <a:t> 2024</a:t>
            </a:r>
            <a:endParaRPr lang="es-CO"/>
          </a:p>
        </c:rich>
      </c:tx>
      <c:overlay val="0"/>
      <c:spPr>
        <a:noFill/>
        <a:ln w="25400">
          <a:noFill/>
        </a:ln>
      </c:spPr>
    </c:title>
    <c:autoTitleDeleted val="0"/>
    <c:plotArea>
      <c:layout/>
      <c:barChart>
        <c:barDir val="col"/>
        <c:grouping val="clustered"/>
        <c:varyColors val="0"/>
        <c:ser>
          <c:idx val="0"/>
          <c:order val="0"/>
          <c:tx>
            <c:strRef>
              <c:f>'Cartera 2024 CONT '!$A$34:$B$34</c:f>
              <c:strCache>
                <c:ptCount val="2"/>
                <c:pt idx="0">
                  <c:v>Cartera</c:v>
                </c:pt>
                <c:pt idx="1">
                  <c:v>TOTAL CARTERA</c:v>
                </c:pt>
              </c:strCache>
            </c:strRef>
          </c:tx>
          <c:spPr>
            <a:solidFill>
              <a:srgbClr val="4F81BD"/>
            </a:solidFill>
            <a:ln w="25400">
              <a:noFill/>
            </a:ln>
          </c:spPr>
          <c:invertIfNegative val="0"/>
          <c:val>
            <c:numRef>
              <c:f>'Cartera 2024 CONT '!$C$34:$BC$34</c:f>
              <c:numCache>
                <c:formatCode>##,###,###,###,##0.00</c:formatCode>
                <c:ptCount val="12"/>
                <c:pt idx="0">
                  <c:v>3339078</c:v>
                </c:pt>
                <c:pt idx="1">
                  <c:v>10014493</c:v>
                </c:pt>
                <c:pt idx="2">
                  <c:v>-503652</c:v>
                </c:pt>
                <c:pt idx="3" formatCode="#,##0_ ;[Red]\-#,##0\ ">
                  <c:v>7521880</c:v>
                </c:pt>
                <c:pt idx="4" formatCode="#,##0_ ;[Red]\-#,##0\ ">
                  <c:v>4113100</c:v>
                </c:pt>
                <c:pt idx="5" formatCode="#,##0_ ;[Red]\-#,##0\ ">
                  <c:v>7121012</c:v>
                </c:pt>
                <c:pt idx="6" formatCode="#,##0_ ;[Red]\-#,##0\ ">
                  <c:v>5706030</c:v>
                </c:pt>
                <c:pt idx="7" formatCode="#,##0_ ;[Red]\-#,##0\ ">
                  <c:v>5729801</c:v>
                </c:pt>
                <c:pt idx="8" formatCode="#,##0_ ;[Red]\-#,##0\ ">
                  <c:v>5729801</c:v>
                </c:pt>
                <c:pt idx="9" formatCode="#,##0_ ;[Red]\-#,##0\ ">
                  <c:v>-838203</c:v>
                </c:pt>
                <c:pt idx="10" formatCode="#,##0_ ;[Red]\-#,##0\ ">
                  <c:v>3676439</c:v>
                </c:pt>
                <c:pt idx="11" formatCode="#,##0_ ;[Red]\-#,##0\ ">
                  <c:v>2203523</c:v>
                </c:pt>
              </c:numCache>
            </c:numRef>
          </c:val>
          <c:extLst>
            <c:ext xmlns:c16="http://schemas.microsoft.com/office/drawing/2014/chart" uri="{C3380CC4-5D6E-409C-BE32-E72D297353CC}">
              <c16:uniqueId val="{00000000-A99A-4E42-9070-C0BCEB6C27F1}"/>
            </c:ext>
          </c:extLst>
        </c:ser>
        <c:ser>
          <c:idx val="1"/>
          <c:order val="1"/>
          <c:tx>
            <c:strRef>
              <c:f>'Cartera 2024 CONT '!$A$35:$B$35</c:f>
              <c:strCache>
                <c:ptCount val="2"/>
                <c:pt idx="0">
                  <c:v>Facturación</c:v>
                </c:pt>
                <c:pt idx="1">
                  <c:v>CONSIGNACION POR IDENTIFICAR DESDE 2023</c:v>
                </c:pt>
              </c:strCache>
            </c:strRef>
          </c:tx>
          <c:spPr>
            <a:solidFill>
              <a:srgbClr val="C0504D"/>
            </a:solidFill>
            <a:ln w="25400">
              <a:noFill/>
            </a:ln>
          </c:spPr>
          <c:invertIfNegative val="0"/>
          <c:val>
            <c:numRef>
              <c:f>'Cartera 2024 CONT '!$C$35:$BC$35</c:f>
              <c:numCache>
                <c:formatCode>#,##0_ ;[Red]\-#,##0\ </c:formatCode>
                <c:ptCount val="12"/>
                <c:pt idx="0">
                  <c:v>37511649</c:v>
                </c:pt>
                <c:pt idx="1">
                  <c:v>34276752</c:v>
                </c:pt>
                <c:pt idx="2">
                  <c:v>34934183</c:v>
                </c:pt>
                <c:pt idx="3">
                  <c:v>50363418</c:v>
                </c:pt>
                <c:pt idx="4">
                  <c:v>34498288</c:v>
                </c:pt>
                <c:pt idx="5">
                  <c:v>51976752</c:v>
                </c:pt>
                <c:pt idx="6">
                  <c:v>35807963</c:v>
                </c:pt>
                <c:pt idx="7">
                  <c:v>52010804</c:v>
                </c:pt>
                <c:pt idx="8" formatCode="General">
                  <c:v>38837397</c:v>
                </c:pt>
                <c:pt idx="9" formatCode="General">
                  <c:v>28773246</c:v>
                </c:pt>
                <c:pt idx="10" formatCode="General">
                  <c:v>27272657</c:v>
                </c:pt>
                <c:pt idx="11" formatCode="General">
                  <c:v>25907273</c:v>
                </c:pt>
              </c:numCache>
            </c:numRef>
          </c:val>
          <c:extLst>
            <c:ext xmlns:c16="http://schemas.microsoft.com/office/drawing/2014/chart" uri="{C3380CC4-5D6E-409C-BE32-E72D297353CC}">
              <c16:uniqueId val="{00000001-A99A-4E42-9070-C0BCEB6C27F1}"/>
            </c:ext>
          </c:extLst>
        </c:ser>
        <c:ser>
          <c:idx val="2"/>
          <c:order val="2"/>
          <c:tx>
            <c:strRef>
              <c:f>'Cartera 2024 CONT '!$A$36:$B$36</c:f>
              <c:strCache>
                <c:ptCount val="2"/>
                <c:pt idx="0">
                  <c:v>Recaudo</c:v>
                </c:pt>
              </c:strCache>
            </c:strRef>
          </c:tx>
          <c:spPr>
            <a:solidFill>
              <a:srgbClr val="9BBB59"/>
            </a:solidFill>
            <a:ln w="25400">
              <a:noFill/>
            </a:ln>
          </c:spPr>
          <c:invertIfNegative val="0"/>
          <c:val>
            <c:numRef>
              <c:f>'Cartera 2024 CONT '!$C$36:$BC$36</c:f>
              <c:numCache>
                <c:formatCode>#,##0.00_ ;[Red]\-#,##0.00\ </c:formatCode>
                <c:ptCount val="12"/>
                <c:pt idx="0">
                  <c:v>34172571</c:v>
                </c:pt>
                <c:pt idx="1">
                  <c:v>24262259</c:v>
                </c:pt>
                <c:pt idx="2">
                  <c:v>35437835</c:v>
                </c:pt>
                <c:pt idx="3">
                  <c:v>42841538</c:v>
                </c:pt>
                <c:pt idx="4">
                  <c:v>30385188</c:v>
                </c:pt>
                <c:pt idx="5">
                  <c:v>44855740</c:v>
                </c:pt>
                <c:pt idx="6">
                  <c:v>30101933</c:v>
                </c:pt>
                <c:pt idx="7">
                  <c:v>46281003</c:v>
                </c:pt>
                <c:pt idx="8">
                  <c:v>33107596</c:v>
                </c:pt>
                <c:pt idx="9">
                  <c:v>29611449</c:v>
                </c:pt>
                <c:pt idx="10">
                  <c:v>23596218</c:v>
                </c:pt>
                <c:pt idx="11">
                  <c:v>23703750</c:v>
                </c:pt>
              </c:numCache>
            </c:numRef>
          </c:val>
          <c:extLst>
            <c:ext xmlns:c16="http://schemas.microsoft.com/office/drawing/2014/chart" uri="{C3380CC4-5D6E-409C-BE32-E72D297353CC}">
              <c16:uniqueId val="{00000002-A99A-4E42-9070-C0BCEB6C27F1}"/>
            </c:ext>
          </c:extLst>
        </c:ser>
        <c:dLbls>
          <c:showLegendKey val="0"/>
          <c:showVal val="0"/>
          <c:showCatName val="0"/>
          <c:showSerName val="0"/>
          <c:showPercent val="0"/>
          <c:showBubbleSize val="0"/>
        </c:dLbls>
        <c:gapWidth val="219"/>
        <c:overlap val="-27"/>
        <c:axId val="728876816"/>
        <c:axId val="1"/>
      </c:barChart>
      <c:lineChart>
        <c:grouping val="standard"/>
        <c:varyColors val="0"/>
        <c:ser>
          <c:idx val="3"/>
          <c:order val="3"/>
          <c:tx>
            <c:strRef>
              <c:f>'Cartera 2024 CONT '!$A$37:$B$37</c:f>
              <c:strCache>
                <c:ptCount val="2"/>
                <c:pt idx="0">
                  <c:v>%cartera</c:v>
                </c:pt>
              </c:strCache>
            </c:strRef>
          </c:tx>
          <c:spPr>
            <a:ln w="28575" cap="rnd">
              <a:solidFill>
                <a:schemeClr val="accent4"/>
              </a:solidFill>
              <a:round/>
            </a:ln>
            <a:effectLst/>
          </c:spPr>
          <c:marker>
            <c:symbol val="none"/>
          </c:marker>
          <c:val>
            <c:numRef>
              <c:f>'Cartera 2024 CONT '!$C$37:$BC$37</c:f>
              <c:numCache>
                <c:formatCode>0.00%</c:formatCode>
                <c:ptCount val="12"/>
                <c:pt idx="0">
                  <c:v>8.9014428557912764E-2</c:v>
                </c:pt>
                <c:pt idx="1">
                  <c:v>0.29216575129405492</c:v>
                </c:pt>
                <c:pt idx="2">
                  <c:v>-1.4417168422115382E-2</c:v>
                </c:pt>
                <c:pt idx="3">
                  <c:v>0.14935205549393013</c:v>
                </c:pt>
                <c:pt idx="4">
                  <c:v>0.1192262062395676</c:v>
                </c:pt>
                <c:pt idx="5">
                  <c:v>0.13700378969428487</c:v>
                </c:pt>
                <c:pt idx="6">
                  <c:v>0.159350868408795</c:v>
                </c:pt>
                <c:pt idx="7">
                  <c:v>0.11016559174897585</c:v>
                </c:pt>
                <c:pt idx="8">
                  <c:v>0.14753308518590985</c:v>
                </c:pt>
                <c:pt idx="9">
                  <c:v>-2.9131332627538791E-2</c:v>
                </c:pt>
                <c:pt idx="10">
                  <c:v>0.13480311067601516</c:v>
                </c:pt>
                <c:pt idx="11">
                  <c:v>8.5054223962514316E-2</c:v>
                </c:pt>
              </c:numCache>
            </c:numRef>
          </c:val>
          <c:smooth val="0"/>
          <c:extLst>
            <c:ext xmlns:c16="http://schemas.microsoft.com/office/drawing/2014/chart" uri="{C3380CC4-5D6E-409C-BE32-E72D297353CC}">
              <c16:uniqueId val="{00000003-A99A-4E42-9070-C0BCEB6C27F1}"/>
            </c:ext>
          </c:extLst>
        </c:ser>
        <c:dLbls>
          <c:showLegendKey val="0"/>
          <c:showVal val="0"/>
          <c:showCatName val="0"/>
          <c:showSerName val="0"/>
          <c:showPercent val="0"/>
          <c:showBubbleSize val="0"/>
        </c:dLbls>
        <c:marker val="1"/>
        <c:smooth val="0"/>
        <c:axId val="3"/>
        <c:axId val="4"/>
      </c:lineChart>
      <c:catAx>
        <c:axId val="72887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28876816"/>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numFmt formatCode="0.0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
        <c:crosses val="max"/>
        <c:crossBetween val="between"/>
      </c:valAx>
      <c:spPr>
        <a:noFill/>
        <a:ln w="25400">
          <a:noFill/>
        </a:ln>
      </c:spPr>
    </c:plotArea>
    <c:legend>
      <c:legendPos val="b"/>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400" b="0" i="0" u="none" strike="noStrike" baseline="0">
                <a:solidFill>
                  <a:srgbClr val="333333"/>
                </a:solidFill>
                <a:latin typeface="Calibri"/>
                <a:ea typeface="Calibri"/>
                <a:cs typeface="Calibri"/>
              </a:defRPr>
            </a:pPr>
            <a:r>
              <a:rPr lang="es-CO"/>
              <a:t>Comportamiento de pagos 2023</a:t>
            </a:r>
          </a:p>
        </c:rich>
      </c:tx>
      <c:layout>
        <c:manualLayout>
          <c:xMode val="edge"/>
          <c:yMode val="edge"/>
          <c:x val="0.36156920799407849"/>
          <c:y val="7.9575596816976124E-2"/>
        </c:manualLayout>
      </c:layout>
      <c:overlay val="0"/>
      <c:spPr>
        <a:noFill/>
        <a:ln w="25400">
          <a:noFill/>
        </a:ln>
      </c:spPr>
    </c:title>
    <c:autoTitleDeleted val="0"/>
    <c:plotArea>
      <c:layout/>
      <c:barChart>
        <c:barDir val="col"/>
        <c:grouping val="clustered"/>
        <c:varyColors val="0"/>
        <c:ser>
          <c:idx val="0"/>
          <c:order val="0"/>
          <c:tx>
            <c:strRef>
              <c:f>'[15]GRAF CARTERA 2021'!$B$5</c:f>
              <c:strCache>
                <c:ptCount val="1"/>
                <c:pt idx="0">
                  <c:v>1 al 10</c:v>
                </c:pt>
              </c:strCache>
            </c:strRef>
          </c:tx>
          <c:spPr>
            <a:solidFill>
              <a:srgbClr val="4F81BD"/>
            </a:solidFill>
            <a:ln w="25400">
              <a:noFill/>
            </a:ln>
          </c:spPr>
          <c:invertIfNegative val="0"/>
          <c:cat>
            <c:numRef>
              <c:f>'[15]GRAF CARTERA 2021'!$C$4:$N$4</c:f>
              <c:numCache>
                <c:formatCode>General</c:formatCode>
                <c:ptCount val="12"/>
                <c:pt idx="0">
                  <c:v>44201</c:v>
                </c:pt>
                <c:pt idx="1">
                  <c:v>44232</c:v>
                </c:pt>
                <c:pt idx="2">
                  <c:v>44260</c:v>
                </c:pt>
                <c:pt idx="3">
                  <c:v>44292</c:v>
                </c:pt>
                <c:pt idx="4">
                  <c:v>44324</c:v>
                </c:pt>
                <c:pt idx="5">
                  <c:v>44356</c:v>
                </c:pt>
                <c:pt idx="6">
                  <c:v>44388</c:v>
                </c:pt>
                <c:pt idx="7">
                  <c:v>44420</c:v>
                </c:pt>
                <c:pt idx="8">
                  <c:v>44452</c:v>
                </c:pt>
                <c:pt idx="9">
                  <c:v>44484</c:v>
                </c:pt>
                <c:pt idx="10">
                  <c:v>44516</c:v>
                </c:pt>
                <c:pt idx="11">
                  <c:v>44548</c:v>
                </c:pt>
              </c:numCache>
            </c:numRef>
          </c:cat>
          <c:val>
            <c:numRef>
              <c:f>'[15]GRAF CARTERA 2021'!$C$5:$N$5</c:f>
              <c:numCache>
                <c:formatCode>General</c:formatCode>
                <c:ptCount val="12"/>
                <c:pt idx="0">
                  <c:v>2020222</c:v>
                </c:pt>
                <c:pt idx="1">
                  <c:v>6395058</c:v>
                </c:pt>
                <c:pt idx="2">
                  <c:v>6097002</c:v>
                </c:pt>
                <c:pt idx="3">
                  <c:v>3392070</c:v>
                </c:pt>
                <c:pt idx="4">
                  <c:v>3984500</c:v>
                </c:pt>
                <c:pt idx="5">
                  <c:v>4981003</c:v>
                </c:pt>
                <c:pt idx="6">
                  <c:v>2756498</c:v>
                </c:pt>
                <c:pt idx="7">
                  <c:v>5627728</c:v>
                </c:pt>
                <c:pt idx="8">
                  <c:v>4893021</c:v>
                </c:pt>
                <c:pt idx="9">
                  <c:v>5108527</c:v>
                </c:pt>
                <c:pt idx="10">
                  <c:v>4482284</c:v>
                </c:pt>
                <c:pt idx="11">
                  <c:v>3403947</c:v>
                </c:pt>
              </c:numCache>
            </c:numRef>
          </c:val>
          <c:extLst>
            <c:ext xmlns:c16="http://schemas.microsoft.com/office/drawing/2014/chart" uri="{C3380CC4-5D6E-409C-BE32-E72D297353CC}">
              <c16:uniqueId val="{00000000-6A6B-46E4-95DA-BE69EB2064DE}"/>
            </c:ext>
          </c:extLst>
        </c:ser>
        <c:ser>
          <c:idx val="1"/>
          <c:order val="1"/>
          <c:tx>
            <c:strRef>
              <c:f>'[15]GRAF CARTERA 2021'!$B$6</c:f>
              <c:strCache>
                <c:ptCount val="1"/>
                <c:pt idx="0">
                  <c:v>11 al 20</c:v>
                </c:pt>
              </c:strCache>
            </c:strRef>
          </c:tx>
          <c:spPr>
            <a:solidFill>
              <a:srgbClr val="C0504D"/>
            </a:solidFill>
            <a:ln w="25400">
              <a:noFill/>
            </a:ln>
          </c:spPr>
          <c:invertIfNegative val="0"/>
          <c:cat>
            <c:numRef>
              <c:f>'[15]GRAF CARTERA 2021'!$C$4:$N$4</c:f>
              <c:numCache>
                <c:formatCode>General</c:formatCode>
                <c:ptCount val="12"/>
                <c:pt idx="0">
                  <c:v>44201</c:v>
                </c:pt>
                <c:pt idx="1">
                  <c:v>44232</c:v>
                </c:pt>
                <c:pt idx="2">
                  <c:v>44260</c:v>
                </c:pt>
                <c:pt idx="3">
                  <c:v>44292</c:v>
                </c:pt>
                <c:pt idx="4">
                  <c:v>44324</c:v>
                </c:pt>
                <c:pt idx="5">
                  <c:v>44356</c:v>
                </c:pt>
                <c:pt idx="6">
                  <c:v>44388</c:v>
                </c:pt>
                <c:pt idx="7">
                  <c:v>44420</c:v>
                </c:pt>
                <c:pt idx="8">
                  <c:v>44452</c:v>
                </c:pt>
                <c:pt idx="9">
                  <c:v>44484</c:v>
                </c:pt>
                <c:pt idx="10">
                  <c:v>44516</c:v>
                </c:pt>
                <c:pt idx="11">
                  <c:v>44548</c:v>
                </c:pt>
              </c:numCache>
            </c:numRef>
          </c:cat>
          <c:val>
            <c:numRef>
              <c:f>'[15]GRAF CARTERA 2021'!$C$6:$N$6</c:f>
              <c:numCache>
                <c:formatCode>General</c:formatCode>
                <c:ptCount val="12"/>
                <c:pt idx="0">
                  <c:v>5462497</c:v>
                </c:pt>
                <c:pt idx="1">
                  <c:v>8218620</c:v>
                </c:pt>
                <c:pt idx="2">
                  <c:v>8004884</c:v>
                </c:pt>
                <c:pt idx="3">
                  <c:v>6898263</c:v>
                </c:pt>
                <c:pt idx="4">
                  <c:v>3713840</c:v>
                </c:pt>
                <c:pt idx="5">
                  <c:v>7632604</c:v>
                </c:pt>
                <c:pt idx="6">
                  <c:v>4521534</c:v>
                </c:pt>
                <c:pt idx="7">
                  <c:v>4489593</c:v>
                </c:pt>
                <c:pt idx="8">
                  <c:v>6048548</c:v>
                </c:pt>
                <c:pt idx="9">
                  <c:v>3256338</c:v>
                </c:pt>
                <c:pt idx="10">
                  <c:v>5737509</c:v>
                </c:pt>
                <c:pt idx="11">
                  <c:v>4985110</c:v>
                </c:pt>
              </c:numCache>
            </c:numRef>
          </c:val>
          <c:extLst>
            <c:ext xmlns:c16="http://schemas.microsoft.com/office/drawing/2014/chart" uri="{C3380CC4-5D6E-409C-BE32-E72D297353CC}">
              <c16:uniqueId val="{00000001-6A6B-46E4-95DA-BE69EB2064DE}"/>
            </c:ext>
          </c:extLst>
        </c:ser>
        <c:ser>
          <c:idx val="2"/>
          <c:order val="2"/>
          <c:tx>
            <c:strRef>
              <c:f>'[15]GRAF CARTERA 2021'!$B$7</c:f>
              <c:strCache>
                <c:ptCount val="1"/>
                <c:pt idx="0">
                  <c:v>21 al 31</c:v>
                </c:pt>
              </c:strCache>
            </c:strRef>
          </c:tx>
          <c:spPr>
            <a:solidFill>
              <a:srgbClr val="9BBB59"/>
            </a:solidFill>
            <a:ln w="25400">
              <a:noFill/>
            </a:ln>
          </c:spPr>
          <c:invertIfNegative val="0"/>
          <c:cat>
            <c:numRef>
              <c:f>'[15]GRAF CARTERA 2021'!$C$4:$N$4</c:f>
              <c:numCache>
                <c:formatCode>General</c:formatCode>
                <c:ptCount val="12"/>
                <c:pt idx="0">
                  <c:v>44201</c:v>
                </c:pt>
                <c:pt idx="1">
                  <c:v>44232</c:v>
                </c:pt>
                <c:pt idx="2">
                  <c:v>44260</c:v>
                </c:pt>
                <c:pt idx="3">
                  <c:v>44292</c:v>
                </c:pt>
                <c:pt idx="4">
                  <c:v>44324</c:v>
                </c:pt>
                <c:pt idx="5">
                  <c:v>44356</c:v>
                </c:pt>
                <c:pt idx="6">
                  <c:v>44388</c:v>
                </c:pt>
                <c:pt idx="7">
                  <c:v>44420</c:v>
                </c:pt>
                <c:pt idx="8">
                  <c:v>44452</c:v>
                </c:pt>
                <c:pt idx="9">
                  <c:v>44484</c:v>
                </c:pt>
                <c:pt idx="10">
                  <c:v>44516</c:v>
                </c:pt>
                <c:pt idx="11">
                  <c:v>44548</c:v>
                </c:pt>
              </c:numCache>
            </c:numRef>
          </c:cat>
          <c:val>
            <c:numRef>
              <c:f>'[15]GRAF CARTERA 2021'!$C$7:$N$7</c:f>
              <c:numCache>
                <c:formatCode>General</c:formatCode>
                <c:ptCount val="12"/>
                <c:pt idx="0">
                  <c:v>8970649</c:v>
                </c:pt>
                <c:pt idx="1">
                  <c:v>5555969</c:v>
                </c:pt>
                <c:pt idx="2">
                  <c:v>2803196</c:v>
                </c:pt>
                <c:pt idx="3">
                  <c:v>6075043</c:v>
                </c:pt>
                <c:pt idx="4">
                  <c:v>12308552</c:v>
                </c:pt>
                <c:pt idx="5">
                  <c:v>5069436</c:v>
                </c:pt>
                <c:pt idx="6">
                  <c:v>8810305</c:v>
                </c:pt>
                <c:pt idx="7">
                  <c:v>5456450</c:v>
                </c:pt>
                <c:pt idx="8">
                  <c:v>6513955</c:v>
                </c:pt>
                <c:pt idx="9">
                  <c:v>8308649</c:v>
                </c:pt>
                <c:pt idx="11">
                  <c:v>11097696</c:v>
                </c:pt>
              </c:numCache>
            </c:numRef>
          </c:val>
          <c:extLst>
            <c:ext xmlns:c16="http://schemas.microsoft.com/office/drawing/2014/chart" uri="{C3380CC4-5D6E-409C-BE32-E72D297353CC}">
              <c16:uniqueId val="{00000002-6A6B-46E4-95DA-BE69EB2064DE}"/>
            </c:ext>
          </c:extLst>
        </c:ser>
        <c:dLbls>
          <c:showLegendKey val="0"/>
          <c:showVal val="0"/>
          <c:showCatName val="0"/>
          <c:showSerName val="0"/>
          <c:showPercent val="0"/>
          <c:showBubbleSize val="0"/>
        </c:dLbls>
        <c:gapWidth val="219"/>
        <c:overlap val="-27"/>
        <c:axId val="968515424"/>
        <c:axId val="1"/>
      </c:barChart>
      <c:lineChart>
        <c:grouping val="standard"/>
        <c:varyColors val="0"/>
        <c:ser>
          <c:idx val="3"/>
          <c:order val="3"/>
          <c:tx>
            <c:strRef>
              <c:f>'[15]GRAF CARTERA 2021'!$B$8</c:f>
              <c:strCache>
                <c:ptCount val="1"/>
                <c:pt idx="0">
                  <c:v>Total Recaudo</c:v>
                </c:pt>
              </c:strCache>
            </c:strRef>
          </c:tx>
          <c:spPr>
            <a:ln w="28575" cap="rnd">
              <a:solidFill>
                <a:schemeClr val="accent4"/>
              </a:solidFill>
              <a:round/>
            </a:ln>
            <a:effectLst/>
          </c:spPr>
          <c:marker>
            <c:symbol val="none"/>
          </c:marker>
          <c:cat>
            <c:numRef>
              <c:f>'[15]GRAF CARTERA 2021'!$C$4:$N$4</c:f>
              <c:numCache>
                <c:formatCode>General</c:formatCode>
                <c:ptCount val="12"/>
                <c:pt idx="0">
                  <c:v>44201</c:v>
                </c:pt>
                <c:pt idx="1">
                  <c:v>44232</c:v>
                </c:pt>
                <c:pt idx="2">
                  <c:v>44260</c:v>
                </c:pt>
                <c:pt idx="3">
                  <c:v>44292</c:v>
                </c:pt>
                <c:pt idx="4">
                  <c:v>44324</c:v>
                </c:pt>
                <c:pt idx="5">
                  <c:v>44356</c:v>
                </c:pt>
                <c:pt idx="6">
                  <c:v>44388</c:v>
                </c:pt>
                <c:pt idx="7">
                  <c:v>44420</c:v>
                </c:pt>
                <c:pt idx="8">
                  <c:v>44452</c:v>
                </c:pt>
                <c:pt idx="9">
                  <c:v>44484</c:v>
                </c:pt>
                <c:pt idx="10">
                  <c:v>44516</c:v>
                </c:pt>
                <c:pt idx="11">
                  <c:v>44548</c:v>
                </c:pt>
              </c:numCache>
            </c:numRef>
          </c:cat>
          <c:val>
            <c:numRef>
              <c:f>'[15]GRAF CARTERA 2021'!$C$8:$N$8</c:f>
              <c:numCache>
                <c:formatCode>General</c:formatCode>
                <c:ptCount val="12"/>
                <c:pt idx="0">
                  <c:v>16453368</c:v>
                </c:pt>
                <c:pt idx="1">
                  <c:v>20169647</c:v>
                </c:pt>
                <c:pt idx="2">
                  <c:v>16905082</c:v>
                </c:pt>
                <c:pt idx="3">
                  <c:v>16365376</c:v>
                </c:pt>
                <c:pt idx="4">
                  <c:v>20006892</c:v>
                </c:pt>
                <c:pt idx="5">
                  <c:v>17683043</c:v>
                </c:pt>
                <c:pt idx="6">
                  <c:v>16088337</c:v>
                </c:pt>
                <c:pt idx="7">
                  <c:v>15573771</c:v>
                </c:pt>
                <c:pt idx="8">
                  <c:v>17455524</c:v>
                </c:pt>
                <c:pt idx="9">
                  <c:v>16673514</c:v>
                </c:pt>
                <c:pt idx="10">
                  <c:v>10219793</c:v>
                </c:pt>
                <c:pt idx="11">
                  <c:v>19486753</c:v>
                </c:pt>
              </c:numCache>
            </c:numRef>
          </c:val>
          <c:smooth val="0"/>
          <c:extLst>
            <c:ext xmlns:c16="http://schemas.microsoft.com/office/drawing/2014/chart" uri="{C3380CC4-5D6E-409C-BE32-E72D297353CC}">
              <c16:uniqueId val="{00000003-6A6B-46E4-95DA-BE69EB2064DE}"/>
            </c:ext>
          </c:extLst>
        </c:ser>
        <c:dLbls>
          <c:showLegendKey val="0"/>
          <c:showVal val="0"/>
          <c:showCatName val="0"/>
          <c:showSerName val="0"/>
          <c:showPercent val="0"/>
          <c:showBubbleSize val="0"/>
        </c:dLbls>
        <c:marker val="1"/>
        <c:smooth val="0"/>
        <c:axId val="968515424"/>
        <c:axId val="1"/>
      </c:lineChart>
      <c:catAx>
        <c:axId val="968515424"/>
        <c:scaling>
          <c:orientation val="minMax"/>
        </c:scaling>
        <c:delete val="0"/>
        <c:axPos val="b"/>
        <c:numFmt formatCode="[$-C0A]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968515424"/>
        <c:crosses val="autoZero"/>
        <c:crossBetween val="between"/>
      </c:valAx>
      <c:spPr>
        <a:noFill/>
        <a:ln w="25400">
          <a:noFill/>
        </a:ln>
      </c:spPr>
    </c:plotArea>
    <c:legend>
      <c:legendPos val="b"/>
      <c:overlay val="0"/>
      <c:spPr>
        <a:noFill/>
        <a:ln w="25400">
          <a:noFill/>
        </a:ln>
      </c:spPr>
      <c:txPr>
        <a:bodyPr/>
        <a:lstStyle/>
        <a:p>
          <a:pPr>
            <a:defRPr sz="755" b="0" i="0" u="none" strike="noStrike"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5" Type="http://schemas.openxmlformats.org/officeDocument/2006/relationships/chart" Target="../charts/chart22.xml"/><Relationship Id="rId4" Type="http://schemas.openxmlformats.org/officeDocument/2006/relationships/chart" Target="../charts/chart2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4" Type="http://schemas.openxmlformats.org/officeDocument/2006/relationships/chart" Target="../charts/chart26.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 Id="rId6" Type="http://schemas.openxmlformats.org/officeDocument/2006/relationships/chart" Target="../charts/chart32.xml"/><Relationship Id="rId5" Type="http://schemas.openxmlformats.org/officeDocument/2006/relationships/chart" Target="../charts/chart31.xml"/><Relationship Id="rId4" Type="http://schemas.openxmlformats.org/officeDocument/2006/relationships/chart" Target="../charts/chart30.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35.xml"/><Relationship Id="rId2" Type="http://schemas.openxmlformats.org/officeDocument/2006/relationships/chart" Target="../charts/chart34.xml"/><Relationship Id="rId1" Type="http://schemas.openxmlformats.org/officeDocument/2006/relationships/chart" Target="../charts/chart33.xml"/><Relationship Id="rId6" Type="http://schemas.openxmlformats.org/officeDocument/2006/relationships/chart" Target="../charts/chart38.xml"/><Relationship Id="rId5" Type="http://schemas.openxmlformats.org/officeDocument/2006/relationships/chart" Target="../charts/chart37.xml"/><Relationship Id="rId4" Type="http://schemas.openxmlformats.org/officeDocument/2006/relationships/chart" Target="../charts/chart36.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20.xml.rels><?xml version="1.0" encoding="UTF-8" standalone="yes"?>
<Relationships xmlns="http://schemas.openxmlformats.org/package/2006/relationships"><Relationship Id="rId3" Type="http://schemas.openxmlformats.org/officeDocument/2006/relationships/chart" Target="../charts/chart42.xml"/><Relationship Id="rId2" Type="http://schemas.openxmlformats.org/officeDocument/2006/relationships/chart" Target="../charts/chart41.xml"/><Relationship Id="rId1" Type="http://schemas.openxmlformats.org/officeDocument/2006/relationships/chart" Target="../charts/chart40.xml"/><Relationship Id="rId4" Type="http://schemas.openxmlformats.org/officeDocument/2006/relationships/chart" Target="../charts/chart43.xml"/></Relationships>
</file>

<file path=xl/drawings/_rels/drawing24.xml.rels><?xml version="1.0" encoding="UTF-8" standalone="yes"?>
<Relationships xmlns="http://schemas.openxmlformats.org/package/2006/relationships"><Relationship Id="rId3" Type="http://schemas.openxmlformats.org/officeDocument/2006/relationships/chart" Target="../charts/chart46.xml"/><Relationship Id="rId2" Type="http://schemas.openxmlformats.org/officeDocument/2006/relationships/chart" Target="../charts/chart45.xml"/><Relationship Id="rId1" Type="http://schemas.openxmlformats.org/officeDocument/2006/relationships/chart" Target="../charts/chart44.xml"/><Relationship Id="rId4" Type="http://schemas.openxmlformats.org/officeDocument/2006/relationships/chart" Target="../charts/chart47.xml"/></Relationships>
</file>

<file path=xl/drawings/_rels/drawing25.xml.rels><?xml version="1.0" encoding="UTF-8" standalone="yes"?>
<Relationships xmlns="http://schemas.openxmlformats.org/package/2006/relationships"><Relationship Id="rId3" Type="http://schemas.openxmlformats.org/officeDocument/2006/relationships/chart" Target="../charts/chart50.xml"/><Relationship Id="rId2" Type="http://schemas.openxmlformats.org/officeDocument/2006/relationships/chart" Target="../charts/chart49.xml"/><Relationship Id="rId1" Type="http://schemas.openxmlformats.org/officeDocument/2006/relationships/chart" Target="../charts/chart48.xml"/><Relationship Id="rId4" Type="http://schemas.openxmlformats.org/officeDocument/2006/relationships/chart" Target="../charts/chart51.xml"/></Relationships>
</file>

<file path=xl/drawings/_rels/drawing29.xml.rels><?xml version="1.0" encoding="UTF-8" standalone="yes"?>
<Relationships xmlns="http://schemas.openxmlformats.org/package/2006/relationships"><Relationship Id="rId3" Type="http://schemas.openxmlformats.org/officeDocument/2006/relationships/chart" Target="../charts/chart54.xml"/><Relationship Id="rId7" Type="http://schemas.openxmlformats.org/officeDocument/2006/relationships/chart" Target="../charts/chart58.xml"/><Relationship Id="rId2" Type="http://schemas.openxmlformats.org/officeDocument/2006/relationships/chart" Target="../charts/chart53.xml"/><Relationship Id="rId1" Type="http://schemas.openxmlformats.org/officeDocument/2006/relationships/chart" Target="../charts/chart52.xml"/><Relationship Id="rId6" Type="http://schemas.openxmlformats.org/officeDocument/2006/relationships/chart" Target="../charts/chart57.xml"/><Relationship Id="rId5" Type="http://schemas.openxmlformats.org/officeDocument/2006/relationships/chart" Target="../charts/chart56.xml"/><Relationship Id="rId4" Type="http://schemas.openxmlformats.org/officeDocument/2006/relationships/chart" Target="../charts/chart55.xml"/></Relationships>
</file>

<file path=xl/drawings/_rels/drawing35.xml.rels><?xml version="1.0" encoding="UTF-8" standalone="yes"?>
<Relationships xmlns="http://schemas.openxmlformats.org/package/2006/relationships"><Relationship Id="rId3" Type="http://schemas.openxmlformats.org/officeDocument/2006/relationships/chart" Target="../charts/chart61.xml"/><Relationship Id="rId2" Type="http://schemas.openxmlformats.org/officeDocument/2006/relationships/chart" Target="../charts/chart60.xml"/><Relationship Id="rId1" Type="http://schemas.openxmlformats.org/officeDocument/2006/relationships/chart" Target="../charts/chart59.xml"/><Relationship Id="rId6" Type="http://schemas.openxmlformats.org/officeDocument/2006/relationships/chart" Target="../charts/chart64.xml"/><Relationship Id="rId5" Type="http://schemas.openxmlformats.org/officeDocument/2006/relationships/chart" Target="../charts/chart63.xml"/><Relationship Id="rId4" Type="http://schemas.openxmlformats.org/officeDocument/2006/relationships/chart" Target="../charts/chart62.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65.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6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12700</xdr:colOff>
      <xdr:row>19</xdr:row>
      <xdr:rowOff>152400</xdr:rowOff>
    </xdr:to>
    <xdr:graphicFrame macro="">
      <xdr:nvGraphicFramePr>
        <xdr:cNvPr id="2" name="Gráfico 1">
          <a:extLst>
            <a:ext uri="{FF2B5EF4-FFF2-40B4-BE49-F238E27FC236}">
              <a16:creationId xmlns:a16="http://schemas.microsoft.com/office/drawing/2014/main" id="{84F4AC0C-1019-4414-AB35-A6A78D0DD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0</xdr:rowOff>
    </xdr:from>
    <xdr:to>
      <xdr:col>10</xdr:col>
      <xdr:colOff>12700</xdr:colOff>
      <xdr:row>39</xdr:row>
      <xdr:rowOff>152400</xdr:rowOff>
    </xdr:to>
    <xdr:graphicFrame macro="">
      <xdr:nvGraphicFramePr>
        <xdr:cNvPr id="4" name="Gráfico 3">
          <a:extLst>
            <a:ext uri="{FF2B5EF4-FFF2-40B4-BE49-F238E27FC236}">
              <a16:creationId xmlns:a16="http://schemas.microsoft.com/office/drawing/2014/main" id="{54A21D7A-6A38-4AE0-BF9A-BAD48AE80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40</xdr:row>
      <xdr:rowOff>0</xdr:rowOff>
    </xdr:from>
    <xdr:to>
      <xdr:col>10</xdr:col>
      <xdr:colOff>12700</xdr:colOff>
      <xdr:row>59</xdr:row>
      <xdr:rowOff>152400</xdr:rowOff>
    </xdr:to>
    <xdr:graphicFrame macro="">
      <xdr:nvGraphicFramePr>
        <xdr:cNvPr id="5" name="Gráfico 4">
          <a:extLst>
            <a:ext uri="{FF2B5EF4-FFF2-40B4-BE49-F238E27FC236}">
              <a16:creationId xmlns:a16="http://schemas.microsoft.com/office/drawing/2014/main" id="{DDFBD189-C501-402D-ADFE-F226B5272B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60</xdr:row>
      <xdr:rowOff>0</xdr:rowOff>
    </xdr:from>
    <xdr:to>
      <xdr:col>10</xdr:col>
      <xdr:colOff>12700</xdr:colOff>
      <xdr:row>79</xdr:row>
      <xdr:rowOff>152400</xdr:rowOff>
    </xdr:to>
    <xdr:graphicFrame macro="">
      <xdr:nvGraphicFramePr>
        <xdr:cNvPr id="6" name="Gráfico 5">
          <a:extLst>
            <a:ext uri="{FF2B5EF4-FFF2-40B4-BE49-F238E27FC236}">
              <a16:creationId xmlns:a16="http://schemas.microsoft.com/office/drawing/2014/main" id="{35444FEA-FDA1-4AC2-92FD-DB163A6EF7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26</xdr:col>
      <xdr:colOff>755650</xdr:colOff>
      <xdr:row>0</xdr:row>
      <xdr:rowOff>0</xdr:rowOff>
    </xdr:from>
    <xdr:to>
      <xdr:col>33</xdr:col>
      <xdr:colOff>749300</xdr:colOff>
      <xdr:row>20</xdr:row>
      <xdr:rowOff>101600</xdr:rowOff>
    </xdr:to>
    <xdr:graphicFrame macro="">
      <xdr:nvGraphicFramePr>
        <xdr:cNvPr id="2" name="Gráfico 1">
          <a:extLst>
            <a:ext uri="{FF2B5EF4-FFF2-40B4-BE49-F238E27FC236}">
              <a16:creationId xmlns:a16="http://schemas.microsoft.com/office/drawing/2014/main" id="{72386BC8-75EF-4ED0-BC04-028CC2589E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6350</xdr:colOff>
      <xdr:row>48</xdr:row>
      <xdr:rowOff>38100</xdr:rowOff>
    </xdr:from>
    <xdr:to>
      <xdr:col>25</xdr:col>
      <xdr:colOff>749300</xdr:colOff>
      <xdr:row>63</xdr:row>
      <xdr:rowOff>57150</xdr:rowOff>
    </xdr:to>
    <xdr:graphicFrame macro="">
      <xdr:nvGraphicFramePr>
        <xdr:cNvPr id="3" name="Gráfico 3">
          <a:extLst>
            <a:ext uri="{FF2B5EF4-FFF2-40B4-BE49-F238E27FC236}">
              <a16:creationId xmlns:a16="http://schemas.microsoft.com/office/drawing/2014/main" id="{BCADB6E7-AF77-41DC-BCDE-96B43966BE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6350</xdr:colOff>
      <xdr:row>21</xdr:row>
      <xdr:rowOff>57150</xdr:rowOff>
    </xdr:from>
    <xdr:to>
      <xdr:col>37</xdr:col>
      <xdr:colOff>0</xdr:colOff>
      <xdr:row>48</xdr:row>
      <xdr:rowOff>12700</xdr:rowOff>
    </xdr:to>
    <xdr:graphicFrame macro="">
      <xdr:nvGraphicFramePr>
        <xdr:cNvPr id="4" name="Gráfico 2">
          <a:extLst>
            <a:ext uri="{FF2B5EF4-FFF2-40B4-BE49-F238E27FC236}">
              <a16:creationId xmlns:a16="http://schemas.microsoft.com/office/drawing/2014/main" id="{861AE00B-65F3-463C-ACB2-560FF674FE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65</xdr:row>
      <xdr:rowOff>0</xdr:rowOff>
    </xdr:from>
    <xdr:to>
      <xdr:col>25</xdr:col>
      <xdr:colOff>742950</xdr:colOff>
      <xdr:row>80</xdr:row>
      <xdr:rowOff>19050</xdr:rowOff>
    </xdr:to>
    <xdr:graphicFrame macro="">
      <xdr:nvGraphicFramePr>
        <xdr:cNvPr id="5" name="Gráfico 3">
          <a:extLst>
            <a:ext uri="{FF2B5EF4-FFF2-40B4-BE49-F238E27FC236}">
              <a16:creationId xmlns:a16="http://schemas.microsoft.com/office/drawing/2014/main" id="{00C47BED-4E48-4AC6-B5BD-CEE5A2461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136525</xdr:colOff>
      <xdr:row>60</xdr:row>
      <xdr:rowOff>15875</xdr:rowOff>
    </xdr:from>
    <xdr:to>
      <xdr:col>17</xdr:col>
      <xdr:colOff>708025</xdr:colOff>
      <xdr:row>77</xdr:row>
      <xdr:rowOff>60325</xdr:rowOff>
    </xdr:to>
    <xdr:graphicFrame macro="">
      <xdr:nvGraphicFramePr>
        <xdr:cNvPr id="6" name="Gráfico 5">
          <a:extLst>
            <a:ext uri="{FF2B5EF4-FFF2-40B4-BE49-F238E27FC236}">
              <a16:creationId xmlns:a16="http://schemas.microsoft.com/office/drawing/2014/main" id="{55BA774D-1CEA-F666-BA0E-F9A30ADF71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18</xdr:col>
      <xdr:colOff>6350</xdr:colOff>
      <xdr:row>0</xdr:row>
      <xdr:rowOff>0</xdr:rowOff>
    </xdr:from>
    <xdr:to>
      <xdr:col>25</xdr:col>
      <xdr:colOff>0</xdr:colOff>
      <xdr:row>20</xdr:row>
      <xdr:rowOff>101600</xdr:rowOff>
    </xdr:to>
    <xdr:graphicFrame macro="">
      <xdr:nvGraphicFramePr>
        <xdr:cNvPr id="2" name="Gráfico 1">
          <a:extLst>
            <a:ext uri="{FF2B5EF4-FFF2-40B4-BE49-F238E27FC236}">
              <a16:creationId xmlns:a16="http://schemas.microsoft.com/office/drawing/2014/main" id="{71962544-9211-460D-B978-BCD64B898D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6350</xdr:colOff>
      <xdr:row>48</xdr:row>
      <xdr:rowOff>38100</xdr:rowOff>
    </xdr:from>
    <xdr:to>
      <xdr:col>24</xdr:col>
      <xdr:colOff>749300</xdr:colOff>
      <xdr:row>63</xdr:row>
      <xdr:rowOff>57150</xdr:rowOff>
    </xdr:to>
    <xdr:graphicFrame macro="">
      <xdr:nvGraphicFramePr>
        <xdr:cNvPr id="3" name="Gráfico 3">
          <a:extLst>
            <a:ext uri="{FF2B5EF4-FFF2-40B4-BE49-F238E27FC236}">
              <a16:creationId xmlns:a16="http://schemas.microsoft.com/office/drawing/2014/main" id="{48BA43EE-AB02-4ED0-BEDF-9E2F2DDBA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21</xdr:row>
      <xdr:rowOff>0</xdr:rowOff>
    </xdr:from>
    <xdr:to>
      <xdr:col>24</xdr:col>
      <xdr:colOff>755650</xdr:colOff>
      <xdr:row>47</xdr:row>
      <xdr:rowOff>114300</xdr:rowOff>
    </xdr:to>
    <xdr:graphicFrame macro="">
      <xdr:nvGraphicFramePr>
        <xdr:cNvPr id="4" name="Gráfico 2">
          <a:extLst>
            <a:ext uri="{FF2B5EF4-FFF2-40B4-BE49-F238E27FC236}">
              <a16:creationId xmlns:a16="http://schemas.microsoft.com/office/drawing/2014/main" id="{E0E9E67F-1018-4EED-894A-B3D91C5540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65</xdr:row>
      <xdr:rowOff>0</xdr:rowOff>
    </xdr:from>
    <xdr:to>
      <xdr:col>24</xdr:col>
      <xdr:colOff>742950</xdr:colOff>
      <xdr:row>80</xdr:row>
      <xdr:rowOff>19050</xdr:rowOff>
    </xdr:to>
    <xdr:graphicFrame macro="">
      <xdr:nvGraphicFramePr>
        <xdr:cNvPr id="5" name="Gráfico 3">
          <a:extLst>
            <a:ext uri="{FF2B5EF4-FFF2-40B4-BE49-F238E27FC236}">
              <a16:creationId xmlns:a16="http://schemas.microsoft.com/office/drawing/2014/main" id="{F2839270-4E52-449C-95E5-0B7D17245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26</xdr:col>
      <xdr:colOff>6350</xdr:colOff>
      <xdr:row>0</xdr:row>
      <xdr:rowOff>0</xdr:rowOff>
    </xdr:from>
    <xdr:to>
      <xdr:col>33</xdr:col>
      <xdr:colOff>0</xdr:colOff>
      <xdr:row>20</xdr:row>
      <xdr:rowOff>101600</xdr:rowOff>
    </xdr:to>
    <xdr:graphicFrame macro="">
      <xdr:nvGraphicFramePr>
        <xdr:cNvPr id="2" name="Gráfico 1">
          <a:extLst>
            <a:ext uri="{FF2B5EF4-FFF2-40B4-BE49-F238E27FC236}">
              <a16:creationId xmlns:a16="http://schemas.microsoft.com/office/drawing/2014/main" id="{9554DE0F-CF9F-41C6-9CC0-E391F6D74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6350</xdr:colOff>
      <xdr:row>48</xdr:row>
      <xdr:rowOff>38100</xdr:rowOff>
    </xdr:from>
    <xdr:to>
      <xdr:col>32</xdr:col>
      <xdr:colOff>749300</xdr:colOff>
      <xdr:row>63</xdr:row>
      <xdr:rowOff>57150</xdr:rowOff>
    </xdr:to>
    <xdr:graphicFrame macro="">
      <xdr:nvGraphicFramePr>
        <xdr:cNvPr id="3" name="Gráfico 3">
          <a:extLst>
            <a:ext uri="{FF2B5EF4-FFF2-40B4-BE49-F238E27FC236}">
              <a16:creationId xmlns:a16="http://schemas.microsoft.com/office/drawing/2014/main" id="{D629D011-0B20-41AF-8C0B-CBC119AFF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0</xdr:colOff>
      <xdr:row>21</xdr:row>
      <xdr:rowOff>0</xdr:rowOff>
    </xdr:from>
    <xdr:to>
      <xdr:col>32</xdr:col>
      <xdr:colOff>755650</xdr:colOff>
      <xdr:row>47</xdr:row>
      <xdr:rowOff>114300</xdr:rowOff>
    </xdr:to>
    <xdr:graphicFrame macro="">
      <xdr:nvGraphicFramePr>
        <xdr:cNvPr id="4" name="Gráfico 2">
          <a:extLst>
            <a:ext uri="{FF2B5EF4-FFF2-40B4-BE49-F238E27FC236}">
              <a16:creationId xmlns:a16="http://schemas.microsoft.com/office/drawing/2014/main" id="{65C775E7-1191-4997-B734-F51F375F1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0</xdr:colOff>
      <xdr:row>65</xdr:row>
      <xdr:rowOff>0</xdr:rowOff>
    </xdr:from>
    <xdr:to>
      <xdr:col>32</xdr:col>
      <xdr:colOff>742950</xdr:colOff>
      <xdr:row>80</xdr:row>
      <xdr:rowOff>19050</xdr:rowOff>
    </xdr:to>
    <xdr:graphicFrame macro="">
      <xdr:nvGraphicFramePr>
        <xdr:cNvPr id="5" name="Gráfico 3">
          <a:extLst>
            <a:ext uri="{FF2B5EF4-FFF2-40B4-BE49-F238E27FC236}">
              <a16:creationId xmlns:a16="http://schemas.microsoft.com/office/drawing/2014/main" id="{EB899E43-123D-4D2F-99C3-C19D538F3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755650</xdr:colOff>
      <xdr:row>24</xdr:row>
      <xdr:rowOff>146050</xdr:rowOff>
    </xdr:to>
    <xdr:graphicFrame macro="">
      <xdr:nvGraphicFramePr>
        <xdr:cNvPr id="2" name="Gráfico 1">
          <a:extLst>
            <a:ext uri="{FF2B5EF4-FFF2-40B4-BE49-F238E27FC236}">
              <a16:creationId xmlns:a16="http://schemas.microsoft.com/office/drawing/2014/main" id="{4AA357B9-F1B1-4E36-8F99-B12793EA1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xdr:row>
      <xdr:rowOff>152400</xdr:rowOff>
    </xdr:from>
    <xdr:to>
      <xdr:col>13</xdr:col>
      <xdr:colOff>660198</xdr:colOff>
      <xdr:row>42</xdr:row>
      <xdr:rowOff>38100</xdr:rowOff>
    </xdr:to>
    <xdr:graphicFrame macro="">
      <xdr:nvGraphicFramePr>
        <xdr:cNvPr id="3" name="Gráfico 2">
          <a:extLst>
            <a:ext uri="{FF2B5EF4-FFF2-40B4-BE49-F238E27FC236}">
              <a16:creationId xmlns:a16="http://schemas.microsoft.com/office/drawing/2014/main" id="{AC86479E-26A4-43A9-9434-D4CAEA554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43</xdr:row>
      <xdr:rowOff>0</xdr:rowOff>
    </xdr:from>
    <xdr:to>
      <xdr:col>14</xdr:col>
      <xdr:colOff>25400</xdr:colOff>
      <xdr:row>64</xdr:row>
      <xdr:rowOff>132543</xdr:rowOff>
    </xdr:to>
    <xdr:graphicFrame macro="">
      <xdr:nvGraphicFramePr>
        <xdr:cNvPr id="5" name="Gráfico 72">
          <a:extLst>
            <a:ext uri="{FF2B5EF4-FFF2-40B4-BE49-F238E27FC236}">
              <a16:creationId xmlns:a16="http://schemas.microsoft.com/office/drawing/2014/main" id="{F0A765EC-13E5-46CA-B4FF-9B759EAA7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65</xdr:row>
      <xdr:rowOff>0</xdr:rowOff>
    </xdr:from>
    <xdr:to>
      <xdr:col>12</xdr:col>
      <xdr:colOff>755650</xdr:colOff>
      <xdr:row>89</xdr:row>
      <xdr:rowOff>146050</xdr:rowOff>
    </xdr:to>
    <xdr:graphicFrame macro="">
      <xdr:nvGraphicFramePr>
        <xdr:cNvPr id="9" name="Gráfico 8">
          <a:extLst>
            <a:ext uri="{FF2B5EF4-FFF2-40B4-BE49-F238E27FC236}">
              <a16:creationId xmlns:a16="http://schemas.microsoft.com/office/drawing/2014/main" id="{DB056F7E-FCD4-4636-9DE1-6F7693C92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90</xdr:row>
      <xdr:rowOff>0</xdr:rowOff>
    </xdr:from>
    <xdr:to>
      <xdr:col>13</xdr:col>
      <xdr:colOff>0</xdr:colOff>
      <xdr:row>107</xdr:row>
      <xdr:rowOff>44450</xdr:rowOff>
    </xdr:to>
    <xdr:graphicFrame macro="">
      <xdr:nvGraphicFramePr>
        <xdr:cNvPr id="10" name="Gráfico 9">
          <a:extLst>
            <a:ext uri="{FF2B5EF4-FFF2-40B4-BE49-F238E27FC236}">
              <a16:creationId xmlns:a16="http://schemas.microsoft.com/office/drawing/2014/main" id="{82F14DC2-E03A-435D-98EE-AB7F4E98BE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7.xml><?xml version="1.0" encoding="utf-8"?>
<xdr:wsDr xmlns:xdr="http://schemas.openxmlformats.org/drawingml/2006/spreadsheetDrawing" xmlns:a="http://schemas.openxmlformats.org/drawingml/2006/main">
  <xdr:twoCellAnchor>
    <xdr:from>
      <xdr:col>27</xdr:col>
      <xdr:colOff>24114</xdr:colOff>
      <xdr:row>44</xdr:row>
      <xdr:rowOff>0</xdr:rowOff>
    </xdr:from>
    <xdr:to>
      <xdr:col>28</xdr:col>
      <xdr:colOff>896471</xdr:colOff>
      <xdr:row>45</xdr:row>
      <xdr:rowOff>9525</xdr:rowOff>
    </xdr:to>
    <xdr:sp macro="" textlink="">
      <xdr:nvSpPr>
        <xdr:cNvPr id="2" name="Diagrama de flujo: proceso alternativo 1">
          <a:extLst>
            <a:ext uri="{FF2B5EF4-FFF2-40B4-BE49-F238E27FC236}">
              <a16:creationId xmlns:a16="http://schemas.microsoft.com/office/drawing/2014/main" id="{8EE99B6D-8EB0-4500-9180-042ED20400EA}"/>
            </a:ext>
          </a:extLst>
        </xdr:cNvPr>
        <xdr:cNvSpPr/>
      </xdr:nvSpPr>
      <xdr:spPr>
        <a:xfrm>
          <a:off x="10896600" y="7270750"/>
          <a:ext cx="0" cy="1746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41</xdr:row>
      <xdr:rowOff>47625</xdr:rowOff>
    </xdr:from>
    <xdr:to>
      <xdr:col>37</xdr:col>
      <xdr:colOff>199691</xdr:colOff>
      <xdr:row>42</xdr:row>
      <xdr:rowOff>76200</xdr:rowOff>
    </xdr:to>
    <xdr:sp macro="" textlink="">
      <xdr:nvSpPr>
        <xdr:cNvPr id="3" name="Signo más 2">
          <a:extLst>
            <a:ext uri="{FF2B5EF4-FFF2-40B4-BE49-F238E27FC236}">
              <a16:creationId xmlns:a16="http://schemas.microsoft.com/office/drawing/2014/main" id="{CDD19835-6CFA-4189-A21A-419C89F02F01}"/>
            </a:ext>
          </a:extLst>
        </xdr:cNvPr>
        <xdr:cNvSpPr/>
      </xdr:nvSpPr>
      <xdr:spPr>
        <a:xfrm>
          <a:off x="10896600" y="6835775"/>
          <a:ext cx="0"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39</xdr:row>
      <xdr:rowOff>9525</xdr:rowOff>
    </xdr:from>
    <xdr:to>
      <xdr:col>37</xdr:col>
      <xdr:colOff>793749</xdr:colOff>
      <xdr:row>41</xdr:row>
      <xdr:rowOff>22225</xdr:rowOff>
    </xdr:to>
    <xdr:sp macro="" textlink="">
      <xdr:nvSpPr>
        <xdr:cNvPr id="4" name="Diagrama de flujo: proceso alternativo 3">
          <a:extLst>
            <a:ext uri="{FF2B5EF4-FFF2-40B4-BE49-F238E27FC236}">
              <a16:creationId xmlns:a16="http://schemas.microsoft.com/office/drawing/2014/main" id="{5CC603C8-198C-4B7B-B0CA-D1472F54BD6A}"/>
            </a:ext>
          </a:extLst>
        </xdr:cNvPr>
        <xdr:cNvSpPr/>
      </xdr:nvSpPr>
      <xdr:spPr>
        <a:xfrm>
          <a:off x="10896600" y="6480175"/>
          <a:ext cx="0"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43</xdr:row>
      <xdr:rowOff>0</xdr:rowOff>
    </xdr:from>
    <xdr:to>
      <xdr:col>37</xdr:col>
      <xdr:colOff>793750</xdr:colOff>
      <xdr:row>44</xdr:row>
      <xdr:rowOff>0</xdr:rowOff>
    </xdr:to>
    <xdr:sp macro="" textlink="">
      <xdr:nvSpPr>
        <xdr:cNvPr id="5" name="Diagrama de flujo: proceso alternativo 4">
          <a:extLst>
            <a:ext uri="{FF2B5EF4-FFF2-40B4-BE49-F238E27FC236}">
              <a16:creationId xmlns:a16="http://schemas.microsoft.com/office/drawing/2014/main" id="{D1CA6B5F-D52B-42D7-A8C8-05E75F77B623}"/>
            </a:ext>
          </a:extLst>
        </xdr:cNvPr>
        <xdr:cNvSpPr/>
      </xdr:nvSpPr>
      <xdr:spPr>
        <a:xfrm>
          <a:off x="10896600" y="7105650"/>
          <a:ext cx="0" cy="1651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40</xdr:row>
      <xdr:rowOff>69851</xdr:rowOff>
    </xdr:from>
    <xdr:to>
      <xdr:col>28</xdr:col>
      <xdr:colOff>247317</xdr:colOff>
      <xdr:row>41</xdr:row>
      <xdr:rowOff>98426</xdr:rowOff>
    </xdr:to>
    <xdr:sp macro="" textlink="">
      <xdr:nvSpPr>
        <xdr:cNvPr id="6" name="Signo más 5">
          <a:extLst>
            <a:ext uri="{FF2B5EF4-FFF2-40B4-BE49-F238E27FC236}">
              <a16:creationId xmlns:a16="http://schemas.microsoft.com/office/drawing/2014/main" id="{EE72D7E3-4E1D-4DFA-A534-A2140F6D0613}"/>
            </a:ext>
          </a:extLst>
        </xdr:cNvPr>
        <xdr:cNvSpPr/>
      </xdr:nvSpPr>
      <xdr:spPr>
        <a:xfrm>
          <a:off x="10896600" y="6699251"/>
          <a:ext cx="0"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39</xdr:row>
      <xdr:rowOff>0</xdr:rowOff>
    </xdr:from>
    <xdr:to>
      <xdr:col>29</xdr:col>
      <xdr:colOff>6349</xdr:colOff>
      <xdr:row>40</xdr:row>
      <xdr:rowOff>25399</xdr:rowOff>
    </xdr:to>
    <xdr:sp macro="" textlink="">
      <xdr:nvSpPr>
        <xdr:cNvPr id="7" name="Diagrama de flujo: proceso alternativo 6">
          <a:extLst>
            <a:ext uri="{FF2B5EF4-FFF2-40B4-BE49-F238E27FC236}">
              <a16:creationId xmlns:a16="http://schemas.microsoft.com/office/drawing/2014/main" id="{741D486A-3DE6-4E2F-93E8-A767C8756440}"/>
            </a:ext>
          </a:extLst>
        </xdr:cNvPr>
        <xdr:cNvSpPr/>
      </xdr:nvSpPr>
      <xdr:spPr>
        <a:xfrm>
          <a:off x="10896600" y="6470650"/>
          <a:ext cx="0" cy="1841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45</xdr:row>
      <xdr:rowOff>0</xdr:rowOff>
    </xdr:from>
    <xdr:to>
      <xdr:col>28</xdr:col>
      <xdr:colOff>199691</xdr:colOff>
      <xdr:row>46</xdr:row>
      <xdr:rowOff>31545</xdr:rowOff>
    </xdr:to>
    <xdr:sp macro="" textlink="">
      <xdr:nvSpPr>
        <xdr:cNvPr id="8" name="Signo más 7">
          <a:extLst>
            <a:ext uri="{FF2B5EF4-FFF2-40B4-BE49-F238E27FC236}">
              <a16:creationId xmlns:a16="http://schemas.microsoft.com/office/drawing/2014/main" id="{2DF0A7F9-4768-4078-87B8-0530FC0A0241}"/>
            </a:ext>
          </a:extLst>
        </xdr:cNvPr>
        <xdr:cNvSpPr/>
      </xdr:nvSpPr>
      <xdr:spPr>
        <a:xfrm>
          <a:off x="10896600" y="7435850"/>
          <a:ext cx="0"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12700</xdr:colOff>
      <xdr:row>7</xdr:row>
      <xdr:rowOff>0</xdr:rowOff>
    </xdr:from>
    <xdr:to>
      <xdr:col>34</xdr:col>
      <xdr:colOff>12700</xdr:colOff>
      <xdr:row>9</xdr:row>
      <xdr:rowOff>158750</xdr:rowOff>
    </xdr:to>
    <xdr:graphicFrame macro="">
      <xdr:nvGraphicFramePr>
        <xdr:cNvPr id="9" name="Gráfico 1">
          <a:extLst>
            <a:ext uri="{FF2B5EF4-FFF2-40B4-BE49-F238E27FC236}">
              <a16:creationId xmlns:a16="http://schemas.microsoft.com/office/drawing/2014/main" id="{A969436B-A8FB-4750-8317-736F9DEF1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6350</xdr:colOff>
      <xdr:row>21</xdr:row>
      <xdr:rowOff>0</xdr:rowOff>
    </xdr:from>
    <xdr:to>
      <xdr:col>43</xdr:col>
      <xdr:colOff>19050</xdr:colOff>
      <xdr:row>22</xdr:row>
      <xdr:rowOff>0</xdr:rowOff>
    </xdr:to>
    <xdr:graphicFrame macro="">
      <xdr:nvGraphicFramePr>
        <xdr:cNvPr id="10" name="Gráfico 3">
          <a:extLst>
            <a:ext uri="{FF2B5EF4-FFF2-40B4-BE49-F238E27FC236}">
              <a16:creationId xmlns:a16="http://schemas.microsoft.com/office/drawing/2014/main" id="{DB42A20E-747E-4402-A033-2DE0614A9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28573</xdr:colOff>
      <xdr:row>41</xdr:row>
      <xdr:rowOff>155574</xdr:rowOff>
    </xdr:from>
    <xdr:to>
      <xdr:col>28</xdr:col>
      <xdr:colOff>903941</xdr:colOff>
      <xdr:row>44</xdr:row>
      <xdr:rowOff>0</xdr:rowOff>
    </xdr:to>
    <xdr:sp macro="" textlink="">
      <xdr:nvSpPr>
        <xdr:cNvPr id="11" name="Diagrama de flujo: proceso alternativo 10">
          <a:extLst>
            <a:ext uri="{FF2B5EF4-FFF2-40B4-BE49-F238E27FC236}">
              <a16:creationId xmlns:a16="http://schemas.microsoft.com/office/drawing/2014/main" id="{B796223E-63E5-4E39-AE46-D137D0D9C3CF}"/>
            </a:ext>
          </a:extLst>
        </xdr:cNvPr>
        <xdr:cNvSpPr/>
      </xdr:nvSpPr>
      <xdr:spPr>
        <a:xfrm>
          <a:off x="10896600" y="6943724"/>
          <a:ext cx="0" cy="327026"/>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28574</xdr:colOff>
      <xdr:row>39</xdr:row>
      <xdr:rowOff>0</xdr:rowOff>
    </xdr:from>
    <xdr:to>
      <xdr:col>34</xdr:col>
      <xdr:colOff>32152</xdr:colOff>
      <xdr:row>65</xdr:row>
      <xdr:rowOff>7469</xdr:rowOff>
    </xdr:to>
    <xdr:sp macro="" textlink="">
      <xdr:nvSpPr>
        <xdr:cNvPr id="12" name="Diagrama de flujo: proceso alternativo 11">
          <a:extLst>
            <a:ext uri="{FF2B5EF4-FFF2-40B4-BE49-F238E27FC236}">
              <a16:creationId xmlns:a16="http://schemas.microsoft.com/office/drawing/2014/main" id="{B95B3214-1974-4EDA-B94B-4511F1920834}"/>
            </a:ext>
          </a:extLst>
        </xdr:cNvPr>
        <xdr:cNvSpPr/>
      </xdr:nvSpPr>
      <xdr:spPr>
        <a:xfrm>
          <a:off x="10896600" y="6470650"/>
          <a:ext cx="0" cy="41476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41</xdr:row>
      <xdr:rowOff>47625</xdr:rowOff>
    </xdr:from>
    <xdr:to>
      <xdr:col>37</xdr:col>
      <xdr:colOff>199691</xdr:colOff>
      <xdr:row>42</xdr:row>
      <xdr:rowOff>76200</xdr:rowOff>
    </xdr:to>
    <xdr:sp macro="" textlink="">
      <xdr:nvSpPr>
        <xdr:cNvPr id="13" name="Signo más 12">
          <a:extLst>
            <a:ext uri="{FF2B5EF4-FFF2-40B4-BE49-F238E27FC236}">
              <a16:creationId xmlns:a16="http://schemas.microsoft.com/office/drawing/2014/main" id="{EB63CB6D-1175-4765-BA8A-DD72AB1CFFBF}"/>
            </a:ext>
          </a:extLst>
        </xdr:cNvPr>
        <xdr:cNvSpPr/>
      </xdr:nvSpPr>
      <xdr:spPr>
        <a:xfrm>
          <a:off x="10896600" y="6835775"/>
          <a:ext cx="0"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39</xdr:row>
      <xdr:rowOff>9525</xdr:rowOff>
    </xdr:from>
    <xdr:to>
      <xdr:col>37</xdr:col>
      <xdr:colOff>793749</xdr:colOff>
      <xdr:row>41</xdr:row>
      <xdr:rowOff>22225</xdr:rowOff>
    </xdr:to>
    <xdr:sp macro="" textlink="">
      <xdr:nvSpPr>
        <xdr:cNvPr id="14" name="Diagrama de flujo: proceso alternativo 13">
          <a:extLst>
            <a:ext uri="{FF2B5EF4-FFF2-40B4-BE49-F238E27FC236}">
              <a16:creationId xmlns:a16="http://schemas.microsoft.com/office/drawing/2014/main" id="{02E820AC-EDED-4A4B-BAF1-DB8F35816619}"/>
            </a:ext>
          </a:extLst>
        </xdr:cNvPr>
        <xdr:cNvSpPr/>
      </xdr:nvSpPr>
      <xdr:spPr>
        <a:xfrm>
          <a:off x="10896600" y="6480175"/>
          <a:ext cx="0"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42</xdr:col>
      <xdr:colOff>15874</xdr:colOff>
      <xdr:row>39</xdr:row>
      <xdr:rowOff>0</xdr:rowOff>
    </xdr:from>
    <xdr:to>
      <xdr:col>44</xdr:col>
      <xdr:colOff>7471</xdr:colOff>
      <xdr:row>64</xdr:row>
      <xdr:rowOff>74706</xdr:rowOff>
    </xdr:to>
    <xdr:sp macro="" textlink="">
      <xdr:nvSpPr>
        <xdr:cNvPr id="15" name="Diagrama de flujo: proceso alternativo 14">
          <a:extLst>
            <a:ext uri="{FF2B5EF4-FFF2-40B4-BE49-F238E27FC236}">
              <a16:creationId xmlns:a16="http://schemas.microsoft.com/office/drawing/2014/main" id="{A822FF4F-B676-4B35-91FD-8C3489CF81FE}"/>
            </a:ext>
          </a:extLst>
        </xdr:cNvPr>
        <xdr:cNvSpPr/>
      </xdr:nvSpPr>
      <xdr:spPr>
        <a:xfrm>
          <a:off x="13960474" y="6470650"/>
          <a:ext cx="1515597" cy="405615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43</xdr:row>
      <xdr:rowOff>0</xdr:rowOff>
    </xdr:from>
    <xdr:to>
      <xdr:col>37</xdr:col>
      <xdr:colOff>793750</xdr:colOff>
      <xdr:row>44</xdr:row>
      <xdr:rowOff>0</xdr:rowOff>
    </xdr:to>
    <xdr:sp macro="" textlink="">
      <xdr:nvSpPr>
        <xdr:cNvPr id="16" name="Diagrama de flujo: proceso alternativo 15">
          <a:extLst>
            <a:ext uri="{FF2B5EF4-FFF2-40B4-BE49-F238E27FC236}">
              <a16:creationId xmlns:a16="http://schemas.microsoft.com/office/drawing/2014/main" id="{13F77EA1-106F-4FC0-A102-A1CDEF7B7740}"/>
            </a:ext>
          </a:extLst>
        </xdr:cNvPr>
        <xdr:cNvSpPr/>
      </xdr:nvSpPr>
      <xdr:spPr>
        <a:xfrm>
          <a:off x="10896600" y="7105650"/>
          <a:ext cx="0" cy="1651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40</xdr:row>
      <xdr:rowOff>69851</xdr:rowOff>
    </xdr:from>
    <xdr:to>
      <xdr:col>28</xdr:col>
      <xdr:colOff>247317</xdr:colOff>
      <xdr:row>41</xdr:row>
      <xdr:rowOff>98426</xdr:rowOff>
    </xdr:to>
    <xdr:sp macro="" textlink="">
      <xdr:nvSpPr>
        <xdr:cNvPr id="17" name="Signo más 16">
          <a:extLst>
            <a:ext uri="{FF2B5EF4-FFF2-40B4-BE49-F238E27FC236}">
              <a16:creationId xmlns:a16="http://schemas.microsoft.com/office/drawing/2014/main" id="{7F1D90A8-D3C4-4D7B-BF49-900CB5EC3674}"/>
            </a:ext>
          </a:extLst>
        </xdr:cNvPr>
        <xdr:cNvSpPr/>
      </xdr:nvSpPr>
      <xdr:spPr>
        <a:xfrm>
          <a:off x="10896600" y="6699251"/>
          <a:ext cx="0"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39</xdr:row>
      <xdr:rowOff>0</xdr:rowOff>
    </xdr:from>
    <xdr:to>
      <xdr:col>29</xdr:col>
      <xdr:colOff>6349</xdr:colOff>
      <xdr:row>40</xdr:row>
      <xdr:rowOff>25399</xdr:rowOff>
    </xdr:to>
    <xdr:sp macro="" textlink="">
      <xdr:nvSpPr>
        <xdr:cNvPr id="18" name="Diagrama de flujo: proceso alternativo 17">
          <a:extLst>
            <a:ext uri="{FF2B5EF4-FFF2-40B4-BE49-F238E27FC236}">
              <a16:creationId xmlns:a16="http://schemas.microsoft.com/office/drawing/2014/main" id="{4822F583-C7B4-4448-8138-B2EAEF88A680}"/>
            </a:ext>
          </a:extLst>
        </xdr:cNvPr>
        <xdr:cNvSpPr/>
      </xdr:nvSpPr>
      <xdr:spPr>
        <a:xfrm>
          <a:off x="10896600" y="6470650"/>
          <a:ext cx="0" cy="1841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45</xdr:row>
      <xdr:rowOff>0</xdr:rowOff>
    </xdr:from>
    <xdr:to>
      <xdr:col>28</xdr:col>
      <xdr:colOff>199691</xdr:colOff>
      <xdr:row>46</xdr:row>
      <xdr:rowOff>31545</xdr:rowOff>
    </xdr:to>
    <xdr:sp macro="" textlink="">
      <xdr:nvSpPr>
        <xdr:cNvPr id="19" name="Signo más 18">
          <a:extLst>
            <a:ext uri="{FF2B5EF4-FFF2-40B4-BE49-F238E27FC236}">
              <a16:creationId xmlns:a16="http://schemas.microsoft.com/office/drawing/2014/main" id="{CC0E05C7-ED0F-4CEF-88F9-8AFD43EF7818}"/>
            </a:ext>
          </a:extLst>
        </xdr:cNvPr>
        <xdr:cNvSpPr/>
      </xdr:nvSpPr>
      <xdr:spPr>
        <a:xfrm>
          <a:off x="10896600" y="7435850"/>
          <a:ext cx="0"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12701</xdr:colOff>
      <xdr:row>46</xdr:row>
      <xdr:rowOff>104775</xdr:rowOff>
    </xdr:from>
    <xdr:to>
      <xdr:col>29</xdr:col>
      <xdr:colOff>7471</xdr:colOff>
      <xdr:row>48</xdr:row>
      <xdr:rowOff>139700</xdr:rowOff>
    </xdr:to>
    <xdr:sp macro="" textlink="">
      <xdr:nvSpPr>
        <xdr:cNvPr id="20" name="Diagrama de flujo: proceso alternativo 19">
          <a:extLst>
            <a:ext uri="{FF2B5EF4-FFF2-40B4-BE49-F238E27FC236}">
              <a16:creationId xmlns:a16="http://schemas.microsoft.com/office/drawing/2014/main" id="{5A906874-3C63-451C-98D5-D3F4B7B744B1}"/>
            </a:ext>
          </a:extLst>
        </xdr:cNvPr>
        <xdr:cNvSpPr/>
      </xdr:nvSpPr>
      <xdr:spPr>
        <a:xfrm>
          <a:off x="10896600" y="7699375"/>
          <a:ext cx="0" cy="3524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12700</xdr:colOff>
      <xdr:row>7</xdr:row>
      <xdr:rowOff>0</xdr:rowOff>
    </xdr:from>
    <xdr:to>
      <xdr:col>42</xdr:col>
      <xdr:colOff>0</xdr:colOff>
      <xdr:row>9</xdr:row>
      <xdr:rowOff>158750</xdr:rowOff>
    </xdr:to>
    <xdr:graphicFrame macro="">
      <xdr:nvGraphicFramePr>
        <xdr:cNvPr id="21" name="Gráfico 1">
          <a:extLst>
            <a:ext uri="{FF2B5EF4-FFF2-40B4-BE49-F238E27FC236}">
              <a16:creationId xmlns:a16="http://schemas.microsoft.com/office/drawing/2014/main" id="{19C7D157-892A-4D7F-BBD9-34E518C79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41677</xdr:colOff>
      <xdr:row>49</xdr:row>
      <xdr:rowOff>132184</xdr:rowOff>
    </xdr:from>
    <xdr:to>
      <xdr:col>29</xdr:col>
      <xdr:colOff>17564</xdr:colOff>
      <xdr:row>52</xdr:row>
      <xdr:rowOff>22826</xdr:rowOff>
    </xdr:to>
    <xdr:sp macro="" textlink="">
      <xdr:nvSpPr>
        <xdr:cNvPr id="22" name="Diagrama de flujo: proceso alternativo 21">
          <a:extLst>
            <a:ext uri="{FF2B5EF4-FFF2-40B4-BE49-F238E27FC236}">
              <a16:creationId xmlns:a16="http://schemas.microsoft.com/office/drawing/2014/main" id="{C2CA5F04-B58C-4FC4-BD49-81EED7558485}"/>
            </a:ext>
          </a:extLst>
        </xdr:cNvPr>
        <xdr:cNvSpPr/>
      </xdr:nvSpPr>
      <xdr:spPr>
        <a:xfrm>
          <a:off x="10896600" y="8203034"/>
          <a:ext cx="0" cy="3668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321961</xdr:colOff>
      <xdr:row>48</xdr:row>
      <xdr:rowOff>114018</xdr:rowOff>
    </xdr:from>
    <xdr:to>
      <xdr:col>28</xdr:col>
      <xdr:colOff>185102</xdr:colOff>
      <xdr:row>49</xdr:row>
      <xdr:rowOff>128608</xdr:rowOff>
    </xdr:to>
    <xdr:sp macro="" textlink="">
      <xdr:nvSpPr>
        <xdr:cNvPr id="23" name="Signo más 22">
          <a:extLst>
            <a:ext uri="{FF2B5EF4-FFF2-40B4-BE49-F238E27FC236}">
              <a16:creationId xmlns:a16="http://schemas.microsoft.com/office/drawing/2014/main" id="{1EAB12FA-C8E5-457D-862D-85EA07D54ACB}"/>
            </a:ext>
          </a:extLst>
        </xdr:cNvPr>
        <xdr:cNvSpPr/>
      </xdr:nvSpPr>
      <xdr:spPr>
        <a:xfrm>
          <a:off x="10896600" y="8026118"/>
          <a:ext cx="0"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416929</xdr:colOff>
      <xdr:row>45</xdr:row>
      <xdr:rowOff>135359</xdr:rowOff>
    </xdr:from>
    <xdr:to>
      <xdr:col>37</xdr:col>
      <xdr:colOff>280070</xdr:colOff>
      <xdr:row>47</xdr:row>
      <xdr:rowOff>18845</xdr:rowOff>
    </xdr:to>
    <xdr:sp macro="" textlink="">
      <xdr:nvSpPr>
        <xdr:cNvPr id="24" name="Signo más 23">
          <a:extLst>
            <a:ext uri="{FF2B5EF4-FFF2-40B4-BE49-F238E27FC236}">
              <a16:creationId xmlns:a16="http://schemas.microsoft.com/office/drawing/2014/main" id="{B4FD4240-4893-4E85-AF7B-8B6756389B07}"/>
            </a:ext>
          </a:extLst>
        </xdr:cNvPr>
        <xdr:cNvSpPr/>
      </xdr:nvSpPr>
      <xdr:spPr>
        <a:xfrm>
          <a:off x="10896600" y="7571209"/>
          <a:ext cx="0" cy="2009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23913</xdr:colOff>
      <xdr:row>47</xdr:row>
      <xdr:rowOff>132585</xdr:rowOff>
    </xdr:from>
    <xdr:to>
      <xdr:col>37</xdr:col>
      <xdr:colOff>749301</xdr:colOff>
      <xdr:row>50</xdr:row>
      <xdr:rowOff>16677</xdr:rowOff>
    </xdr:to>
    <xdr:sp macro="" textlink="">
      <xdr:nvSpPr>
        <xdr:cNvPr id="25" name="Diagrama de flujo: proceso alternativo 24">
          <a:extLst>
            <a:ext uri="{FF2B5EF4-FFF2-40B4-BE49-F238E27FC236}">
              <a16:creationId xmlns:a16="http://schemas.microsoft.com/office/drawing/2014/main" id="{CE19DC8B-5829-445E-AF33-BE409549B55F}"/>
            </a:ext>
          </a:extLst>
        </xdr:cNvPr>
        <xdr:cNvSpPr/>
      </xdr:nvSpPr>
      <xdr:spPr>
        <a:xfrm>
          <a:off x="10896600" y="7885935"/>
          <a:ext cx="0" cy="3603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-1</xdr:colOff>
      <xdr:row>54</xdr:row>
      <xdr:rowOff>118782</xdr:rowOff>
    </xdr:from>
    <xdr:to>
      <xdr:col>28</xdr:col>
      <xdr:colOff>911411</xdr:colOff>
      <xdr:row>57</xdr:row>
      <xdr:rowOff>29881</xdr:rowOff>
    </xdr:to>
    <xdr:sp macro="" textlink="">
      <xdr:nvSpPr>
        <xdr:cNvPr id="26" name="Diagrama de flujo: proceso alternativo 25">
          <a:extLst>
            <a:ext uri="{FF2B5EF4-FFF2-40B4-BE49-F238E27FC236}">
              <a16:creationId xmlns:a16="http://schemas.microsoft.com/office/drawing/2014/main" id="{FB50965C-D3AC-4D1D-9D9C-A57499855383}"/>
            </a:ext>
          </a:extLst>
        </xdr:cNvPr>
        <xdr:cNvSpPr/>
      </xdr:nvSpPr>
      <xdr:spPr>
        <a:xfrm>
          <a:off x="10896600" y="8983382"/>
          <a:ext cx="0" cy="3873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312436</xdr:colOff>
      <xdr:row>53</xdr:row>
      <xdr:rowOff>0</xdr:rowOff>
    </xdr:from>
    <xdr:to>
      <xdr:col>28</xdr:col>
      <xdr:colOff>175577</xdr:colOff>
      <xdr:row>54</xdr:row>
      <xdr:rowOff>44246</xdr:rowOff>
    </xdr:to>
    <xdr:sp macro="" textlink="">
      <xdr:nvSpPr>
        <xdr:cNvPr id="27" name="Signo más 26">
          <a:extLst>
            <a:ext uri="{FF2B5EF4-FFF2-40B4-BE49-F238E27FC236}">
              <a16:creationId xmlns:a16="http://schemas.microsoft.com/office/drawing/2014/main" id="{B650530B-6F44-4E95-94AE-EDE93A5F8C38}"/>
            </a:ext>
          </a:extLst>
        </xdr:cNvPr>
        <xdr:cNvSpPr/>
      </xdr:nvSpPr>
      <xdr:spPr>
        <a:xfrm>
          <a:off x="10896600" y="8705850"/>
          <a:ext cx="0" cy="2029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0</xdr:colOff>
      <xdr:row>59</xdr:row>
      <xdr:rowOff>118781</xdr:rowOff>
    </xdr:from>
    <xdr:to>
      <xdr:col>28</xdr:col>
      <xdr:colOff>911412</xdr:colOff>
      <xdr:row>64</xdr:row>
      <xdr:rowOff>127000</xdr:rowOff>
    </xdr:to>
    <xdr:sp macro="" textlink="">
      <xdr:nvSpPr>
        <xdr:cNvPr id="28" name="Diagrama de flujo: proceso alternativo 27">
          <a:extLst>
            <a:ext uri="{FF2B5EF4-FFF2-40B4-BE49-F238E27FC236}">
              <a16:creationId xmlns:a16="http://schemas.microsoft.com/office/drawing/2014/main" id="{E4538870-FC45-4EA9-B7A6-AF10C7009582}"/>
            </a:ext>
          </a:extLst>
        </xdr:cNvPr>
        <xdr:cNvSpPr/>
      </xdr:nvSpPr>
      <xdr:spPr>
        <a:xfrm>
          <a:off x="10896600" y="9777131"/>
          <a:ext cx="0" cy="8019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312437</xdr:colOff>
      <xdr:row>58</xdr:row>
      <xdr:rowOff>0</xdr:rowOff>
    </xdr:from>
    <xdr:to>
      <xdr:col>28</xdr:col>
      <xdr:colOff>175578</xdr:colOff>
      <xdr:row>59</xdr:row>
      <xdr:rowOff>44245</xdr:rowOff>
    </xdr:to>
    <xdr:sp macro="" textlink="">
      <xdr:nvSpPr>
        <xdr:cNvPr id="29" name="Signo más 28">
          <a:extLst>
            <a:ext uri="{FF2B5EF4-FFF2-40B4-BE49-F238E27FC236}">
              <a16:creationId xmlns:a16="http://schemas.microsoft.com/office/drawing/2014/main" id="{494C4713-BF37-4391-A486-D63E37BDC7BF}"/>
            </a:ext>
          </a:extLst>
        </xdr:cNvPr>
        <xdr:cNvSpPr/>
      </xdr:nvSpPr>
      <xdr:spPr>
        <a:xfrm>
          <a:off x="10896600" y="9499600"/>
          <a:ext cx="0"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403108</xdr:colOff>
      <xdr:row>50</xdr:row>
      <xdr:rowOff>3130</xdr:rowOff>
    </xdr:from>
    <xdr:to>
      <xdr:col>37</xdr:col>
      <xdr:colOff>266249</xdr:colOff>
      <xdr:row>51</xdr:row>
      <xdr:rowOff>43499</xdr:rowOff>
    </xdr:to>
    <xdr:sp macro="" textlink="">
      <xdr:nvSpPr>
        <xdr:cNvPr id="30" name="Signo más 29">
          <a:extLst>
            <a:ext uri="{FF2B5EF4-FFF2-40B4-BE49-F238E27FC236}">
              <a16:creationId xmlns:a16="http://schemas.microsoft.com/office/drawing/2014/main" id="{ED5BCE31-332E-4B4E-BC5A-69FDCE7B7832}"/>
            </a:ext>
          </a:extLst>
        </xdr:cNvPr>
        <xdr:cNvSpPr/>
      </xdr:nvSpPr>
      <xdr:spPr>
        <a:xfrm>
          <a:off x="10896600" y="8232730"/>
          <a:ext cx="0" cy="1991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10092</xdr:colOff>
      <xdr:row>52</xdr:row>
      <xdr:rowOff>7827</xdr:rowOff>
    </xdr:from>
    <xdr:to>
      <xdr:col>37</xdr:col>
      <xdr:colOff>735480</xdr:colOff>
      <xdr:row>55</xdr:row>
      <xdr:rowOff>74706</xdr:rowOff>
    </xdr:to>
    <xdr:sp macro="" textlink="">
      <xdr:nvSpPr>
        <xdr:cNvPr id="31" name="Diagrama de flujo: proceso alternativo 30">
          <a:extLst>
            <a:ext uri="{FF2B5EF4-FFF2-40B4-BE49-F238E27FC236}">
              <a16:creationId xmlns:a16="http://schemas.microsoft.com/office/drawing/2014/main" id="{F0E03275-6722-49FC-9682-827125A6B2F5}"/>
            </a:ext>
          </a:extLst>
        </xdr:cNvPr>
        <xdr:cNvSpPr/>
      </xdr:nvSpPr>
      <xdr:spPr>
        <a:xfrm>
          <a:off x="10896600" y="8554927"/>
          <a:ext cx="0" cy="5431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400487</xdr:colOff>
      <xdr:row>55</xdr:row>
      <xdr:rowOff>82177</xdr:rowOff>
    </xdr:from>
    <xdr:to>
      <xdr:col>37</xdr:col>
      <xdr:colOff>263628</xdr:colOff>
      <xdr:row>56</xdr:row>
      <xdr:rowOff>122545</xdr:rowOff>
    </xdr:to>
    <xdr:sp macro="" textlink="">
      <xdr:nvSpPr>
        <xdr:cNvPr id="32" name="Signo más 31">
          <a:extLst>
            <a:ext uri="{FF2B5EF4-FFF2-40B4-BE49-F238E27FC236}">
              <a16:creationId xmlns:a16="http://schemas.microsoft.com/office/drawing/2014/main" id="{DCF397BE-91B9-411E-8CC3-F5C71687C84C}"/>
            </a:ext>
          </a:extLst>
        </xdr:cNvPr>
        <xdr:cNvSpPr/>
      </xdr:nvSpPr>
      <xdr:spPr>
        <a:xfrm>
          <a:off x="10896600" y="9105527"/>
          <a:ext cx="0" cy="1991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0</xdr:colOff>
      <xdr:row>57</xdr:row>
      <xdr:rowOff>4696</xdr:rowOff>
    </xdr:from>
    <xdr:to>
      <xdr:col>37</xdr:col>
      <xdr:colOff>725388</xdr:colOff>
      <xdr:row>61</xdr:row>
      <xdr:rowOff>29882</xdr:rowOff>
    </xdr:to>
    <xdr:sp macro="" textlink="">
      <xdr:nvSpPr>
        <xdr:cNvPr id="33" name="Diagrama de flujo: proceso alternativo 32">
          <a:extLst>
            <a:ext uri="{FF2B5EF4-FFF2-40B4-BE49-F238E27FC236}">
              <a16:creationId xmlns:a16="http://schemas.microsoft.com/office/drawing/2014/main" id="{ED8FF9FA-08DB-41E6-B589-3B945B696AA5}"/>
            </a:ext>
          </a:extLst>
        </xdr:cNvPr>
        <xdr:cNvSpPr/>
      </xdr:nvSpPr>
      <xdr:spPr>
        <a:xfrm>
          <a:off x="10896600" y="9345546"/>
          <a:ext cx="0" cy="6601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29</xdr:col>
      <xdr:colOff>0</xdr:colOff>
      <xdr:row>10</xdr:row>
      <xdr:rowOff>0</xdr:rowOff>
    </xdr:from>
    <xdr:to>
      <xdr:col>42</xdr:col>
      <xdr:colOff>742950</xdr:colOff>
      <xdr:row>21</xdr:row>
      <xdr:rowOff>0</xdr:rowOff>
    </xdr:to>
    <xdr:graphicFrame macro="">
      <xdr:nvGraphicFramePr>
        <xdr:cNvPr id="34" name="Gráfico 72">
          <a:extLst>
            <a:ext uri="{FF2B5EF4-FFF2-40B4-BE49-F238E27FC236}">
              <a16:creationId xmlns:a16="http://schemas.microsoft.com/office/drawing/2014/main" id="{92E2D844-BB6F-4B87-B621-F451A1C84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0.67251</cdr:x>
      <cdr:y>0.14461</cdr:y>
    </cdr:from>
    <cdr:to>
      <cdr:x>1</cdr:x>
      <cdr:y>0.39611</cdr:y>
    </cdr:to>
    <cdr:sp macro="" textlink="">
      <cdr:nvSpPr>
        <cdr:cNvPr id="2" name="CuadroTexto 1"/>
        <cdr:cNvSpPr txBox="1"/>
      </cdr:nvSpPr>
      <cdr:spPr>
        <a:xfrm xmlns:a="http://schemas.openxmlformats.org/drawingml/2006/main">
          <a:off x="3168650" y="374650"/>
          <a:ext cx="1543050" cy="6515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75000"/>
                </a:schemeClr>
              </a:solidFill>
              <a:effectLst/>
              <a:latin typeface="+mn-lt"/>
              <a:ea typeface="+mn-ea"/>
              <a:cs typeface="+mn-cs"/>
            </a:rPr>
            <a:t>Ingresos presupuestados </a:t>
          </a:r>
          <a:r>
            <a:rPr lang="es-419" sz="900" baseline="0">
              <a:solidFill>
                <a:schemeClr val="tx2">
                  <a:lumMod val="75000"/>
                </a:schemeClr>
              </a:solidFill>
              <a:effectLst/>
              <a:latin typeface="+mn-lt"/>
              <a:ea typeface="+mn-ea"/>
              <a:cs typeface="+mn-cs"/>
            </a:rPr>
            <a:t>vs Ingresos ejecutados</a:t>
          </a:r>
        </a:p>
        <a:p xmlns:a="http://schemas.openxmlformats.org/drawingml/2006/main">
          <a:pPr algn="ctr"/>
          <a:r>
            <a:rPr lang="es-419" sz="900" baseline="0">
              <a:solidFill>
                <a:schemeClr val="tx2">
                  <a:lumMod val="75000"/>
                </a:schemeClr>
              </a:solidFill>
              <a:effectLst/>
              <a:latin typeface="+mn-lt"/>
              <a:ea typeface="+mn-ea"/>
              <a:cs typeface="+mn-cs"/>
            </a:rPr>
            <a:t>Enero - junio 2025</a:t>
          </a:r>
          <a:endParaRPr lang="es-419" sz="900">
            <a:solidFill>
              <a:schemeClr val="tx2">
                <a:lumMod val="75000"/>
              </a:schemeClr>
            </a:solidFill>
            <a:effectLst/>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0.62916</cdr:x>
      <cdr:y>0.23064</cdr:y>
    </cdr:from>
    <cdr:to>
      <cdr:x>0.92969</cdr:x>
      <cdr:y>0.50132</cdr:y>
    </cdr:to>
    <cdr:sp macro="" textlink="">
      <cdr:nvSpPr>
        <cdr:cNvPr id="2" name="CuadroTexto 1"/>
        <cdr:cNvSpPr txBox="1"/>
      </cdr:nvSpPr>
      <cdr:spPr>
        <a:xfrm xmlns:a="http://schemas.openxmlformats.org/drawingml/2006/main">
          <a:off x="3577794" y="602460"/>
          <a:ext cx="1709012" cy="707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Enero-junio</a:t>
          </a:r>
          <a:r>
            <a:rPr lang="es-419" sz="900" b="1" baseline="0">
              <a:solidFill>
                <a:schemeClr val="tx2">
                  <a:lumMod val="50000"/>
                </a:schemeClr>
              </a:solidFill>
            </a:rPr>
            <a:t> 2025</a:t>
          </a:r>
          <a:endParaRPr lang="es-419" sz="900" b="1">
            <a:solidFill>
              <a:schemeClr val="tx2">
                <a:lumMod val="50000"/>
              </a:schemeClr>
            </a:solidFill>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11.xml><?xml version="1.0" encoding="utf-8"?>
<xdr:wsDr xmlns:xdr="http://schemas.openxmlformats.org/drawingml/2006/spreadsheetDrawing" xmlns:a="http://schemas.openxmlformats.org/drawingml/2006/main">
  <xdr:twoCellAnchor>
    <xdr:from>
      <xdr:col>27</xdr:col>
      <xdr:colOff>336550</xdr:colOff>
      <xdr:row>114</xdr:row>
      <xdr:rowOff>47625</xdr:rowOff>
    </xdr:from>
    <xdr:to>
      <xdr:col>28</xdr:col>
      <xdr:colOff>199691</xdr:colOff>
      <xdr:row>115</xdr:row>
      <xdr:rowOff>76200</xdr:rowOff>
    </xdr:to>
    <xdr:sp macro="" textlink="">
      <xdr:nvSpPr>
        <xdr:cNvPr id="2" name="Signo más 1">
          <a:extLst>
            <a:ext uri="{FF2B5EF4-FFF2-40B4-BE49-F238E27FC236}">
              <a16:creationId xmlns:a16="http://schemas.microsoft.com/office/drawing/2014/main" id="{A75D8AAA-0CCC-4731-94CC-61E75F84F38E}"/>
            </a:ext>
          </a:extLst>
        </xdr:cNvPr>
        <xdr:cNvSpPr/>
      </xdr:nvSpPr>
      <xdr:spPr>
        <a:xfrm>
          <a:off x="10464800" y="1617027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122</xdr:row>
      <xdr:rowOff>47625</xdr:rowOff>
    </xdr:from>
    <xdr:to>
      <xdr:col>28</xdr:col>
      <xdr:colOff>199691</xdr:colOff>
      <xdr:row>123</xdr:row>
      <xdr:rowOff>76200</xdr:rowOff>
    </xdr:to>
    <xdr:sp macro="" textlink="">
      <xdr:nvSpPr>
        <xdr:cNvPr id="3" name="Signo más 2">
          <a:extLst>
            <a:ext uri="{FF2B5EF4-FFF2-40B4-BE49-F238E27FC236}">
              <a16:creationId xmlns:a16="http://schemas.microsoft.com/office/drawing/2014/main" id="{92C3AD8D-4FDD-4FAB-8448-39075874F589}"/>
            </a:ext>
          </a:extLst>
        </xdr:cNvPr>
        <xdr:cNvSpPr/>
      </xdr:nvSpPr>
      <xdr:spPr>
        <a:xfrm>
          <a:off x="10464800" y="1712277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352425</xdr:colOff>
      <xdr:row>118</xdr:row>
      <xdr:rowOff>47625</xdr:rowOff>
    </xdr:from>
    <xdr:to>
      <xdr:col>28</xdr:col>
      <xdr:colOff>206375</xdr:colOff>
      <xdr:row>119</xdr:row>
      <xdr:rowOff>66973</xdr:rowOff>
    </xdr:to>
    <xdr:sp macro="" textlink="">
      <xdr:nvSpPr>
        <xdr:cNvPr id="4" name="Signo más 3">
          <a:extLst>
            <a:ext uri="{FF2B5EF4-FFF2-40B4-BE49-F238E27FC236}">
              <a16:creationId xmlns:a16="http://schemas.microsoft.com/office/drawing/2014/main" id="{5E6D7272-B29F-417B-A9CB-AC8CC7F4A9B6}"/>
            </a:ext>
          </a:extLst>
        </xdr:cNvPr>
        <xdr:cNvSpPr/>
      </xdr:nvSpPr>
      <xdr:spPr>
        <a:xfrm>
          <a:off x="10480675" y="1648777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126</xdr:row>
      <xdr:rowOff>44450</xdr:rowOff>
    </xdr:from>
    <xdr:to>
      <xdr:col>28</xdr:col>
      <xdr:colOff>199691</xdr:colOff>
      <xdr:row>127</xdr:row>
      <xdr:rowOff>88695</xdr:rowOff>
    </xdr:to>
    <xdr:sp macro="" textlink="">
      <xdr:nvSpPr>
        <xdr:cNvPr id="5" name="Signo más 4">
          <a:extLst>
            <a:ext uri="{FF2B5EF4-FFF2-40B4-BE49-F238E27FC236}">
              <a16:creationId xmlns:a16="http://schemas.microsoft.com/office/drawing/2014/main" id="{82B5B3C2-A9F8-4F5A-A43A-F32A248233A7}"/>
            </a:ext>
          </a:extLst>
        </xdr:cNvPr>
        <xdr:cNvSpPr/>
      </xdr:nvSpPr>
      <xdr:spPr>
        <a:xfrm>
          <a:off x="10464800" y="1775460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24114</xdr:colOff>
      <xdr:row>128</xdr:row>
      <xdr:rowOff>6350</xdr:rowOff>
    </xdr:from>
    <xdr:to>
      <xdr:col>28</xdr:col>
      <xdr:colOff>896471</xdr:colOff>
      <xdr:row>130</xdr:row>
      <xdr:rowOff>9525</xdr:rowOff>
    </xdr:to>
    <xdr:sp macro="" textlink="">
      <xdr:nvSpPr>
        <xdr:cNvPr id="6" name="Diagrama de flujo: proceso alternativo 5">
          <a:extLst>
            <a:ext uri="{FF2B5EF4-FFF2-40B4-BE49-F238E27FC236}">
              <a16:creationId xmlns:a16="http://schemas.microsoft.com/office/drawing/2014/main" id="{28F8C4F3-A0D1-446F-A127-68662B2691DA}"/>
            </a:ext>
          </a:extLst>
        </xdr:cNvPr>
        <xdr:cNvSpPr/>
      </xdr:nvSpPr>
      <xdr:spPr>
        <a:xfrm>
          <a:off x="10152364" y="18034000"/>
          <a:ext cx="1545457" cy="3206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29</xdr:col>
      <xdr:colOff>228600</xdr:colOff>
      <xdr:row>119</xdr:row>
      <xdr:rowOff>85725</xdr:rowOff>
    </xdr:from>
    <xdr:to>
      <xdr:col>29</xdr:col>
      <xdr:colOff>546100</xdr:colOff>
      <xdr:row>122</xdr:row>
      <xdr:rowOff>22485</xdr:rowOff>
    </xdr:to>
    <xdr:sp macro="" textlink="">
      <xdr:nvSpPr>
        <xdr:cNvPr id="7" name="Es igual a 6">
          <a:extLst>
            <a:ext uri="{FF2B5EF4-FFF2-40B4-BE49-F238E27FC236}">
              <a16:creationId xmlns:a16="http://schemas.microsoft.com/office/drawing/2014/main" id="{0118C321-CC28-4D55-848F-BA9F2477273F}"/>
            </a:ext>
          </a:extLst>
        </xdr:cNvPr>
        <xdr:cNvSpPr/>
      </xdr:nvSpPr>
      <xdr:spPr>
        <a:xfrm>
          <a:off x="11925300" y="1668462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111</xdr:row>
      <xdr:rowOff>47625</xdr:rowOff>
    </xdr:from>
    <xdr:to>
      <xdr:col>37</xdr:col>
      <xdr:colOff>199691</xdr:colOff>
      <xdr:row>112</xdr:row>
      <xdr:rowOff>76200</xdr:rowOff>
    </xdr:to>
    <xdr:sp macro="" textlink="">
      <xdr:nvSpPr>
        <xdr:cNvPr id="8" name="Signo más 7">
          <a:extLst>
            <a:ext uri="{FF2B5EF4-FFF2-40B4-BE49-F238E27FC236}">
              <a16:creationId xmlns:a16="http://schemas.microsoft.com/office/drawing/2014/main" id="{B84C9C87-1830-45C2-B210-82E3072E5C6D}"/>
            </a:ext>
          </a:extLst>
        </xdr:cNvPr>
        <xdr:cNvSpPr/>
      </xdr:nvSpPr>
      <xdr:spPr>
        <a:xfrm>
          <a:off x="16738600" y="16011525"/>
          <a:ext cx="1641141" cy="1111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109</xdr:row>
      <xdr:rowOff>9525</xdr:rowOff>
    </xdr:from>
    <xdr:to>
      <xdr:col>37</xdr:col>
      <xdr:colOff>793749</xdr:colOff>
      <xdr:row>111</xdr:row>
      <xdr:rowOff>22225</xdr:rowOff>
    </xdr:to>
    <xdr:sp macro="" textlink="">
      <xdr:nvSpPr>
        <xdr:cNvPr id="9" name="Diagrama de flujo: proceso alternativo 8">
          <a:extLst>
            <a:ext uri="{FF2B5EF4-FFF2-40B4-BE49-F238E27FC236}">
              <a16:creationId xmlns:a16="http://schemas.microsoft.com/office/drawing/2014/main" id="{A5B6C90B-81DB-4E1E-8440-479B128A8DA3}"/>
            </a:ext>
          </a:extLst>
        </xdr:cNvPr>
        <xdr:cNvSpPr/>
      </xdr:nvSpPr>
      <xdr:spPr>
        <a:xfrm>
          <a:off x="16411574" y="15805150"/>
          <a:ext cx="2562225" cy="1809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119</xdr:row>
      <xdr:rowOff>47625</xdr:rowOff>
    </xdr:from>
    <xdr:to>
      <xdr:col>37</xdr:col>
      <xdr:colOff>199691</xdr:colOff>
      <xdr:row>120</xdr:row>
      <xdr:rowOff>76200</xdr:rowOff>
    </xdr:to>
    <xdr:sp macro="" textlink="">
      <xdr:nvSpPr>
        <xdr:cNvPr id="10" name="Signo más 9">
          <a:extLst>
            <a:ext uri="{FF2B5EF4-FFF2-40B4-BE49-F238E27FC236}">
              <a16:creationId xmlns:a16="http://schemas.microsoft.com/office/drawing/2014/main" id="{FB3A16C8-C19F-4929-AE34-9C1F5C47D427}"/>
            </a:ext>
          </a:extLst>
        </xdr:cNvPr>
        <xdr:cNvSpPr/>
      </xdr:nvSpPr>
      <xdr:spPr>
        <a:xfrm>
          <a:off x="16738600" y="1664652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117</xdr:row>
      <xdr:rowOff>9525</xdr:rowOff>
    </xdr:from>
    <xdr:to>
      <xdr:col>37</xdr:col>
      <xdr:colOff>787399</xdr:colOff>
      <xdr:row>119</xdr:row>
      <xdr:rowOff>22225</xdr:rowOff>
    </xdr:to>
    <xdr:sp macro="" textlink="">
      <xdr:nvSpPr>
        <xdr:cNvPr id="11" name="Diagrama de flujo: proceso alternativo 10">
          <a:extLst>
            <a:ext uri="{FF2B5EF4-FFF2-40B4-BE49-F238E27FC236}">
              <a16:creationId xmlns:a16="http://schemas.microsoft.com/office/drawing/2014/main" id="{6491086D-8AE2-4115-BBCD-98698FC76E7C}"/>
            </a:ext>
          </a:extLst>
        </xdr:cNvPr>
        <xdr:cNvSpPr/>
      </xdr:nvSpPr>
      <xdr:spPr>
        <a:xfrm>
          <a:off x="16411574" y="16440150"/>
          <a:ext cx="2555875" cy="1809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352425</xdr:colOff>
      <xdr:row>115</xdr:row>
      <xdr:rowOff>47625</xdr:rowOff>
    </xdr:from>
    <xdr:to>
      <xdr:col>37</xdr:col>
      <xdr:colOff>206375</xdr:colOff>
      <xdr:row>116</xdr:row>
      <xdr:rowOff>66973</xdr:rowOff>
    </xdr:to>
    <xdr:sp macro="" textlink="">
      <xdr:nvSpPr>
        <xdr:cNvPr id="12" name="Signo más 11">
          <a:extLst>
            <a:ext uri="{FF2B5EF4-FFF2-40B4-BE49-F238E27FC236}">
              <a16:creationId xmlns:a16="http://schemas.microsoft.com/office/drawing/2014/main" id="{30C5FDAA-FAD5-43C2-A0A4-678251672242}"/>
            </a:ext>
          </a:extLst>
        </xdr:cNvPr>
        <xdr:cNvSpPr/>
      </xdr:nvSpPr>
      <xdr:spPr>
        <a:xfrm>
          <a:off x="16754475" y="16329025"/>
          <a:ext cx="1631950" cy="1111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123</xdr:row>
      <xdr:rowOff>44450</xdr:rowOff>
    </xdr:from>
    <xdr:to>
      <xdr:col>37</xdr:col>
      <xdr:colOff>199691</xdr:colOff>
      <xdr:row>124</xdr:row>
      <xdr:rowOff>88695</xdr:rowOff>
    </xdr:to>
    <xdr:sp macro="" textlink="">
      <xdr:nvSpPr>
        <xdr:cNvPr id="13" name="Signo más 12">
          <a:extLst>
            <a:ext uri="{FF2B5EF4-FFF2-40B4-BE49-F238E27FC236}">
              <a16:creationId xmlns:a16="http://schemas.microsoft.com/office/drawing/2014/main" id="{27761AA7-8644-4782-AACB-575BA5C4E954}"/>
            </a:ext>
          </a:extLst>
        </xdr:cNvPr>
        <xdr:cNvSpPr/>
      </xdr:nvSpPr>
      <xdr:spPr>
        <a:xfrm>
          <a:off x="16738600" y="1727835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40</xdr:col>
      <xdr:colOff>228600</xdr:colOff>
      <xdr:row>119</xdr:row>
      <xdr:rowOff>85725</xdr:rowOff>
    </xdr:from>
    <xdr:to>
      <xdr:col>40</xdr:col>
      <xdr:colOff>546100</xdr:colOff>
      <xdr:row>122</xdr:row>
      <xdr:rowOff>22485</xdr:rowOff>
    </xdr:to>
    <xdr:sp macro="" textlink="">
      <xdr:nvSpPr>
        <xdr:cNvPr id="14" name="Es igual a 13">
          <a:extLst>
            <a:ext uri="{FF2B5EF4-FFF2-40B4-BE49-F238E27FC236}">
              <a16:creationId xmlns:a16="http://schemas.microsoft.com/office/drawing/2014/main" id="{17083EB3-D2DF-403F-9570-F7408FB1D110}"/>
            </a:ext>
          </a:extLst>
        </xdr:cNvPr>
        <xdr:cNvSpPr/>
      </xdr:nvSpPr>
      <xdr:spPr>
        <a:xfrm>
          <a:off x="20815300" y="1668462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0</xdr:colOff>
      <xdr:row>113</xdr:row>
      <xdr:rowOff>0</xdr:rowOff>
    </xdr:from>
    <xdr:to>
      <xdr:col>37</xdr:col>
      <xdr:colOff>793750</xdr:colOff>
      <xdr:row>115</xdr:row>
      <xdr:rowOff>9525</xdr:rowOff>
    </xdr:to>
    <xdr:sp macro="" textlink="">
      <xdr:nvSpPr>
        <xdr:cNvPr id="15" name="Diagrama de flujo: proceso alternativo 14">
          <a:extLst>
            <a:ext uri="{FF2B5EF4-FFF2-40B4-BE49-F238E27FC236}">
              <a16:creationId xmlns:a16="http://schemas.microsoft.com/office/drawing/2014/main" id="{D326668C-AFC6-412A-8636-27F6027C89EB}"/>
            </a:ext>
          </a:extLst>
        </xdr:cNvPr>
        <xdr:cNvSpPr/>
      </xdr:nvSpPr>
      <xdr:spPr>
        <a:xfrm>
          <a:off x="16402050" y="16122650"/>
          <a:ext cx="2571750" cy="1682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6350</xdr:colOff>
      <xdr:row>116</xdr:row>
      <xdr:rowOff>0</xdr:rowOff>
    </xdr:from>
    <xdr:to>
      <xdr:col>29</xdr:col>
      <xdr:colOff>9525</xdr:colOff>
      <xdr:row>118</xdr:row>
      <xdr:rowOff>19050</xdr:rowOff>
    </xdr:to>
    <xdr:sp macro="" textlink="">
      <xdr:nvSpPr>
        <xdr:cNvPr id="16" name="Diagrama de flujo: proceso alternativo 15">
          <a:extLst>
            <a:ext uri="{FF2B5EF4-FFF2-40B4-BE49-F238E27FC236}">
              <a16:creationId xmlns:a16="http://schemas.microsoft.com/office/drawing/2014/main" id="{939A6B2F-0C39-488F-8191-981D2B448619}"/>
            </a:ext>
          </a:extLst>
        </xdr:cNvPr>
        <xdr:cNvSpPr/>
      </xdr:nvSpPr>
      <xdr:spPr>
        <a:xfrm>
          <a:off x="10134600" y="16440150"/>
          <a:ext cx="1571625" cy="190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9523</xdr:colOff>
      <xdr:row>124</xdr:row>
      <xdr:rowOff>9525</xdr:rowOff>
    </xdr:from>
    <xdr:to>
      <xdr:col>28</xdr:col>
      <xdr:colOff>903941</xdr:colOff>
      <xdr:row>126</xdr:row>
      <xdr:rowOff>19050</xdr:rowOff>
    </xdr:to>
    <xdr:sp macro="" textlink="">
      <xdr:nvSpPr>
        <xdr:cNvPr id="17" name="Diagrama de flujo: proceso alternativo 16">
          <a:extLst>
            <a:ext uri="{FF2B5EF4-FFF2-40B4-BE49-F238E27FC236}">
              <a16:creationId xmlns:a16="http://schemas.microsoft.com/office/drawing/2014/main" id="{CDD43AD7-40E1-46A8-9702-96B83446EFAC}"/>
            </a:ext>
          </a:extLst>
        </xdr:cNvPr>
        <xdr:cNvSpPr/>
      </xdr:nvSpPr>
      <xdr:spPr>
        <a:xfrm>
          <a:off x="10137773" y="17402175"/>
          <a:ext cx="1561168"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110</xdr:row>
      <xdr:rowOff>69851</xdr:rowOff>
    </xdr:from>
    <xdr:to>
      <xdr:col>28</xdr:col>
      <xdr:colOff>247317</xdr:colOff>
      <xdr:row>111</xdr:row>
      <xdr:rowOff>98426</xdr:rowOff>
    </xdr:to>
    <xdr:sp macro="" textlink="">
      <xdr:nvSpPr>
        <xdr:cNvPr id="18" name="Signo más 17">
          <a:extLst>
            <a:ext uri="{FF2B5EF4-FFF2-40B4-BE49-F238E27FC236}">
              <a16:creationId xmlns:a16="http://schemas.microsoft.com/office/drawing/2014/main" id="{01AF03A1-B424-4647-B249-B21FB58857D8}"/>
            </a:ext>
          </a:extLst>
        </xdr:cNvPr>
        <xdr:cNvSpPr/>
      </xdr:nvSpPr>
      <xdr:spPr>
        <a:xfrm>
          <a:off x="10512426" y="1587500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108</xdr:row>
      <xdr:rowOff>9524</xdr:rowOff>
    </xdr:from>
    <xdr:to>
      <xdr:col>29</xdr:col>
      <xdr:colOff>6349</xdr:colOff>
      <xdr:row>110</xdr:row>
      <xdr:rowOff>25399</xdr:rowOff>
    </xdr:to>
    <xdr:sp macro="" textlink="">
      <xdr:nvSpPr>
        <xdr:cNvPr id="19" name="Diagrama de flujo: proceso alternativo 18">
          <a:extLst>
            <a:ext uri="{FF2B5EF4-FFF2-40B4-BE49-F238E27FC236}">
              <a16:creationId xmlns:a16="http://schemas.microsoft.com/office/drawing/2014/main" id="{9B032821-9688-4AE3-9AA9-54290FE5D348}"/>
            </a:ext>
          </a:extLst>
        </xdr:cNvPr>
        <xdr:cNvSpPr/>
      </xdr:nvSpPr>
      <xdr:spPr>
        <a:xfrm>
          <a:off x="10175874" y="15805150"/>
          <a:ext cx="1527175" cy="2539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130</xdr:row>
      <xdr:rowOff>0</xdr:rowOff>
    </xdr:from>
    <xdr:to>
      <xdr:col>28</xdr:col>
      <xdr:colOff>199691</xdr:colOff>
      <xdr:row>131</xdr:row>
      <xdr:rowOff>31545</xdr:rowOff>
    </xdr:to>
    <xdr:sp macro="" textlink="">
      <xdr:nvSpPr>
        <xdr:cNvPr id="20" name="Signo más 19">
          <a:extLst>
            <a:ext uri="{FF2B5EF4-FFF2-40B4-BE49-F238E27FC236}">
              <a16:creationId xmlns:a16="http://schemas.microsoft.com/office/drawing/2014/main" id="{FA27024E-8513-45D4-84F1-B41DF1F68E1E}"/>
            </a:ext>
          </a:extLst>
        </xdr:cNvPr>
        <xdr:cNvSpPr/>
      </xdr:nvSpPr>
      <xdr:spPr>
        <a:xfrm>
          <a:off x="10464800" y="1834515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12700</xdr:colOff>
      <xdr:row>12</xdr:row>
      <xdr:rowOff>12700</xdr:rowOff>
    </xdr:from>
    <xdr:to>
      <xdr:col>34</xdr:col>
      <xdr:colOff>12700</xdr:colOff>
      <xdr:row>28</xdr:row>
      <xdr:rowOff>158750</xdr:rowOff>
    </xdr:to>
    <xdr:graphicFrame macro="">
      <xdr:nvGraphicFramePr>
        <xdr:cNvPr id="21" name="Gráfico 1">
          <a:extLst>
            <a:ext uri="{FF2B5EF4-FFF2-40B4-BE49-F238E27FC236}">
              <a16:creationId xmlns:a16="http://schemas.microsoft.com/office/drawing/2014/main" id="{B6E0E2DD-D9BD-4359-B57F-518851C679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6350</xdr:colOff>
      <xdr:row>56</xdr:row>
      <xdr:rowOff>19050</xdr:rowOff>
    </xdr:from>
    <xdr:to>
      <xdr:col>43</xdr:col>
      <xdr:colOff>19050</xdr:colOff>
      <xdr:row>71</xdr:row>
      <xdr:rowOff>139700</xdr:rowOff>
    </xdr:to>
    <xdr:graphicFrame macro="">
      <xdr:nvGraphicFramePr>
        <xdr:cNvPr id="22" name="Gráfico 3">
          <a:extLst>
            <a:ext uri="{FF2B5EF4-FFF2-40B4-BE49-F238E27FC236}">
              <a16:creationId xmlns:a16="http://schemas.microsoft.com/office/drawing/2014/main" id="{A6A582DB-AAA6-4B91-B510-3010FFB06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336550</xdr:colOff>
      <xdr:row>114</xdr:row>
      <xdr:rowOff>47625</xdr:rowOff>
    </xdr:from>
    <xdr:to>
      <xdr:col>28</xdr:col>
      <xdr:colOff>199691</xdr:colOff>
      <xdr:row>115</xdr:row>
      <xdr:rowOff>76200</xdr:rowOff>
    </xdr:to>
    <xdr:sp macro="" textlink="">
      <xdr:nvSpPr>
        <xdr:cNvPr id="23" name="Signo más 22">
          <a:extLst>
            <a:ext uri="{FF2B5EF4-FFF2-40B4-BE49-F238E27FC236}">
              <a16:creationId xmlns:a16="http://schemas.microsoft.com/office/drawing/2014/main" id="{3F7473C9-DABA-42A0-966A-B7411F87482F}"/>
            </a:ext>
          </a:extLst>
        </xdr:cNvPr>
        <xdr:cNvSpPr/>
      </xdr:nvSpPr>
      <xdr:spPr>
        <a:xfrm>
          <a:off x="10464800" y="1617027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28573</xdr:colOff>
      <xdr:row>111</xdr:row>
      <xdr:rowOff>155574</xdr:rowOff>
    </xdr:from>
    <xdr:to>
      <xdr:col>28</xdr:col>
      <xdr:colOff>903941</xdr:colOff>
      <xdr:row>114</xdr:row>
      <xdr:rowOff>12699</xdr:rowOff>
    </xdr:to>
    <xdr:sp macro="" textlink="">
      <xdr:nvSpPr>
        <xdr:cNvPr id="24" name="Diagrama de flujo: proceso alternativo 23">
          <a:extLst>
            <a:ext uri="{FF2B5EF4-FFF2-40B4-BE49-F238E27FC236}">
              <a16:creationId xmlns:a16="http://schemas.microsoft.com/office/drawing/2014/main" id="{8752DD60-3A6D-471B-9270-C6ED7323EBD9}"/>
            </a:ext>
          </a:extLst>
        </xdr:cNvPr>
        <xdr:cNvSpPr/>
      </xdr:nvSpPr>
      <xdr:spPr>
        <a:xfrm>
          <a:off x="10156823" y="16119474"/>
          <a:ext cx="1542118" cy="158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122</xdr:row>
      <xdr:rowOff>47625</xdr:rowOff>
    </xdr:from>
    <xdr:to>
      <xdr:col>28</xdr:col>
      <xdr:colOff>199691</xdr:colOff>
      <xdr:row>123</xdr:row>
      <xdr:rowOff>76200</xdr:rowOff>
    </xdr:to>
    <xdr:sp macro="" textlink="">
      <xdr:nvSpPr>
        <xdr:cNvPr id="25" name="Signo más 24">
          <a:extLst>
            <a:ext uri="{FF2B5EF4-FFF2-40B4-BE49-F238E27FC236}">
              <a16:creationId xmlns:a16="http://schemas.microsoft.com/office/drawing/2014/main" id="{C46F4E38-5A18-4214-916F-187CA127A98B}"/>
            </a:ext>
          </a:extLst>
        </xdr:cNvPr>
        <xdr:cNvSpPr/>
      </xdr:nvSpPr>
      <xdr:spPr>
        <a:xfrm>
          <a:off x="10464800" y="1712277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9523</xdr:colOff>
      <xdr:row>120</xdr:row>
      <xdr:rowOff>9525</xdr:rowOff>
    </xdr:from>
    <xdr:to>
      <xdr:col>28</xdr:col>
      <xdr:colOff>888999</xdr:colOff>
      <xdr:row>122</xdr:row>
      <xdr:rowOff>19050</xdr:rowOff>
    </xdr:to>
    <xdr:sp macro="" textlink="">
      <xdr:nvSpPr>
        <xdr:cNvPr id="26" name="Diagrama de flujo: proceso alternativo 25">
          <a:extLst>
            <a:ext uri="{FF2B5EF4-FFF2-40B4-BE49-F238E27FC236}">
              <a16:creationId xmlns:a16="http://schemas.microsoft.com/office/drawing/2014/main" id="{0620C201-6DC0-4263-A800-0FE9733FF96C}"/>
            </a:ext>
          </a:extLst>
        </xdr:cNvPr>
        <xdr:cNvSpPr/>
      </xdr:nvSpPr>
      <xdr:spPr>
        <a:xfrm>
          <a:off x="10137773" y="16767175"/>
          <a:ext cx="1558926"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352425</xdr:colOff>
      <xdr:row>118</xdr:row>
      <xdr:rowOff>47625</xdr:rowOff>
    </xdr:from>
    <xdr:to>
      <xdr:col>28</xdr:col>
      <xdr:colOff>206375</xdr:colOff>
      <xdr:row>119</xdr:row>
      <xdr:rowOff>66973</xdr:rowOff>
    </xdr:to>
    <xdr:sp macro="" textlink="">
      <xdr:nvSpPr>
        <xdr:cNvPr id="27" name="Signo más 26">
          <a:extLst>
            <a:ext uri="{FF2B5EF4-FFF2-40B4-BE49-F238E27FC236}">
              <a16:creationId xmlns:a16="http://schemas.microsoft.com/office/drawing/2014/main" id="{A67734A6-3B4D-4320-BBAA-83CED5091A14}"/>
            </a:ext>
          </a:extLst>
        </xdr:cNvPr>
        <xdr:cNvSpPr/>
      </xdr:nvSpPr>
      <xdr:spPr>
        <a:xfrm>
          <a:off x="10480675" y="1648777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126</xdr:row>
      <xdr:rowOff>44450</xdr:rowOff>
    </xdr:from>
    <xdr:to>
      <xdr:col>28</xdr:col>
      <xdr:colOff>199691</xdr:colOff>
      <xdr:row>127</xdr:row>
      <xdr:rowOff>88695</xdr:rowOff>
    </xdr:to>
    <xdr:sp macro="" textlink="">
      <xdr:nvSpPr>
        <xdr:cNvPr id="28" name="Signo más 27">
          <a:extLst>
            <a:ext uri="{FF2B5EF4-FFF2-40B4-BE49-F238E27FC236}">
              <a16:creationId xmlns:a16="http://schemas.microsoft.com/office/drawing/2014/main" id="{3871BE6B-A300-45FC-BE9F-8B0880B6ECDD}"/>
            </a:ext>
          </a:extLst>
        </xdr:cNvPr>
        <xdr:cNvSpPr/>
      </xdr:nvSpPr>
      <xdr:spPr>
        <a:xfrm>
          <a:off x="10464800" y="1775460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29</xdr:col>
      <xdr:colOff>228600</xdr:colOff>
      <xdr:row>119</xdr:row>
      <xdr:rowOff>85725</xdr:rowOff>
    </xdr:from>
    <xdr:to>
      <xdr:col>29</xdr:col>
      <xdr:colOff>546100</xdr:colOff>
      <xdr:row>122</xdr:row>
      <xdr:rowOff>22485</xdr:rowOff>
    </xdr:to>
    <xdr:sp macro="" textlink="">
      <xdr:nvSpPr>
        <xdr:cNvPr id="29" name="Es igual a 28">
          <a:extLst>
            <a:ext uri="{FF2B5EF4-FFF2-40B4-BE49-F238E27FC236}">
              <a16:creationId xmlns:a16="http://schemas.microsoft.com/office/drawing/2014/main" id="{7EDBFA29-0799-459D-92A4-8EE3215A78AA}"/>
            </a:ext>
          </a:extLst>
        </xdr:cNvPr>
        <xdr:cNvSpPr/>
      </xdr:nvSpPr>
      <xdr:spPr>
        <a:xfrm>
          <a:off x="11925300" y="1668462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28574</xdr:colOff>
      <xdr:row>108</xdr:row>
      <xdr:rowOff>31749</xdr:rowOff>
    </xdr:from>
    <xdr:to>
      <xdr:col>34</xdr:col>
      <xdr:colOff>32152</xdr:colOff>
      <xdr:row>150</xdr:row>
      <xdr:rowOff>7469</xdr:rowOff>
    </xdr:to>
    <xdr:sp macro="" textlink="">
      <xdr:nvSpPr>
        <xdr:cNvPr id="30" name="Diagrama de flujo: proceso alternativo 29">
          <a:extLst>
            <a:ext uri="{FF2B5EF4-FFF2-40B4-BE49-F238E27FC236}">
              <a16:creationId xmlns:a16="http://schemas.microsoft.com/office/drawing/2014/main" id="{3CACF779-E574-420B-A34C-DA8245144AF6}"/>
            </a:ext>
          </a:extLst>
        </xdr:cNvPr>
        <xdr:cNvSpPr/>
      </xdr:nvSpPr>
      <xdr:spPr>
        <a:xfrm>
          <a:off x="14144624" y="15805150"/>
          <a:ext cx="1527578" cy="57224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111</xdr:row>
      <xdr:rowOff>47625</xdr:rowOff>
    </xdr:from>
    <xdr:to>
      <xdr:col>37</xdr:col>
      <xdr:colOff>199691</xdr:colOff>
      <xdr:row>112</xdr:row>
      <xdr:rowOff>76200</xdr:rowOff>
    </xdr:to>
    <xdr:sp macro="" textlink="">
      <xdr:nvSpPr>
        <xdr:cNvPr id="31" name="Signo más 30">
          <a:extLst>
            <a:ext uri="{FF2B5EF4-FFF2-40B4-BE49-F238E27FC236}">
              <a16:creationId xmlns:a16="http://schemas.microsoft.com/office/drawing/2014/main" id="{369E91DD-8BA5-4FB2-A347-0ADB9764D620}"/>
            </a:ext>
          </a:extLst>
        </xdr:cNvPr>
        <xdr:cNvSpPr/>
      </xdr:nvSpPr>
      <xdr:spPr>
        <a:xfrm>
          <a:off x="16738600" y="16011525"/>
          <a:ext cx="1641141" cy="1111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109</xdr:row>
      <xdr:rowOff>9525</xdr:rowOff>
    </xdr:from>
    <xdr:to>
      <xdr:col>37</xdr:col>
      <xdr:colOff>793749</xdr:colOff>
      <xdr:row>111</xdr:row>
      <xdr:rowOff>22225</xdr:rowOff>
    </xdr:to>
    <xdr:sp macro="" textlink="">
      <xdr:nvSpPr>
        <xdr:cNvPr id="32" name="Diagrama de flujo: proceso alternativo 31">
          <a:extLst>
            <a:ext uri="{FF2B5EF4-FFF2-40B4-BE49-F238E27FC236}">
              <a16:creationId xmlns:a16="http://schemas.microsoft.com/office/drawing/2014/main" id="{4AA0B5B2-BFD0-44E9-864A-F5E75E6B054F}"/>
            </a:ext>
          </a:extLst>
        </xdr:cNvPr>
        <xdr:cNvSpPr/>
      </xdr:nvSpPr>
      <xdr:spPr>
        <a:xfrm>
          <a:off x="16411574" y="15805150"/>
          <a:ext cx="2562225" cy="1809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119</xdr:row>
      <xdr:rowOff>47625</xdr:rowOff>
    </xdr:from>
    <xdr:to>
      <xdr:col>37</xdr:col>
      <xdr:colOff>199691</xdr:colOff>
      <xdr:row>120</xdr:row>
      <xdr:rowOff>76200</xdr:rowOff>
    </xdr:to>
    <xdr:sp macro="" textlink="">
      <xdr:nvSpPr>
        <xdr:cNvPr id="33" name="Signo más 32">
          <a:extLst>
            <a:ext uri="{FF2B5EF4-FFF2-40B4-BE49-F238E27FC236}">
              <a16:creationId xmlns:a16="http://schemas.microsoft.com/office/drawing/2014/main" id="{53678BA8-4685-4012-AAAE-C9336E5D6C78}"/>
            </a:ext>
          </a:extLst>
        </xdr:cNvPr>
        <xdr:cNvSpPr/>
      </xdr:nvSpPr>
      <xdr:spPr>
        <a:xfrm>
          <a:off x="16738600" y="1664652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117</xdr:row>
      <xdr:rowOff>9525</xdr:rowOff>
    </xdr:from>
    <xdr:to>
      <xdr:col>37</xdr:col>
      <xdr:colOff>787399</xdr:colOff>
      <xdr:row>119</xdr:row>
      <xdr:rowOff>22225</xdr:rowOff>
    </xdr:to>
    <xdr:sp macro="" textlink="">
      <xdr:nvSpPr>
        <xdr:cNvPr id="34" name="Diagrama de flujo: proceso alternativo 33">
          <a:extLst>
            <a:ext uri="{FF2B5EF4-FFF2-40B4-BE49-F238E27FC236}">
              <a16:creationId xmlns:a16="http://schemas.microsoft.com/office/drawing/2014/main" id="{2EB83B4E-7FAA-4C77-8951-86A09A44A9B1}"/>
            </a:ext>
          </a:extLst>
        </xdr:cNvPr>
        <xdr:cNvSpPr/>
      </xdr:nvSpPr>
      <xdr:spPr>
        <a:xfrm>
          <a:off x="16411574" y="16440150"/>
          <a:ext cx="2555875" cy="1809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352425</xdr:colOff>
      <xdr:row>115</xdr:row>
      <xdr:rowOff>47625</xdr:rowOff>
    </xdr:from>
    <xdr:to>
      <xdr:col>37</xdr:col>
      <xdr:colOff>206375</xdr:colOff>
      <xdr:row>116</xdr:row>
      <xdr:rowOff>66973</xdr:rowOff>
    </xdr:to>
    <xdr:sp macro="" textlink="">
      <xdr:nvSpPr>
        <xdr:cNvPr id="35" name="Signo más 34">
          <a:extLst>
            <a:ext uri="{FF2B5EF4-FFF2-40B4-BE49-F238E27FC236}">
              <a16:creationId xmlns:a16="http://schemas.microsoft.com/office/drawing/2014/main" id="{0EE101FF-E4FB-4054-9C56-6A1DE33CE939}"/>
            </a:ext>
          </a:extLst>
        </xdr:cNvPr>
        <xdr:cNvSpPr/>
      </xdr:nvSpPr>
      <xdr:spPr>
        <a:xfrm>
          <a:off x="16754475" y="16329025"/>
          <a:ext cx="1631950" cy="1111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123</xdr:row>
      <xdr:rowOff>44450</xdr:rowOff>
    </xdr:from>
    <xdr:to>
      <xdr:col>37</xdr:col>
      <xdr:colOff>199691</xdr:colOff>
      <xdr:row>124</xdr:row>
      <xdr:rowOff>88695</xdr:rowOff>
    </xdr:to>
    <xdr:sp macro="" textlink="">
      <xdr:nvSpPr>
        <xdr:cNvPr id="36" name="Signo más 35">
          <a:extLst>
            <a:ext uri="{FF2B5EF4-FFF2-40B4-BE49-F238E27FC236}">
              <a16:creationId xmlns:a16="http://schemas.microsoft.com/office/drawing/2014/main" id="{FADA071E-ED2E-4881-8C64-1675F74AF78D}"/>
            </a:ext>
          </a:extLst>
        </xdr:cNvPr>
        <xdr:cNvSpPr/>
      </xdr:nvSpPr>
      <xdr:spPr>
        <a:xfrm>
          <a:off x="16738600" y="1727835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15875</xdr:colOff>
      <xdr:row>125</xdr:row>
      <xdr:rowOff>9525</xdr:rowOff>
    </xdr:from>
    <xdr:to>
      <xdr:col>38</xdr:col>
      <xdr:colOff>12700</xdr:colOff>
      <xdr:row>127</xdr:row>
      <xdr:rowOff>22225</xdr:rowOff>
    </xdr:to>
    <xdr:sp macro="" textlink="">
      <xdr:nvSpPr>
        <xdr:cNvPr id="37" name="Diagrama de flujo: proceso alternativo 36">
          <a:extLst>
            <a:ext uri="{FF2B5EF4-FFF2-40B4-BE49-F238E27FC236}">
              <a16:creationId xmlns:a16="http://schemas.microsoft.com/office/drawing/2014/main" id="{936BA031-B8AB-4790-9E26-26A16FFCDFA4}"/>
            </a:ext>
          </a:extLst>
        </xdr:cNvPr>
        <xdr:cNvSpPr/>
      </xdr:nvSpPr>
      <xdr:spPr>
        <a:xfrm>
          <a:off x="16417925" y="1756092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40</xdr:col>
      <xdr:colOff>228600</xdr:colOff>
      <xdr:row>119</xdr:row>
      <xdr:rowOff>85725</xdr:rowOff>
    </xdr:from>
    <xdr:to>
      <xdr:col>40</xdr:col>
      <xdr:colOff>546100</xdr:colOff>
      <xdr:row>122</xdr:row>
      <xdr:rowOff>22485</xdr:rowOff>
    </xdr:to>
    <xdr:sp macro="" textlink="">
      <xdr:nvSpPr>
        <xdr:cNvPr id="38" name="Es igual a 37">
          <a:extLst>
            <a:ext uri="{FF2B5EF4-FFF2-40B4-BE49-F238E27FC236}">
              <a16:creationId xmlns:a16="http://schemas.microsoft.com/office/drawing/2014/main" id="{D7B19555-2AB9-48A7-A108-5598A8E74CF7}"/>
            </a:ext>
          </a:extLst>
        </xdr:cNvPr>
        <xdr:cNvSpPr/>
      </xdr:nvSpPr>
      <xdr:spPr>
        <a:xfrm>
          <a:off x="20815300" y="1668462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42</xdr:col>
      <xdr:colOff>15874</xdr:colOff>
      <xdr:row>108</xdr:row>
      <xdr:rowOff>25400</xdr:rowOff>
    </xdr:from>
    <xdr:to>
      <xdr:col>44</xdr:col>
      <xdr:colOff>7471</xdr:colOff>
      <xdr:row>149</xdr:row>
      <xdr:rowOff>74706</xdr:rowOff>
    </xdr:to>
    <xdr:sp macro="" textlink="">
      <xdr:nvSpPr>
        <xdr:cNvPr id="39" name="Diagrama de flujo: proceso alternativo 38">
          <a:extLst>
            <a:ext uri="{FF2B5EF4-FFF2-40B4-BE49-F238E27FC236}">
              <a16:creationId xmlns:a16="http://schemas.microsoft.com/office/drawing/2014/main" id="{BBCE8855-C6AA-4809-94BB-4A670049F0BD}"/>
            </a:ext>
          </a:extLst>
        </xdr:cNvPr>
        <xdr:cNvSpPr/>
      </xdr:nvSpPr>
      <xdr:spPr>
        <a:xfrm>
          <a:off x="22126574" y="15805150"/>
          <a:ext cx="1515597" cy="563095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113</xdr:row>
      <xdr:rowOff>0</xdr:rowOff>
    </xdr:from>
    <xdr:to>
      <xdr:col>37</xdr:col>
      <xdr:colOff>793750</xdr:colOff>
      <xdr:row>115</xdr:row>
      <xdr:rowOff>9525</xdr:rowOff>
    </xdr:to>
    <xdr:sp macro="" textlink="">
      <xdr:nvSpPr>
        <xdr:cNvPr id="40" name="Diagrama de flujo: proceso alternativo 39">
          <a:extLst>
            <a:ext uri="{FF2B5EF4-FFF2-40B4-BE49-F238E27FC236}">
              <a16:creationId xmlns:a16="http://schemas.microsoft.com/office/drawing/2014/main" id="{E1BD56BB-3597-4DE0-A6F5-F550EA94159E}"/>
            </a:ext>
          </a:extLst>
        </xdr:cNvPr>
        <xdr:cNvSpPr/>
      </xdr:nvSpPr>
      <xdr:spPr>
        <a:xfrm>
          <a:off x="16402050" y="16122650"/>
          <a:ext cx="2571750" cy="1682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121</xdr:row>
      <xdr:rowOff>0</xdr:rowOff>
    </xdr:from>
    <xdr:to>
      <xdr:col>38</xdr:col>
      <xdr:colOff>6350</xdr:colOff>
      <xdr:row>123</xdr:row>
      <xdr:rowOff>9525</xdr:rowOff>
    </xdr:to>
    <xdr:sp macro="" textlink="">
      <xdr:nvSpPr>
        <xdr:cNvPr id="41" name="Diagrama de flujo: proceso alternativo 40">
          <a:extLst>
            <a:ext uri="{FF2B5EF4-FFF2-40B4-BE49-F238E27FC236}">
              <a16:creationId xmlns:a16="http://schemas.microsoft.com/office/drawing/2014/main" id="{FFD99BAD-1F89-4982-8B4D-3B0AF8ABA24E}"/>
            </a:ext>
          </a:extLst>
        </xdr:cNvPr>
        <xdr:cNvSpPr/>
      </xdr:nvSpPr>
      <xdr:spPr>
        <a:xfrm>
          <a:off x="16402050" y="16916400"/>
          <a:ext cx="266700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6350</xdr:colOff>
      <xdr:row>116</xdr:row>
      <xdr:rowOff>0</xdr:rowOff>
    </xdr:from>
    <xdr:to>
      <xdr:col>29</xdr:col>
      <xdr:colOff>9525</xdr:colOff>
      <xdr:row>118</xdr:row>
      <xdr:rowOff>19050</xdr:rowOff>
    </xdr:to>
    <xdr:sp macro="" textlink="">
      <xdr:nvSpPr>
        <xdr:cNvPr id="42" name="Diagrama de flujo: proceso alternativo 41">
          <a:extLst>
            <a:ext uri="{FF2B5EF4-FFF2-40B4-BE49-F238E27FC236}">
              <a16:creationId xmlns:a16="http://schemas.microsoft.com/office/drawing/2014/main" id="{A5589CCC-80AA-49C6-BE3D-300A8D96C866}"/>
            </a:ext>
          </a:extLst>
        </xdr:cNvPr>
        <xdr:cNvSpPr/>
      </xdr:nvSpPr>
      <xdr:spPr>
        <a:xfrm>
          <a:off x="10134600" y="16440150"/>
          <a:ext cx="1571625" cy="190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110</xdr:row>
      <xdr:rowOff>69851</xdr:rowOff>
    </xdr:from>
    <xdr:to>
      <xdr:col>28</xdr:col>
      <xdr:colOff>247317</xdr:colOff>
      <xdr:row>111</xdr:row>
      <xdr:rowOff>98426</xdr:rowOff>
    </xdr:to>
    <xdr:sp macro="" textlink="">
      <xdr:nvSpPr>
        <xdr:cNvPr id="43" name="Signo más 42">
          <a:extLst>
            <a:ext uri="{FF2B5EF4-FFF2-40B4-BE49-F238E27FC236}">
              <a16:creationId xmlns:a16="http://schemas.microsoft.com/office/drawing/2014/main" id="{4B127027-3EEB-419D-B71C-D39755A35341}"/>
            </a:ext>
          </a:extLst>
        </xdr:cNvPr>
        <xdr:cNvSpPr/>
      </xdr:nvSpPr>
      <xdr:spPr>
        <a:xfrm>
          <a:off x="10512426" y="1587500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108</xdr:row>
      <xdr:rowOff>9524</xdr:rowOff>
    </xdr:from>
    <xdr:to>
      <xdr:col>29</xdr:col>
      <xdr:colOff>6349</xdr:colOff>
      <xdr:row>110</xdr:row>
      <xdr:rowOff>25399</xdr:rowOff>
    </xdr:to>
    <xdr:sp macro="" textlink="">
      <xdr:nvSpPr>
        <xdr:cNvPr id="44" name="Diagrama de flujo: proceso alternativo 43">
          <a:extLst>
            <a:ext uri="{FF2B5EF4-FFF2-40B4-BE49-F238E27FC236}">
              <a16:creationId xmlns:a16="http://schemas.microsoft.com/office/drawing/2014/main" id="{83B9A021-338B-44DF-A16C-9E4EE5561838}"/>
            </a:ext>
          </a:extLst>
        </xdr:cNvPr>
        <xdr:cNvSpPr/>
      </xdr:nvSpPr>
      <xdr:spPr>
        <a:xfrm>
          <a:off x="10175874" y="15805150"/>
          <a:ext cx="1527175" cy="2539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130</xdr:row>
      <xdr:rowOff>0</xdr:rowOff>
    </xdr:from>
    <xdr:to>
      <xdr:col>28</xdr:col>
      <xdr:colOff>199691</xdr:colOff>
      <xdr:row>131</xdr:row>
      <xdr:rowOff>31545</xdr:rowOff>
    </xdr:to>
    <xdr:sp macro="" textlink="">
      <xdr:nvSpPr>
        <xdr:cNvPr id="45" name="Signo más 44">
          <a:extLst>
            <a:ext uri="{FF2B5EF4-FFF2-40B4-BE49-F238E27FC236}">
              <a16:creationId xmlns:a16="http://schemas.microsoft.com/office/drawing/2014/main" id="{F4A7312C-353E-4595-A254-FA5676A99D8B}"/>
            </a:ext>
          </a:extLst>
        </xdr:cNvPr>
        <xdr:cNvSpPr/>
      </xdr:nvSpPr>
      <xdr:spPr>
        <a:xfrm>
          <a:off x="10464800" y="1834515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12701</xdr:colOff>
      <xdr:row>131</xdr:row>
      <xdr:rowOff>104775</xdr:rowOff>
    </xdr:from>
    <xdr:to>
      <xdr:col>29</xdr:col>
      <xdr:colOff>7471</xdr:colOff>
      <xdr:row>133</xdr:row>
      <xdr:rowOff>139700</xdr:rowOff>
    </xdr:to>
    <xdr:sp macro="" textlink="">
      <xdr:nvSpPr>
        <xdr:cNvPr id="46" name="Diagrama de flujo: proceso alternativo 45">
          <a:extLst>
            <a:ext uri="{FF2B5EF4-FFF2-40B4-BE49-F238E27FC236}">
              <a16:creationId xmlns:a16="http://schemas.microsoft.com/office/drawing/2014/main" id="{BE9405DB-BC13-48B1-9565-AA2180284323}"/>
            </a:ext>
          </a:extLst>
        </xdr:cNvPr>
        <xdr:cNvSpPr/>
      </xdr:nvSpPr>
      <xdr:spPr>
        <a:xfrm>
          <a:off x="10140951" y="18608675"/>
          <a:ext cx="1563220" cy="3524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12700</xdr:colOff>
      <xdr:row>12</xdr:row>
      <xdr:rowOff>12700</xdr:rowOff>
    </xdr:from>
    <xdr:to>
      <xdr:col>42</xdr:col>
      <xdr:colOff>0</xdr:colOff>
      <xdr:row>28</xdr:row>
      <xdr:rowOff>158750</xdr:rowOff>
    </xdr:to>
    <xdr:graphicFrame macro="">
      <xdr:nvGraphicFramePr>
        <xdr:cNvPr id="47" name="Gráfico 1">
          <a:extLst>
            <a:ext uri="{FF2B5EF4-FFF2-40B4-BE49-F238E27FC236}">
              <a16:creationId xmlns:a16="http://schemas.microsoft.com/office/drawing/2014/main" id="{E6995B00-E7D8-41AA-A9BF-C5FF45BA0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41677</xdr:colOff>
      <xdr:row>134</xdr:row>
      <xdr:rowOff>132184</xdr:rowOff>
    </xdr:from>
    <xdr:to>
      <xdr:col>29</xdr:col>
      <xdr:colOff>17564</xdr:colOff>
      <xdr:row>137</xdr:row>
      <xdr:rowOff>22826</xdr:rowOff>
    </xdr:to>
    <xdr:sp macro="" textlink="">
      <xdr:nvSpPr>
        <xdr:cNvPr id="48" name="Diagrama de flujo: proceso alternativo 47">
          <a:extLst>
            <a:ext uri="{FF2B5EF4-FFF2-40B4-BE49-F238E27FC236}">
              <a16:creationId xmlns:a16="http://schemas.microsoft.com/office/drawing/2014/main" id="{5B1C8B6A-3FBC-4504-AF21-F8589B75E9B8}"/>
            </a:ext>
          </a:extLst>
        </xdr:cNvPr>
        <xdr:cNvSpPr/>
      </xdr:nvSpPr>
      <xdr:spPr>
        <a:xfrm>
          <a:off x="10169927" y="19112334"/>
          <a:ext cx="1544337" cy="3668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321961</xdr:colOff>
      <xdr:row>133</xdr:row>
      <xdr:rowOff>114018</xdr:rowOff>
    </xdr:from>
    <xdr:to>
      <xdr:col>28</xdr:col>
      <xdr:colOff>185102</xdr:colOff>
      <xdr:row>134</xdr:row>
      <xdr:rowOff>128608</xdr:rowOff>
    </xdr:to>
    <xdr:sp macro="" textlink="">
      <xdr:nvSpPr>
        <xdr:cNvPr id="49" name="Signo más 48">
          <a:extLst>
            <a:ext uri="{FF2B5EF4-FFF2-40B4-BE49-F238E27FC236}">
              <a16:creationId xmlns:a16="http://schemas.microsoft.com/office/drawing/2014/main" id="{DF2851E9-CEAB-4A4A-8D3C-16F771AD0C8F}"/>
            </a:ext>
          </a:extLst>
        </xdr:cNvPr>
        <xdr:cNvSpPr/>
      </xdr:nvSpPr>
      <xdr:spPr>
        <a:xfrm>
          <a:off x="10450211" y="18935418"/>
          <a:ext cx="625141"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127</xdr:row>
      <xdr:rowOff>25601</xdr:rowOff>
    </xdr:from>
    <xdr:to>
      <xdr:col>37</xdr:col>
      <xdr:colOff>199691</xdr:colOff>
      <xdr:row>128</xdr:row>
      <xdr:rowOff>53770</xdr:rowOff>
    </xdr:to>
    <xdr:sp macro="" textlink="">
      <xdr:nvSpPr>
        <xdr:cNvPr id="50" name="Signo más 49">
          <a:extLst>
            <a:ext uri="{FF2B5EF4-FFF2-40B4-BE49-F238E27FC236}">
              <a16:creationId xmlns:a16="http://schemas.microsoft.com/office/drawing/2014/main" id="{2BE74D41-0830-41DD-8A6A-9782D822C376}"/>
            </a:ext>
          </a:extLst>
        </xdr:cNvPr>
        <xdr:cNvSpPr/>
      </xdr:nvSpPr>
      <xdr:spPr>
        <a:xfrm>
          <a:off x="16738600" y="17894501"/>
          <a:ext cx="1641141" cy="1869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416929</xdr:colOff>
      <xdr:row>130</xdr:row>
      <xdr:rowOff>135359</xdr:rowOff>
    </xdr:from>
    <xdr:to>
      <xdr:col>37</xdr:col>
      <xdr:colOff>280070</xdr:colOff>
      <xdr:row>132</xdr:row>
      <xdr:rowOff>18845</xdr:rowOff>
    </xdr:to>
    <xdr:sp macro="" textlink="">
      <xdr:nvSpPr>
        <xdr:cNvPr id="51" name="Signo más 50">
          <a:extLst>
            <a:ext uri="{FF2B5EF4-FFF2-40B4-BE49-F238E27FC236}">
              <a16:creationId xmlns:a16="http://schemas.microsoft.com/office/drawing/2014/main" id="{E5958830-B91F-43ED-B48D-EDF4C29FA5EC}"/>
            </a:ext>
          </a:extLst>
        </xdr:cNvPr>
        <xdr:cNvSpPr/>
      </xdr:nvSpPr>
      <xdr:spPr>
        <a:xfrm>
          <a:off x="16818979" y="18480509"/>
          <a:ext cx="1641141" cy="2009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23913</xdr:colOff>
      <xdr:row>132</xdr:row>
      <xdr:rowOff>132585</xdr:rowOff>
    </xdr:from>
    <xdr:to>
      <xdr:col>37</xdr:col>
      <xdr:colOff>749301</xdr:colOff>
      <xdr:row>135</xdr:row>
      <xdr:rowOff>16677</xdr:rowOff>
    </xdr:to>
    <xdr:sp macro="" textlink="">
      <xdr:nvSpPr>
        <xdr:cNvPr id="52" name="Diagrama de flujo: proceso alternativo 51">
          <a:extLst>
            <a:ext uri="{FF2B5EF4-FFF2-40B4-BE49-F238E27FC236}">
              <a16:creationId xmlns:a16="http://schemas.microsoft.com/office/drawing/2014/main" id="{8FDA1E66-16E4-4923-9B88-FFE7271F5524}"/>
            </a:ext>
          </a:extLst>
        </xdr:cNvPr>
        <xdr:cNvSpPr/>
      </xdr:nvSpPr>
      <xdr:spPr>
        <a:xfrm>
          <a:off x="16425963" y="18795235"/>
          <a:ext cx="2503388" cy="3603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-1</xdr:colOff>
      <xdr:row>139</xdr:row>
      <xdr:rowOff>118782</xdr:rowOff>
    </xdr:from>
    <xdr:to>
      <xdr:col>28</xdr:col>
      <xdr:colOff>911411</xdr:colOff>
      <xdr:row>142</xdr:row>
      <xdr:rowOff>29881</xdr:rowOff>
    </xdr:to>
    <xdr:sp macro="" textlink="">
      <xdr:nvSpPr>
        <xdr:cNvPr id="53" name="Diagrama de flujo: proceso alternativo 52">
          <a:extLst>
            <a:ext uri="{FF2B5EF4-FFF2-40B4-BE49-F238E27FC236}">
              <a16:creationId xmlns:a16="http://schemas.microsoft.com/office/drawing/2014/main" id="{8F0FBC82-EDCC-42D3-B8FD-40884934C8FF}"/>
            </a:ext>
          </a:extLst>
        </xdr:cNvPr>
        <xdr:cNvSpPr/>
      </xdr:nvSpPr>
      <xdr:spPr>
        <a:xfrm>
          <a:off x="10128249" y="19892682"/>
          <a:ext cx="1565462" cy="3873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312436</xdr:colOff>
      <xdr:row>138</xdr:row>
      <xdr:rowOff>0</xdr:rowOff>
    </xdr:from>
    <xdr:to>
      <xdr:col>28</xdr:col>
      <xdr:colOff>175577</xdr:colOff>
      <xdr:row>139</xdr:row>
      <xdr:rowOff>44246</xdr:rowOff>
    </xdr:to>
    <xdr:sp macro="" textlink="">
      <xdr:nvSpPr>
        <xdr:cNvPr id="54" name="Signo más 53">
          <a:extLst>
            <a:ext uri="{FF2B5EF4-FFF2-40B4-BE49-F238E27FC236}">
              <a16:creationId xmlns:a16="http://schemas.microsoft.com/office/drawing/2014/main" id="{F4EF180A-89F1-41DF-B3AC-9F36847F4AF3}"/>
            </a:ext>
          </a:extLst>
        </xdr:cNvPr>
        <xdr:cNvSpPr/>
      </xdr:nvSpPr>
      <xdr:spPr>
        <a:xfrm>
          <a:off x="10440686" y="19615150"/>
          <a:ext cx="625141" cy="2029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0</xdr:colOff>
      <xdr:row>144</xdr:row>
      <xdr:rowOff>118781</xdr:rowOff>
    </xdr:from>
    <xdr:to>
      <xdr:col>28</xdr:col>
      <xdr:colOff>911412</xdr:colOff>
      <xdr:row>149</xdr:row>
      <xdr:rowOff>127000</xdr:rowOff>
    </xdr:to>
    <xdr:sp macro="" textlink="">
      <xdr:nvSpPr>
        <xdr:cNvPr id="55" name="Diagrama de flujo: proceso alternativo 54">
          <a:extLst>
            <a:ext uri="{FF2B5EF4-FFF2-40B4-BE49-F238E27FC236}">
              <a16:creationId xmlns:a16="http://schemas.microsoft.com/office/drawing/2014/main" id="{B258F521-38CE-4F14-9977-6A9B9B262633}"/>
            </a:ext>
          </a:extLst>
        </xdr:cNvPr>
        <xdr:cNvSpPr/>
      </xdr:nvSpPr>
      <xdr:spPr>
        <a:xfrm>
          <a:off x="10128250" y="20686431"/>
          <a:ext cx="1565462" cy="8019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312437</xdr:colOff>
      <xdr:row>143</xdr:row>
      <xdr:rowOff>0</xdr:rowOff>
    </xdr:from>
    <xdr:to>
      <xdr:col>28</xdr:col>
      <xdr:colOff>175578</xdr:colOff>
      <xdr:row>144</xdr:row>
      <xdr:rowOff>44245</xdr:rowOff>
    </xdr:to>
    <xdr:sp macro="" textlink="">
      <xdr:nvSpPr>
        <xdr:cNvPr id="56" name="Signo más 55">
          <a:extLst>
            <a:ext uri="{FF2B5EF4-FFF2-40B4-BE49-F238E27FC236}">
              <a16:creationId xmlns:a16="http://schemas.microsoft.com/office/drawing/2014/main" id="{B1DC9FAA-18EC-48C6-811D-3F7320D86A7B}"/>
            </a:ext>
          </a:extLst>
        </xdr:cNvPr>
        <xdr:cNvSpPr/>
      </xdr:nvSpPr>
      <xdr:spPr>
        <a:xfrm>
          <a:off x="10440687" y="2040890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403108</xdr:colOff>
      <xdr:row>135</xdr:row>
      <xdr:rowOff>3130</xdr:rowOff>
    </xdr:from>
    <xdr:to>
      <xdr:col>37</xdr:col>
      <xdr:colOff>266249</xdr:colOff>
      <xdr:row>136</xdr:row>
      <xdr:rowOff>43499</xdr:rowOff>
    </xdr:to>
    <xdr:sp macro="" textlink="">
      <xdr:nvSpPr>
        <xdr:cNvPr id="57" name="Signo más 56">
          <a:extLst>
            <a:ext uri="{FF2B5EF4-FFF2-40B4-BE49-F238E27FC236}">
              <a16:creationId xmlns:a16="http://schemas.microsoft.com/office/drawing/2014/main" id="{8A012924-1F82-471E-87FC-57BA26835125}"/>
            </a:ext>
          </a:extLst>
        </xdr:cNvPr>
        <xdr:cNvSpPr/>
      </xdr:nvSpPr>
      <xdr:spPr>
        <a:xfrm>
          <a:off x="16805158" y="19142030"/>
          <a:ext cx="1641141" cy="1991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10092</xdr:colOff>
      <xdr:row>137</xdr:row>
      <xdr:rowOff>7827</xdr:rowOff>
    </xdr:from>
    <xdr:to>
      <xdr:col>37</xdr:col>
      <xdr:colOff>735480</xdr:colOff>
      <xdr:row>140</xdr:row>
      <xdr:rowOff>74706</xdr:rowOff>
    </xdr:to>
    <xdr:sp macro="" textlink="">
      <xdr:nvSpPr>
        <xdr:cNvPr id="58" name="Diagrama de flujo: proceso alternativo 57">
          <a:extLst>
            <a:ext uri="{FF2B5EF4-FFF2-40B4-BE49-F238E27FC236}">
              <a16:creationId xmlns:a16="http://schemas.microsoft.com/office/drawing/2014/main" id="{89A9F1F8-4833-4A9F-8733-F7DE6815BA35}"/>
            </a:ext>
          </a:extLst>
        </xdr:cNvPr>
        <xdr:cNvSpPr/>
      </xdr:nvSpPr>
      <xdr:spPr>
        <a:xfrm>
          <a:off x="16412142" y="19464227"/>
          <a:ext cx="2503388" cy="5431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400487</xdr:colOff>
      <xdr:row>140</xdr:row>
      <xdr:rowOff>82177</xdr:rowOff>
    </xdr:from>
    <xdr:to>
      <xdr:col>37</xdr:col>
      <xdr:colOff>263628</xdr:colOff>
      <xdr:row>141</xdr:row>
      <xdr:rowOff>122545</xdr:rowOff>
    </xdr:to>
    <xdr:sp macro="" textlink="">
      <xdr:nvSpPr>
        <xdr:cNvPr id="59" name="Signo más 58">
          <a:extLst>
            <a:ext uri="{FF2B5EF4-FFF2-40B4-BE49-F238E27FC236}">
              <a16:creationId xmlns:a16="http://schemas.microsoft.com/office/drawing/2014/main" id="{5B0F0044-9D53-4B57-BEAE-2E6E8738402D}"/>
            </a:ext>
          </a:extLst>
        </xdr:cNvPr>
        <xdr:cNvSpPr/>
      </xdr:nvSpPr>
      <xdr:spPr>
        <a:xfrm>
          <a:off x="16802537" y="20014827"/>
          <a:ext cx="1641141" cy="1991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0</xdr:colOff>
      <xdr:row>142</xdr:row>
      <xdr:rowOff>4696</xdr:rowOff>
    </xdr:from>
    <xdr:to>
      <xdr:col>37</xdr:col>
      <xdr:colOff>725388</xdr:colOff>
      <xdr:row>146</xdr:row>
      <xdr:rowOff>29882</xdr:rowOff>
    </xdr:to>
    <xdr:sp macro="" textlink="">
      <xdr:nvSpPr>
        <xdr:cNvPr id="60" name="Diagrama de flujo: proceso alternativo 59">
          <a:extLst>
            <a:ext uri="{FF2B5EF4-FFF2-40B4-BE49-F238E27FC236}">
              <a16:creationId xmlns:a16="http://schemas.microsoft.com/office/drawing/2014/main" id="{A1242739-9A5F-45E4-BE78-CFEAE26787E3}"/>
            </a:ext>
          </a:extLst>
        </xdr:cNvPr>
        <xdr:cNvSpPr/>
      </xdr:nvSpPr>
      <xdr:spPr>
        <a:xfrm>
          <a:off x="16402050" y="20254846"/>
          <a:ext cx="2503388" cy="6601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15875</xdr:colOff>
      <xdr:row>129</xdr:row>
      <xdr:rowOff>9525</xdr:rowOff>
    </xdr:from>
    <xdr:to>
      <xdr:col>38</xdr:col>
      <xdr:colOff>12700</xdr:colOff>
      <xdr:row>131</xdr:row>
      <xdr:rowOff>22225</xdr:rowOff>
    </xdr:to>
    <xdr:sp macro="" textlink="">
      <xdr:nvSpPr>
        <xdr:cNvPr id="61" name="Diagrama de flujo: proceso alternativo 60">
          <a:extLst>
            <a:ext uri="{FF2B5EF4-FFF2-40B4-BE49-F238E27FC236}">
              <a16:creationId xmlns:a16="http://schemas.microsoft.com/office/drawing/2014/main" id="{4F5BC112-E5CE-4E4F-92FF-92C08D93AD31}"/>
            </a:ext>
          </a:extLst>
        </xdr:cNvPr>
        <xdr:cNvSpPr/>
      </xdr:nvSpPr>
      <xdr:spPr>
        <a:xfrm>
          <a:off x="16417925" y="1819592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29</xdr:col>
      <xdr:colOff>0</xdr:colOff>
      <xdr:row>30</xdr:row>
      <xdr:rowOff>146050</xdr:rowOff>
    </xdr:from>
    <xdr:to>
      <xdr:col>42</xdr:col>
      <xdr:colOff>742950</xdr:colOff>
      <xdr:row>54</xdr:row>
      <xdr:rowOff>101600</xdr:rowOff>
    </xdr:to>
    <xdr:graphicFrame macro="">
      <xdr:nvGraphicFramePr>
        <xdr:cNvPr id="62" name="Gráfico 72">
          <a:extLst>
            <a:ext uri="{FF2B5EF4-FFF2-40B4-BE49-F238E27FC236}">
              <a16:creationId xmlns:a16="http://schemas.microsoft.com/office/drawing/2014/main" id="{69CC52B7-2BFB-43A7-B39C-BC20EAEE0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742849</xdr:colOff>
      <xdr:row>84</xdr:row>
      <xdr:rowOff>49589</xdr:rowOff>
    </xdr:from>
    <xdr:to>
      <xdr:col>38</xdr:col>
      <xdr:colOff>201588</xdr:colOff>
      <xdr:row>104</xdr:row>
      <xdr:rowOff>141109</xdr:rowOff>
    </xdr:to>
    <xdr:graphicFrame macro="">
      <xdr:nvGraphicFramePr>
        <xdr:cNvPr id="63" name="Gráfico 62">
          <a:extLst>
            <a:ext uri="{FF2B5EF4-FFF2-40B4-BE49-F238E27FC236}">
              <a16:creationId xmlns:a16="http://schemas.microsoft.com/office/drawing/2014/main" id="{6B99C13E-1628-415F-9709-7DDE57777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752929</xdr:colOff>
      <xdr:row>105</xdr:row>
      <xdr:rowOff>59669</xdr:rowOff>
    </xdr:from>
    <xdr:to>
      <xdr:col>38</xdr:col>
      <xdr:colOff>70556</xdr:colOff>
      <xdr:row>122</xdr:row>
      <xdr:rowOff>61282</xdr:rowOff>
    </xdr:to>
    <xdr:graphicFrame macro="">
      <xdr:nvGraphicFramePr>
        <xdr:cNvPr id="64" name="Gráfico 63">
          <a:extLst>
            <a:ext uri="{FF2B5EF4-FFF2-40B4-BE49-F238E27FC236}">
              <a16:creationId xmlns:a16="http://schemas.microsoft.com/office/drawing/2014/main" id="{117E3C2B-547A-493E-8E9A-3BBA2AE9D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0.67251</cdr:x>
      <cdr:y>0.14461</cdr:y>
    </cdr:from>
    <cdr:to>
      <cdr:x>1</cdr:x>
      <cdr:y>0.39611</cdr:y>
    </cdr:to>
    <cdr:sp macro="" textlink="">
      <cdr:nvSpPr>
        <cdr:cNvPr id="2" name="CuadroTexto 1"/>
        <cdr:cNvSpPr txBox="1"/>
      </cdr:nvSpPr>
      <cdr:spPr>
        <a:xfrm xmlns:a="http://schemas.openxmlformats.org/drawingml/2006/main">
          <a:off x="3168650" y="374650"/>
          <a:ext cx="1543050" cy="6515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75000"/>
                </a:schemeClr>
              </a:solidFill>
              <a:effectLst/>
              <a:latin typeface="+mn-lt"/>
              <a:ea typeface="+mn-ea"/>
              <a:cs typeface="+mn-cs"/>
            </a:rPr>
            <a:t>Ingresos presupuestados </a:t>
          </a:r>
          <a:r>
            <a:rPr lang="es-419" sz="900" baseline="0">
              <a:solidFill>
                <a:schemeClr val="tx2">
                  <a:lumMod val="75000"/>
                </a:schemeClr>
              </a:solidFill>
              <a:effectLst/>
              <a:latin typeface="+mn-lt"/>
              <a:ea typeface="+mn-ea"/>
              <a:cs typeface="+mn-cs"/>
            </a:rPr>
            <a:t>vs Ingresos ejecutados</a:t>
          </a:r>
        </a:p>
        <a:p xmlns:a="http://schemas.openxmlformats.org/drawingml/2006/main">
          <a:pPr algn="ctr"/>
          <a:r>
            <a:rPr lang="es-419" sz="900" baseline="0">
              <a:solidFill>
                <a:schemeClr val="tx2">
                  <a:lumMod val="75000"/>
                </a:schemeClr>
              </a:solidFill>
              <a:effectLst/>
              <a:latin typeface="+mn-lt"/>
              <a:ea typeface="+mn-ea"/>
              <a:cs typeface="+mn-cs"/>
            </a:rPr>
            <a:t>Enero - junio 2025</a:t>
          </a:r>
          <a:endParaRPr lang="es-419" sz="900">
            <a:solidFill>
              <a:schemeClr val="tx2">
                <a:lumMod val="75000"/>
              </a:schemeClr>
            </a:solidFill>
            <a:effectLst/>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0.62916</cdr:x>
      <cdr:y>0.23064</cdr:y>
    </cdr:from>
    <cdr:to>
      <cdr:x>0.92969</cdr:x>
      <cdr:y>0.50132</cdr:y>
    </cdr:to>
    <cdr:sp macro="" textlink="">
      <cdr:nvSpPr>
        <cdr:cNvPr id="2" name="CuadroTexto 1"/>
        <cdr:cNvSpPr txBox="1"/>
      </cdr:nvSpPr>
      <cdr:spPr>
        <a:xfrm xmlns:a="http://schemas.openxmlformats.org/drawingml/2006/main">
          <a:off x="3577794" y="602460"/>
          <a:ext cx="1709012" cy="707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Enero-junio</a:t>
          </a:r>
          <a:r>
            <a:rPr lang="es-419" sz="900" b="1" baseline="0">
              <a:solidFill>
                <a:schemeClr val="tx2">
                  <a:lumMod val="50000"/>
                </a:schemeClr>
              </a:solidFill>
            </a:rPr>
            <a:t> 2025</a:t>
          </a:r>
          <a:endParaRPr lang="es-419" sz="900" b="1">
            <a:solidFill>
              <a:schemeClr val="tx2">
                <a:lumMod val="50000"/>
              </a:schemeClr>
            </a:solidFill>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15.xml><?xml version="1.0" encoding="utf-8"?>
<xdr:wsDr xmlns:xdr="http://schemas.openxmlformats.org/drawingml/2006/spreadsheetDrawing" xmlns:a="http://schemas.openxmlformats.org/drawingml/2006/main">
  <xdr:twoCellAnchor>
    <xdr:from>
      <xdr:col>27</xdr:col>
      <xdr:colOff>336550</xdr:colOff>
      <xdr:row>114</xdr:row>
      <xdr:rowOff>47625</xdr:rowOff>
    </xdr:from>
    <xdr:to>
      <xdr:col>28</xdr:col>
      <xdr:colOff>199691</xdr:colOff>
      <xdr:row>115</xdr:row>
      <xdr:rowOff>76200</xdr:rowOff>
    </xdr:to>
    <xdr:sp macro="" textlink="">
      <xdr:nvSpPr>
        <xdr:cNvPr id="2" name="Signo más 1">
          <a:extLst>
            <a:ext uri="{FF2B5EF4-FFF2-40B4-BE49-F238E27FC236}">
              <a16:creationId xmlns:a16="http://schemas.microsoft.com/office/drawing/2014/main" id="{B98A8C80-8CD0-4894-BFFC-1076EF39AC28}"/>
            </a:ext>
          </a:extLst>
        </xdr:cNvPr>
        <xdr:cNvSpPr/>
      </xdr:nvSpPr>
      <xdr:spPr>
        <a:xfrm>
          <a:off x="10623550" y="1634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122</xdr:row>
      <xdr:rowOff>47625</xdr:rowOff>
    </xdr:from>
    <xdr:to>
      <xdr:col>28</xdr:col>
      <xdr:colOff>199691</xdr:colOff>
      <xdr:row>123</xdr:row>
      <xdr:rowOff>76200</xdr:rowOff>
    </xdr:to>
    <xdr:sp macro="" textlink="">
      <xdr:nvSpPr>
        <xdr:cNvPr id="3" name="Signo más 2">
          <a:extLst>
            <a:ext uri="{FF2B5EF4-FFF2-40B4-BE49-F238E27FC236}">
              <a16:creationId xmlns:a16="http://schemas.microsoft.com/office/drawing/2014/main" id="{FEA72766-0DDA-4D70-B9FD-A658CBF5AA80}"/>
            </a:ext>
          </a:extLst>
        </xdr:cNvPr>
        <xdr:cNvSpPr/>
      </xdr:nvSpPr>
      <xdr:spPr>
        <a:xfrm>
          <a:off x="10623550" y="1761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352425</xdr:colOff>
      <xdr:row>118</xdr:row>
      <xdr:rowOff>47625</xdr:rowOff>
    </xdr:from>
    <xdr:to>
      <xdr:col>28</xdr:col>
      <xdr:colOff>206375</xdr:colOff>
      <xdr:row>119</xdr:row>
      <xdr:rowOff>66973</xdr:rowOff>
    </xdr:to>
    <xdr:sp macro="" textlink="">
      <xdr:nvSpPr>
        <xdr:cNvPr id="4" name="Signo más 3">
          <a:extLst>
            <a:ext uri="{FF2B5EF4-FFF2-40B4-BE49-F238E27FC236}">
              <a16:creationId xmlns:a16="http://schemas.microsoft.com/office/drawing/2014/main" id="{69B60333-38CB-4807-A2F7-9E5187B2EA51}"/>
            </a:ext>
          </a:extLst>
        </xdr:cNvPr>
        <xdr:cNvSpPr/>
      </xdr:nvSpPr>
      <xdr:spPr>
        <a:xfrm>
          <a:off x="10639425" y="16976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126</xdr:row>
      <xdr:rowOff>44450</xdr:rowOff>
    </xdr:from>
    <xdr:to>
      <xdr:col>28</xdr:col>
      <xdr:colOff>199691</xdr:colOff>
      <xdr:row>127</xdr:row>
      <xdr:rowOff>88695</xdr:rowOff>
    </xdr:to>
    <xdr:sp macro="" textlink="">
      <xdr:nvSpPr>
        <xdr:cNvPr id="5" name="Signo más 4">
          <a:extLst>
            <a:ext uri="{FF2B5EF4-FFF2-40B4-BE49-F238E27FC236}">
              <a16:creationId xmlns:a16="http://schemas.microsoft.com/office/drawing/2014/main" id="{E3926A17-911A-414E-9877-866616FDBA1B}"/>
            </a:ext>
          </a:extLst>
        </xdr:cNvPr>
        <xdr:cNvSpPr/>
      </xdr:nvSpPr>
      <xdr:spPr>
        <a:xfrm>
          <a:off x="10623550" y="18243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24114</xdr:colOff>
      <xdr:row>128</xdr:row>
      <xdr:rowOff>6350</xdr:rowOff>
    </xdr:from>
    <xdr:to>
      <xdr:col>28</xdr:col>
      <xdr:colOff>896471</xdr:colOff>
      <xdr:row>130</xdr:row>
      <xdr:rowOff>9525</xdr:rowOff>
    </xdr:to>
    <xdr:sp macro="" textlink="">
      <xdr:nvSpPr>
        <xdr:cNvPr id="6" name="Diagrama de flujo: proceso alternativo 5">
          <a:extLst>
            <a:ext uri="{FF2B5EF4-FFF2-40B4-BE49-F238E27FC236}">
              <a16:creationId xmlns:a16="http://schemas.microsoft.com/office/drawing/2014/main" id="{C3B3176C-4037-45C2-9E70-F59BC8B83B14}"/>
            </a:ext>
          </a:extLst>
        </xdr:cNvPr>
        <xdr:cNvSpPr/>
      </xdr:nvSpPr>
      <xdr:spPr>
        <a:xfrm>
          <a:off x="10311114" y="18522950"/>
          <a:ext cx="1545457" cy="3206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29</xdr:col>
      <xdr:colOff>228600</xdr:colOff>
      <xdr:row>119</xdr:row>
      <xdr:rowOff>85725</xdr:rowOff>
    </xdr:from>
    <xdr:to>
      <xdr:col>29</xdr:col>
      <xdr:colOff>546100</xdr:colOff>
      <xdr:row>122</xdr:row>
      <xdr:rowOff>22485</xdr:rowOff>
    </xdr:to>
    <xdr:sp macro="" textlink="">
      <xdr:nvSpPr>
        <xdr:cNvPr id="7" name="Es igual a 6">
          <a:extLst>
            <a:ext uri="{FF2B5EF4-FFF2-40B4-BE49-F238E27FC236}">
              <a16:creationId xmlns:a16="http://schemas.microsoft.com/office/drawing/2014/main" id="{E678FA9B-D130-4AD5-A9C2-9C8E7F611544}"/>
            </a:ext>
          </a:extLst>
        </xdr:cNvPr>
        <xdr:cNvSpPr/>
      </xdr:nvSpPr>
      <xdr:spPr>
        <a:xfrm>
          <a:off x="12084050" y="17173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111</xdr:row>
      <xdr:rowOff>47625</xdr:rowOff>
    </xdr:from>
    <xdr:to>
      <xdr:col>37</xdr:col>
      <xdr:colOff>199691</xdr:colOff>
      <xdr:row>112</xdr:row>
      <xdr:rowOff>76200</xdr:rowOff>
    </xdr:to>
    <xdr:sp macro="" textlink="">
      <xdr:nvSpPr>
        <xdr:cNvPr id="8" name="Signo más 7">
          <a:extLst>
            <a:ext uri="{FF2B5EF4-FFF2-40B4-BE49-F238E27FC236}">
              <a16:creationId xmlns:a16="http://schemas.microsoft.com/office/drawing/2014/main" id="{61FB8F1F-C03E-432D-AC13-464E5E431901}"/>
            </a:ext>
          </a:extLst>
        </xdr:cNvPr>
        <xdr:cNvSpPr/>
      </xdr:nvSpPr>
      <xdr:spPr>
        <a:xfrm>
          <a:off x="16897350" y="1586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109</xdr:row>
      <xdr:rowOff>9525</xdr:rowOff>
    </xdr:from>
    <xdr:to>
      <xdr:col>37</xdr:col>
      <xdr:colOff>793749</xdr:colOff>
      <xdr:row>111</xdr:row>
      <xdr:rowOff>22225</xdr:rowOff>
    </xdr:to>
    <xdr:sp macro="" textlink="">
      <xdr:nvSpPr>
        <xdr:cNvPr id="9" name="Diagrama de flujo: proceso alternativo 8">
          <a:extLst>
            <a:ext uri="{FF2B5EF4-FFF2-40B4-BE49-F238E27FC236}">
              <a16:creationId xmlns:a16="http://schemas.microsoft.com/office/drawing/2014/main" id="{F1BD9B95-E89B-4E50-AB1F-0E05707B5F25}"/>
            </a:ext>
          </a:extLst>
        </xdr:cNvPr>
        <xdr:cNvSpPr/>
      </xdr:nvSpPr>
      <xdr:spPr>
        <a:xfrm>
          <a:off x="16570324" y="15509875"/>
          <a:ext cx="2562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119</xdr:row>
      <xdr:rowOff>47625</xdr:rowOff>
    </xdr:from>
    <xdr:to>
      <xdr:col>37</xdr:col>
      <xdr:colOff>199691</xdr:colOff>
      <xdr:row>120</xdr:row>
      <xdr:rowOff>76200</xdr:rowOff>
    </xdr:to>
    <xdr:sp macro="" textlink="">
      <xdr:nvSpPr>
        <xdr:cNvPr id="10" name="Signo más 9">
          <a:extLst>
            <a:ext uri="{FF2B5EF4-FFF2-40B4-BE49-F238E27FC236}">
              <a16:creationId xmlns:a16="http://schemas.microsoft.com/office/drawing/2014/main" id="{ABCEEB45-56E7-43FB-8686-DD4ADA98FA54}"/>
            </a:ext>
          </a:extLst>
        </xdr:cNvPr>
        <xdr:cNvSpPr/>
      </xdr:nvSpPr>
      <xdr:spPr>
        <a:xfrm>
          <a:off x="16897350" y="1713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117</xdr:row>
      <xdr:rowOff>9525</xdr:rowOff>
    </xdr:from>
    <xdr:to>
      <xdr:col>37</xdr:col>
      <xdr:colOff>787399</xdr:colOff>
      <xdr:row>119</xdr:row>
      <xdr:rowOff>22225</xdr:rowOff>
    </xdr:to>
    <xdr:sp macro="" textlink="">
      <xdr:nvSpPr>
        <xdr:cNvPr id="11" name="Diagrama de flujo: proceso alternativo 10">
          <a:extLst>
            <a:ext uri="{FF2B5EF4-FFF2-40B4-BE49-F238E27FC236}">
              <a16:creationId xmlns:a16="http://schemas.microsoft.com/office/drawing/2014/main" id="{CB26DE71-3EB7-426E-8883-19A8020C6758}"/>
            </a:ext>
          </a:extLst>
        </xdr:cNvPr>
        <xdr:cNvSpPr/>
      </xdr:nvSpPr>
      <xdr:spPr>
        <a:xfrm>
          <a:off x="16570324" y="16779875"/>
          <a:ext cx="2555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352425</xdr:colOff>
      <xdr:row>115</xdr:row>
      <xdr:rowOff>47625</xdr:rowOff>
    </xdr:from>
    <xdr:to>
      <xdr:col>37</xdr:col>
      <xdr:colOff>206375</xdr:colOff>
      <xdr:row>116</xdr:row>
      <xdr:rowOff>66973</xdr:rowOff>
    </xdr:to>
    <xdr:sp macro="" textlink="">
      <xdr:nvSpPr>
        <xdr:cNvPr id="12" name="Signo más 11">
          <a:extLst>
            <a:ext uri="{FF2B5EF4-FFF2-40B4-BE49-F238E27FC236}">
              <a16:creationId xmlns:a16="http://schemas.microsoft.com/office/drawing/2014/main" id="{A369A438-EE1C-4256-BF7A-FCEE2AE82159}"/>
            </a:ext>
          </a:extLst>
        </xdr:cNvPr>
        <xdr:cNvSpPr/>
      </xdr:nvSpPr>
      <xdr:spPr>
        <a:xfrm>
          <a:off x="16913225" y="16500475"/>
          <a:ext cx="1631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123</xdr:row>
      <xdr:rowOff>44450</xdr:rowOff>
    </xdr:from>
    <xdr:to>
      <xdr:col>37</xdr:col>
      <xdr:colOff>199691</xdr:colOff>
      <xdr:row>124</xdr:row>
      <xdr:rowOff>88695</xdr:rowOff>
    </xdr:to>
    <xdr:sp macro="" textlink="">
      <xdr:nvSpPr>
        <xdr:cNvPr id="13" name="Signo más 12">
          <a:extLst>
            <a:ext uri="{FF2B5EF4-FFF2-40B4-BE49-F238E27FC236}">
              <a16:creationId xmlns:a16="http://schemas.microsoft.com/office/drawing/2014/main" id="{D8C67F42-2B9A-4DC0-B42D-085F38E0570D}"/>
            </a:ext>
          </a:extLst>
        </xdr:cNvPr>
        <xdr:cNvSpPr/>
      </xdr:nvSpPr>
      <xdr:spPr>
        <a:xfrm>
          <a:off x="16897350" y="1776730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40</xdr:col>
      <xdr:colOff>228600</xdr:colOff>
      <xdr:row>119</xdr:row>
      <xdr:rowOff>85725</xdr:rowOff>
    </xdr:from>
    <xdr:to>
      <xdr:col>40</xdr:col>
      <xdr:colOff>546100</xdr:colOff>
      <xdr:row>122</xdr:row>
      <xdr:rowOff>22485</xdr:rowOff>
    </xdr:to>
    <xdr:sp macro="" textlink="">
      <xdr:nvSpPr>
        <xdr:cNvPr id="14" name="Es igual a 13">
          <a:extLst>
            <a:ext uri="{FF2B5EF4-FFF2-40B4-BE49-F238E27FC236}">
              <a16:creationId xmlns:a16="http://schemas.microsoft.com/office/drawing/2014/main" id="{98CAB3F3-BABD-418E-BD2E-755EB969D283}"/>
            </a:ext>
          </a:extLst>
        </xdr:cNvPr>
        <xdr:cNvSpPr/>
      </xdr:nvSpPr>
      <xdr:spPr>
        <a:xfrm>
          <a:off x="20974050" y="17173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0</xdr:colOff>
      <xdr:row>113</xdr:row>
      <xdr:rowOff>0</xdr:rowOff>
    </xdr:from>
    <xdr:to>
      <xdr:col>37</xdr:col>
      <xdr:colOff>793750</xdr:colOff>
      <xdr:row>115</xdr:row>
      <xdr:rowOff>9525</xdr:rowOff>
    </xdr:to>
    <xdr:sp macro="" textlink="">
      <xdr:nvSpPr>
        <xdr:cNvPr id="15" name="Diagrama de flujo: proceso alternativo 14">
          <a:extLst>
            <a:ext uri="{FF2B5EF4-FFF2-40B4-BE49-F238E27FC236}">
              <a16:creationId xmlns:a16="http://schemas.microsoft.com/office/drawing/2014/main" id="{5DC518C8-64DF-4C18-A6B5-79873D6AC9A2}"/>
            </a:ext>
          </a:extLst>
        </xdr:cNvPr>
        <xdr:cNvSpPr/>
      </xdr:nvSpPr>
      <xdr:spPr>
        <a:xfrm>
          <a:off x="16560800" y="16135350"/>
          <a:ext cx="2571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6350</xdr:colOff>
      <xdr:row>116</xdr:row>
      <xdr:rowOff>0</xdr:rowOff>
    </xdr:from>
    <xdr:to>
      <xdr:col>29</xdr:col>
      <xdr:colOff>9525</xdr:colOff>
      <xdr:row>118</xdr:row>
      <xdr:rowOff>19050</xdr:rowOff>
    </xdr:to>
    <xdr:sp macro="" textlink="">
      <xdr:nvSpPr>
        <xdr:cNvPr id="16" name="Diagrama de flujo: proceso alternativo 15">
          <a:extLst>
            <a:ext uri="{FF2B5EF4-FFF2-40B4-BE49-F238E27FC236}">
              <a16:creationId xmlns:a16="http://schemas.microsoft.com/office/drawing/2014/main" id="{17F79BCD-D93D-46D3-9950-2F0EAF2E66B5}"/>
            </a:ext>
          </a:extLst>
        </xdr:cNvPr>
        <xdr:cNvSpPr/>
      </xdr:nvSpPr>
      <xdr:spPr>
        <a:xfrm>
          <a:off x="10293350" y="16611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9523</xdr:colOff>
      <xdr:row>124</xdr:row>
      <xdr:rowOff>9525</xdr:rowOff>
    </xdr:from>
    <xdr:to>
      <xdr:col>28</xdr:col>
      <xdr:colOff>903941</xdr:colOff>
      <xdr:row>126</xdr:row>
      <xdr:rowOff>19050</xdr:rowOff>
    </xdr:to>
    <xdr:sp macro="" textlink="">
      <xdr:nvSpPr>
        <xdr:cNvPr id="17" name="Diagrama de flujo: proceso alternativo 16">
          <a:extLst>
            <a:ext uri="{FF2B5EF4-FFF2-40B4-BE49-F238E27FC236}">
              <a16:creationId xmlns:a16="http://schemas.microsoft.com/office/drawing/2014/main" id="{22CA5A93-CD32-44F5-88FD-6FED6ADC1646}"/>
            </a:ext>
          </a:extLst>
        </xdr:cNvPr>
        <xdr:cNvSpPr/>
      </xdr:nvSpPr>
      <xdr:spPr>
        <a:xfrm>
          <a:off x="10296523" y="17891125"/>
          <a:ext cx="1561168"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110</xdr:row>
      <xdr:rowOff>69851</xdr:rowOff>
    </xdr:from>
    <xdr:to>
      <xdr:col>28</xdr:col>
      <xdr:colOff>247317</xdr:colOff>
      <xdr:row>111</xdr:row>
      <xdr:rowOff>98426</xdr:rowOff>
    </xdr:to>
    <xdr:sp macro="" textlink="">
      <xdr:nvSpPr>
        <xdr:cNvPr id="18" name="Signo más 17">
          <a:extLst>
            <a:ext uri="{FF2B5EF4-FFF2-40B4-BE49-F238E27FC236}">
              <a16:creationId xmlns:a16="http://schemas.microsoft.com/office/drawing/2014/main" id="{30B723D0-C38E-4F36-ADE9-FC9AE165E583}"/>
            </a:ext>
          </a:extLst>
        </xdr:cNvPr>
        <xdr:cNvSpPr/>
      </xdr:nvSpPr>
      <xdr:spPr>
        <a:xfrm>
          <a:off x="10671176" y="15728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108</xdr:row>
      <xdr:rowOff>9524</xdr:rowOff>
    </xdr:from>
    <xdr:to>
      <xdr:col>29</xdr:col>
      <xdr:colOff>6349</xdr:colOff>
      <xdr:row>110</xdr:row>
      <xdr:rowOff>25399</xdr:rowOff>
    </xdr:to>
    <xdr:sp macro="" textlink="">
      <xdr:nvSpPr>
        <xdr:cNvPr id="19" name="Diagrama de flujo: proceso alternativo 18">
          <a:extLst>
            <a:ext uri="{FF2B5EF4-FFF2-40B4-BE49-F238E27FC236}">
              <a16:creationId xmlns:a16="http://schemas.microsoft.com/office/drawing/2014/main" id="{4981ABAB-2A61-4434-A6FD-92CEAE1F5D9C}"/>
            </a:ext>
          </a:extLst>
        </xdr:cNvPr>
        <xdr:cNvSpPr/>
      </xdr:nvSpPr>
      <xdr:spPr>
        <a:xfrm>
          <a:off x="10334624" y="15351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130</xdr:row>
      <xdr:rowOff>0</xdr:rowOff>
    </xdr:from>
    <xdr:to>
      <xdr:col>28</xdr:col>
      <xdr:colOff>199691</xdr:colOff>
      <xdr:row>131</xdr:row>
      <xdr:rowOff>31545</xdr:rowOff>
    </xdr:to>
    <xdr:sp macro="" textlink="">
      <xdr:nvSpPr>
        <xdr:cNvPr id="20" name="Signo más 19">
          <a:extLst>
            <a:ext uri="{FF2B5EF4-FFF2-40B4-BE49-F238E27FC236}">
              <a16:creationId xmlns:a16="http://schemas.microsoft.com/office/drawing/2014/main" id="{645EBB01-865F-4829-B6E5-A43B9D532532}"/>
            </a:ext>
          </a:extLst>
        </xdr:cNvPr>
        <xdr:cNvSpPr/>
      </xdr:nvSpPr>
      <xdr:spPr>
        <a:xfrm>
          <a:off x="10623550" y="18834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12700</xdr:colOff>
      <xdr:row>12</xdr:row>
      <xdr:rowOff>12700</xdr:rowOff>
    </xdr:from>
    <xdr:to>
      <xdr:col>34</xdr:col>
      <xdr:colOff>12700</xdr:colOff>
      <xdr:row>28</xdr:row>
      <xdr:rowOff>158750</xdr:rowOff>
    </xdr:to>
    <xdr:graphicFrame macro="">
      <xdr:nvGraphicFramePr>
        <xdr:cNvPr id="21" name="Gráfico 1">
          <a:extLst>
            <a:ext uri="{FF2B5EF4-FFF2-40B4-BE49-F238E27FC236}">
              <a16:creationId xmlns:a16="http://schemas.microsoft.com/office/drawing/2014/main" id="{74076843-B4CC-4407-94CE-101B4DDA1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6350</xdr:colOff>
      <xdr:row>56</xdr:row>
      <xdr:rowOff>19050</xdr:rowOff>
    </xdr:from>
    <xdr:to>
      <xdr:col>43</xdr:col>
      <xdr:colOff>19050</xdr:colOff>
      <xdr:row>71</xdr:row>
      <xdr:rowOff>139700</xdr:rowOff>
    </xdr:to>
    <xdr:graphicFrame macro="">
      <xdr:nvGraphicFramePr>
        <xdr:cNvPr id="22" name="Gráfico 3">
          <a:extLst>
            <a:ext uri="{FF2B5EF4-FFF2-40B4-BE49-F238E27FC236}">
              <a16:creationId xmlns:a16="http://schemas.microsoft.com/office/drawing/2014/main" id="{456AAEB1-805A-48D8-A5FB-30AAD0D47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336550</xdr:colOff>
      <xdr:row>114</xdr:row>
      <xdr:rowOff>47625</xdr:rowOff>
    </xdr:from>
    <xdr:to>
      <xdr:col>28</xdr:col>
      <xdr:colOff>199691</xdr:colOff>
      <xdr:row>115</xdr:row>
      <xdr:rowOff>76200</xdr:rowOff>
    </xdr:to>
    <xdr:sp macro="" textlink="">
      <xdr:nvSpPr>
        <xdr:cNvPr id="23" name="Signo más 22">
          <a:extLst>
            <a:ext uri="{FF2B5EF4-FFF2-40B4-BE49-F238E27FC236}">
              <a16:creationId xmlns:a16="http://schemas.microsoft.com/office/drawing/2014/main" id="{4AA863ED-BF58-4AED-BCE5-828B5FCBB13F}"/>
            </a:ext>
          </a:extLst>
        </xdr:cNvPr>
        <xdr:cNvSpPr/>
      </xdr:nvSpPr>
      <xdr:spPr>
        <a:xfrm>
          <a:off x="10623550" y="1634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28573</xdr:colOff>
      <xdr:row>111</xdr:row>
      <xdr:rowOff>155574</xdr:rowOff>
    </xdr:from>
    <xdr:to>
      <xdr:col>28</xdr:col>
      <xdr:colOff>903941</xdr:colOff>
      <xdr:row>114</xdr:row>
      <xdr:rowOff>12699</xdr:rowOff>
    </xdr:to>
    <xdr:sp macro="" textlink="">
      <xdr:nvSpPr>
        <xdr:cNvPr id="24" name="Diagrama de flujo: proceso alternativo 23">
          <a:extLst>
            <a:ext uri="{FF2B5EF4-FFF2-40B4-BE49-F238E27FC236}">
              <a16:creationId xmlns:a16="http://schemas.microsoft.com/office/drawing/2014/main" id="{26BD302F-5F5E-4C49-8F0F-18465DB96EEB}"/>
            </a:ext>
          </a:extLst>
        </xdr:cNvPr>
        <xdr:cNvSpPr/>
      </xdr:nvSpPr>
      <xdr:spPr>
        <a:xfrm>
          <a:off x="10315573" y="15973424"/>
          <a:ext cx="1542118"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122</xdr:row>
      <xdr:rowOff>47625</xdr:rowOff>
    </xdr:from>
    <xdr:to>
      <xdr:col>28</xdr:col>
      <xdr:colOff>199691</xdr:colOff>
      <xdr:row>123</xdr:row>
      <xdr:rowOff>76200</xdr:rowOff>
    </xdr:to>
    <xdr:sp macro="" textlink="">
      <xdr:nvSpPr>
        <xdr:cNvPr id="25" name="Signo más 24">
          <a:extLst>
            <a:ext uri="{FF2B5EF4-FFF2-40B4-BE49-F238E27FC236}">
              <a16:creationId xmlns:a16="http://schemas.microsoft.com/office/drawing/2014/main" id="{E90D3DF8-C7D8-4F45-B307-5B1146CD0086}"/>
            </a:ext>
          </a:extLst>
        </xdr:cNvPr>
        <xdr:cNvSpPr/>
      </xdr:nvSpPr>
      <xdr:spPr>
        <a:xfrm>
          <a:off x="10623550" y="1761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9523</xdr:colOff>
      <xdr:row>120</xdr:row>
      <xdr:rowOff>9525</xdr:rowOff>
    </xdr:from>
    <xdr:to>
      <xdr:col>28</xdr:col>
      <xdr:colOff>888999</xdr:colOff>
      <xdr:row>122</xdr:row>
      <xdr:rowOff>19050</xdr:rowOff>
    </xdr:to>
    <xdr:sp macro="" textlink="">
      <xdr:nvSpPr>
        <xdr:cNvPr id="26" name="Diagrama de flujo: proceso alternativo 25">
          <a:extLst>
            <a:ext uri="{FF2B5EF4-FFF2-40B4-BE49-F238E27FC236}">
              <a16:creationId xmlns:a16="http://schemas.microsoft.com/office/drawing/2014/main" id="{7D25ED0B-5EA4-4F45-8D3D-FCF6D53B3E63}"/>
            </a:ext>
          </a:extLst>
        </xdr:cNvPr>
        <xdr:cNvSpPr/>
      </xdr:nvSpPr>
      <xdr:spPr>
        <a:xfrm>
          <a:off x="10296523" y="17256125"/>
          <a:ext cx="1558926"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352425</xdr:colOff>
      <xdr:row>118</xdr:row>
      <xdr:rowOff>47625</xdr:rowOff>
    </xdr:from>
    <xdr:to>
      <xdr:col>28</xdr:col>
      <xdr:colOff>206375</xdr:colOff>
      <xdr:row>119</xdr:row>
      <xdr:rowOff>66973</xdr:rowOff>
    </xdr:to>
    <xdr:sp macro="" textlink="">
      <xdr:nvSpPr>
        <xdr:cNvPr id="27" name="Signo más 26">
          <a:extLst>
            <a:ext uri="{FF2B5EF4-FFF2-40B4-BE49-F238E27FC236}">
              <a16:creationId xmlns:a16="http://schemas.microsoft.com/office/drawing/2014/main" id="{42AA48C9-FADF-4960-B6F1-FAA17812D669}"/>
            </a:ext>
          </a:extLst>
        </xdr:cNvPr>
        <xdr:cNvSpPr/>
      </xdr:nvSpPr>
      <xdr:spPr>
        <a:xfrm>
          <a:off x="10639425" y="16976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126</xdr:row>
      <xdr:rowOff>44450</xdr:rowOff>
    </xdr:from>
    <xdr:to>
      <xdr:col>28</xdr:col>
      <xdr:colOff>199691</xdr:colOff>
      <xdr:row>127</xdr:row>
      <xdr:rowOff>88695</xdr:rowOff>
    </xdr:to>
    <xdr:sp macro="" textlink="">
      <xdr:nvSpPr>
        <xdr:cNvPr id="28" name="Signo más 27">
          <a:extLst>
            <a:ext uri="{FF2B5EF4-FFF2-40B4-BE49-F238E27FC236}">
              <a16:creationId xmlns:a16="http://schemas.microsoft.com/office/drawing/2014/main" id="{753608CB-E145-4358-AE0C-2111EE13F3C2}"/>
            </a:ext>
          </a:extLst>
        </xdr:cNvPr>
        <xdr:cNvSpPr/>
      </xdr:nvSpPr>
      <xdr:spPr>
        <a:xfrm>
          <a:off x="10623550" y="18243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29</xdr:col>
      <xdr:colOff>228600</xdr:colOff>
      <xdr:row>119</xdr:row>
      <xdr:rowOff>85725</xdr:rowOff>
    </xdr:from>
    <xdr:to>
      <xdr:col>29</xdr:col>
      <xdr:colOff>546100</xdr:colOff>
      <xdr:row>122</xdr:row>
      <xdr:rowOff>22485</xdr:rowOff>
    </xdr:to>
    <xdr:sp macro="" textlink="">
      <xdr:nvSpPr>
        <xdr:cNvPr id="29" name="Es igual a 28">
          <a:extLst>
            <a:ext uri="{FF2B5EF4-FFF2-40B4-BE49-F238E27FC236}">
              <a16:creationId xmlns:a16="http://schemas.microsoft.com/office/drawing/2014/main" id="{430A0969-607C-4B5E-8954-D5A3FE8C0E16}"/>
            </a:ext>
          </a:extLst>
        </xdr:cNvPr>
        <xdr:cNvSpPr/>
      </xdr:nvSpPr>
      <xdr:spPr>
        <a:xfrm>
          <a:off x="12084050" y="17173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28574</xdr:colOff>
      <xdr:row>108</xdr:row>
      <xdr:rowOff>31749</xdr:rowOff>
    </xdr:from>
    <xdr:to>
      <xdr:col>34</xdr:col>
      <xdr:colOff>32152</xdr:colOff>
      <xdr:row>150</xdr:row>
      <xdr:rowOff>7469</xdr:rowOff>
    </xdr:to>
    <xdr:sp macro="" textlink="">
      <xdr:nvSpPr>
        <xdr:cNvPr id="30" name="Diagrama de flujo: proceso alternativo 29">
          <a:extLst>
            <a:ext uri="{FF2B5EF4-FFF2-40B4-BE49-F238E27FC236}">
              <a16:creationId xmlns:a16="http://schemas.microsoft.com/office/drawing/2014/main" id="{4751AFF4-CDE7-43F4-8509-5D54661BEC9B}"/>
            </a:ext>
          </a:extLst>
        </xdr:cNvPr>
        <xdr:cNvSpPr/>
      </xdr:nvSpPr>
      <xdr:spPr>
        <a:xfrm>
          <a:off x="14303374" y="15373349"/>
          <a:ext cx="1527578" cy="664322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111</xdr:row>
      <xdr:rowOff>47625</xdr:rowOff>
    </xdr:from>
    <xdr:to>
      <xdr:col>37</xdr:col>
      <xdr:colOff>199691</xdr:colOff>
      <xdr:row>112</xdr:row>
      <xdr:rowOff>76200</xdr:rowOff>
    </xdr:to>
    <xdr:sp macro="" textlink="">
      <xdr:nvSpPr>
        <xdr:cNvPr id="31" name="Signo más 30">
          <a:extLst>
            <a:ext uri="{FF2B5EF4-FFF2-40B4-BE49-F238E27FC236}">
              <a16:creationId xmlns:a16="http://schemas.microsoft.com/office/drawing/2014/main" id="{92D5F0C4-8D9C-4676-96CE-04DE50B9942E}"/>
            </a:ext>
          </a:extLst>
        </xdr:cNvPr>
        <xdr:cNvSpPr/>
      </xdr:nvSpPr>
      <xdr:spPr>
        <a:xfrm>
          <a:off x="16897350" y="1586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109</xdr:row>
      <xdr:rowOff>9525</xdr:rowOff>
    </xdr:from>
    <xdr:to>
      <xdr:col>37</xdr:col>
      <xdr:colOff>793749</xdr:colOff>
      <xdr:row>111</xdr:row>
      <xdr:rowOff>22225</xdr:rowOff>
    </xdr:to>
    <xdr:sp macro="" textlink="">
      <xdr:nvSpPr>
        <xdr:cNvPr id="32" name="Diagrama de flujo: proceso alternativo 31">
          <a:extLst>
            <a:ext uri="{FF2B5EF4-FFF2-40B4-BE49-F238E27FC236}">
              <a16:creationId xmlns:a16="http://schemas.microsoft.com/office/drawing/2014/main" id="{0A73F69A-FDFD-419E-BB9F-AFECC14AE29B}"/>
            </a:ext>
          </a:extLst>
        </xdr:cNvPr>
        <xdr:cNvSpPr/>
      </xdr:nvSpPr>
      <xdr:spPr>
        <a:xfrm>
          <a:off x="16570324" y="15509875"/>
          <a:ext cx="2562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119</xdr:row>
      <xdr:rowOff>47625</xdr:rowOff>
    </xdr:from>
    <xdr:to>
      <xdr:col>37</xdr:col>
      <xdr:colOff>199691</xdr:colOff>
      <xdr:row>120</xdr:row>
      <xdr:rowOff>76200</xdr:rowOff>
    </xdr:to>
    <xdr:sp macro="" textlink="">
      <xdr:nvSpPr>
        <xdr:cNvPr id="33" name="Signo más 32">
          <a:extLst>
            <a:ext uri="{FF2B5EF4-FFF2-40B4-BE49-F238E27FC236}">
              <a16:creationId xmlns:a16="http://schemas.microsoft.com/office/drawing/2014/main" id="{2FC06637-2362-4238-96B4-0B072CE0910A}"/>
            </a:ext>
          </a:extLst>
        </xdr:cNvPr>
        <xdr:cNvSpPr/>
      </xdr:nvSpPr>
      <xdr:spPr>
        <a:xfrm>
          <a:off x="16897350" y="1713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117</xdr:row>
      <xdr:rowOff>9525</xdr:rowOff>
    </xdr:from>
    <xdr:to>
      <xdr:col>37</xdr:col>
      <xdr:colOff>787399</xdr:colOff>
      <xdr:row>119</xdr:row>
      <xdr:rowOff>22225</xdr:rowOff>
    </xdr:to>
    <xdr:sp macro="" textlink="">
      <xdr:nvSpPr>
        <xdr:cNvPr id="34" name="Diagrama de flujo: proceso alternativo 33">
          <a:extLst>
            <a:ext uri="{FF2B5EF4-FFF2-40B4-BE49-F238E27FC236}">
              <a16:creationId xmlns:a16="http://schemas.microsoft.com/office/drawing/2014/main" id="{0525C0D6-247D-43C8-A395-0E7DE22DB711}"/>
            </a:ext>
          </a:extLst>
        </xdr:cNvPr>
        <xdr:cNvSpPr/>
      </xdr:nvSpPr>
      <xdr:spPr>
        <a:xfrm>
          <a:off x="16570324" y="16779875"/>
          <a:ext cx="2555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352425</xdr:colOff>
      <xdr:row>115</xdr:row>
      <xdr:rowOff>47625</xdr:rowOff>
    </xdr:from>
    <xdr:to>
      <xdr:col>37</xdr:col>
      <xdr:colOff>206375</xdr:colOff>
      <xdr:row>116</xdr:row>
      <xdr:rowOff>66973</xdr:rowOff>
    </xdr:to>
    <xdr:sp macro="" textlink="">
      <xdr:nvSpPr>
        <xdr:cNvPr id="35" name="Signo más 34">
          <a:extLst>
            <a:ext uri="{FF2B5EF4-FFF2-40B4-BE49-F238E27FC236}">
              <a16:creationId xmlns:a16="http://schemas.microsoft.com/office/drawing/2014/main" id="{106A2A89-7247-483C-BBDA-16299796F8D7}"/>
            </a:ext>
          </a:extLst>
        </xdr:cNvPr>
        <xdr:cNvSpPr/>
      </xdr:nvSpPr>
      <xdr:spPr>
        <a:xfrm>
          <a:off x="16913225" y="16500475"/>
          <a:ext cx="1631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123</xdr:row>
      <xdr:rowOff>44450</xdr:rowOff>
    </xdr:from>
    <xdr:to>
      <xdr:col>37</xdr:col>
      <xdr:colOff>199691</xdr:colOff>
      <xdr:row>124</xdr:row>
      <xdr:rowOff>88695</xdr:rowOff>
    </xdr:to>
    <xdr:sp macro="" textlink="">
      <xdr:nvSpPr>
        <xdr:cNvPr id="36" name="Signo más 35">
          <a:extLst>
            <a:ext uri="{FF2B5EF4-FFF2-40B4-BE49-F238E27FC236}">
              <a16:creationId xmlns:a16="http://schemas.microsoft.com/office/drawing/2014/main" id="{08375B15-1A13-4C73-ABA3-0C520ABCDD4B}"/>
            </a:ext>
          </a:extLst>
        </xdr:cNvPr>
        <xdr:cNvSpPr/>
      </xdr:nvSpPr>
      <xdr:spPr>
        <a:xfrm>
          <a:off x="16897350" y="1776730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15875</xdr:colOff>
      <xdr:row>125</xdr:row>
      <xdr:rowOff>9525</xdr:rowOff>
    </xdr:from>
    <xdr:to>
      <xdr:col>38</xdr:col>
      <xdr:colOff>12700</xdr:colOff>
      <xdr:row>127</xdr:row>
      <xdr:rowOff>22225</xdr:rowOff>
    </xdr:to>
    <xdr:sp macro="" textlink="">
      <xdr:nvSpPr>
        <xdr:cNvPr id="37" name="Diagrama de flujo: proceso alternativo 36">
          <a:extLst>
            <a:ext uri="{FF2B5EF4-FFF2-40B4-BE49-F238E27FC236}">
              <a16:creationId xmlns:a16="http://schemas.microsoft.com/office/drawing/2014/main" id="{FD32EBC9-ABA3-4D2D-82F1-412FD72D1C5A}"/>
            </a:ext>
          </a:extLst>
        </xdr:cNvPr>
        <xdr:cNvSpPr/>
      </xdr:nvSpPr>
      <xdr:spPr>
        <a:xfrm>
          <a:off x="16576675" y="1804987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40</xdr:col>
      <xdr:colOff>228600</xdr:colOff>
      <xdr:row>119</xdr:row>
      <xdr:rowOff>85725</xdr:rowOff>
    </xdr:from>
    <xdr:to>
      <xdr:col>40</xdr:col>
      <xdr:colOff>546100</xdr:colOff>
      <xdr:row>122</xdr:row>
      <xdr:rowOff>22485</xdr:rowOff>
    </xdr:to>
    <xdr:sp macro="" textlink="">
      <xdr:nvSpPr>
        <xdr:cNvPr id="38" name="Es igual a 37">
          <a:extLst>
            <a:ext uri="{FF2B5EF4-FFF2-40B4-BE49-F238E27FC236}">
              <a16:creationId xmlns:a16="http://schemas.microsoft.com/office/drawing/2014/main" id="{678ED63C-E642-4462-9F99-F5B38109E5DC}"/>
            </a:ext>
          </a:extLst>
        </xdr:cNvPr>
        <xdr:cNvSpPr/>
      </xdr:nvSpPr>
      <xdr:spPr>
        <a:xfrm>
          <a:off x="20974050" y="17173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42</xdr:col>
      <xdr:colOff>15874</xdr:colOff>
      <xdr:row>108</xdr:row>
      <xdr:rowOff>25400</xdr:rowOff>
    </xdr:from>
    <xdr:to>
      <xdr:col>44</xdr:col>
      <xdr:colOff>7471</xdr:colOff>
      <xdr:row>149</xdr:row>
      <xdr:rowOff>74706</xdr:rowOff>
    </xdr:to>
    <xdr:sp macro="" textlink="">
      <xdr:nvSpPr>
        <xdr:cNvPr id="39" name="Diagrama de flujo: proceso alternativo 38">
          <a:extLst>
            <a:ext uri="{FF2B5EF4-FFF2-40B4-BE49-F238E27FC236}">
              <a16:creationId xmlns:a16="http://schemas.microsoft.com/office/drawing/2014/main" id="{F5EFFB33-EE12-4DB7-85F7-9A3E9D80D711}"/>
            </a:ext>
          </a:extLst>
        </xdr:cNvPr>
        <xdr:cNvSpPr/>
      </xdr:nvSpPr>
      <xdr:spPr>
        <a:xfrm>
          <a:off x="22285324" y="15367000"/>
          <a:ext cx="1515597" cy="655805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113</xdr:row>
      <xdr:rowOff>0</xdr:rowOff>
    </xdr:from>
    <xdr:to>
      <xdr:col>37</xdr:col>
      <xdr:colOff>793750</xdr:colOff>
      <xdr:row>115</xdr:row>
      <xdr:rowOff>9525</xdr:rowOff>
    </xdr:to>
    <xdr:sp macro="" textlink="">
      <xdr:nvSpPr>
        <xdr:cNvPr id="40" name="Diagrama de flujo: proceso alternativo 39">
          <a:extLst>
            <a:ext uri="{FF2B5EF4-FFF2-40B4-BE49-F238E27FC236}">
              <a16:creationId xmlns:a16="http://schemas.microsoft.com/office/drawing/2014/main" id="{B305D552-8E4D-4C05-9BF5-9C5A452EE14C}"/>
            </a:ext>
          </a:extLst>
        </xdr:cNvPr>
        <xdr:cNvSpPr/>
      </xdr:nvSpPr>
      <xdr:spPr>
        <a:xfrm>
          <a:off x="16560800" y="16135350"/>
          <a:ext cx="2571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121</xdr:row>
      <xdr:rowOff>0</xdr:rowOff>
    </xdr:from>
    <xdr:to>
      <xdr:col>38</xdr:col>
      <xdr:colOff>6350</xdr:colOff>
      <xdr:row>123</xdr:row>
      <xdr:rowOff>9525</xdr:rowOff>
    </xdr:to>
    <xdr:sp macro="" textlink="">
      <xdr:nvSpPr>
        <xdr:cNvPr id="41" name="Diagrama de flujo: proceso alternativo 40">
          <a:extLst>
            <a:ext uri="{FF2B5EF4-FFF2-40B4-BE49-F238E27FC236}">
              <a16:creationId xmlns:a16="http://schemas.microsoft.com/office/drawing/2014/main" id="{D3D2015B-DAF4-4551-A0B7-25E73A25E924}"/>
            </a:ext>
          </a:extLst>
        </xdr:cNvPr>
        <xdr:cNvSpPr/>
      </xdr:nvSpPr>
      <xdr:spPr>
        <a:xfrm>
          <a:off x="16560800" y="17405350"/>
          <a:ext cx="266700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6350</xdr:colOff>
      <xdr:row>116</xdr:row>
      <xdr:rowOff>0</xdr:rowOff>
    </xdr:from>
    <xdr:to>
      <xdr:col>29</xdr:col>
      <xdr:colOff>9525</xdr:colOff>
      <xdr:row>118</xdr:row>
      <xdr:rowOff>19050</xdr:rowOff>
    </xdr:to>
    <xdr:sp macro="" textlink="">
      <xdr:nvSpPr>
        <xdr:cNvPr id="42" name="Diagrama de flujo: proceso alternativo 41">
          <a:extLst>
            <a:ext uri="{FF2B5EF4-FFF2-40B4-BE49-F238E27FC236}">
              <a16:creationId xmlns:a16="http://schemas.microsoft.com/office/drawing/2014/main" id="{1F1043E9-E0ED-4496-B2DB-A2254B20E189}"/>
            </a:ext>
          </a:extLst>
        </xdr:cNvPr>
        <xdr:cNvSpPr/>
      </xdr:nvSpPr>
      <xdr:spPr>
        <a:xfrm>
          <a:off x="10293350" y="16611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110</xdr:row>
      <xdr:rowOff>69851</xdr:rowOff>
    </xdr:from>
    <xdr:to>
      <xdr:col>28</xdr:col>
      <xdr:colOff>247317</xdr:colOff>
      <xdr:row>111</xdr:row>
      <xdr:rowOff>98426</xdr:rowOff>
    </xdr:to>
    <xdr:sp macro="" textlink="">
      <xdr:nvSpPr>
        <xdr:cNvPr id="43" name="Signo más 42">
          <a:extLst>
            <a:ext uri="{FF2B5EF4-FFF2-40B4-BE49-F238E27FC236}">
              <a16:creationId xmlns:a16="http://schemas.microsoft.com/office/drawing/2014/main" id="{35F17F82-CF7C-4E47-86E5-56BBEBAE51DC}"/>
            </a:ext>
          </a:extLst>
        </xdr:cNvPr>
        <xdr:cNvSpPr/>
      </xdr:nvSpPr>
      <xdr:spPr>
        <a:xfrm>
          <a:off x="10671176" y="15728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108</xdr:row>
      <xdr:rowOff>9524</xdr:rowOff>
    </xdr:from>
    <xdr:to>
      <xdr:col>29</xdr:col>
      <xdr:colOff>6349</xdr:colOff>
      <xdr:row>110</xdr:row>
      <xdr:rowOff>25399</xdr:rowOff>
    </xdr:to>
    <xdr:sp macro="" textlink="">
      <xdr:nvSpPr>
        <xdr:cNvPr id="44" name="Diagrama de flujo: proceso alternativo 43">
          <a:extLst>
            <a:ext uri="{FF2B5EF4-FFF2-40B4-BE49-F238E27FC236}">
              <a16:creationId xmlns:a16="http://schemas.microsoft.com/office/drawing/2014/main" id="{1D467B2E-7C3E-41D5-8ABD-3890EAF09FD1}"/>
            </a:ext>
          </a:extLst>
        </xdr:cNvPr>
        <xdr:cNvSpPr/>
      </xdr:nvSpPr>
      <xdr:spPr>
        <a:xfrm>
          <a:off x="10334624" y="15351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130</xdr:row>
      <xdr:rowOff>0</xdr:rowOff>
    </xdr:from>
    <xdr:to>
      <xdr:col>28</xdr:col>
      <xdr:colOff>199691</xdr:colOff>
      <xdr:row>131</xdr:row>
      <xdr:rowOff>31545</xdr:rowOff>
    </xdr:to>
    <xdr:sp macro="" textlink="">
      <xdr:nvSpPr>
        <xdr:cNvPr id="45" name="Signo más 44">
          <a:extLst>
            <a:ext uri="{FF2B5EF4-FFF2-40B4-BE49-F238E27FC236}">
              <a16:creationId xmlns:a16="http://schemas.microsoft.com/office/drawing/2014/main" id="{9F6FD325-C527-4F7A-A34A-938A871C5818}"/>
            </a:ext>
          </a:extLst>
        </xdr:cNvPr>
        <xdr:cNvSpPr/>
      </xdr:nvSpPr>
      <xdr:spPr>
        <a:xfrm>
          <a:off x="10623550" y="18834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12701</xdr:colOff>
      <xdr:row>131</xdr:row>
      <xdr:rowOff>104775</xdr:rowOff>
    </xdr:from>
    <xdr:to>
      <xdr:col>29</xdr:col>
      <xdr:colOff>7471</xdr:colOff>
      <xdr:row>133</xdr:row>
      <xdr:rowOff>139700</xdr:rowOff>
    </xdr:to>
    <xdr:sp macro="" textlink="">
      <xdr:nvSpPr>
        <xdr:cNvPr id="46" name="Diagrama de flujo: proceso alternativo 45">
          <a:extLst>
            <a:ext uri="{FF2B5EF4-FFF2-40B4-BE49-F238E27FC236}">
              <a16:creationId xmlns:a16="http://schemas.microsoft.com/office/drawing/2014/main" id="{640726C2-AB1A-4B7D-867E-2A6AB23F0C06}"/>
            </a:ext>
          </a:extLst>
        </xdr:cNvPr>
        <xdr:cNvSpPr/>
      </xdr:nvSpPr>
      <xdr:spPr>
        <a:xfrm>
          <a:off x="10299701" y="19097625"/>
          <a:ext cx="1563220" cy="3524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12700</xdr:colOff>
      <xdr:row>12</xdr:row>
      <xdr:rowOff>12700</xdr:rowOff>
    </xdr:from>
    <xdr:to>
      <xdr:col>42</xdr:col>
      <xdr:colOff>0</xdr:colOff>
      <xdr:row>28</xdr:row>
      <xdr:rowOff>158750</xdr:rowOff>
    </xdr:to>
    <xdr:graphicFrame macro="">
      <xdr:nvGraphicFramePr>
        <xdr:cNvPr id="47" name="Gráfico 1">
          <a:extLst>
            <a:ext uri="{FF2B5EF4-FFF2-40B4-BE49-F238E27FC236}">
              <a16:creationId xmlns:a16="http://schemas.microsoft.com/office/drawing/2014/main" id="{66DC5BED-3937-461E-BE37-4FB22EFAC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41677</xdr:colOff>
      <xdr:row>134</xdr:row>
      <xdr:rowOff>132184</xdr:rowOff>
    </xdr:from>
    <xdr:to>
      <xdr:col>29</xdr:col>
      <xdr:colOff>17564</xdr:colOff>
      <xdr:row>137</xdr:row>
      <xdr:rowOff>22826</xdr:rowOff>
    </xdr:to>
    <xdr:sp macro="" textlink="">
      <xdr:nvSpPr>
        <xdr:cNvPr id="48" name="Diagrama de flujo: proceso alternativo 47">
          <a:extLst>
            <a:ext uri="{FF2B5EF4-FFF2-40B4-BE49-F238E27FC236}">
              <a16:creationId xmlns:a16="http://schemas.microsoft.com/office/drawing/2014/main" id="{8BD597D1-E6FA-4228-9842-4F8B53AE3D5A}"/>
            </a:ext>
          </a:extLst>
        </xdr:cNvPr>
        <xdr:cNvSpPr/>
      </xdr:nvSpPr>
      <xdr:spPr>
        <a:xfrm>
          <a:off x="10328677" y="19601284"/>
          <a:ext cx="1544337" cy="3668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321961</xdr:colOff>
      <xdr:row>133</xdr:row>
      <xdr:rowOff>114018</xdr:rowOff>
    </xdr:from>
    <xdr:to>
      <xdr:col>28</xdr:col>
      <xdr:colOff>185102</xdr:colOff>
      <xdr:row>134</xdr:row>
      <xdr:rowOff>128608</xdr:rowOff>
    </xdr:to>
    <xdr:sp macro="" textlink="">
      <xdr:nvSpPr>
        <xdr:cNvPr id="49" name="Signo más 48">
          <a:extLst>
            <a:ext uri="{FF2B5EF4-FFF2-40B4-BE49-F238E27FC236}">
              <a16:creationId xmlns:a16="http://schemas.microsoft.com/office/drawing/2014/main" id="{A8A629ED-DA7F-41B7-AF28-5E1E28741714}"/>
            </a:ext>
          </a:extLst>
        </xdr:cNvPr>
        <xdr:cNvSpPr/>
      </xdr:nvSpPr>
      <xdr:spPr>
        <a:xfrm>
          <a:off x="10608961" y="19424368"/>
          <a:ext cx="625141"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127</xdr:row>
      <xdr:rowOff>25601</xdr:rowOff>
    </xdr:from>
    <xdr:to>
      <xdr:col>37</xdr:col>
      <xdr:colOff>199691</xdr:colOff>
      <xdr:row>128</xdr:row>
      <xdr:rowOff>53770</xdr:rowOff>
    </xdr:to>
    <xdr:sp macro="" textlink="">
      <xdr:nvSpPr>
        <xdr:cNvPr id="50" name="Signo más 49">
          <a:extLst>
            <a:ext uri="{FF2B5EF4-FFF2-40B4-BE49-F238E27FC236}">
              <a16:creationId xmlns:a16="http://schemas.microsoft.com/office/drawing/2014/main" id="{0D08EF7F-EFF5-40D5-BB68-0AC34C8197AC}"/>
            </a:ext>
          </a:extLst>
        </xdr:cNvPr>
        <xdr:cNvSpPr/>
      </xdr:nvSpPr>
      <xdr:spPr>
        <a:xfrm>
          <a:off x="16897350" y="18383451"/>
          <a:ext cx="1641141" cy="1869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416929</xdr:colOff>
      <xdr:row>130</xdr:row>
      <xdr:rowOff>135359</xdr:rowOff>
    </xdr:from>
    <xdr:to>
      <xdr:col>37</xdr:col>
      <xdr:colOff>280070</xdr:colOff>
      <xdr:row>132</xdr:row>
      <xdr:rowOff>18845</xdr:rowOff>
    </xdr:to>
    <xdr:sp macro="" textlink="">
      <xdr:nvSpPr>
        <xdr:cNvPr id="51" name="Signo más 50">
          <a:extLst>
            <a:ext uri="{FF2B5EF4-FFF2-40B4-BE49-F238E27FC236}">
              <a16:creationId xmlns:a16="http://schemas.microsoft.com/office/drawing/2014/main" id="{3FD5B540-B368-4BC8-B682-9ABE3EE94811}"/>
            </a:ext>
          </a:extLst>
        </xdr:cNvPr>
        <xdr:cNvSpPr/>
      </xdr:nvSpPr>
      <xdr:spPr>
        <a:xfrm>
          <a:off x="16977729" y="18969459"/>
          <a:ext cx="1641141" cy="2009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23913</xdr:colOff>
      <xdr:row>132</xdr:row>
      <xdr:rowOff>132585</xdr:rowOff>
    </xdr:from>
    <xdr:to>
      <xdr:col>37</xdr:col>
      <xdr:colOff>749301</xdr:colOff>
      <xdr:row>135</xdr:row>
      <xdr:rowOff>16677</xdr:rowOff>
    </xdr:to>
    <xdr:sp macro="" textlink="">
      <xdr:nvSpPr>
        <xdr:cNvPr id="52" name="Diagrama de flujo: proceso alternativo 51">
          <a:extLst>
            <a:ext uri="{FF2B5EF4-FFF2-40B4-BE49-F238E27FC236}">
              <a16:creationId xmlns:a16="http://schemas.microsoft.com/office/drawing/2014/main" id="{8CA56A5C-3EA4-4233-8A0E-5E2B8C0D79DC}"/>
            </a:ext>
          </a:extLst>
        </xdr:cNvPr>
        <xdr:cNvSpPr/>
      </xdr:nvSpPr>
      <xdr:spPr>
        <a:xfrm>
          <a:off x="16584713" y="19284185"/>
          <a:ext cx="2503388" cy="3603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-1</xdr:colOff>
      <xdr:row>139</xdr:row>
      <xdr:rowOff>118782</xdr:rowOff>
    </xdr:from>
    <xdr:to>
      <xdr:col>28</xdr:col>
      <xdr:colOff>911411</xdr:colOff>
      <xdr:row>142</xdr:row>
      <xdr:rowOff>29881</xdr:rowOff>
    </xdr:to>
    <xdr:sp macro="" textlink="">
      <xdr:nvSpPr>
        <xdr:cNvPr id="53" name="Diagrama de flujo: proceso alternativo 52">
          <a:extLst>
            <a:ext uri="{FF2B5EF4-FFF2-40B4-BE49-F238E27FC236}">
              <a16:creationId xmlns:a16="http://schemas.microsoft.com/office/drawing/2014/main" id="{55A30BC1-84AB-4BCF-8504-ABA6061CC3A8}"/>
            </a:ext>
          </a:extLst>
        </xdr:cNvPr>
        <xdr:cNvSpPr/>
      </xdr:nvSpPr>
      <xdr:spPr>
        <a:xfrm>
          <a:off x="10286999" y="20381632"/>
          <a:ext cx="1565462" cy="3873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312436</xdr:colOff>
      <xdr:row>138</xdr:row>
      <xdr:rowOff>0</xdr:rowOff>
    </xdr:from>
    <xdr:to>
      <xdr:col>28</xdr:col>
      <xdr:colOff>175577</xdr:colOff>
      <xdr:row>139</xdr:row>
      <xdr:rowOff>44246</xdr:rowOff>
    </xdr:to>
    <xdr:sp macro="" textlink="">
      <xdr:nvSpPr>
        <xdr:cNvPr id="54" name="Signo más 53">
          <a:extLst>
            <a:ext uri="{FF2B5EF4-FFF2-40B4-BE49-F238E27FC236}">
              <a16:creationId xmlns:a16="http://schemas.microsoft.com/office/drawing/2014/main" id="{9D39E9D5-BD9E-4A58-8DA5-F068ADEE12A3}"/>
            </a:ext>
          </a:extLst>
        </xdr:cNvPr>
        <xdr:cNvSpPr/>
      </xdr:nvSpPr>
      <xdr:spPr>
        <a:xfrm>
          <a:off x="10599436" y="20104100"/>
          <a:ext cx="625141" cy="2029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0</xdr:colOff>
      <xdr:row>144</xdr:row>
      <xdr:rowOff>118781</xdr:rowOff>
    </xdr:from>
    <xdr:to>
      <xdr:col>28</xdr:col>
      <xdr:colOff>911412</xdr:colOff>
      <xdr:row>149</xdr:row>
      <xdr:rowOff>127000</xdr:rowOff>
    </xdr:to>
    <xdr:sp macro="" textlink="">
      <xdr:nvSpPr>
        <xdr:cNvPr id="55" name="Diagrama de flujo: proceso alternativo 54">
          <a:extLst>
            <a:ext uri="{FF2B5EF4-FFF2-40B4-BE49-F238E27FC236}">
              <a16:creationId xmlns:a16="http://schemas.microsoft.com/office/drawing/2014/main" id="{CF84DE58-E2EC-4813-B317-D64D1DACD1F0}"/>
            </a:ext>
          </a:extLst>
        </xdr:cNvPr>
        <xdr:cNvSpPr/>
      </xdr:nvSpPr>
      <xdr:spPr>
        <a:xfrm>
          <a:off x="10287000" y="21175381"/>
          <a:ext cx="1565462" cy="8019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312437</xdr:colOff>
      <xdr:row>143</xdr:row>
      <xdr:rowOff>0</xdr:rowOff>
    </xdr:from>
    <xdr:to>
      <xdr:col>28</xdr:col>
      <xdr:colOff>175578</xdr:colOff>
      <xdr:row>144</xdr:row>
      <xdr:rowOff>44245</xdr:rowOff>
    </xdr:to>
    <xdr:sp macro="" textlink="">
      <xdr:nvSpPr>
        <xdr:cNvPr id="56" name="Signo más 55">
          <a:extLst>
            <a:ext uri="{FF2B5EF4-FFF2-40B4-BE49-F238E27FC236}">
              <a16:creationId xmlns:a16="http://schemas.microsoft.com/office/drawing/2014/main" id="{E88DC0CF-4006-4C87-80A0-BC0A9E7C87A4}"/>
            </a:ext>
          </a:extLst>
        </xdr:cNvPr>
        <xdr:cNvSpPr/>
      </xdr:nvSpPr>
      <xdr:spPr>
        <a:xfrm>
          <a:off x="10599437" y="208978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403108</xdr:colOff>
      <xdr:row>135</xdr:row>
      <xdr:rowOff>3130</xdr:rowOff>
    </xdr:from>
    <xdr:to>
      <xdr:col>37</xdr:col>
      <xdr:colOff>266249</xdr:colOff>
      <xdr:row>136</xdr:row>
      <xdr:rowOff>43499</xdr:rowOff>
    </xdr:to>
    <xdr:sp macro="" textlink="">
      <xdr:nvSpPr>
        <xdr:cNvPr id="57" name="Signo más 56">
          <a:extLst>
            <a:ext uri="{FF2B5EF4-FFF2-40B4-BE49-F238E27FC236}">
              <a16:creationId xmlns:a16="http://schemas.microsoft.com/office/drawing/2014/main" id="{50C66E0F-9CC2-4ECD-AA90-F1A690508448}"/>
            </a:ext>
          </a:extLst>
        </xdr:cNvPr>
        <xdr:cNvSpPr/>
      </xdr:nvSpPr>
      <xdr:spPr>
        <a:xfrm>
          <a:off x="16963908" y="19630980"/>
          <a:ext cx="1641141" cy="1991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10092</xdr:colOff>
      <xdr:row>137</xdr:row>
      <xdr:rowOff>7827</xdr:rowOff>
    </xdr:from>
    <xdr:to>
      <xdr:col>37</xdr:col>
      <xdr:colOff>735480</xdr:colOff>
      <xdr:row>140</xdr:row>
      <xdr:rowOff>74706</xdr:rowOff>
    </xdr:to>
    <xdr:sp macro="" textlink="">
      <xdr:nvSpPr>
        <xdr:cNvPr id="58" name="Diagrama de flujo: proceso alternativo 57">
          <a:extLst>
            <a:ext uri="{FF2B5EF4-FFF2-40B4-BE49-F238E27FC236}">
              <a16:creationId xmlns:a16="http://schemas.microsoft.com/office/drawing/2014/main" id="{03103FAF-13DC-4C1E-B5F7-D5B51DFDBE37}"/>
            </a:ext>
          </a:extLst>
        </xdr:cNvPr>
        <xdr:cNvSpPr/>
      </xdr:nvSpPr>
      <xdr:spPr>
        <a:xfrm>
          <a:off x="16570892" y="19953177"/>
          <a:ext cx="2503388" cy="5431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400487</xdr:colOff>
      <xdr:row>140</xdr:row>
      <xdr:rowOff>82177</xdr:rowOff>
    </xdr:from>
    <xdr:to>
      <xdr:col>37</xdr:col>
      <xdr:colOff>263628</xdr:colOff>
      <xdr:row>141</xdr:row>
      <xdr:rowOff>122545</xdr:rowOff>
    </xdr:to>
    <xdr:sp macro="" textlink="">
      <xdr:nvSpPr>
        <xdr:cNvPr id="59" name="Signo más 58">
          <a:extLst>
            <a:ext uri="{FF2B5EF4-FFF2-40B4-BE49-F238E27FC236}">
              <a16:creationId xmlns:a16="http://schemas.microsoft.com/office/drawing/2014/main" id="{3678EC39-42C6-4F87-A040-86E4C707D2D5}"/>
            </a:ext>
          </a:extLst>
        </xdr:cNvPr>
        <xdr:cNvSpPr/>
      </xdr:nvSpPr>
      <xdr:spPr>
        <a:xfrm>
          <a:off x="16961287" y="20503777"/>
          <a:ext cx="1641141" cy="1991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0</xdr:colOff>
      <xdr:row>142</xdr:row>
      <xdr:rowOff>4696</xdr:rowOff>
    </xdr:from>
    <xdr:to>
      <xdr:col>37</xdr:col>
      <xdr:colOff>725388</xdr:colOff>
      <xdr:row>146</xdr:row>
      <xdr:rowOff>29882</xdr:rowOff>
    </xdr:to>
    <xdr:sp macro="" textlink="">
      <xdr:nvSpPr>
        <xdr:cNvPr id="60" name="Diagrama de flujo: proceso alternativo 59">
          <a:extLst>
            <a:ext uri="{FF2B5EF4-FFF2-40B4-BE49-F238E27FC236}">
              <a16:creationId xmlns:a16="http://schemas.microsoft.com/office/drawing/2014/main" id="{F7922671-67FB-494E-B929-347E976BC24B}"/>
            </a:ext>
          </a:extLst>
        </xdr:cNvPr>
        <xdr:cNvSpPr/>
      </xdr:nvSpPr>
      <xdr:spPr>
        <a:xfrm>
          <a:off x="16560800" y="20743796"/>
          <a:ext cx="2503388" cy="6601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15875</xdr:colOff>
      <xdr:row>129</xdr:row>
      <xdr:rowOff>9525</xdr:rowOff>
    </xdr:from>
    <xdr:to>
      <xdr:col>38</xdr:col>
      <xdr:colOff>12700</xdr:colOff>
      <xdr:row>131</xdr:row>
      <xdr:rowOff>22225</xdr:rowOff>
    </xdr:to>
    <xdr:sp macro="" textlink="">
      <xdr:nvSpPr>
        <xdr:cNvPr id="61" name="Diagrama de flujo: proceso alternativo 60">
          <a:extLst>
            <a:ext uri="{FF2B5EF4-FFF2-40B4-BE49-F238E27FC236}">
              <a16:creationId xmlns:a16="http://schemas.microsoft.com/office/drawing/2014/main" id="{44D7F759-E561-4688-8A45-CEF9D76246BD}"/>
            </a:ext>
          </a:extLst>
        </xdr:cNvPr>
        <xdr:cNvSpPr/>
      </xdr:nvSpPr>
      <xdr:spPr>
        <a:xfrm>
          <a:off x="16576675" y="1868487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29</xdr:col>
      <xdr:colOff>0</xdr:colOff>
      <xdr:row>30</xdr:row>
      <xdr:rowOff>146050</xdr:rowOff>
    </xdr:from>
    <xdr:to>
      <xdr:col>42</xdr:col>
      <xdr:colOff>742950</xdr:colOff>
      <xdr:row>54</xdr:row>
      <xdr:rowOff>101600</xdr:rowOff>
    </xdr:to>
    <xdr:graphicFrame macro="">
      <xdr:nvGraphicFramePr>
        <xdr:cNvPr id="62" name="Gráfico 72">
          <a:extLst>
            <a:ext uri="{FF2B5EF4-FFF2-40B4-BE49-F238E27FC236}">
              <a16:creationId xmlns:a16="http://schemas.microsoft.com/office/drawing/2014/main" id="{2662EF47-82B2-4E43-94D4-47DD7766C7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742849</xdr:colOff>
      <xdr:row>84</xdr:row>
      <xdr:rowOff>49589</xdr:rowOff>
    </xdr:from>
    <xdr:to>
      <xdr:col>38</xdr:col>
      <xdr:colOff>201588</xdr:colOff>
      <xdr:row>104</xdr:row>
      <xdr:rowOff>141109</xdr:rowOff>
    </xdr:to>
    <xdr:graphicFrame macro="">
      <xdr:nvGraphicFramePr>
        <xdr:cNvPr id="71" name="Gráfico 70">
          <a:extLst>
            <a:ext uri="{FF2B5EF4-FFF2-40B4-BE49-F238E27FC236}">
              <a16:creationId xmlns:a16="http://schemas.microsoft.com/office/drawing/2014/main" id="{DF9AB694-8DB8-D980-8E64-26BAF77465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752929</xdr:colOff>
      <xdr:row>105</xdr:row>
      <xdr:rowOff>59669</xdr:rowOff>
    </xdr:from>
    <xdr:to>
      <xdr:col>38</xdr:col>
      <xdr:colOff>70556</xdr:colOff>
      <xdr:row>122</xdr:row>
      <xdr:rowOff>61282</xdr:rowOff>
    </xdr:to>
    <xdr:graphicFrame macro="">
      <xdr:nvGraphicFramePr>
        <xdr:cNvPr id="72" name="Gráfico 71">
          <a:extLst>
            <a:ext uri="{FF2B5EF4-FFF2-40B4-BE49-F238E27FC236}">
              <a16:creationId xmlns:a16="http://schemas.microsoft.com/office/drawing/2014/main" id="{64E53E99-C82A-5252-4CA6-6DC51B257F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6.xml><?xml version="1.0" encoding="utf-8"?>
<c:userShapes xmlns:c="http://schemas.openxmlformats.org/drawingml/2006/chart">
  <cdr:relSizeAnchor xmlns:cdr="http://schemas.openxmlformats.org/drawingml/2006/chartDrawing">
    <cdr:from>
      <cdr:x>0.67251</cdr:x>
      <cdr:y>0.14461</cdr:y>
    </cdr:from>
    <cdr:to>
      <cdr:x>1</cdr:x>
      <cdr:y>0.39611</cdr:y>
    </cdr:to>
    <cdr:sp macro="" textlink="">
      <cdr:nvSpPr>
        <cdr:cNvPr id="2" name="CuadroTexto 1"/>
        <cdr:cNvSpPr txBox="1"/>
      </cdr:nvSpPr>
      <cdr:spPr>
        <a:xfrm xmlns:a="http://schemas.openxmlformats.org/drawingml/2006/main">
          <a:off x="3168650" y="374650"/>
          <a:ext cx="1543050" cy="6515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75000"/>
                </a:schemeClr>
              </a:solidFill>
              <a:effectLst/>
              <a:latin typeface="+mn-lt"/>
              <a:ea typeface="+mn-ea"/>
              <a:cs typeface="+mn-cs"/>
            </a:rPr>
            <a:t>Ingresos presupuestados </a:t>
          </a:r>
          <a:r>
            <a:rPr lang="es-419" sz="900" baseline="0">
              <a:solidFill>
                <a:schemeClr val="tx2">
                  <a:lumMod val="75000"/>
                </a:schemeClr>
              </a:solidFill>
              <a:effectLst/>
              <a:latin typeface="+mn-lt"/>
              <a:ea typeface="+mn-ea"/>
              <a:cs typeface="+mn-cs"/>
            </a:rPr>
            <a:t>vs Ingresos ejecutados</a:t>
          </a:r>
        </a:p>
        <a:p xmlns:a="http://schemas.openxmlformats.org/drawingml/2006/main">
          <a:pPr algn="ctr"/>
          <a:r>
            <a:rPr lang="es-419" sz="900" baseline="0">
              <a:solidFill>
                <a:schemeClr val="tx2">
                  <a:lumMod val="75000"/>
                </a:schemeClr>
              </a:solidFill>
              <a:effectLst/>
              <a:latin typeface="+mn-lt"/>
              <a:ea typeface="+mn-ea"/>
              <a:cs typeface="+mn-cs"/>
            </a:rPr>
            <a:t>acumulados a agosto 2025</a:t>
          </a:r>
          <a:endParaRPr lang="es-419" sz="900">
            <a:solidFill>
              <a:schemeClr val="tx2">
                <a:lumMod val="75000"/>
              </a:schemeClr>
            </a:solidFill>
            <a:effectLst/>
          </a:endParaRPr>
        </a:p>
      </cdr:txBody>
    </cdr:sp>
  </cdr:relSizeAnchor>
</c:userShapes>
</file>

<file path=xl/drawings/drawing17.xml><?xml version="1.0" encoding="utf-8"?>
<c:userShapes xmlns:c="http://schemas.openxmlformats.org/drawingml/2006/chart">
  <cdr:relSizeAnchor xmlns:cdr="http://schemas.openxmlformats.org/drawingml/2006/chartDrawing">
    <cdr:from>
      <cdr:x>0.62916</cdr:x>
      <cdr:y>0.23064</cdr:y>
    </cdr:from>
    <cdr:to>
      <cdr:x>0.92969</cdr:x>
      <cdr:y>0.50132</cdr:y>
    </cdr:to>
    <cdr:sp macro="" textlink="">
      <cdr:nvSpPr>
        <cdr:cNvPr id="2" name="CuadroTexto 1"/>
        <cdr:cNvSpPr txBox="1"/>
      </cdr:nvSpPr>
      <cdr:spPr>
        <a:xfrm xmlns:a="http://schemas.openxmlformats.org/drawingml/2006/main">
          <a:off x="3577794" y="602460"/>
          <a:ext cx="1709012" cy="707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acumulados a agosto </a:t>
          </a:r>
          <a:r>
            <a:rPr lang="es-419" sz="900" b="1" baseline="0">
              <a:solidFill>
                <a:schemeClr val="tx2">
                  <a:lumMod val="50000"/>
                </a:schemeClr>
              </a:solidFill>
            </a:rPr>
            <a:t>2025</a:t>
          </a:r>
          <a:endParaRPr lang="es-419" sz="900" b="1">
            <a:solidFill>
              <a:schemeClr val="tx2">
                <a:lumMod val="50000"/>
              </a:schemeClr>
            </a:solidFill>
          </a:endParaRPr>
        </a:p>
      </cdr:txBody>
    </cdr:sp>
  </cdr:relSizeAnchor>
</c:userShapes>
</file>

<file path=xl/drawings/drawing18.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19.xml><?xml version="1.0" encoding="utf-8"?>
<xdr:wsDr xmlns:xdr="http://schemas.openxmlformats.org/drawingml/2006/spreadsheetDrawing" xmlns:a="http://schemas.openxmlformats.org/drawingml/2006/main">
  <xdr:twoCellAnchor>
    <xdr:from>
      <xdr:col>42</xdr:col>
      <xdr:colOff>31750</xdr:colOff>
      <xdr:row>38</xdr:row>
      <xdr:rowOff>19050</xdr:rowOff>
    </xdr:from>
    <xdr:to>
      <xdr:col>60</xdr:col>
      <xdr:colOff>0</xdr:colOff>
      <xdr:row>58</xdr:row>
      <xdr:rowOff>0</xdr:rowOff>
    </xdr:to>
    <xdr:graphicFrame macro="">
      <xdr:nvGraphicFramePr>
        <xdr:cNvPr id="691213" name="Gráfico 1">
          <a:extLst>
            <a:ext uri="{FF2B5EF4-FFF2-40B4-BE49-F238E27FC236}">
              <a16:creationId xmlns:a16="http://schemas.microsoft.com/office/drawing/2014/main" id="{5BA9CB15-D3CC-3873-BEDB-F59761BE6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26</xdr:col>
      <xdr:colOff>336550</xdr:colOff>
      <xdr:row>109</xdr:row>
      <xdr:rowOff>47625</xdr:rowOff>
    </xdr:from>
    <xdr:to>
      <xdr:col>27</xdr:col>
      <xdr:colOff>199691</xdr:colOff>
      <xdr:row>110</xdr:row>
      <xdr:rowOff>76200</xdr:rowOff>
    </xdr:to>
    <xdr:sp macro="" textlink="">
      <xdr:nvSpPr>
        <xdr:cNvPr id="2" name="Signo más 1">
          <a:extLst>
            <a:ext uri="{FF2B5EF4-FFF2-40B4-BE49-F238E27FC236}">
              <a16:creationId xmlns:a16="http://schemas.microsoft.com/office/drawing/2014/main" id="{81F6481C-FB7E-4833-898C-87EF914C3846}"/>
            </a:ext>
          </a:extLst>
        </xdr:cNvPr>
        <xdr:cNvSpPr/>
      </xdr:nvSpPr>
      <xdr:spPr>
        <a:xfrm>
          <a:off x="8953500" y="1634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3" name="Signo más 2">
          <a:extLst>
            <a:ext uri="{FF2B5EF4-FFF2-40B4-BE49-F238E27FC236}">
              <a16:creationId xmlns:a16="http://schemas.microsoft.com/office/drawing/2014/main" id="{0B5E6416-D2C0-454E-B5AB-82AB0B659CF4}"/>
            </a:ext>
          </a:extLst>
        </xdr:cNvPr>
        <xdr:cNvSpPr/>
      </xdr:nvSpPr>
      <xdr:spPr>
        <a:xfrm>
          <a:off x="8953500" y="1761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4" name="Signo más 3">
          <a:extLst>
            <a:ext uri="{FF2B5EF4-FFF2-40B4-BE49-F238E27FC236}">
              <a16:creationId xmlns:a16="http://schemas.microsoft.com/office/drawing/2014/main" id="{7822E407-0CA3-441C-B820-6B42C294EF4D}"/>
            </a:ext>
          </a:extLst>
        </xdr:cNvPr>
        <xdr:cNvSpPr/>
      </xdr:nvSpPr>
      <xdr:spPr>
        <a:xfrm>
          <a:off x="8969375" y="16976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5" name="Signo más 4">
          <a:extLst>
            <a:ext uri="{FF2B5EF4-FFF2-40B4-BE49-F238E27FC236}">
              <a16:creationId xmlns:a16="http://schemas.microsoft.com/office/drawing/2014/main" id="{554C2017-DD18-4E72-B3A5-C630EA64E348}"/>
            </a:ext>
          </a:extLst>
        </xdr:cNvPr>
        <xdr:cNvSpPr/>
      </xdr:nvSpPr>
      <xdr:spPr>
        <a:xfrm>
          <a:off x="8953500" y="18243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24114</xdr:colOff>
      <xdr:row>123</xdr:row>
      <xdr:rowOff>6350</xdr:rowOff>
    </xdr:from>
    <xdr:to>
      <xdr:col>27</xdr:col>
      <xdr:colOff>896471</xdr:colOff>
      <xdr:row>125</xdr:row>
      <xdr:rowOff>9525</xdr:rowOff>
    </xdr:to>
    <xdr:sp macro="" textlink="">
      <xdr:nvSpPr>
        <xdr:cNvPr id="6" name="Diagrama de flujo: proceso alternativo 5">
          <a:extLst>
            <a:ext uri="{FF2B5EF4-FFF2-40B4-BE49-F238E27FC236}">
              <a16:creationId xmlns:a16="http://schemas.microsoft.com/office/drawing/2014/main" id="{CB5ADE6D-90CB-4E62-BE44-1ACF9F69858B}"/>
            </a:ext>
          </a:extLst>
        </xdr:cNvPr>
        <xdr:cNvSpPr/>
      </xdr:nvSpPr>
      <xdr:spPr>
        <a:xfrm>
          <a:off x="8641064" y="18522950"/>
          <a:ext cx="1545457" cy="3206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7" name="Es igual a 6">
          <a:extLst>
            <a:ext uri="{FF2B5EF4-FFF2-40B4-BE49-F238E27FC236}">
              <a16:creationId xmlns:a16="http://schemas.microsoft.com/office/drawing/2014/main" id="{A1D964E8-76C8-4829-9B52-1DF8713DE4CD}"/>
            </a:ext>
          </a:extLst>
        </xdr:cNvPr>
        <xdr:cNvSpPr/>
      </xdr:nvSpPr>
      <xdr:spPr>
        <a:xfrm>
          <a:off x="10414000" y="17173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106</xdr:row>
      <xdr:rowOff>47625</xdr:rowOff>
    </xdr:from>
    <xdr:to>
      <xdr:col>36</xdr:col>
      <xdr:colOff>199691</xdr:colOff>
      <xdr:row>107</xdr:row>
      <xdr:rowOff>76200</xdr:rowOff>
    </xdr:to>
    <xdr:sp macro="" textlink="">
      <xdr:nvSpPr>
        <xdr:cNvPr id="8" name="Signo más 7">
          <a:extLst>
            <a:ext uri="{FF2B5EF4-FFF2-40B4-BE49-F238E27FC236}">
              <a16:creationId xmlns:a16="http://schemas.microsoft.com/office/drawing/2014/main" id="{CB482184-15BE-457D-847C-22B6B8F153EA}"/>
            </a:ext>
          </a:extLst>
        </xdr:cNvPr>
        <xdr:cNvSpPr/>
      </xdr:nvSpPr>
      <xdr:spPr>
        <a:xfrm>
          <a:off x="15227300" y="1586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104</xdr:row>
      <xdr:rowOff>9525</xdr:rowOff>
    </xdr:from>
    <xdr:to>
      <xdr:col>36</xdr:col>
      <xdr:colOff>793749</xdr:colOff>
      <xdr:row>106</xdr:row>
      <xdr:rowOff>22225</xdr:rowOff>
    </xdr:to>
    <xdr:sp macro="" textlink="">
      <xdr:nvSpPr>
        <xdr:cNvPr id="9" name="Diagrama de flujo: proceso alternativo 8">
          <a:extLst>
            <a:ext uri="{FF2B5EF4-FFF2-40B4-BE49-F238E27FC236}">
              <a16:creationId xmlns:a16="http://schemas.microsoft.com/office/drawing/2014/main" id="{E5A90E75-B566-4349-A16E-557680BA079F}"/>
            </a:ext>
          </a:extLst>
        </xdr:cNvPr>
        <xdr:cNvSpPr/>
      </xdr:nvSpPr>
      <xdr:spPr>
        <a:xfrm>
          <a:off x="14900274" y="15509875"/>
          <a:ext cx="2562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114</xdr:row>
      <xdr:rowOff>47625</xdr:rowOff>
    </xdr:from>
    <xdr:to>
      <xdr:col>36</xdr:col>
      <xdr:colOff>199691</xdr:colOff>
      <xdr:row>115</xdr:row>
      <xdr:rowOff>76200</xdr:rowOff>
    </xdr:to>
    <xdr:sp macro="" textlink="">
      <xdr:nvSpPr>
        <xdr:cNvPr id="10" name="Signo más 9">
          <a:extLst>
            <a:ext uri="{FF2B5EF4-FFF2-40B4-BE49-F238E27FC236}">
              <a16:creationId xmlns:a16="http://schemas.microsoft.com/office/drawing/2014/main" id="{0EF28EF1-75F5-4FC7-A14F-8D9E8FF4D468}"/>
            </a:ext>
          </a:extLst>
        </xdr:cNvPr>
        <xdr:cNvSpPr/>
      </xdr:nvSpPr>
      <xdr:spPr>
        <a:xfrm>
          <a:off x="15227300" y="1713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112</xdr:row>
      <xdr:rowOff>9525</xdr:rowOff>
    </xdr:from>
    <xdr:to>
      <xdr:col>36</xdr:col>
      <xdr:colOff>787399</xdr:colOff>
      <xdr:row>114</xdr:row>
      <xdr:rowOff>22225</xdr:rowOff>
    </xdr:to>
    <xdr:sp macro="" textlink="">
      <xdr:nvSpPr>
        <xdr:cNvPr id="11" name="Diagrama de flujo: proceso alternativo 10">
          <a:extLst>
            <a:ext uri="{FF2B5EF4-FFF2-40B4-BE49-F238E27FC236}">
              <a16:creationId xmlns:a16="http://schemas.microsoft.com/office/drawing/2014/main" id="{A4B77ED5-5E98-46B4-95EA-3C06B1162182}"/>
            </a:ext>
          </a:extLst>
        </xdr:cNvPr>
        <xdr:cNvSpPr/>
      </xdr:nvSpPr>
      <xdr:spPr>
        <a:xfrm>
          <a:off x="14900274" y="16779875"/>
          <a:ext cx="2555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352425</xdr:colOff>
      <xdr:row>110</xdr:row>
      <xdr:rowOff>47625</xdr:rowOff>
    </xdr:from>
    <xdr:to>
      <xdr:col>36</xdr:col>
      <xdr:colOff>206375</xdr:colOff>
      <xdr:row>111</xdr:row>
      <xdr:rowOff>66973</xdr:rowOff>
    </xdr:to>
    <xdr:sp macro="" textlink="">
      <xdr:nvSpPr>
        <xdr:cNvPr id="12" name="Signo más 11">
          <a:extLst>
            <a:ext uri="{FF2B5EF4-FFF2-40B4-BE49-F238E27FC236}">
              <a16:creationId xmlns:a16="http://schemas.microsoft.com/office/drawing/2014/main" id="{BAAA6186-35A4-41FB-B785-7DDDA3A713DF}"/>
            </a:ext>
          </a:extLst>
        </xdr:cNvPr>
        <xdr:cNvSpPr/>
      </xdr:nvSpPr>
      <xdr:spPr>
        <a:xfrm>
          <a:off x="15243175" y="16500475"/>
          <a:ext cx="1631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118</xdr:row>
      <xdr:rowOff>44450</xdr:rowOff>
    </xdr:from>
    <xdr:to>
      <xdr:col>36</xdr:col>
      <xdr:colOff>199691</xdr:colOff>
      <xdr:row>119</xdr:row>
      <xdr:rowOff>88695</xdr:rowOff>
    </xdr:to>
    <xdr:sp macro="" textlink="">
      <xdr:nvSpPr>
        <xdr:cNvPr id="13" name="Signo más 12">
          <a:extLst>
            <a:ext uri="{FF2B5EF4-FFF2-40B4-BE49-F238E27FC236}">
              <a16:creationId xmlns:a16="http://schemas.microsoft.com/office/drawing/2014/main" id="{F9DAD45F-80EF-4916-8E75-164DD4B306BA}"/>
            </a:ext>
          </a:extLst>
        </xdr:cNvPr>
        <xdr:cNvSpPr/>
      </xdr:nvSpPr>
      <xdr:spPr>
        <a:xfrm>
          <a:off x="15227300" y="1776730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39</xdr:col>
      <xdr:colOff>228600</xdr:colOff>
      <xdr:row>114</xdr:row>
      <xdr:rowOff>85725</xdr:rowOff>
    </xdr:from>
    <xdr:to>
      <xdr:col>39</xdr:col>
      <xdr:colOff>546100</xdr:colOff>
      <xdr:row>117</xdr:row>
      <xdr:rowOff>22485</xdr:rowOff>
    </xdr:to>
    <xdr:sp macro="" textlink="">
      <xdr:nvSpPr>
        <xdr:cNvPr id="14" name="Es igual a 13">
          <a:extLst>
            <a:ext uri="{FF2B5EF4-FFF2-40B4-BE49-F238E27FC236}">
              <a16:creationId xmlns:a16="http://schemas.microsoft.com/office/drawing/2014/main" id="{FC31EFC1-9B5C-4F9E-AF59-2EA03DC974C6}"/>
            </a:ext>
          </a:extLst>
        </xdr:cNvPr>
        <xdr:cNvSpPr/>
      </xdr:nvSpPr>
      <xdr:spPr>
        <a:xfrm>
          <a:off x="19304000" y="17173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0</xdr:colOff>
      <xdr:row>108</xdr:row>
      <xdr:rowOff>0</xdr:rowOff>
    </xdr:from>
    <xdr:to>
      <xdr:col>36</xdr:col>
      <xdr:colOff>793750</xdr:colOff>
      <xdr:row>110</xdr:row>
      <xdr:rowOff>9525</xdr:rowOff>
    </xdr:to>
    <xdr:sp macro="" textlink="">
      <xdr:nvSpPr>
        <xdr:cNvPr id="15" name="Diagrama de flujo: proceso alternativo 14">
          <a:extLst>
            <a:ext uri="{FF2B5EF4-FFF2-40B4-BE49-F238E27FC236}">
              <a16:creationId xmlns:a16="http://schemas.microsoft.com/office/drawing/2014/main" id="{11FEF6A6-4214-48C8-A8B3-A1ED720A282D}"/>
            </a:ext>
          </a:extLst>
        </xdr:cNvPr>
        <xdr:cNvSpPr/>
      </xdr:nvSpPr>
      <xdr:spPr>
        <a:xfrm>
          <a:off x="14890750" y="16135350"/>
          <a:ext cx="2571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16" name="Diagrama de flujo: proceso alternativo 15">
          <a:extLst>
            <a:ext uri="{FF2B5EF4-FFF2-40B4-BE49-F238E27FC236}">
              <a16:creationId xmlns:a16="http://schemas.microsoft.com/office/drawing/2014/main" id="{31CF4CA3-D9D7-463E-AE6C-DDB29E9CA854}"/>
            </a:ext>
          </a:extLst>
        </xdr:cNvPr>
        <xdr:cNvSpPr/>
      </xdr:nvSpPr>
      <xdr:spPr>
        <a:xfrm>
          <a:off x="8623300" y="16611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9523</xdr:colOff>
      <xdr:row>119</xdr:row>
      <xdr:rowOff>9525</xdr:rowOff>
    </xdr:from>
    <xdr:to>
      <xdr:col>27</xdr:col>
      <xdr:colOff>903941</xdr:colOff>
      <xdr:row>121</xdr:row>
      <xdr:rowOff>19050</xdr:rowOff>
    </xdr:to>
    <xdr:sp macro="" textlink="">
      <xdr:nvSpPr>
        <xdr:cNvPr id="17" name="Diagrama de flujo: proceso alternativo 16">
          <a:extLst>
            <a:ext uri="{FF2B5EF4-FFF2-40B4-BE49-F238E27FC236}">
              <a16:creationId xmlns:a16="http://schemas.microsoft.com/office/drawing/2014/main" id="{C6ED137B-E468-437A-952F-0ED7750F69A3}"/>
            </a:ext>
          </a:extLst>
        </xdr:cNvPr>
        <xdr:cNvSpPr/>
      </xdr:nvSpPr>
      <xdr:spPr>
        <a:xfrm>
          <a:off x="8626473" y="17891125"/>
          <a:ext cx="1561168"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18" name="Signo más 17">
          <a:extLst>
            <a:ext uri="{FF2B5EF4-FFF2-40B4-BE49-F238E27FC236}">
              <a16:creationId xmlns:a16="http://schemas.microsoft.com/office/drawing/2014/main" id="{27A0FFFB-4ED1-4BAA-BAC2-438BACB71FF3}"/>
            </a:ext>
          </a:extLst>
        </xdr:cNvPr>
        <xdr:cNvSpPr/>
      </xdr:nvSpPr>
      <xdr:spPr>
        <a:xfrm>
          <a:off x="9001126" y="15728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19" name="Diagrama de flujo: proceso alternativo 18">
          <a:extLst>
            <a:ext uri="{FF2B5EF4-FFF2-40B4-BE49-F238E27FC236}">
              <a16:creationId xmlns:a16="http://schemas.microsoft.com/office/drawing/2014/main" id="{AF17972D-7D31-4324-A474-B8DA264174FD}"/>
            </a:ext>
          </a:extLst>
        </xdr:cNvPr>
        <xdr:cNvSpPr/>
      </xdr:nvSpPr>
      <xdr:spPr>
        <a:xfrm>
          <a:off x="8664574" y="15351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20" name="Signo más 19">
          <a:extLst>
            <a:ext uri="{FF2B5EF4-FFF2-40B4-BE49-F238E27FC236}">
              <a16:creationId xmlns:a16="http://schemas.microsoft.com/office/drawing/2014/main" id="{8020BF7B-02D3-4C56-80DB-42D015EB5856}"/>
            </a:ext>
          </a:extLst>
        </xdr:cNvPr>
        <xdr:cNvSpPr/>
      </xdr:nvSpPr>
      <xdr:spPr>
        <a:xfrm>
          <a:off x="8953500" y="18834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12700</xdr:colOff>
      <xdr:row>12</xdr:row>
      <xdr:rowOff>12700</xdr:rowOff>
    </xdr:from>
    <xdr:to>
      <xdr:col>33</xdr:col>
      <xdr:colOff>12700</xdr:colOff>
      <xdr:row>28</xdr:row>
      <xdr:rowOff>158750</xdr:rowOff>
    </xdr:to>
    <xdr:graphicFrame macro="">
      <xdr:nvGraphicFramePr>
        <xdr:cNvPr id="21" name="Gráfico 1">
          <a:extLst>
            <a:ext uri="{FF2B5EF4-FFF2-40B4-BE49-F238E27FC236}">
              <a16:creationId xmlns:a16="http://schemas.microsoft.com/office/drawing/2014/main" id="{B749D5A6-EFDF-40ED-BD06-B520F6AAA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6350</xdr:colOff>
      <xdr:row>56</xdr:row>
      <xdr:rowOff>19050</xdr:rowOff>
    </xdr:from>
    <xdr:to>
      <xdr:col>42</xdr:col>
      <xdr:colOff>19050</xdr:colOff>
      <xdr:row>71</xdr:row>
      <xdr:rowOff>139700</xdr:rowOff>
    </xdr:to>
    <xdr:graphicFrame macro="">
      <xdr:nvGraphicFramePr>
        <xdr:cNvPr id="22" name="Gráfico 3">
          <a:extLst>
            <a:ext uri="{FF2B5EF4-FFF2-40B4-BE49-F238E27FC236}">
              <a16:creationId xmlns:a16="http://schemas.microsoft.com/office/drawing/2014/main" id="{C2021342-6BE7-4F0B-B76D-E4C711B4D3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336550</xdr:colOff>
      <xdr:row>109</xdr:row>
      <xdr:rowOff>47625</xdr:rowOff>
    </xdr:from>
    <xdr:to>
      <xdr:col>27</xdr:col>
      <xdr:colOff>199691</xdr:colOff>
      <xdr:row>110</xdr:row>
      <xdr:rowOff>76200</xdr:rowOff>
    </xdr:to>
    <xdr:sp macro="" textlink="">
      <xdr:nvSpPr>
        <xdr:cNvPr id="23" name="Signo más 22">
          <a:extLst>
            <a:ext uri="{FF2B5EF4-FFF2-40B4-BE49-F238E27FC236}">
              <a16:creationId xmlns:a16="http://schemas.microsoft.com/office/drawing/2014/main" id="{F7E12707-0E57-4542-B140-B310FA604A98}"/>
            </a:ext>
          </a:extLst>
        </xdr:cNvPr>
        <xdr:cNvSpPr/>
      </xdr:nvSpPr>
      <xdr:spPr>
        <a:xfrm>
          <a:off x="8953500" y="1634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28573</xdr:colOff>
      <xdr:row>106</xdr:row>
      <xdr:rowOff>155574</xdr:rowOff>
    </xdr:from>
    <xdr:to>
      <xdr:col>27</xdr:col>
      <xdr:colOff>903941</xdr:colOff>
      <xdr:row>109</xdr:row>
      <xdr:rowOff>12699</xdr:rowOff>
    </xdr:to>
    <xdr:sp macro="" textlink="">
      <xdr:nvSpPr>
        <xdr:cNvPr id="24" name="Diagrama de flujo: proceso alternativo 23">
          <a:extLst>
            <a:ext uri="{FF2B5EF4-FFF2-40B4-BE49-F238E27FC236}">
              <a16:creationId xmlns:a16="http://schemas.microsoft.com/office/drawing/2014/main" id="{DF953DF0-4A73-44A4-B74D-4C86E331DFC7}"/>
            </a:ext>
          </a:extLst>
        </xdr:cNvPr>
        <xdr:cNvSpPr/>
      </xdr:nvSpPr>
      <xdr:spPr>
        <a:xfrm>
          <a:off x="8645523" y="15973424"/>
          <a:ext cx="1542118"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25" name="Signo más 24">
          <a:extLst>
            <a:ext uri="{FF2B5EF4-FFF2-40B4-BE49-F238E27FC236}">
              <a16:creationId xmlns:a16="http://schemas.microsoft.com/office/drawing/2014/main" id="{43A54B41-1651-4728-9794-95B3C79689CB}"/>
            </a:ext>
          </a:extLst>
        </xdr:cNvPr>
        <xdr:cNvSpPr/>
      </xdr:nvSpPr>
      <xdr:spPr>
        <a:xfrm>
          <a:off x="8953500" y="1761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9523</xdr:colOff>
      <xdr:row>115</xdr:row>
      <xdr:rowOff>9525</xdr:rowOff>
    </xdr:from>
    <xdr:to>
      <xdr:col>27</xdr:col>
      <xdr:colOff>888999</xdr:colOff>
      <xdr:row>117</xdr:row>
      <xdr:rowOff>19050</xdr:rowOff>
    </xdr:to>
    <xdr:sp macro="" textlink="">
      <xdr:nvSpPr>
        <xdr:cNvPr id="26" name="Diagrama de flujo: proceso alternativo 25">
          <a:extLst>
            <a:ext uri="{FF2B5EF4-FFF2-40B4-BE49-F238E27FC236}">
              <a16:creationId xmlns:a16="http://schemas.microsoft.com/office/drawing/2014/main" id="{FF97F36C-1192-48CF-B975-ECD8E8DCC154}"/>
            </a:ext>
          </a:extLst>
        </xdr:cNvPr>
        <xdr:cNvSpPr/>
      </xdr:nvSpPr>
      <xdr:spPr>
        <a:xfrm>
          <a:off x="8626473" y="17256125"/>
          <a:ext cx="1558926"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27" name="Signo más 26">
          <a:extLst>
            <a:ext uri="{FF2B5EF4-FFF2-40B4-BE49-F238E27FC236}">
              <a16:creationId xmlns:a16="http://schemas.microsoft.com/office/drawing/2014/main" id="{340223C2-390F-4F3A-8F36-D0F6C0B762D8}"/>
            </a:ext>
          </a:extLst>
        </xdr:cNvPr>
        <xdr:cNvSpPr/>
      </xdr:nvSpPr>
      <xdr:spPr>
        <a:xfrm>
          <a:off x="8969375" y="16976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28" name="Signo más 27">
          <a:extLst>
            <a:ext uri="{FF2B5EF4-FFF2-40B4-BE49-F238E27FC236}">
              <a16:creationId xmlns:a16="http://schemas.microsoft.com/office/drawing/2014/main" id="{EA74B073-D0BB-4A2C-B073-28300820E464}"/>
            </a:ext>
          </a:extLst>
        </xdr:cNvPr>
        <xdr:cNvSpPr/>
      </xdr:nvSpPr>
      <xdr:spPr>
        <a:xfrm>
          <a:off x="8953500" y="18243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29" name="Es igual a 28">
          <a:extLst>
            <a:ext uri="{FF2B5EF4-FFF2-40B4-BE49-F238E27FC236}">
              <a16:creationId xmlns:a16="http://schemas.microsoft.com/office/drawing/2014/main" id="{10765B29-F1E5-4AD6-98FC-131405D5CC12}"/>
            </a:ext>
          </a:extLst>
        </xdr:cNvPr>
        <xdr:cNvSpPr/>
      </xdr:nvSpPr>
      <xdr:spPr>
        <a:xfrm>
          <a:off x="10414000" y="17173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31</xdr:col>
      <xdr:colOff>28574</xdr:colOff>
      <xdr:row>103</xdr:row>
      <xdr:rowOff>31749</xdr:rowOff>
    </xdr:from>
    <xdr:to>
      <xdr:col>33</xdr:col>
      <xdr:colOff>32152</xdr:colOff>
      <xdr:row>145</xdr:row>
      <xdr:rowOff>7469</xdr:rowOff>
    </xdr:to>
    <xdr:sp macro="" textlink="">
      <xdr:nvSpPr>
        <xdr:cNvPr id="30" name="Diagrama de flujo: proceso alternativo 29">
          <a:extLst>
            <a:ext uri="{FF2B5EF4-FFF2-40B4-BE49-F238E27FC236}">
              <a16:creationId xmlns:a16="http://schemas.microsoft.com/office/drawing/2014/main" id="{372C7A64-1525-4679-B105-FB55BAA5A4C0}"/>
            </a:ext>
          </a:extLst>
        </xdr:cNvPr>
        <xdr:cNvSpPr/>
      </xdr:nvSpPr>
      <xdr:spPr>
        <a:xfrm>
          <a:off x="12633324" y="15373349"/>
          <a:ext cx="1527578" cy="664322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106</xdr:row>
      <xdr:rowOff>47625</xdr:rowOff>
    </xdr:from>
    <xdr:to>
      <xdr:col>36</xdr:col>
      <xdr:colOff>199691</xdr:colOff>
      <xdr:row>107</xdr:row>
      <xdr:rowOff>76200</xdr:rowOff>
    </xdr:to>
    <xdr:sp macro="" textlink="">
      <xdr:nvSpPr>
        <xdr:cNvPr id="31" name="Signo más 30">
          <a:extLst>
            <a:ext uri="{FF2B5EF4-FFF2-40B4-BE49-F238E27FC236}">
              <a16:creationId xmlns:a16="http://schemas.microsoft.com/office/drawing/2014/main" id="{AF301A12-F15F-486B-926A-351BEE70209E}"/>
            </a:ext>
          </a:extLst>
        </xdr:cNvPr>
        <xdr:cNvSpPr/>
      </xdr:nvSpPr>
      <xdr:spPr>
        <a:xfrm>
          <a:off x="15227300" y="1586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104</xdr:row>
      <xdr:rowOff>9525</xdr:rowOff>
    </xdr:from>
    <xdr:to>
      <xdr:col>36</xdr:col>
      <xdr:colOff>793749</xdr:colOff>
      <xdr:row>106</xdr:row>
      <xdr:rowOff>22225</xdr:rowOff>
    </xdr:to>
    <xdr:sp macro="" textlink="">
      <xdr:nvSpPr>
        <xdr:cNvPr id="32" name="Diagrama de flujo: proceso alternativo 31">
          <a:extLst>
            <a:ext uri="{FF2B5EF4-FFF2-40B4-BE49-F238E27FC236}">
              <a16:creationId xmlns:a16="http://schemas.microsoft.com/office/drawing/2014/main" id="{53D7D0C8-EE03-48E1-B526-FEDBA9A4A115}"/>
            </a:ext>
          </a:extLst>
        </xdr:cNvPr>
        <xdr:cNvSpPr/>
      </xdr:nvSpPr>
      <xdr:spPr>
        <a:xfrm>
          <a:off x="14900274" y="15509875"/>
          <a:ext cx="2562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114</xdr:row>
      <xdr:rowOff>47625</xdr:rowOff>
    </xdr:from>
    <xdr:to>
      <xdr:col>36</xdr:col>
      <xdr:colOff>199691</xdr:colOff>
      <xdr:row>115</xdr:row>
      <xdr:rowOff>76200</xdr:rowOff>
    </xdr:to>
    <xdr:sp macro="" textlink="">
      <xdr:nvSpPr>
        <xdr:cNvPr id="33" name="Signo más 32">
          <a:extLst>
            <a:ext uri="{FF2B5EF4-FFF2-40B4-BE49-F238E27FC236}">
              <a16:creationId xmlns:a16="http://schemas.microsoft.com/office/drawing/2014/main" id="{43FB8B66-9ED7-4C45-90BF-4D98F0094519}"/>
            </a:ext>
          </a:extLst>
        </xdr:cNvPr>
        <xdr:cNvSpPr/>
      </xdr:nvSpPr>
      <xdr:spPr>
        <a:xfrm>
          <a:off x="15227300" y="1713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112</xdr:row>
      <xdr:rowOff>9525</xdr:rowOff>
    </xdr:from>
    <xdr:to>
      <xdr:col>36</xdr:col>
      <xdr:colOff>787399</xdr:colOff>
      <xdr:row>114</xdr:row>
      <xdr:rowOff>22225</xdr:rowOff>
    </xdr:to>
    <xdr:sp macro="" textlink="">
      <xdr:nvSpPr>
        <xdr:cNvPr id="34" name="Diagrama de flujo: proceso alternativo 33">
          <a:extLst>
            <a:ext uri="{FF2B5EF4-FFF2-40B4-BE49-F238E27FC236}">
              <a16:creationId xmlns:a16="http://schemas.microsoft.com/office/drawing/2014/main" id="{2B19191B-0A1A-431E-8EFE-D309D883F0BA}"/>
            </a:ext>
          </a:extLst>
        </xdr:cNvPr>
        <xdr:cNvSpPr/>
      </xdr:nvSpPr>
      <xdr:spPr>
        <a:xfrm>
          <a:off x="14900274" y="16779875"/>
          <a:ext cx="2555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352425</xdr:colOff>
      <xdr:row>110</xdr:row>
      <xdr:rowOff>47625</xdr:rowOff>
    </xdr:from>
    <xdr:to>
      <xdr:col>36</xdr:col>
      <xdr:colOff>206375</xdr:colOff>
      <xdr:row>111</xdr:row>
      <xdr:rowOff>66973</xdr:rowOff>
    </xdr:to>
    <xdr:sp macro="" textlink="">
      <xdr:nvSpPr>
        <xdr:cNvPr id="35" name="Signo más 34">
          <a:extLst>
            <a:ext uri="{FF2B5EF4-FFF2-40B4-BE49-F238E27FC236}">
              <a16:creationId xmlns:a16="http://schemas.microsoft.com/office/drawing/2014/main" id="{DA205C34-40F0-45FC-A71E-D3052213DE2A}"/>
            </a:ext>
          </a:extLst>
        </xdr:cNvPr>
        <xdr:cNvSpPr/>
      </xdr:nvSpPr>
      <xdr:spPr>
        <a:xfrm>
          <a:off x="15243175" y="16500475"/>
          <a:ext cx="1631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118</xdr:row>
      <xdr:rowOff>44450</xdr:rowOff>
    </xdr:from>
    <xdr:to>
      <xdr:col>36</xdr:col>
      <xdr:colOff>199691</xdr:colOff>
      <xdr:row>119</xdr:row>
      <xdr:rowOff>88695</xdr:rowOff>
    </xdr:to>
    <xdr:sp macro="" textlink="">
      <xdr:nvSpPr>
        <xdr:cNvPr id="36" name="Signo más 35">
          <a:extLst>
            <a:ext uri="{FF2B5EF4-FFF2-40B4-BE49-F238E27FC236}">
              <a16:creationId xmlns:a16="http://schemas.microsoft.com/office/drawing/2014/main" id="{6A3AFC8D-521C-4EFB-91B0-DBEE7DA4C634}"/>
            </a:ext>
          </a:extLst>
        </xdr:cNvPr>
        <xdr:cNvSpPr/>
      </xdr:nvSpPr>
      <xdr:spPr>
        <a:xfrm>
          <a:off x="15227300" y="1776730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15875</xdr:colOff>
      <xdr:row>120</xdr:row>
      <xdr:rowOff>9525</xdr:rowOff>
    </xdr:from>
    <xdr:to>
      <xdr:col>37</xdr:col>
      <xdr:colOff>12700</xdr:colOff>
      <xdr:row>122</xdr:row>
      <xdr:rowOff>22225</xdr:rowOff>
    </xdr:to>
    <xdr:sp macro="" textlink="">
      <xdr:nvSpPr>
        <xdr:cNvPr id="37" name="Diagrama de flujo: proceso alternativo 36">
          <a:extLst>
            <a:ext uri="{FF2B5EF4-FFF2-40B4-BE49-F238E27FC236}">
              <a16:creationId xmlns:a16="http://schemas.microsoft.com/office/drawing/2014/main" id="{4775DE26-6F84-498A-8DB3-1E1296B7B720}"/>
            </a:ext>
          </a:extLst>
        </xdr:cNvPr>
        <xdr:cNvSpPr/>
      </xdr:nvSpPr>
      <xdr:spPr>
        <a:xfrm>
          <a:off x="14906625" y="1804987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39</xdr:col>
      <xdr:colOff>228600</xdr:colOff>
      <xdr:row>114</xdr:row>
      <xdr:rowOff>85725</xdr:rowOff>
    </xdr:from>
    <xdr:to>
      <xdr:col>39</xdr:col>
      <xdr:colOff>546100</xdr:colOff>
      <xdr:row>117</xdr:row>
      <xdr:rowOff>22485</xdr:rowOff>
    </xdr:to>
    <xdr:sp macro="" textlink="">
      <xdr:nvSpPr>
        <xdr:cNvPr id="38" name="Es igual a 37">
          <a:extLst>
            <a:ext uri="{FF2B5EF4-FFF2-40B4-BE49-F238E27FC236}">
              <a16:creationId xmlns:a16="http://schemas.microsoft.com/office/drawing/2014/main" id="{D42F8266-A18F-44A9-8A3B-F741B54D7D33}"/>
            </a:ext>
          </a:extLst>
        </xdr:cNvPr>
        <xdr:cNvSpPr/>
      </xdr:nvSpPr>
      <xdr:spPr>
        <a:xfrm>
          <a:off x="19304000" y="17173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41</xdr:col>
      <xdr:colOff>15874</xdr:colOff>
      <xdr:row>103</xdr:row>
      <xdr:rowOff>25400</xdr:rowOff>
    </xdr:from>
    <xdr:to>
      <xdr:col>43</xdr:col>
      <xdr:colOff>7471</xdr:colOff>
      <xdr:row>144</xdr:row>
      <xdr:rowOff>74706</xdr:rowOff>
    </xdr:to>
    <xdr:sp macro="" textlink="">
      <xdr:nvSpPr>
        <xdr:cNvPr id="39" name="Diagrama de flujo: proceso alternativo 38">
          <a:extLst>
            <a:ext uri="{FF2B5EF4-FFF2-40B4-BE49-F238E27FC236}">
              <a16:creationId xmlns:a16="http://schemas.microsoft.com/office/drawing/2014/main" id="{5C9B3993-2105-4C36-B075-2C4E0D20FDB4}"/>
            </a:ext>
          </a:extLst>
        </xdr:cNvPr>
        <xdr:cNvSpPr/>
      </xdr:nvSpPr>
      <xdr:spPr>
        <a:xfrm>
          <a:off x="20615274" y="15367000"/>
          <a:ext cx="1515597" cy="655805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0</xdr:colOff>
      <xdr:row>108</xdr:row>
      <xdr:rowOff>0</xdr:rowOff>
    </xdr:from>
    <xdr:to>
      <xdr:col>36</xdr:col>
      <xdr:colOff>793750</xdr:colOff>
      <xdr:row>110</xdr:row>
      <xdr:rowOff>9525</xdr:rowOff>
    </xdr:to>
    <xdr:sp macro="" textlink="">
      <xdr:nvSpPr>
        <xdr:cNvPr id="40" name="Diagrama de flujo: proceso alternativo 39">
          <a:extLst>
            <a:ext uri="{FF2B5EF4-FFF2-40B4-BE49-F238E27FC236}">
              <a16:creationId xmlns:a16="http://schemas.microsoft.com/office/drawing/2014/main" id="{62AE3DE8-8274-4C13-BBEA-C059FD8C5AAF}"/>
            </a:ext>
          </a:extLst>
        </xdr:cNvPr>
        <xdr:cNvSpPr/>
      </xdr:nvSpPr>
      <xdr:spPr>
        <a:xfrm>
          <a:off x="14890750" y="16135350"/>
          <a:ext cx="2571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0</xdr:colOff>
      <xdr:row>116</xdr:row>
      <xdr:rowOff>0</xdr:rowOff>
    </xdr:from>
    <xdr:to>
      <xdr:col>37</xdr:col>
      <xdr:colOff>6350</xdr:colOff>
      <xdr:row>118</xdr:row>
      <xdr:rowOff>9525</xdr:rowOff>
    </xdr:to>
    <xdr:sp macro="" textlink="">
      <xdr:nvSpPr>
        <xdr:cNvPr id="41" name="Diagrama de flujo: proceso alternativo 40">
          <a:extLst>
            <a:ext uri="{FF2B5EF4-FFF2-40B4-BE49-F238E27FC236}">
              <a16:creationId xmlns:a16="http://schemas.microsoft.com/office/drawing/2014/main" id="{D4D035FB-5E1E-4C3F-9D06-7AD65EFF2B0D}"/>
            </a:ext>
          </a:extLst>
        </xdr:cNvPr>
        <xdr:cNvSpPr/>
      </xdr:nvSpPr>
      <xdr:spPr>
        <a:xfrm>
          <a:off x="14890750" y="17405350"/>
          <a:ext cx="266700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42" name="Diagrama de flujo: proceso alternativo 41">
          <a:extLst>
            <a:ext uri="{FF2B5EF4-FFF2-40B4-BE49-F238E27FC236}">
              <a16:creationId xmlns:a16="http://schemas.microsoft.com/office/drawing/2014/main" id="{55813163-FE5A-4CAF-BCF1-656982A0DDD1}"/>
            </a:ext>
          </a:extLst>
        </xdr:cNvPr>
        <xdr:cNvSpPr/>
      </xdr:nvSpPr>
      <xdr:spPr>
        <a:xfrm>
          <a:off x="8623300" y="16611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43" name="Signo más 42">
          <a:extLst>
            <a:ext uri="{FF2B5EF4-FFF2-40B4-BE49-F238E27FC236}">
              <a16:creationId xmlns:a16="http://schemas.microsoft.com/office/drawing/2014/main" id="{B8483B4D-CD2A-4E51-9C47-9645E93C31FF}"/>
            </a:ext>
          </a:extLst>
        </xdr:cNvPr>
        <xdr:cNvSpPr/>
      </xdr:nvSpPr>
      <xdr:spPr>
        <a:xfrm>
          <a:off x="9001126" y="15728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44" name="Diagrama de flujo: proceso alternativo 43">
          <a:extLst>
            <a:ext uri="{FF2B5EF4-FFF2-40B4-BE49-F238E27FC236}">
              <a16:creationId xmlns:a16="http://schemas.microsoft.com/office/drawing/2014/main" id="{4F102539-B65B-4763-A622-4A0E051A56CB}"/>
            </a:ext>
          </a:extLst>
        </xdr:cNvPr>
        <xdr:cNvSpPr/>
      </xdr:nvSpPr>
      <xdr:spPr>
        <a:xfrm>
          <a:off x="8664574" y="15351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45" name="Signo más 44">
          <a:extLst>
            <a:ext uri="{FF2B5EF4-FFF2-40B4-BE49-F238E27FC236}">
              <a16:creationId xmlns:a16="http://schemas.microsoft.com/office/drawing/2014/main" id="{30E2C18A-09C5-4244-8B0C-FC7D62771128}"/>
            </a:ext>
          </a:extLst>
        </xdr:cNvPr>
        <xdr:cNvSpPr/>
      </xdr:nvSpPr>
      <xdr:spPr>
        <a:xfrm>
          <a:off x="8953500" y="18834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12701</xdr:colOff>
      <xdr:row>126</xdr:row>
      <xdr:rowOff>104775</xdr:rowOff>
    </xdr:from>
    <xdr:to>
      <xdr:col>28</xdr:col>
      <xdr:colOff>7471</xdr:colOff>
      <xdr:row>128</xdr:row>
      <xdr:rowOff>139700</xdr:rowOff>
    </xdr:to>
    <xdr:sp macro="" textlink="">
      <xdr:nvSpPr>
        <xdr:cNvPr id="46" name="Diagrama de flujo: proceso alternativo 45">
          <a:extLst>
            <a:ext uri="{FF2B5EF4-FFF2-40B4-BE49-F238E27FC236}">
              <a16:creationId xmlns:a16="http://schemas.microsoft.com/office/drawing/2014/main" id="{7CD12EE5-C172-4981-90F7-06E2E62AF441}"/>
            </a:ext>
          </a:extLst>
        </xdr:cNvPr>
        <xdr:cNvSpPr/>
      </xdr:nvSpPr>
      <xdr:spPr>
        <a:xfrm>
          <a:off x="8629651" y="19097625"/>
          <a:ext cx="1563220" cy="3524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12700</xdr:colOff>
      <xdr:row>12</xdr:row>
      <xdr:rowOff>12700</xdr:rowOff>
    </xdr:from>
    <xdr:to>
      <xdr:col>41</xdr:col>
      <xdr:colOff>0</xdr:colOff>
      <xdr:row>28</xdr:row>
      <xdr:rowOff>158750</xdr:rowOff>
    </xdr:to>
    <xdr:graphicFrame macro="">
      <xdr:nvGraphicFramePr>
        <xdr:cNvPr id="47" name="Gráfico 1">
          <a:extLst>
            <a:ext uri="{FF2B5EF4-FFF2-40B4-BE49-F238E27FC236}">
              <a16:creationId xmlns:a16="http://schemas.microsoft.com/office/drawing/2014/main" id="{546387D4-55D0-47C5-BCCD-564203BC8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41677</xdr:colOff>
      <xdr:row>129</xdr:row>
      <xdr:rowOff>132184</xdr:rowOff>
    </xdr:from>
    <xdr:to>
      <xdr:col>28</xdr:col>
      <xdr:colOff>17564</xdr:colOff>
      <xdr:row>132</xdr:row>
      <xdr:rowOff>22826</xdr:rowOff>
    </xdr:to>
    <xdr:sp macro="" textlink="">
      <xdr:nvSpPr>
        <xdr:cNvPr id="48" name="Diagrama de flujo: proceso alternativo 47">
          <a:extLst>
            <a:ext uri="{FF2B5EF4-FFF2-40B4-BE49-F238E27FC236}">
              <a16:creationId xmlns:a16="http://schemas.microsoft.com/office/drawing/2014/main" id="{A2DF07C4-6A2D-4A77-9E97-AC8893B2ECCA}"/>
            </a:ext>
          </a:extLst>
        </xdr:cNvPr>
        <xdr:cNvSpPr/>
      </xdr:nvSpPr>
      <xdr:spPr>
        <a:xfrm>
          <a:off x="8658627" y="19601284"/>
          <a:ext cx="1544337" cy="3668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321961</xdr:colOff>
      <xdr:row>128</xdr:row>
      <xdr:rowOff>114018</xdr:rowOff>
    </xdr:from>
    <xdr:to>
      <xdr:col>27</xdr:col>
      <xdr:colOff>185102</xdr:colOff>
      <xdr:row>129</xdr:row>
      <xdr:rowOff>128608</xdr:rowOff>
    </xdr:to>
    <xdr:sp macro="" textlink="">
      <xdr:nvSpPr>
        <xdr:cNvPr id="49" name="Signo más 48">
          <a:extLst>
            <a:ext uri="{FF2B5EF4-FFF2-40B4-BE49-F238E27FC236}">
              <a16:creationId xmlns:a16="http://schemas.microsoft.com/office/drawing/2014/main" id="{006DEB9C-9E3C-4E90-A70B-8024F0089E1B}"/>
            </a:ext>
          </a:extLst>
        </xdr:cNvPr>
        <xdr:cNvSpPr/>
      </xdr:nvSpPr>
      <xdr:spPr>
        <a:xfrm>
          <a:off x="8938911" y="19424368"/>
          <a:ext cx="625141"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122</xdr:row>
      <xdr:rowOff>25601</xdr:rowOff>
    </xdr:from>
    <xdr:to>
      <xdr:col>36</xdr:col>
      <xdr:colOff>199691</xdr:colOff>
      <xdr:row>123</xdr:row>
      <xdr:rowOff>53770</xdr:rowOff>
    </xdr:to>
    <xdr:sp macro="" textlink="">
      <xdr:nvSpPr>
        <xdr:cNvPr id="50" name="Signo más 49">
          <a:extLst>
            <a:ext uri="{FF2B5EF4-FFF2-40B4-BE49-F238E27FC236}">
              <a16:creationId xmlns:a16="http://schemas.microsoft.com/office/drawing/2014/main" id="{642431F4-989E-4DC5-B642-FDC95593B3A3}"/>
            </a:ext>
          </a:extLst>
        </xdr:cNvPr>
        <xdr:cNvSpPr/>
      </xdr:nvSpPr>
      <xdr:spPr>
        <a:xfrm>
          <a:off x="15227300" y="18383451"/>
          <a:ext cx="1641141" cy="1869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416929</xdr:colOff>
      <xdr:row>125</xdr:row>
      <xdr:rowOff>135359</xdr:rowOff>
    </xdr:from>
    <xdr:to>
      <xdr:col>36</xdr:col>
      <xdr:colOff>280070</xdr:colOff>
      <xdr:row>127</xdr:row>
      <xdr:rowOff>18845</xdr:rowOff>
    </xdr:to>
    <xdr:sp macro="" textlink="">
      <xdr:nvSpPr>
        <xdr:cNvPr id="51" name="Signo más 50">
          <a:extLst>
            <a:ext uri="{FF2B5EF4-FFF2-40B4-BE49-F238E27FC236}">
              <a16:creationId xmlns:a16="http://schemas.microsoft.com/office/drawing/2014/main" id="{555F3E4B-8F3B-428D-B88A-31B57A15A1D8}"/>
            </a:ext>
          </a:extLst>
        </xdr:cNvPr>
        <xdr:cNvSpPr/>
      </xdr:nvSpPr>
      <xdr:spPr>
        <a:xfrm>
          <a:off x="15307679" y="18969459"/>
          <a:ext cx="1641141" cy="2009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23913</xdr:colOff>
      <xdr:row>127</xdr:row>
      <xdr:rowOff>132585</xdr:rowOff>
    </xdr:from>
    <xdr:to>
      <xdr:col>36</xdr:col>
      <xdr:colOff>749301</xdr:colOff>
      <xdr:row>130</xdr:row>
      <xdr:rowOff>16677</xdr:rowOff>
    </xdr:to>
    <xdr:sp macro="" textlink="">
      <xdr:nvSpPr>
        <xdr:cNvPr id="52" name="Diagrama de flujo: proceso alternativo 51">
          <a:extLst>
            <a:ext uri="{FF2B5EF4-FFF2-40B4-BE49-F238E27FC236}">
              <a16:creationId xmlns:a16="http://schemas.microsoft.com/office/drawing/2014/main" id="{C9C9BD6B-3081-48CC-93CE-B4AD40689DAA}"/>
            </a:ext>
          </a:extLst>
        </xdr:cNvPr>
        <xdr:cNvSpPr/>
      </xdr:nvSpPr>
      <xdr:spPr>
        <a:xfrm>
          <a:off x="14914663" y="19284185"/>
          <a:ext cx="2503388" cy="3603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-1</xdr:colOff>
      <xdr:row>134</xdr:row>
      <xdr:rowOff>118782</xdr:rowOff>
    </xdr:from>
    <xdr:to>
      <xdr:col>27</xdr:col>
      <xdr:colOff>911411</xdr:colOff>
      <xdr:row>137</xdr:row>
      <xdr:rowOff>29881</xdr:rowOff>
    </xdr:to>
    <xdr:sp macro="" textlink="">
      <xdr:nvSpPr>
        <xdr:cNvPr id="53" name="Diagrama de flujo: proceso alternativo 52">
          <a:extLst>
            <a:ext uri="{FF2B5EF4-FFF2-40B4-BE49-F238E27FC236}">
              <a16:creationId xmlns:a16="http://schemas.microsoft.com/office/drawing/2014/main" id="{82672C86-CC1F-487B-AAB2-47F3491BD0AB}"/>
            </a:ext>
          </a:extLst>
        </xdr:cNvPr>
        <xdr:cNvSpPr/>
      </xdr:nvSpPr>
      <xdr:spPr>
        <a:xfrm>
          <a:off x="8616949" y="20381632"/>
          <a:ext cx="1565462" cy="3873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312436</xdr:colOff>
      <xdr:row>133</xdr:row>
      <xdr:rowOff>0</xdr:rowOff>
    </xdr:from>
    <xdr:to>
      <xdr:col>27</xdr:col>
      <xdr:colOff>175577</xdr:colOff>
      <xdr:row>134</xdr:row>
      <xdr:rowOff>44246</xdr:rowOff>
    </xdr:to>
    <xdr:sp macro="" textlink="">
      <xdr:nvSpPr>
        <xdr:cNvPr id="54" name="Signo más 53">
          <a:extLst>
            <a:ext uri="{FF2B5EF4-FFF2-40B4-BE49-F238E27FC236}">
              <a16:creationId xmlns:a16="http://schemas.microsoft.com/office/drawing/2014/main" id="{E89AD5DD-B032-40C3-92E1-A95C890AB71D}"/>
            </a:ext>
          </a:extLst>
        </xdr:cNvPr>
        <xdr:cNvSpPr/>
      </xdr:nvSpPr>
      <xdr:spPr>
        <a:xfrm>
          <a:off x="8929386" y="20104100"/>
          <a:ext cx="625141" cy="2029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0</xdr:colOff>
      <xdr:row>139</xdr:row>
      <xdr:rowOff>118781</xdr:rowOff>
    </xdr:from>
    <xdr:to>
      <xdr:col>27</xdr:col>
      <xdr:colOff>911412</xdr:colOff>
      <xdr:row>144</xdr:row>
      <xdr:rowOff>127000</xdr:rowOff>
    </xdr:to>
    <xdr:sp macro="" textlink="">
      <xdr:nvSpPr>
        <xdr:cNvPr id="55" name="Diagrama de flujo: proceso alternativo 54">
          <a:extLst>
            <a:ext uri="{FF2B5EF4-FFF2-40B4-BE49-F238E27FC236}">
              <a16:creationId xmlns:a16="http://schemas.microsoft.com/office/drawing/2014/main" id="{5963D1E4-104F-4638-A55D-BE05670D0446}"/>
            </a:ext>
          </a:extLst>
        </xdr:cNvPr>
        <xdr:cNvSpPr/>
      </xdr:nvSpPr>
      <xdr:spPr>
        <a:xfrm>
          <a:off x="8616950" y="21175381"/>
          <a:ext cx="1565462" cy="8019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312437</xdr:colOff>
      <xdr:row>138</xdr:row>
      <xdr:rowOff>0</xdr:rowOff>
    </xdr:from>
    <xdr:to>
      <xdr:col>27</xdr:col>
      <xdr:colOff>175578</xdr:colOff>
      <xdr:row>139</xdr:row>
      <xdr:rowOff>44245</xdr:rowOff>
    </xdr:to>
    <xdr:sp macro="" textlink="">
      <xdr:nvSpPr>
        <xdr:cNvPr id="56" name="Signo más 55">
          <a:extLst>
            <a:ext uri="{FF2B5EF4-FFF2-40B4-BE49-F238E27FC236}">
              <a16:creationId xmlns:a16="http://schemas.microsoft.com/office/drawing/2014/main" id="{4EDC856A-B5D2-49D8-9834-E3DEE0EEF959}"/>
            </a:ext>
          </a:extLst>
        </xdr:cNvPr>
        <xdr:cNvSpPr/>
      </xdr:nvSpPr>
      <xdr:spPr>
        <a:xfrm>
          <a:off x="8929387" y="208978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403108</xdr:colOff>
      <xdr:row>130</xdr:row>
      <xdr:rowOff>3130</xdr:rowOff>
    </xdr:from>
    <xdr:to>
      <xdr:col>36</xdr:col>
      <xdr:colOff>266249</xdr:colOff>
      <xdr:row>131</xdr:row>
      <xdr:rowOff>43499</xdr:rowOff>
    </xdr:to>
    <xdr:sp macro="" textlink="">
      <xdr:nvSpPr>
        <xdr:cNvPr id="57" name="Signo más 56">
          <a:extLst>
            <a:ext uri="{FF2B5EF4-FFF2-40B4-BE49-F238E27FC236}">
              <a16:creationId xmlns:a16="http://schemas.microsoft.com/office/drawing/2014/main" id="{DBF4AF0B-4C77-4EA0-B29D-EB630F8001BE}"/>
            </a:ext>
          </a:extLst>
        </xdr:cNvPr>
        <xdr:cNvSpPr/>
      </xdr:nvSpPr>
      <xdr:spPr>
        <a:xfrm>
          <a:off x="15293858" y="19630980"/>
          <a:ext cx="1641141" cy="1991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10092</xdr:colOff>
      <xdr:row>132</xdr:row>
      <xdr:rowOff>7827</xdr:rowOff>
    </xdr:from>
    <xdr:to>
      <xdr:col>36</xdr:col>
      <xdr:colOff>735480</xdr:colOff>
      <xdr:row>135</xdr:row>
      <xdr:rowOff>74706</xdr:rowOff>
    </xdr:to>
    <xdr:sp macro="" textlink="">
      <xdr:nvSpPr>
        <xdr:cNvPr id="58" name="Diagrama de flujo: proceso alternativo 57">
          <a:extLst>
            <a:ext uri="{FF2B5EF4-FFF2-40B4-BE49-F238E27FC236}">
              <a16:creationId xmlns:a16="http://schemas.microsoft.com/office/drawing/2014/main" id="{49AD1DAF-89CD-4F6E-A86F-1CF737607CC3}"/>
            </a:ext>
          </a:extLst>
        </xdr:cNvPr>
        <xdr:cNvSpPr/>
      </xdr:nvSpPr>
      <xdr:spPr>
        <a:xfrm>
          <a:off x="14900842" y="19953177"/>
          <a:ext cx="2503388" cy="5431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400487</xdr:colOff>
      <xdr:row>135</xdr:row>
      <xdr:rowOff>82177</xdr:rowOff>
    </xdr:from>
    <xdr:to>
      <xdr:col>36</xdr:col>
      <xdr:colOff>263628</xdr:colOff>
      <xdr:row>136</xdr:row>
      <xdr:rowOff>122545</xdr:rowOff>
    </xdr:to>
    <xdr:sp macro="" textlink="">
      <xdr:nvSpPr>
        <xdr:cNvPr id="59" name="Signo más 58">
          <a:extLst>
            <a:ext uri="{FF2B5EF4-FFF2-40B4-BE49-F238E27FC236}">
              <a16:creationId xmlns:a16="http://schemas.microsoft.com/office/drawing/2014/main" id="{400815D5-7282-498A-ACD1-01894771CD56}"/>
            </a:ext>
          </a:extLst>
        </xdr:cNvPr>
        <xdr:cNvSpPr/>
      </xdr:nvSpPr>
      <xdr:spPr>
        <a:xfrm>
          <a:off x="15291237" y="20503777"/>
          <a:ext cx="1641141" cy="1991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0</xdr:colOff>
      <xdr:row>137</xdr:row>
      <xdr:rowOff>4696</xdr:rowOff>
    </xdr:from>
    <xdr:to>
      <xdr:col>36</xdr:col>
      <xdr:colOff>725388</xdr:colOff>
      <xdr:row>141</xdr:row>
      <xdr:rowOff>29882</xdr:rowOff>
    </xdr:to>
    <xdr:sp macro="" textlink="">
      <xdr:nvSpPr>
        <xdr:cNvPr id="60" name="Diagrama de flujo: proceso alternativo 59">
          <a:extLst>
            <a:ext uri="{FF2B5EF4-FFF2-40B4-BE49-F238E27FC236}">
              <a16:creationId xmlns:a16="http://schemas.microsoft.com/office/drawing/2014/main" id="{B5BDEC32-2F51-4689-849A-66D90FE4A58E}"/>
            </a:ext>
          </a:extLst>
        </xdr:cNvPr>
        <xdr:cNvSpPr/>
      </xdr:nvSpPr>
      <xdr:spPr>
        <a:xfrm>
          <a:off x="14890750" y="20743796"/>
          <a:ext cx="2503388" cy="6601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15875</xdr:colOff>
      <xdr:row>124</xdr:row>
      <xdr:rowOff>9525</xdr:rowOff>
    </xdr:from>
    <xdr:to>
      <xdr:col>37</xdr:col>
      <xdr:colOff>12700</xdr:colOff>
      <xdr:row>126</xdr:row>
      <xdr:rowOff>22225</xdr:rowOff>
    </xdr:to>
    <xdr:sp macro="" textlink="">
      <xdr:nvSpPr>
        <xdr:cNvPr id="61" name="Diagrama de flujo: proceso alternativo 60">
          <a:extLst>
            <a:ext uri="{FF2B5EF4-FFF2-40B4-BE49-F238E27FC236}">
              <a16:creationId xmlns:a16="http://schemas.microsoft.com/office/drawing/2014/main" id="{9237BB86-9E14-4748-9C6F-4EB27FE47110}"/>
            </a:ext>
          </a:extLst>
        </xdr:cNvPr>
        <xdr:cNvSpPr/>
      </xdr:nvSpPr>
      <xdr:spPr>
        <a:xfrm>
          <a:off x="14906625" y="1868487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28</xdr:col>
      <xdr:colOff>0</xdr:colOff>
      <xdr:row>30</xdr:row>
      <xdr:rowOff>146050</xdr:rowOff>
    </xdr:from>
    <xdr:to>
      <xdr:col>41</xdr:col>
      <xdr:colOff>742950</xdr:colOff>
      <xdr:row>54</xdr:row>
      <xdr:rowOff>101600</xdr:rowOff>
    </xdr:to>
    <xdr:graphicFrame macro="">
      <xdr:nvGraphicFramePr>
        <xdr:cNvPr id="62" name="Gráfico 72">
          <a:extLst>
            <a:ext uri="{FF2B5EF4-FFF2-40B4-BE49-F238E27FC236}">
              <a16:creationId xmlns:a16="http://schemas.microsoft.com/office/drawing/2014/main" id="{C1FEB95D-A3E7-402B-BBA5-9AF3B3779A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1.xml><?xml version="1.0" encoding="utf-8"?>
<c:userShapes xmlns:c="http://schemas.openxmlformats.org/drawingml/2006/chart">
  <cdr:relSizeAnchor xmlns:cdr="http://schemas.openxmlformats.org/drawingml/2006/chartDrawing">
    <cdr:from>
      <cdr:x>0.67251</cdr:x>
      <cdr:y>0.14461</cdr:y>
    </cdr:from>
    <cdr:to>
      <cdr:x>1</cdr:x>
      <cdr:y>0.39611</cdr:y>
    </cdr:to>
    <cdr:sp macro="" textlink="">
      <cdr:nvSpPr>
        <cdr:cNvPr id="2" name="CuadroTexto 1"/>
        <cdr:cNvSpPr txBox="1"/>
      </cdr:nvSpPr>
      <cdr:spPr>
        <a:xfrm xmlns:a="http://schemas.openxmlformats.org/drawingml/2006/main">
          <a:off x="3168650" y="374650"/>
          <a:ext cx="1543050" cy="6515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75000"/>
                </a:schemeClr>
              </a:solidFill>
              <a:effectLst/>
              <a:latin typeface="+mn-lt"/>
              <a:ea typeface="+mn-ea"/>
              <a:cs typeface="+mn-cs"/>
            </a:rPr>
            <a:t>Ingresos presupuestados </a:t>
          </a:r>
          <a:r>
            <a:rPr lang="es-419" sz="900" baseline="0">
              <a:solidFill>
                <a:schemeClr val="tx2">
                  <a:lumMod val="75000"/>
                </a:schemeClr>
              </a:solidFill>
              <a:effectLst/>
              <a:latin typeface="+mn-lt"/>
              <a:ea typeface="+mn-ea"/>
              <a:cs typeface="+mn-cs"/>
            </a:rPr>
            <a:t>vs Ingresos ejecutados</a:t>
          </a:r>
        </a:p>
        <a:p xmlns:a="http://schemas.openxmlformats.org/drawingml/2006/main">
          <a:pPr algn="ctr"/>
          <a:r>
            <a:rPr lang="es-419" sz="900" baseline="0">
              <a:solidFill>
                <a:schemeClr val="tx2">
                  <a:lumMod val="75000"/>
                </a:schemeClr>
              </a:solidFill>
              <a:effectLst/>
              <a:latin typeface="+mn-lt"/>
              <a:ea typeface="+mn-ea"/>
              <a:cs typeface="+mn-cs"/>
            </a:rPr>
            <a:t>Enero - junio 2025</a:t>
          </a:r>
          <a:endParaRPr lang="es-419" sz="900">
            <a:solidFill>
              <a:schemeClr val="tx2">
                <a:lumMod val="75000"/>
              </a:schemeClr>
            </a:solidFill>
            <a:effectLst/>
          </a:endParaRPr>
        </a:p>
      </cdr:txBody>
    </cdr:sp>
  </cdr:relSizeAnchor>
</c:userShapes>
</file>

<file path=xl/drawings/drawing22.xml><?xml version="1.0" encoding="utf-8"?>
<c:userShapes xmlns:c="http://schemas.openxmlformats.org/drawingml/2006/chart">
  <cdr:relSizeAnchor xmlns:cdr="http://schemas.openxmlformats.org/drawingml/2006/chartDrawing">
    <cdr:from>
      <cdr:x>0.62916</cdr:x>
      <cdr:y>0.23064</cdr:y>
    </cdr:from>
    <cdr:to>
      <cdr:x>0.92969</cdr:x>
      <cdr:y>0.50132</cdr:y>
    </cdr:to>
    <cdr:sp macro="" textlink="">
      <cdr:nvSpPr>
        <cdr:cNvPr id="2" name="CuadroTexto 1"/>
        <cdr:cNvSpPr txBox="1"/>
      </cdr:nvSpPr>
      <cdr:spPr>
        <a:xfrm xmlns:a="http://schemas.openxmlformats.org/drawingml/2006/main">
          <a:off x="3577794" y="602460"/>
          <a:ext cx="1709012" cy="707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Enero-junio</a:t>
          </a:r>
          <a:r>
            <a:rPr lang="es-419" sz="900" b="1" baseline="0">
              <a:solidFill>
                <a:schemeClr val="tx2">
                  <a:lumMod val="50000"/>
                </a:schemeClr>
              </a:solidFill>
            </a:rPr>
            <a:t> 2025</a:t>
          </a:r>
          <a:endParaRPr lang="es-419" sz="900" b="1">
            <a:solidFill>
              <a:schemeClr val="tx2">
                <a:lumMod val="50000"/>
              </a:schemeClr>
            </a:solidFill>
          </a:endParaRPr>
        </a:p>
      </cdr:txBody>
    </cdr:sp>
  </cdr:relSizeAnchor>
</c:userShapes>
</file>

<file path=xl/drawings/drawing23.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24.xml><?xml version="1.0" encoding="utf-8"?>
<xdr:wsDr xmlns:xdr="http://schemas.openxmlformats.org/drawingml/2006/spreadsheetDrawing" xmlns:a="http://schemas.openxmlformats.org/drawingml/2006/main">
  <xdr:twoCellAnchor>
    <xdr:from>
      <xdr:col>16</xdr:col>
      <xdr:colOff>6350</xdr:colOff>
      <xdr:row>0</xdr:row>
      <xdr:rowOff>0</xdr:rowOff>
    </xdr:from>
    <xdr:to>
      <xdr:col>23</xdr:col>
      <xdr:colOff>0</xdr:colOff>
      <xdr:row>20</xdr:row>
      <xdr:rowOff>101600</xdr:rowOff>
    </xdr:to>
    <xdr:graphicFrame macro="">
      <xdr:nvGraphicFramePr>
        <xdr:cNvPr id="592812" name="Gráfico 1">
          <a:extLst>
            <a:ext uri="{FF2B5EF4-FFF2-40B4-BE49-F238E27FC236}">
              <a16:creationId xmlns:a16="http://schemas.microsoft.com/office/drawing/2014/main" id="{DE74A01E-5CC1-70C5-A66F-71E000F50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6350</xdr:colOff>
      <xdr:row>48</xdr:row>
      <xdr:rowOff>38100</xdr:rowOff>
    </xdr:from>
    <xdr:to>
      <xdr:col>22</xdr:col>
      <xdr:colOff>749300</xdr:colOff>
      <xdr:row>63</xdr:row>
      <xdr:rowOff>57150</xdr:rowOff>
    </xdr:to>
    <xdr:graphicFrame macro="">
      <xdr:nvGraphicFramePr>
        <xdr:cNvPr id="592813" name="Gráfico 3">
          <a:extLst>
            <a:ext uri="{FF2B5EF4-FFF2-40B4-BE49-F238E27FC236}">
              <a16:creationId xmlns:a16="http://schemas.microsoft.com/office/drawing/2014/main" id="{C9BA0A58-4564-3418-BD6B-48A240A648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21</xdr:row>
      <xdr:rowOff>0</xdr:rowOff>
    </xdr:from>
    <xdr:to>
      <xdr:col>22</xdr:col>
      <xdr:colOff>755650</xdr:colOff>
      <xdr:row>47</xdr:row>
      <xdr:rowOff>114300</xdr:rowOff>
    </xdr:to>
    <xdr:graphicFrame macro="">
      <xdr:nvGraphicFramePr>
        <xdr:cNvPr id="592814" name="Gráfico 2">
          <a:extLst>
            <a:ext uri="{FF2B5EF4-FFF2-40B4-BE49-F238E27FC236}">
              <a16:creationId xmlns:a16="http://schemas.microsoft.com/office/drawing/2014/main" id="{CA597A1F-476F-1AA7-3F0A-F9A64DF6B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65</xdr:row>
      <xdr:rowOff>0</xdr:rowOff>
    </xdr:from>
    <xdr:to>
      <xdr:col>22</xdr:col>
      <xdr:colOff>742950</xdr:colOff>
      <xdr:row>80</xdr:row>
      <xdr:rowOff>19050</xdr:rowOff>
    </xdr:to>
    <xdr:graphicFrame macro="">
      <xdr:nvGraphicFramePr>
        <xdr:cNvPr id="592815" name="Gráfico 3">
          <a:extLst>
            <a:ext uri="{FF2B5EF4-FFF2-40B4-BE49-F238E27FC236}">
              <a16:creationId xmlns:a16="http://schemas.microsoft.com/office/drawing/2014/main" id="{7E977532-D3E3-CE16-FFA1-62B7CDA459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26</xdr:col>
      <xdr:colOff>336550</xdr:colOff>
      <xdr:row>109</xdr:row>
      <xdr:rowOff>47625</xdr:rowOff>
    </xdr:from>
    <xdr:to>
      <xdr:col>27</xdr:col>
      <xdr:colOff>199691</xdr:colOff>
      <xdr:row>110</xdr:row>
      <xdr:rowOff>76200</xdr:rowOff>
    </xdr:to>
    <xdr:sp macro="" textlink="">
      <xdr:nvSpPr>
        <xdr:cNvPr id="2" name="Signo más 1">
          <a:extLst>
            <a:ext uri="{FF2B5EF4-FFF2-40B4-BE49-F238E27FC236}">
              <a16:creationId xmlns:a16="http://schemas.microsoft.com/office/drawing/2014/main" id="{5A56B3A6-D145-C008-91F8-0018546AA9B6}"/>
            </a:ext>
          </a:extLst>
        </xdr:cNvPr>
        <xdr:cNvSpPr/>
      </xdr:nvSpPr>
      <xdr:spPr>
        <a:xfrm>
          <a:off x="16122650" y="16214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3" name="Signo más 2">
          <a:extLst>
            <a:ext uri="{FF2B5EF4-FFF2-40B4-BE49-F238E27FC236}">
              <a16:creationId xmlns:a16="http://schemas.microsoft.com/office/drawing/2014/main" id="{555E5E62-EFE3-0061-D590-B95877CD1846}"/>
            </a:ext>
          </a:extLst>
        </xdr:cNvPr>
        <xdr:cNvSpPr/>
      </xdr:nvSpPr>
      <xdr:spPr>
        <a:xfrm>
          <a:off x="16122650" y="17484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4" name="Signo más 3">
          <a:extLst>
            <a:ext uri="{FF2B5EF4-FFF2-40B4-BE49-F238E27FC236}">
              <a16:creationId xmlns:a16="http://schemas.microsoft.com/office/drawing/2014/main" id="{6EA92B53-623B-9A3F-9F8C-968C529D5296}"/>
            </a:ext>
          </a:extLst>
        </xdr:cNvPr>
        <xdr:cNvSpPr/>
      </xdr:nvSpPr>
      <xdr:spPr>
        <a:xfrm>
          <a:off x="16138525" y="16849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5" name="Signo más 4">
          <a:extLst>
            <a:ext uri="{FF2B5EF4-FFF2-40B4-BE49-F238E27FC236}">
              <a16:creationId xmlns:a16="http://schemas.microsoft.com/office/drawing/2014/main" id="{56D7A21C-04C3-9758-1A93-CFC8749E3C2F}"/>
            </a:ext>
          </a:extLst>
        </xdr:cNvPr>
        <xdr:cNvSpPr/>
      </xdr:nvSpPr>
      <xdr:spPr>
        <a:xfrm>
          <a:off x="16122650" y="18116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24114</xdr:colOff>
      <xdr:row>123</xdr:row>
      <xdr:rowOff>6350</xdr:rowOff>
    </xdr:from>
    <xdr:to>
      <xdr:col>27</xdr:col>
      <xdr:colOff>896471</xdr:colOff>
      <xdr:row>125</xdr:row>
      <xdr:rowOff>9525</xdr:rowOff>
    </xdr:to>
    <xdr:sp macro="" textlink="">
      <xdr:nvSpPr>
        <xdr:cNvPr id="6" name="Diagrama de flujo: proceso alternativo 5">
          <a:extLst>
            <a:ext uri="{FF2B5EF4-FFF2-40B4-BE49-F238E27FC236}">
              <a16:creationId xmlns:a16="http://schemas.microsoft.com/office/drawing/2014/main" id="{154A4119-AFA3-7712-EBE6-F16AECDA183F}"/>
            </a:ext>
          </a:extLst>
        </xdr:cNvPr>
        <xdr:cNvSpPr/>
      </xdr:nvSpPr>
      <xdr:spPr>
        <a:xfrm>
          <a:off x="15810214" y="18395950"/>
          <a:ext cx="1545457" cy="3206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7" name="Es igual a 6">
          <a:extLst>
            <a:ext uri="{FF2B5EF4-FFF2-40B4-BE49-F238E27FC236}">
              <a16:creationId xmlns:a16="http://schemas.microsoft.com/office/drawing/2014/main" id="{BA890BC0-7B37-1DA1-4D95-EF44C35B659B}"/>
            </a:ext>
          </a:extLst>
        </xdr:cNvPr>
        <xdr:cNvSpPr/>
      </xdr:nvSpPr>
      <xdr:spPr>
        <a:xfrm>
          <a:off x="17583150" y="17046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106</xdr:row>
      <xdr:rowOff>47625</xdr:rowOff>
    </xdr:from>
    <xdr:to>
      <xdr:col>36</xdr:col>
      <xdr:colOff>199691</xdr:colOff>
      <xdr:row>107</xdr:row>
      <xdr:rowOff>76200</xdr:rowOff>
    </xdr:to>
    <xdr:sp macro="" textlink="">
      <xdr:nvSpPr>
        <xdr:cNvPr id="8" name="Signo más 7">
          <a:extLst>
            <a:ext uri="{FF2B5EF4-FFF2-40B4-BE49-F238E27FC236}">
              <a16:creationId xmlns:a16="http://schemas.microsoft.com/office/drawing/2014/main" id="{94C202B9-8FB5-ACCD-08C9-3A7E94E36EE4}"/>
            </a:ext>
          </a:extLst>
        </xdr:cNvPr>
        <xdr:cNvSpPr/>
      </xdr:nvSpPr>
      <xdr:spPr>
        <a:xfrm>
          <a:off x="20783550" y="15738475"/>
          <a:ext cx="752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104</xdr:row>
      <xdr:rowOff>9525</xdr:rowOff>
    </xdr:from>
    <xdr:to>
      <xdr:col>36</xdr:col>
      <xdr:colOff>793749</xdr:colOff>
      <xdr:row>106</xdr:row>
      <xdr:rowOff>22225</xdr:rowOff>
    </xdr:to>
    <xdr:sp macro="" textlink="">
      <xdr:nvSpPr>
        <xdr:cNvPr id="9" name="Diagrama de flujo: proceso alternativo 8">
          <a:extLst>
            <a:ext uri="{FF2B5EF4-FFF2-40B4-BE49-F238E27FC236}">
              <a16:creationId xmlns:a16="http://schemas.microsoft.com/office/drawing/2014/main" id="{44A1C64B-AF65-950D-861F-BAAD533F349B}"/>
            </a:ext>
          </a:extLst>
        </xdr:cNvPr>
        <xdr:cNvSpPr/>
      </xdr:nvSpPr>
      <xdr:spPr>
        <a:xfrm>
          <a:off x="20456524" y="15382875"/>
          <a:ext cx="1673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114</xdr:row>
      <xdr:rowOff>47625</xdr:rowOff>
    </xdr:from>
    <xdr:to>
      <xdr:col>36</xdr:col>
      <xdr:colOff>199691</xdr:colOff>
      <xdr:row>115</xdr:row>
      <xdr:rowOff>76200</xdr:rowOff>
    </xdr:to>
    <xdr:sp macro="" textlink="">
      <xdr:nvSpPr>
        <xdr:cNvPr id="10" name="Signo más 9">
          <a:extLst>
            <a:ext uri="{FF2B5EF4-FFF2-40B4-BE49-F238E27FC236}">
              <a16:creationId xmlns:a16="http://schemas.microsoft.com/office/drawing/2014/main" id="{1C9F9BAC-94D3-5DD9-0375-380BEAE3DAA0}"/>
            </a:ext>
          </a:extLst>
        </xdr:cNvPr>
        <xdr:cNvSpPr/>
      </xdr:nvSpPr>
      <xdr:spPr>
        <a:xfrm>
          <a:off x="20783550" y="17008475"/>
          <a:ext cx="752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112</xdr:row>
      <xdr:rowOff>9525</xdr:rowOff>
    </xdr:from>
    <xdr:to>
      <xdr:col>36</xdr:col>
      <xdr:colOff>787399</xdr:colOff>
      <xdr:row>114</xdr:row>
      <xdr:rowOff>22225</xdr:rowOff>
    </xdr:to>
    <xdr:sp macro="" textlink="">
      <xdr:nvSpPr>
        <xdr:cNvPr id="11" name="Diagrama de flujo: proceso alternativo 10">
          <a:extLst>
            <a:ext uri="{FF2B5EF4-FFF2-40B4-BE49-F238E27FC236}">
              <a16:creationId xmlns:a16="http://schemas.microsoft.com/office/drawing/2014/main" id="{8E9E5AD8-E51C-CD85-5799-FEB4CF7B656A}"/>
            </a:ext>
          </a:extLst>
        </xdr:cNvPr>
        <xdr:cNvSpPr/>
      </xdr:nvSpPr>
      <xdr:spPr>
        <a:xfrm>
          <a:off x="20456524" y="16652875"/>
          <a:ext cx="1666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352425</xdr:colOff>
      <xdr:row>110</xdr:row>
      <xdr:rowOff>47625</xdr:rowOff>
    </xdr:from>
    <xdr:to>
      <xdr:col>36</xdr:col>
      <xdr:colOff>206375</xdr:colOff>
      <xdr:row>111</xdr:row>
      <xdr:rowOff>66973</xdr:rowOff>
    </xdr:to>
    <xdr:sp macro="" textlink="">
      <xdr:nvSpPr>
        <xdr:cNvPr id="12" name="Signo más 11">
          <a:extLst>
            <a:ext uri="{FF2B5EF4-FFF2-40B4-BE49-F238E27FC236}">
              <a16:creationId xmlns:a16="http://schemas.microsoft.com/office/drawing/2014/main" id="{03FD1E09-7741-1159-8239-40ADF9A9E6F1}"/>
            </a:ext>
          </a:extLst>
        </xdr:cNvPr>
        <xdr:cNvSpPr/>
      </xdr:nvSpPr>
      <xdr:spPr>
        <a:xfrm>
          <a:off x="20799425" y="16373475"/>
          <a:ext cx="742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118</xdr:row>
      <xdr:rowOff>44450</xdr:rowOff>
    </xdr:from>
    <xdr:to>
      <xdr:col>36</xdr:col>
      <xdr:colOff>199691</xdr:colOff>
      <xdr:row>119</xdr:row>
      <xdr:rowOff>88695</xdr:rowOff>
    </xdr:to>
    <xdr:sp macro="" textlink="">
      <xdr:nvSpPr>
        <xdr:cNvPr id="13" name="Signo más 12">
          <a:extLst>
            <a:ext uri="{FF2B5EF4-FFF2-40B4-BE49-F238E27FC236}">
              <a16:creationId xmlns:a16="http://schemas.microsoft.com/office/drawing/2014/main" id="{42D12533-C7AF-DC64-01AF-8860014CF2A4}"/>
            </a:ext>
          </a:extLst>
        </xdr:cNvPr>
        <xdr:cNvSpPr/>
      </xdr:nvSpPr>
      <xdr:spPr>
        <a:xfrm>
          <a:off x="20783550" y="17640300"/>
          <a:ext cx="752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39</xdr:col>
      <xdr:colOff>228600</xdr:colOff>
      <xdr:row>114</xdr:row>
      <xdr:rowOff>85725</xdr:rowOff>
    </xdr:from>
    <xdr:to>
      <xdr:col>39</xdr:col>
      <xdr:colOff>546100</xdr:colOff>
      <xdr:row>117</xdr:row>
      <xdr:rowOff>22485</xdr:rowOff>
    </xdr:to>
    <xdr:sp macro="" textlink="">
      <xdr:nvSpPr>
        <xdr:cNvPr id="14" name="Es igual a 13">
          <a:extLst>
            <a:ext uri="{FF2B5EF4-FFF2-40B4-BE49-F238E27FC236}">
              <a16:creationId xmlns:a16="http://schemas.microsoft.com/office/drawing/2014/main" id="{E1564623-7589-2716-00A9-05BFDD7451EA}"/>
            </a:ext>
          </a:extLst>
        </xdr:cNvPr>
        <xdr:cNvSpPr/>
      </xdr:nvSpPr>
      <xdr:spPr>
        <a:xfrm>
          <a:off x="23209250" y="17046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0</xdr:colOff>
      <xdr:row>108</xdr:row>
      <xdr:rowOff>0</xdr:rowOff>
    </xdr:from>
    <xdr:to>
      <xdr:col>36</xdr:col>
      <xdr:colOff>793750</xdr:colOff>
      <xdr:row>110</xdr:row>
      <xdr:rowOff>9525</xdr:rowOff>
    </xdr:to>
    <xdr:sp macro="" textlink="">
      <xdr:nvSpPr>
        <xdr:cNvPr id="15" name="Diagrama de flujo: proceso alternativo 14">
          <a:extLst>
            <a:ext uri="{FF2B5EF4-FFF2-40B4-BE49-F238E27FC236}">
              <a16:creationId xmlns:a16="http://schemas.microsoft.com/office/drawing/2014/main" id="{7AABA4C1-F669-7E08-B3DD-929DA7E62955}"/>
            </a:ext>
          </a:extLst>
        </xdr:cNvPr>
        <xdr:cNvSpPr/>
      </xdr:nvSpPr>
      <xdr:spPr>
        <a:xfrm>
          <a:off x="20447000" y="16008350"/>
          <a:ext cx="1682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16" name="Diagrama de flujo: proceso alternativo 15">
          <a:extLst>
            <a:ext uri="{FF2B5EF4-FFF2-40B4-BE49-F238E27FC236}">
              <a16:creationId xmlns:a16="http://schemas.microsoft.com/office/drawing/2014/main" id="{16319B59-FF7E-CA15-6532-2FED3B52DC65}"/>
            </a:ext>
          </a:extLst>
        </xdr:cNvPr>
        <xdr:cNvSpPr/>
      </xdr:nvSpPr>
      <xdr:spPr>
        <a:xfrm>
          <a:off x="15792450" y="16484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9523</xdr:colOff>
      <xdr:row>119</xdr:row>
      <xdr:rowOff>9525</xdr:rowOff>
    </xdr:from>
    <xdr:to>
      <xdr:col>27</xdr:col>
      <xdr:colOff>903941</xdr:colOff>
      <xdr:row>121</xdr:row>
      <xdr:rowOff>19050</xdr:rowOff>
    </xdr:to>
    <xdr:sp macro="" textlink="">
      <xdr:nvSpPr>
        <xdr:cNvPr id="17" name="Diagrama de flujo: proceso alternativo 16">
          <a:extLst>
            <a:ext uri="{FF2B5EF4-FFF2-40B4-BE49-F238E27FC236}">
              <a16:creationId xmlns:a16="http://schemas.microsoft.com/office/drawing/2014/main" id="{F54DC9C1-84B4-ECE7-EFDF-E3F43521DEE2}"/>
            </a:ext>
          </a:extLst>
        </xdr:cNvPr>
        <xdr:cNvSpPr/>
      </xdr:nvSpPr>
      <xdr:spPr>
        <a:xfrm>
          <a:off x="15795623" y="17764125"/>
          <a:ext cx="1561168"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18" name="Signo más 17">
          <a:extLst>
            <a:ext uri="{FF2B5EF4-FFF2-40B4-BE49-F238E27FC236}">
              <a16:creationId xmlns:a16="http://schemas.microsoft.com/office/drawing/2014/main" id="{2F1CD014-0CAD-C2F7-9499-1452E9E5C1BF}"/>
            </a:ext>
          </a:extLst>
        </xdr:cNvPr>
        <xdr:cNvSpPr/>
      </xdr:nvSpPr>
      <xdr:spPr>
        <a:xfrm>
          <a:off x="16170276" y="15601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19" name="Diagrama de flujo: proceso alternativo 18">
          <a:extLst>
            <a:ext uri="{FF2B5EF4-FFF2-40B4-BE49-F238E27FC236}">
              <a16:creationId xmlns:a16="http://schemas.microsoft.com/office/drawing/2014/main" id="{B140187F-DCAE-50F7-A0BC-43EFC0ED11E5}"/>
            </a:ext>
          </a:extLst>
        </xdr:cNvPr>
        <xdr:cNvSpPr/>
      </xdr:nvSpPr>
      <xdr:spPr>
        <a:xfrm>
          <a:off x="15833724" y="15224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20" name="Signo más 19">
          <a:extLst>
            <a:ext uri="{FF2B5EF4-FFF2-40B4-BE49-F238E27FC236}">
              <a16:creationId xmlns:a16="http://schemas.microsoft.com/office/drawing/2014/main" id="{55A5AB36-0F71-A1F6-1558-C1BB4DAE96D3}"/>
            </a:ext>
          </a:extLst>
        </xdr:cNvPr>
        <xdr:cNvSpPr/>
      </xdr:nvSpPr>
      <xdr:spPr>
        <a:xfrm>
          <a:off x="16122650" y="18707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12700</xdr:colOff>
      <xdr:row>12</xdr:row>
      <xdr:rowOff>12700</xdr:rowOff>
    </xdr:from>
    <xdr:to>
      <xdr:col>33</xdr:col>
      <xdr:colOff>12700</xdr:colOff>
      <xdr:row>28</xdr:row>
      <xdr:rowOff>158750</xdr:rowOff>
    </xdr:to>
    <xdr:graphicFrame macro="">
      <xdr:nvGraphicFramePr>
        <xdr:cNvPr id="794104" name="Gráfico 1">
          <a:extLst>
            <a:ext uri="{FF2B5EF4-FFF2-40B4-BE49-F238E27FC236}">
              <a16:creationId xmlns:a16="http://schemas.microsoft.com/office/drawing/2014/main" id="{ED22D9EF-D64D-4163-58AC-DB67018BB9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6350</xdr:colOff>
      <xdr:row>56</xdr:row>
      <xdr:rowOff>19050</xdr:rowOff>
    </xdr:from>
    <xdr:to>
      <xdr:col>42</xdr:col>
      <xdr:colOff>19050</xdr:colOff>
      <xdr:row>71</xdr:row>
      <xdr:rowOff>139700</xdr:rowOff>
    </xdr:to>
    <xdr:graphicFrame macro="">
      <xdr:nvGraphicFramePr>
        <xdr:cNvPr id="794105" name="Gráfico 3">
          <a:extLst>
            <a:ext uri="{FF2B5EF4-FFF2-40B4-BE49-F238E27FC236}">
              <a16:creationId xmlns:a16="http://schemas.microsoft.com/office/drawing/2014/main" id="{ED2C5BD1-7C56-E53F-C021-AC35E270A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336550</xdr:colOff>
      <xdr:row>109</xdr:row>
      <xdr:rowOff>47625</xdr:rowOff>
    </xdr:from>
    <xdr:to>
      <xdr:col>27</xdr:col>
      <xdr:colOff>199691</xdr:colOff>
      <xdr:row>110</xdr:row>
      <xdr:rowOff>76200</xdr:rowOff>
    </xdr:to>
    <xdr:sp macro="" textlink="">
      <xdr:nvSpPr>
        <xdr:cNvPr id="23" name="Signo más 22">
          <a:extLst>
            <a:ext uri="{FF2B5EF4-FFF2-40B4-BE49-F238E27FC236}">
              <a16:creationId xmlns:a16="http://schemas.microsoft.com/office/drawing/2014/main" id="{AEAFE09C-0939-4475-F7DF-DC4535D7BC1F}"/>
            </a:ext>
          </a:extLst>
        </xdr:cNvPr>
        <xdr:cNvSpPr/>
      </xdr:nvSpPr>
      <xdr:spPr>
        <a:xfrm>
          <a:off x="16122650" y="16214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28573</xdr:colOff>
      <xdr:row>106</xdr:row>
      <xdr:rowOff>155574</xdr:rowOff>
    </xdr:from>
    <xdr:to>
      <xdr:col>27</xdr:col>
      <xdr:colOff>903941</xdr:colOff>
      <xdr:row>109</xdr:row>
      <xdr:rowOff>12699</xdr:rowOff>
    </xdr:to>
    <xdr:sp macro="" textlink="">
      <xdr:nvSpPr>
        <xdr:cNvPr id="24" name="Diagrama de flujo: proceso alternativo 23">
          <a:extLst>
            <a:ext uri="{FF2B5EF4-FFF2-40B4-BE49-F238E27FC236}">
              <a16:creationId xmlns:a16="http://schemas.microsoft.com/office/drawing/2014/main" id="{E901C647-E7C6-C63D-307D-7B36E409C3A5}"/>
            </a:ext>
          </a:extLst>
        </xdr:cNvPr>
        <xdr:cNvSpPr/>
      </xdr:nvSpPr>
      <xdr:spPr>
        <a:xfrm>
          <a:off x="15814673" y="15846424"/>
          <a:ext cx="1542118"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25" name="Signo más 24">
          <a:extLst>
            <a:ext uri="{FF2B5EF4-FFF2-40B4-BE49-F238E27FC236}">
              <a16:creationId xmlns:a16="http://schemas.microsoft.com/office/drawing/2014/main" id="{23A859D9-87FE-675A-B249-9E5672B6F0C7}"/>
            </a:ext>
          </a:extLst>
        </xdr:cNvPr>
        <xdr:cNvSpPr/>
      </xdr:nvSpPr>
      <xdr:spPr>
        <a:xfrm>
          <a:off x="16122650" y="17484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9523</xdr:colOff>
      <xdr:row>115</xdr:row>
      <xdr:rowOff>9525</xdr:rowOff>
    </xdr:from>
    <xdr:to>
      <xdr:col>27</xdr:col>
      <xdr:colOff>888999</xdr:colOff>
      <xdr:row>117</xdr:row>
      <xdr:rowOff>19050</xdr:rowOff>
    </xdr:to>
    <xdr:sp macro="" textlink="">
      <xdr:nvSpPr>
        <xdr:cNvPr id="26" name="Diagrama de flujo: proceso alternativo 25">
          <a:extLst>
            <a:ext uri="{FF2B5EF4-FFF2-40B4-BE49-F238E27FC236}">
              <a16:creationId xmlns:a16="http://schemas.microsoft.com/office/drawing/2014/main" id="{996B1720-ACFC-002E-4FF6-0EF97F3EFA02}"/>
            </a:ext>
          </a:extLst>
        </xdr:cNvPr>
        <xdr:cNvSpPr/>
      </xdr:nvSpPr>
      <xdr:spPr>
        <a:xfrm>
          <a:off x="15795623" y="17129125"/>
          <a:ext cx="1558926"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27" name="Signo más 26">
          <a:extLst>
            <a:ext uri="{FF2B5EF4-FFF2-40B4-BE49-F238E27FC236}">
              <a16:creationId xmlns:a16="http://schemas.microsoft.com/office/drawing/2014/main" id="{4133B101-0862-FB4A-5E76-360BFB6302C6}"/>
            </a:ext>
          </a:extLst>
        </xdr:cNvPr>
        <xdr:cNvSpPr/>
      </xdr:nvSpPr>
      <xdr:spPr>
        <a:xfrm>
          <a:off x="16138525" y="16849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28" name="Signo más 27">
          <a:extLst>
            <a:ext uri="{FF2B5EF4-FFF2-40B4-BE49-F238E27FC236}">
              <a16:creationId xmlns:a16="http://schemas.microsoft.com/office/drawing/2014/main" id="{DFD1C1BE-1E98-B9A3-15D5-7761C6CF7F0D}"/>
            </a:ext>
          </a:extLst>
        </xdr:cNvPr>
        <xdr:cNvSpPr/>
      </xdr:nvSpPr>
      <xdr:spPr>
        <a:xfrm>
          <a:off x="16122650" y="18116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29" name="Es igual a 28">
          <a:extLst>
            <a:ext uri="{FF2B5EF4-FFF2-40B4-BE49-F238E27FC236}">
              <a16:creationId xmlns:a16="http://schemas.microsoft.com/office/drawing/2014/main" id="{5D37EBC5-54F3-E4E0-4289-E28769446BBA}"/>
            </a:ext>
          </a:extLst>
        </xdr:cNvPr>
        <xdr:cNvSpPr/>
      </xdr:nvSpPr>
      <xdr:spPr>
        <a:xfrm>
          <a:off x="17583150" y="17046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31</xdr:col>
      <xdr:colOff>28574</xdr:colOff>
      <xdr:row>103</xdr:row>
      <xdr:rowOff>31749</xdr:rowOff>
    </xdr:from>
    <xdr:to>
      <xdr:col>33</xdr:col>
      <xdr:colOff>32152</xdr:colOff>
      <xdr:row>145</xdr:row>
      <xdr:rowOff>7469</xdr:rowOff>
    </xdr:to>
    <xdr:sp macro="" textlink="">
      <xdr:nvSpPr>
        <xdr:cNvPr id="30" name="Diagrama de flujo: proceso alternativo 29">
          <a:extLst>
            <a:ext uri="{FF2B5EF4-FFF2-40B4-BE49-F238E27FC236}">
              <a16:creationId xmlns:a16="http://schemas.microsoft.com/office/drawing/2014/main" id="{065275E1-82D0-3D75-A55C-84D5C3B4C699}"/>
            </a:ext>
          </a:extLst>
        </xdr:cNvPr>
        <xdr:cNvSpPr/>
      </xdr:nvSpPr>
      <xdr:spPr>
        <a:xfrm>
          <a:off x="18189574" y="15246349"/>
          <a:ext cx="1527578" cy="664322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106</xdr:row>
      <xdr:rowOff>47625</xdr:rowOff>
    </xdr:from>
    <xdr:to>
      <xdr:col>36</xdr:col>
      <xdr:colOff>199691</xdr:colOff>
      <xdr:row>107</xdr:row>
      <xdr:rowOff>76200</xdr:rowOff>
    </xdr:to>
    <xdr:sp macro="" textlink="">
      <xdr:nvSpPr>
        <xdr:cNvPr id="31" name="Signo más 30">
          <a:extLst>
            <a:ext uri="{FF2B5EF4-FFF2-40B4-BE49-F238E27FC236}">
              <a16:creationId xmlns:a16="http://schemas.microsoft.com/office/drawing/2014/main" id="{9FAD2C02-669D-F247-2D1F-009842198006}"/>
            </a:ext>
          </a:extLst>
        </xdr:cNvPr>
        <xdr:cNvSpPr/>
      </xdr:nvSpPr>
      <xdr:spPr>
        <a:xfrm>
          <a:off x="20783550" y="15738475"/>
          <a:ext cx="752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104</xdr:row>
      <xdr:rowOff>9525</xdr:rowOff>
    </xdr:from>
    <xdr:to>
      <xdr:col>36</xdr:col>
      <xdr:colOff>793749</xdr:colOff>
      <xdr:row>106</xdr:row>
      <xdr:rowOff>22225</xdr:rowOff>
    </xdr:to>
    <xdr:sp macro="" textlink="">
      <xdr:nvSpPr>
        <xdr:cNvPr id="32" name="Diagrama de flujo: proceso alternativo 31">
          <a:extLst>
            <a:ext uri="{FF2B5EF4-FFF2-40B4-BE49-F238E27FC236}">
              <a16:creationId xmlns:a16="http://schemas.microsoft.com/office/drawing/2014/main" id="{42FE2408-ED33-1E5C-5EA2-337C0BA3BA74}"/>
            </a:ext>
          </a:extLst>
        </xdr:cNvPr>
        <xdr:cNvSpPr/>
      </xdr:nvSpPr>
      <xdr:spPr>
        <a:xfrm>
          <a:off x="20456524" y="15382875"/>
          <a:ext cx="1673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114</xdr:row>
      <xdr:rowOff>47625</xdr:rowOff>
    </xdr:from>
    <xdr:to>
      <xdr:col>36</xdr:col>
      <xdr:colOff>199691</xdr:colOff>
      <xdr:row>115</xdr:row>
      <xdr:rowOff>76200</xdr:rowOff>
    </xdr:to>
    <xdr:sp macro="" textlink="">
      <xdr:nvSpPr>
        <xdr:cNvPr id="33" name="Signo más 32">
          <a:extLst>
            <a:ext uri="{FF2B5EF4-FFF2-40B4-BE49-F238E27FC236}">
              <a16:creationId xmlns:a16="http://schemas.microsoft.com/office/drawing/2014/main" id="{D7906F87-994A-056B-BB51-C55434532892}"/>
            </a:ext>
          </a:extLst>
        </xdr:cNvPr>
        <xdr:cNvSpPr/>
      </xdr:nvSpPr>
      <xdr:spPr>
        <a:xfrm>
          <a:off x="20783550" y="17008475"/>
          <a:ext cx="752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112</xdr:row>
      <xdr:rowOff>9525</xdr:rowOff>
    </xdr:from>
    <xdr:to>
      <xdr:col>36</xdr:col>
      <xdr:colOff>787399</xdr:colOff>
      <xdr:row>114</xdr:row>
      <xdr:rowOff>22225</xdr:rowOff>
    </xdr:to>
    <xdr:sp macro="" textlink="">
      <xdr:nvSpPr>
        <xdr:cNvPr id="34" name="Diagrama de flujo: proceso alternativo 33">
          <a:extLst>
            <a:ext uri="{FF2B5EF4-FFF2-40B4-BE49-F238E27FC236}">
              <a16:creationId xmlns:a16="http://schemas.microsoft.com/office/drawing/2014/main" id="{F075B983-7D94-B473-4E66-1836E08C26FF}"/>
            </a:ext>
          </a:extLst>
        </xdr:cNvPr>
        <xdr:cNvSpPr/>
      </xdr:nvSpPr>
      <xdr:spPr>
        <a:xfrm>
          <a:off x="20456524" y="16652875"/>
          <a:ext cx="1666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352425</xdr:colOff>
      <xdr:row>110</xdr:row>
      <xdr:rowOff>47625</xdr:rowOff>
    </xdr:from>
    <xdr:to>
      <xdr:col>36</xdr:col>
      <xdr:colOff>206375</xdr:colOff>
      <xdr:row>111</xdr:row>
      <xdr:rowOff>66973</xdr:rowOff>
    </xdr:to>
    <xdr:sp macro="" textlink="">
      <xdr:nvSpPr>
        <xdr:cNvPr id="35" name="Signo más 34">
          <a:extLst>
            <a:ext uri="{FF2B5EF4-FFF2-40B4-BE49-F238E27FC236}">
              <a16:creationId xmlns:a16="http://schemas.microsoft.com/office/drawing/2014/main" id="{E1CBAFDB-672F-26A3-A12E-3377711B8244}"/>
            </a:ext>
          </a:extLst>
        </xdr:cNvPr>
        <xdr:cNvSpPr/>
      </xdr:nvSpPr>
      <xdr:spPr>
        <a:xfrm>
          <a:off x="20799425" y="16373475"/>
          <a:ext cx="742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118</xdr:row>
      <xdr:rowOff>44450</xdr:rowOff>
    </xdr:from>
    <xdr:to>
      <xdr:col>36</xdr:col>
      <xdr:colOff>199691</xdr:colOff>
      <xdr:row>119</xdr:row>
      <xdr:rowOff>88695</xdr:rowOff>
    </xdr:to>
    <xdr:sp macro="" textlink="">
      <xdr:nvSpPr>
        <xdr:cNvPr id="36" name="Signo más 35">
          <a:extLst>
            <a:ext uri="{FF2B5EF4-FFF2-40B4-BE49-F238E27FC236}">
              <a16:creationId xmlns:a16="http://schemas.microsoft.com/office/drawing/2014/main" id="{88B9EC0F-8309-CFD9-B688-B2F5141A3CAC}"/>
            </a:ext>
          </a:extLst>
        </xdr:cNvPr>
        <xdr:cNvSpPr/>
      </xdr:nvSpPr>
      <xdr:spPr>
        <a:xfrm>
          <a:off x="20783550" y="17640300"/>
          <a:ext cx="752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15875</xdr:colOff>
      <xdr:row>120</xdr:row>
      <xdr:rowOff>9525</xdr:rowOff>
    </xdr:from>
    <xdr:to>
      <xdr:col>37</xdr:col>
      <xdr:colOff>12700</xdr:colOff>
      <xdr:row>122</xdr:row>
      <xdr:rowOff>22225</xdr:rowOff>
    </xdr:to>
    <xdr:sp macro="" textlink="">
      <xdr:nvSpPr>
        <xdr:cNvPr id="37" name="Diagrama de flujo: proceso alternativo 36">
          <a:extLst>
            <a:ext uri="{FF2B5EF4-FFF2-40B4-BE49-F238E27FC236}">
              <a16:creationId xmlns:a16="http://schemas.microsoft.com/office/drawing/2014/main" id="{0B574AD7-7A46-C3B9-B7AE-32F5787EB4E4}"/>
            </a:ext>
          </a:extLst>
        </xdr:cNvPr>
        <xdr:cNvSpPr/>
      </xdr:nvSpPr>
      <xdr:spPr>
        <a:xfrm>
          <a:off x="20462875" y="17922875"/>
          <a:ext cx="1768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39</xdr:col>
      <xdr:colOff>228600</xdr:colOff>
      <xdr:row>114</xdr:row>
      <xdr:rowOff>85725</xdr:rowOff>
    </xdr:from>
    <xdr:to>
      <xdr:col>39</xdr:col>
      <xdr:colOff>546100</xdr:colOff>
      <xdr:row>117</xdr:row>
      <xdr:rowOff>22485</xdr:rowOff>
    </xdr:to>
    <xdr:sp macro="" textlink="">
      <xdr:nvSpPr>
        <xdr:cNvPr id="38" name="Es igual a 37">
          <a:extLst>
            <a:ext uri="{FF2B5EF4-FFF2-40B4-BE49-F238E27FC236}">
              <a16:creationId xmlns:a16="http://schemas.microsoft.com/office/drawing/2014/main" id="{5B76CD49-BCBC-BBFC-7626-26C6586FFE2E}"/>
            </a:ext>
          </a:extLst>
        </xdr:cNvPr>
        <xdr:cNvSpPr/>
      </xdr:nvSpPr>
      <xdr:spPr>
        <a:xfrm>
          <a:off x="23209250" y="17046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41</xdr:col>
      <xdr:colOff>15874</xdr:colOff>
      <xdr:row>103</xdr:row>
      <xdr:rowOff>25400</xdr:rowOff>
    </xdr:from>
    <xdr:to>
      <xdr:col>43</xdr:col>
      <xdr:colOff>7471</xdr:colOff>
      <xdr:row>144</xdr:row>
      <xdr:rowOff>74706</xdr:rowOff>
    </xdr:to>
    <xdr:sp macro="" textlink="">
      <xdr:nvSpPr>
        <xdr:cNvPr id="39" name="Diagrama de flujo: proceso alternativo 38">
          <a:extLst>
            <a:ext uri="{FF2B5EF4-FFF2-40B4-BE49-F238E27FC236}">
              <a16:creationId xmlns:a16="http://schemas.microsoft.com/office/drawing/2014/main" id="{430559F2-D3A8-1382-BB2B-8616755AE6DB}"/>
            </a:ext>
          </a:extLst>
        </xdr:cNvPr>
        <xdr:cNvSpPr/>
      </xdr:nvSpPr>
      <xdr:spPr>
        <a:xfrm>
          <a:off x="24520524" y="15240000"/>
          <a:ext cx="1515597" cy="655805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0</xdr:colOff>
      <xdr:row>108</xdr:row>
      <xdr:rowOff>0</xdr:rowOff>
    </xdr:from>
    <xdr:to>
      <xdr:col>36</xdr:col>
      <xdr:colOff>793750</xdr:colOff>
      <xdr:row>110</xdr:row>
      <xdr:rowOff>9525</xdr:rowOff>
    </xdr:to>
    <xdr:sp macro="" textlink="">
      <xdr:nvSpPr>
        <xdr:cNvPr id="40" name="Diagrama de flujo: proceso alternativo 39">
          <a:extLst>
            <a:ext uri="{FF2B5EF4-FFF2-40B4-BE49-F238E27FC236}">
              <a16:creationId xmlns:a16="http://schemas.microsoft.com/office/drawing/2014/main" id="{9B8CDC2F-4545-41D6-E148-EF7FCF4E986D}"/>
            </a:ext>
          </a:extLst>
        </xdr:cNvPr>
        <xdr:cNvSpPr/>
      </xdr:nvSpPr>
      <xdr:spPr>
        <a:xfrm>
          <a:off x="20447000" y="16008350"/>
          <a:ext cx="1682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0</xdr:colOff>
      <xdr:row>116</xdr:row>
      <xdr:rowOff>0</xdr:rowOff>
    </xdr:from>
    <xdr:to>
      <xdr:col>37</xdr:col>
      <xdr:colOff>6350</xdr:colOff>
      <xdr:row>118</xdr:row>
      <xdr:rowOff>9525</xdr:rowOff>
    </xdr:to>
    <xdr:sp macro="" textlink="">
      <xdr:nvSpPr>
        <xdr:cNvPr id="41" name="Diagrama de flujo: proceso alternativo 40">
          <a:extLst>
            <a:ext uri="{FF2B5EF4-FFF2-40B4-BE49-F238E27FC236}">
              <a16:creationId xmlns:a16="http://schemas.microsoft.com/office/drawing/2014/main" id="{931B06AE-EACE-761A-63B0-6BD178D8CC92}"/>
            </a:ext>
          </a:extLst>
        </xdr:cNvPr>
        <xdr:cNvSpPr/>
      </xdr:nvSpPr>
      <xdr:spPr>
        <a:xfrm>
          <a:off x="20447000" y="17278350"/>
          <a:ext cx="177800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42" name="Diagrama de flujo: proceso alternativo 41">
          <a:extLst>
            <a:ext uri="{FF2B5EF4-FFF2-40B4-BE49-F238E27FC236}">
              <a16:creationId xmlns:a16="http://schemas.microsoft.com/office/drawing/2014/main" id="{A85E78EF-4C79-70FB-5949-292471A91435}"/>
            </a:ext>
          </a:extLst>
        </xdr:cNvPr>
        <xdr:cNvSpPr/>
      </xdr:nvSpPr>
      <xdr:spPr>
        <a:xfrm>
          <a:off x="15792450" y="16484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43" name="Signo más 42">
          <a:extLst>
            <a:ext uri="{FF2B5EF4-FFF2-40B4-BE49-F238E27FC236}">
              <a16:creationId xmlns:a16="http://schemas.microsoft.com/office/drawing/2014/main" id="{70ADBA14-5808-FBA2-B356-7A4B01EF6BEA}"/>
            </a:ext>
          </a:extLst>
        </xdr:cNvPr>
        <xdr:cNvSpPr/>
      </xdr:nvSpPr>
      <xdr:spPr>
        <a:xfrm>
          <a:off x="16170276" y="15601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44" name="Diagrama de flujo: proceso alternativo 43">
          <a:extLst>
            <a:ext uri="{FF2B5EF4-FFF2-40B4-BE49-F238E27FC236}">
              <a16:creationId xmlns:a16="http://schemas.microsoft.com/office/drawing/2014/main" id="{8EF23111-4A05-B31F-2570-9A143779B150}"/>
            </a:ext>
          </a:extLst>
        </xdr:cNvPr>
        <xdr:cNvSpPr/>
      </xdr:nvSpPr>
      <xdr:spPr>
        <a:xfrm>
          <a:off x="15833724" y="15224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45" name="Signo más 44">
          <a:extLst>
            <a:ext uri="{FF2B5EF4-FFF2-40B4-BE49-F238E27FC236}">
              <a16:creationId xmlns:a16="http://schemas.microsoft.com/office/drawing/2014/main" id="{8F315ADA-D498-0E2E-AA4C-51EBA5A24941}"/>
            </a:ext>
          </a:extLst>
        </xdr:cNvPr>
        <xdr:cNvSpPr/>
      </xdr:nvSpPr>
      <xdr:spPr>
        <a:xfrm>
          <a:off x="16122650" y="18707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12701</xdr:colOff>
      <xdr:row>126</xdr:row>
      <xdr:rowOff>104775</xdr:rowOff>
    </xdr:from>
    <xdr:to>
      <xdr:col>28</xdr:col>
      <xdr:colOff>7471</xdr:colOff>
      <xdr:row>128</xdr:row>
      <xdr:rowOff>139700</xdr:rowOff>
    </xdr:to>
    <xdr:sp macro="" textlink="">
      <xdr:nvSpPr>
        <xdr:cNvPr id="46" name="Diagrama de flujo: proceso alternativo 45">
          <a:extLst>
            <a:ext uri="{FF2B5EF4-FFF2-40B4-BE49-F238E27FC236}">
              <a16:creationId xmlns:a16="http://schemas.microsoft.com/office/drawing/2014/main" id="{73B9BC28-2B39-1CFF-5A90-E4721D911BF8}"/>
            </a:ext>
          </a:extLst>
        </xdr:cNvPr>
        <xdr:cNvSpPr/>
      </xdr:nvSpPr>
      <xdr:spPr>
        <a:xfrm>
          <a:off x="15798801" y="18970625"/>
          <a:ext cx="1563220" cy="3524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12700</xdr:colOff>
      <xdr:row>12</xdr:row>
      <xdr:rowOff>12700</xdr:rowOff>
    </xdr:from>
    <xdr:to>
      <xdr:col>41</xdr:col>
      <xdr:colOff>0</xdr:colOff>
      <xdr:row>28</xdr:row>
      <xdr:rowOff>158750</xdr:rowOff>
    </xdr:to>
    <xdr:graphicFrame macro="">
      <xdr:nvGraphicFramePr>
        <xdr:cNvPr id="794130" name="Gráfico 1">
          <a:extLst>
            <a:ext uri="{FF2B5EF4-FFF2-40B4-BE49-F238E27FC236}">
              <a16:creationId xmlns:a16="http://schemas.microsoft.com/office/drawing/2014/main" id="{3E4268FD-5992-B036-4342-F01E735D2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41677</xdr:colOff>
      <xdr:row>129</xdr:row>
      <xdr:rowOff>132184</xdr:rowOff>
    </xdr:from>
    <xdr:to>
      <xdr:col>28</xdr:col>
      <xdr:colOff>17564</xdr:colOff>
      <xdr:row>132</xdr:row>
      <xdr:rowOff>22826</xdr:rowOff>
    </xdr:to>
    <xdr:sp macro="" textlink="">
      <xdr:nvSpPr>
        <xdr:cNvPr id="48" name="Diagrama de flujo: proceso alternativo 47">
          <a:extLst>
            <a:ext uri="{FF2B5EF4-FFF2-40B4-BE49-F238E27FC236}">
              <a16:creationId xmlns:a16="http://schemas.microsoft.com/office/drawing/2014/main" id="{30B9F16D-4388-508E-E989-4DF1D15586F1}"/>
            </a:ext>
          </a:extLst>
        </xdr:cNvPr>
        <xdr:cNvSpPr/>
      </xdr:nvSpPr>
      <xdr:spPr>
        <a:xfrm>
          <a:off x="15827777" y="19474284"/>
          <a:ext cx="1544337" cy="3668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321961</xdr:colOff>
      <xdr:row>128</xdr:row>
      <xdr:rowOff>114018</xdr:rowOff>
    </xdr:from>
    <xdr:to>
      <xdr:col>27</xdr:col>
      <xdr:colOff>185102</xdr:colOff>
      <xdr:row>129</xdr:row>
      <xdr:rowOff>128608</xdr:rowOff>
    </xdr:to>
    <xdr:sp macro="" textlink="">
      <xdr:nvSpPr>
        <xdr:cNvPr id="49" name="Signo más 48">
          <a:extLst>
            <a:ext uri="{FF2B5EF4-FFF2-40B4-BE49-F238E27FC236}">
              <a16:creationId xmlns:a16="http://schemas.microsoft.com/office/drawing/2014/main" id="{AF6A4FD3-9E92-C897-6087-B9DEB1712834}"/>
            </a:ext>
          </a:extLst>
        </xdr:cNvPr>
        <xdr:cNvSpPr/>
      </xdr:nvSpPr>
      <xdr:spPr>
        <a:xfrm>
          <a:off x="16108061" y="19297368"/>
          <a:ext cx="625141"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122</xdr:row>
      <xdr:rowOff>25601</xdr:rowOff>
    </xdr:from>
    <xdr:to>
      <xdr:col>36</xdr:col>
      <xdr:colOff>199691</xdr:colOff>
      <xdr:row>123</xdr:row>
      <xdr:rowOff>53770</xdr:rowOff>
    </xdr:to>
    <xdr:sp macro="" textlink="">
      <xdr:nvSpPr>
        <xdr:cNvPr id="50" name="Signo más 49">
          <a:extLst>
            <a:ext uri="{FF2B5EF4-FFF2-40B4-BE49-F238E27FC236}">
              <a16:creationId xmlns:a16="http://schemas.microsoft.com/office/drawing/2014/main" id="{C837C7B8-A03F-F8AC-E69C-28130D79F960}"/>
            </a:ext>
          </a:extLst>
        </xdr:cNvPr>
        <xdr:cNvSpPr/>
      </xdr:nvSpPr>
      <xdr:spPr>
        <a:xfrm>
          <a:off x="20783550" y="18256451"/>
          <a:ext cx="752141" cy="1869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416929</xdr:colOff>
      <xdr:row>125</xdr:row>
      <xdr:rowOff>135359</xdr:rowOff>
    </xdr:from>
    <xdr:to>
      <xdr:col>36</xdr:col>
      <xdr:colOff>280070</xdr:colOff>
      <xdr:row>127</xdr:row>
      <xdr:rowOff>18845</xdr:rowOff>
    </xdr:to>
    <xdr:sp macro="" textlink="">
      <xdr:nvSpPr>
        <xdr:cNvPr id="51" name="Signo más 50">
          <a:extLst>
            <a:ext uri="{FF2B5EF4-FFF2-40B4-BE49-F238E27FC236}">
              <a16:creationId xmlns:a16="http://schemas.microsoft.com/office/drawing/2014/main" id="{FF73870F-0162-443D-BFAE-94C749A203B1}"/>
            </a:ext>
          </a:extLst>
        </xdr:cNvPr>
        <xdr:cNvSpPr/>
      </xdr:nvSpPr>
      <xdr:spPr>
        <a:xfrm>
          <a:off x="20863929" y="18842459"/>
          <a:ext cx="752141" cy="2009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23913</xdr:colOff>
      <xdr:row>127</xdr:row>
      <xdr:rowOff>132585</xdr:rowOff>
    </xdr:from>
    <xdr:to>
      <xdr:col>36</xdr:col>
      <xdr:colOff>749301</xdr:colOff>
      <xdr:row>130</xdr:row>
      <xdr:rowOff>16677</xdr:rowOff>
    </xdr:to>
    <xdr:sp macro="" textlink="">
      <xdr:nvSpPr>
        <xdr:cNvPr id="52" name="Diagrama de flujo: proceso alternativo 51">
          <a:extLst>
            <a:ext uri="{FF2B5EF4-FFF2-40B4-BE49-F238E27FC236}">
              <a16:creationId xmlns:a16="http://schemas.microsoft.com/office/drawing/2014/main" id="{20861037-CBFE-0B40-0374-5F4BE9F2BBAF}"/>
            </a:ext>
          </a:extLst>
        </xdr:cNvPr>
        <xdr:cNvSpPr/>
      </xdr:nvSpPr>
      <xdr:spPr>
        <a:xfrm>
          <a:off x="20470913" y="19157185"/>
          <a:ext cx="1614388" cy="3603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-1</xdr:colOff>
      <xdr:row>134</xdr:row>
      <xdr:rowOff>118782</xdr:rowOff>
    </xdr:from>
    <xdr:to>
      <xdr:col>27</xdr:col>
      <xdr:colOff>911411</xdr:colOff>
      <xdr:row>137</xdr:row>
      <xdr:rowOff>29881</xdr:rowOff>
    </xdr:to>
    <xdr:sp macro="" textlink="">
      <xdr:nvSpPr>
        <xdr:cNvPr id="53" name="Diagrama de flujo: proceso alternativo 52">
          <a:extLst>
            <a:ext uri="{FF2B5EF4-FFF2-40B4-BE49-F238E27FC236}">
              <a16:creationId xmlns:a16="http://schemas.microsoft.com/office/drawing/2014/main" id="{BA77981C-875A-C978-E3F9-598FE83833FB}"/>
            </a:ext>
          </a:extLst>
        </xdr:cNvPr>
        <xdr:cNvSpPr/>
      </xdr:nvSpPr>
      <xdr:spPr>
        <a:xfrm>
          <a:off x="15786099" y="20254632"/>
          <a:ext cx="1565462" cy="3873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312436</xdr:colOff>
      <xdr:row>133</xdr:row>
      <xdr:rowOff>0</xdr:rowOff>
    </xdr:from>
    <xdr:to>
      <xdr:col>27</xdr:col>
      <xdr:colOff>175577</xdr:colOff>
      <xdr:row>134</xdr:row>
      <xdr:rowOff>44246</xdr:rowOff>
    </xdr:to>
    <xdr:sp macro="" textlink="">
      <xdr:nvSpPr>
        <xdr:cNvPr id="54" name="Signo más 53">
          <a:extLst>
            <a:ext uri="{FF2B5EF4-FFF2-40B4-BE49-F238E27FC236}">
              <a16:creationId xmlns:a16="http://schemas.microsoft.com/office/drawing/2014/main" id="{0492C145-6A00-6BE7-BBED-C2C7B46AD91B}"/>
            </a:ext>
          </a:extLst>
        </xdr:cNvPr>
        <xdr:cNvSpPr/>
      </xdr:nvSpPr>
      <xdr:spPr>
        <a:xfrm>
          <a:off x="16098536" y="19977100"/>
          <a:ext cx="625141" cy="2029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0</xdr:colOff>
      <xdr:row>139</xdr:row>
      <xdr:rowOff>118781</xdr:rowOff>
    </xdr:from>
    <xdr:to>
      <xdr:col>27</xdr:col>
      <xdr:colOff>911412</xdr:colOff>
      <xdr:row>144</xdr:row>
      <xdr:rowOff>127000</xdr:rowOff>
    </xdr:to>
    <xdr:sp macro="" textlink="">
      <xdr:nvSpPr>
        <xdr:cNvPr id="55" name="Diagrama de flujo: proceso alternativo 54">
          <a:extLst>
            <a:ext uri="{FF2B5EF4-FFF2-40B4-BE49-F238E27FC236}">
              <a16:creationId xmlns:a16="http://schemas.microsoft.com/office/drawing/2014/main" id="{EFD4F6DA-A710-8687-C7CF-AA1019E33397}"/>
            </a:ext>
          </a:extLst>
        </xdr:cNvPr>
        <xdr:cNvSpPr/>
      </xdr:nvSpPr>
      <xdr:spPr>
        <a:xfrm>
          <a:off x="15786100" y="21048381"/>
          <a:ext cx="1565462" cy="8019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312437</xdr:colOff>
      <xdr:row>138</xdr:row>
      <xdr:rowOff>0</xdr:rowOff>
    </xdr:from>
    <xdr:to>
      <xdr:col>27</xdr:col>
      <xdr:colOff>175578</xdr:colOff>
      <xdr:row>139</xdr:row>
      <xdr:rowOff>44245</xdr:rowOff>
    </xdr:to>
    <xdr:sp macro="" textlink="">
      <xdr:nvSpPr>
        <xdr:cNvPr id="56" name="Signo más 55">
          <a:extLst>
            <a:ext uri="{FF2B5EF4-FFF2-40B4-BE49-F238E27FC236}">
              <a16:creationId xmlns:a16="http://schemas.microsoft.com/office/drawing/2014/main" id="{0ED49C35-2EEE-EEA2-3213-1B68EA90C9C0}"/>
            </a:ext>
          </a:extLst>
        </xdr:cNvPr>
        <xdr:cNvSpPr/>
      </xdr:nvSpPr>
      <xdr:spPr>
        <a:xfrm>
          <a:off x="16098537" y="207708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403108</xdr:colOff>
      <xdr:row>130</xdr:row>
      <xdr:rowOff>3130</xdr:rowOff>
    </xdr:from>
    <xdr:to>
      <xdr:col>36</xdr:col>
      <xdr:colOff>266249</xdr:colOff>
      <xdr:row>131</xdr:row>
      <xdr:rowOff>43499</xdr:rowOff>
    </xdr:to>
    <xdr:sp macro="" textlink="">
      <xdr:nvSpPr>
        <xdr:cNvPr id="57" name="Signo más 56">
          <a:extLst>
            <a:ext uri="{FF2B5EF4-FFF2-40B4-BE49-F238E27FC236}">
              <a16:creationId xmlns:a16="http://schemas.microsoft.com/office/drawing/2014/main" id="{4E4329CB-369E-4F5A-E5A2-F6ADA718EDBD}"/>
            </a:ext>
          </a:extLst>
        </xdr:cNvPr>
        <xdr:cNvSpPr/>
      </xdr:nvSpPr>
      <xdr:spPr>
        <a:xfrm>
          <a:off x="20850108" y="19503980"/>
          <a:ext cx="752141" cy="1991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10092</xdr:colOff>
      <xdr:row>132</xdr:row>
      <xdr:rowOff>7827</xdr:rowOff>
    </xdr:from>
    <xdr:to>
      <xdr:col>36</xdr:col>
      <xdr:colOff>735480</xdr:colOff>
      <xdr:row>135</xdr:row>
      <xdr:rowOff>74706</xdr:rowOff>
    </xdr:to>
    <xdr:sp macro="" textlink="">
      <xdr:nvSpPr>
        <xdr:cNvPr id="58" name="Diagrama de flujo: proceso alternativo 57">
          <a:extLst>
            <a:ext uri="{FF2B5EF4-FFF2-40B4-BE49-F238E27FC236}">
              <a16:creationId xmlns:a16="http://schemas.microsoft.com/office/drawing/2014/main" id="{37FA61F8-7B77-3FD5-8A70-F852C8928426}"/>
            </a:ext>
          </a:extLst>
        </xdr:cNvPr>
        <xdr:cNvSpPr/>
      </xdr:nvSpPr>
      <xdr:spPr>
        <a:xfrm>
          <a:off x="20457092" y="19826177"/>
          <a:ext cx="1614388" cy="5431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400487</xdr:colOff>
      <xdr:row>135</xdr:row>
      <xdr:rowOff>82177</xdr:rowOff>
    </xdr:from>
    <xdr:to>
      <xdr:col>36</xdr:col>
      <xdr:colOff>263628</xdr:colOff>
      <xdr:row>136</xdr:row>
      <xdr:rowOff>122545</xdr:rowOff>
    </xdr:to>
    <xdr:sp macro="" textlink="">
      <xdr:nvSpPr>
        <xdr:cNvPr id="59" name="Signo más 58">
          <a:extLst>
            <a:ext uri="{FF2B5EF4-FFF2-40B4-BE49-F238E27FC236}">
              <a16:creationId xmlns:a16="http://schemas.microsoft.com/office/drawing/2014/main" id="{2516143D-A445-547E-2D3E-B5B3A54066D3}"/>
            </a:ext>
          </a:extLst>
        </xdr:cNvPr>
        <xdr:cNvSpPr/>
      </xdr:nvSpPr>
      <xdr:spPr>
        <a:xfrm>
          <a:off x="20847487" y="20376777"/>
          <a:ext cx="752141" cy="1991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0</xdr:colOff>
      <xdr:row>137</xdr:row>
      <xdr:rowOff>4696</xdr:rowOff>
    </xdr:from>
    <xdr:to>
      <xdr:col>36</xdr:col>
      <xdr:colOff>725388</xdr:colOff>
      <xdr:row>141</xdr:row>
      <xdr:rowOff>29882</xdr:rowOff>
    </xdr:to>
    <xdr:sp macro="" textlink="">
      <xdr:nvSpPr>
        <xdr:cNvPr id="60" name="Diagrama de flujo: proceso alternativo 59">
          <a:extLst>
            <a:ext uri="{FF2B5EF4-FFF2-40B4-BE49-F238E27FC236}">
              <a16:creationId xmlns:a16="http://schemas.microsoft.com/office/drawing/2014/main" id="{ADB318E5-B677-6BAB-94BE-E701DF720438}"/>
            </a:ext>
          </a:extLst>
        </xdr:cNvPr>
        <xdr:cNvSpPr/>
      </xdr:nvSpPr>
      <xdr:spPr>
        <a:xfrm>
          <a:off x="20447000" y="20616796"/>
          <a:ext cx="1614388" cy="6601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15875</xdr:colOff>
      <xdr:row>124</xdr:row>
      <xdr:rowOff>9525</xdr:rowOff>
    </xdr:from>
    <xdr:to>
      <xdr:col>37</xdr:col>
      <xdr:colOff>12700</xdr:colOff>
      <xdr:row>126</xdr:row>
      <xdr:rowOff>22225</xdr:rowOff>
    </xdr:to>
    <xdr:sp macro="" textlink="">
      <xdr:nvSpPr>
        <xdr:cNvPr id="61" name="Diagrama de flujo: proceso alternativo 60">
          <a:extLst>
            <a:ext uri="{FF2B5EF4-FFF2-40B4-BE49-F238E27FC236}">
              <a16:creationId xmlns:a16="http://schemas.microsoft.com/office/drawing/2014/main" id="{A9D6E4E7-C089-E96F-849A-F5D937B3135F}"/>
            </a:ext>
          </a:extLst>
        </xdr:cNvPr>
        <xdr:cNvSpPr/>
      </xdr:nvSpPr>
      <xdr:spPr>
        <a:xfrm>
          <a:off x="20462875" y="18557875"/>
          <a:ext cx="1768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28</xdr:col>
      <xdr:colOff>0</xdr:colOff>
      <xdr:row>30</xdr:row>
      <xdr:rowOff>146050</xdr:rowOff>
    </xdr:from>
    <xdr:to>
      <xdr:col>41</xdr:col>
      <xdr:colOff>742950</xdr:colOff>
      <xdr:row>54</xdr:row>
      <xdr:rowOff>101600</xdr:rowOff>
    </xdr:to>
    <xdr:graphicFrame macro="">
      <xdr:nvGraphicFramePr>
        <xdr:cNvPr id="794145" name="Gráfico 72">
          <a:extLst>
            <a:ext uri="{FF2B5EF4-FFF2-40B4-BE49-F238E27FC236}">
              <a16:creationId xmlns:a16="http://schemas.microsoft.com/office/drawing/2014/main" id="{7B667B4F-06EF-4544-0968-3DB549357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6.xml><?xml version="1.0" encoding="utf-8"?>
<c:userShapes xmlns:c="http://schemas.openxmlformats.org/drawingml/2006/chart">
  <cdr:relSizeAnchor xmlns:cdr="http://schemas.openxmlformats.org/drawingml/2006/chartDrawing">
    <cdr:from>
      <cdr:x>0.67251</cdr:x>
      <cdr:y>0.14461</cdr:y>
    </cdr:from>
    <cdr:to>
      <cdr:x>1</cdr:x>
      <cdr:y>0.39611</cdr:y>
    </cdr:to>
    <cdr:sp macro="" textlink="">
      <cdr:nvSpPr>
        <cdr:cNvPr id="2" name="CuadroTexto 1"/>
        <cdr:cNvSpPr txBox="1"/>
      </cdr:nvSpPr>
      <cdr:spPr>
        <a:xfrm xmlns:a="http://schemas.openxmlformats.org/drawingml/2006/main">
          <a:off x="3168650" y="374650"/>
          <a:ext cx="1543050" cy="6515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75000"/>
                </a:schemeClr>
              </a:solidFill>
              <a:effectLst/>
              <a:latin typeface="+mn-lt"/>
              <a:ea typeface="+mn-ea"/>
              <a:cs typeface="+mn-cs"/>
            </a:rPr>
            <a:t>Ingresos presupuestados </a:t>
          </a:r>
          <a:r>
            <a:rPr lang="es-419" sz="900" baseline="0">
              <a:solidFill>
                <a:schemeClr val="tx2">
                  <a:lumMod val="75000"/>
                </a:schemeClr>
              </a:solidFill>
              <a:effectLst/>
              <a:latin typeface="+mn-lt"/>
              <a:ea typeface="+mn-ea"/>
              <a:cs typeface="+mn-cs"/>
            </a:rPr>
            <a:t>vs Ingresos ejecutados</a:t>
          </a:r>
        </a:p>
        <a:p xmlns:a="http://schemas.openxmlformats.org/drawingml/2006/main">
          <a:pPr algn="ctr"/>
          <a:r>
            <a:rPr lang="es-419" sz="900" baseline="0">
              <a:solidFill>
                <a:schemeClr val="tx2">
                  <a:lumMod val="75000"/>
                </a:schemeClr>
              </a:solidFill>
              <a:effectLst/>
              <a:latin typeface="+mn-lt"/>
              <a:ea typeface="+mn-ea"/>
              <a:cs typeface="+mn-cs"/>
            </a:rPr>
            <a:t>Enero - mayo 2025</a:t>
          </a:r>
          <a:endParaRPr lang="es-419" sz="900">
            <a:solidFill>
              <a:schemeClr val="tx2">
                <a:lumMod val="75000"/>
              </a:schemeClr>
            </a:solidFill>
            <a:effectLst/>
          </a:endParaRPr>
        </a:p>
      </cdr:txBody>
    </cdr:sp>
  </cdr:relSizeAnchor>
</c:userShapes>
</file>

<file path=xl/drawings/drawing27.xml><?xml version="1.0" encoding="utf-8"?>
<c:userShapes xmlns:c="http://schemas.openxmlformats.org/drawingml/2006/chart">
  <cdr:relSizeAnchor xmlns:cdr="http://schemas.openxmlformats.org/drawingml/2006/chartDrawing">
    <cdr:from>
      <cdr:x>0.62916</cdr:x>
      <cdr:y>0.23064</cdr:y>
    </cdr:from>
    <cdr:to>
      <cdr:x>0.92969</cdr:x>
      <cdr:y>0.50132</cdr:y>
    </cdr:to>
    <cdr:sp macro="" textlink="">
      <cdr:nvSpPr>
        <cdr:cNvPr id="2" name="CuadroTexto 1"/>
        <cdr:cNvSpPr txBox="1"/>
      </cdr:nvSpPr>
      <cdr:spPr>
        <a:xfrm xmlns:a="http://schemas.openxmlformats.org/drawingml/2006/main">
          <a:off x="3577794" y="602460"/>
          <a:ext cx="1709012" cy="707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Enero-mayo</a:t>
          </a:r>
          <a:r>
            <a:rPr lang="es-419" sz="900" b="1" baseline="0">
              <a:solidFill>
                <a:schemeClr val="tx2">
                  <a:lumMod val="50000"/>
                </a:schemeClr>
              </a:solidFill>
            </a:rPr>
            <a:t> 2025</a:t>
          </a:r>
          <a:endParaRPr lang="es-419" sz="900" b="1">
            <a:solidFill>
              <a:schemeClr val="tx2">
                <a:lumMod val="50000"/>
              </a:schemeClr>
            </a:solidFill>
          </a:endParaRPr>
        </a:p>
      </cdr:txBody>
    </cdr:sp>
  </cdr:relSizeAnchor>
</c:userShapes>
</file>

<file path=xl/drawings/drawing28.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29.xml><?xml version="1.0" encoding="utf-8"?>
<xdr:wsDr xmlns:xdr="http://schemas.openxmlformats.org/drawingml/2006/spreadsheetDrawing" xmlns:a="http://schemas.openxmlformats.org/drawingml/2006/main">
  <xdr:twoCellAnchor>
    <xdr:from>
      <xdr:col>26</xdr:col>
      <xdr:colOff>336550</xdr:colOff>
      <xdr:row>109</xdr:row>
      <xdr:rowOff>47625</xdr:rowOff>
    </xdr:from>
    <xdr:to>
      <xdr:col>27</xdr:col>
      <xdr:colOff>199691</xdr:colOff>
      <xdr:row>110</xdr:row>
      <xdr:rowOff>76200</xdr:rowOff>
    </xdr:to>
    <xdr:sp macro="" textlink="">
      <xdr:nvSpPr>
        <xdr:cNvPr id="4" name="Signo más 3">
          <a:extLst>
            <a:ext uri="{FF2B5EF4-FFF2-40B4-BE49-F238E27FC236}">
              <a16:creationId xmlns:a16="http://schemas.microsoft.com/office/drawing/2014/main" id="{F92E2D1F-7465-79FF-AEEE-797110F05A99}"/>
            </a:ext>
          </a:extLst>
        </xdr:cNvPr>
        <xdr:cNvSpPr/>
      </xdr:nvSpPr>
      <xdr:spPr>
        <a:xfrm>
          <a:off x="16510000" y="15319375"/>
          <a:ext cx="12093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5" name="Signo más 4">
          <a:extLst>
            <a:ext uri="{FF2B5EF4-FFF2-40B4-BE49-F238E27FC236}">
              <a16:creationId xmlns:a16="http://schemas.microsoft.com/office/drawing/2014/main" id="{EEB43076-7FBE-BA41-54FA-03D9CC141DF2}"/>
            </a:ext>
          </a:extLst>
        </xdr:cNvPr>
        <xdr:cNvSpPr/>
      </xdr:nvSpPr>
      <xdr:spPr>
        <a:xfrm>
          <a:off x="16510000" y="16602075"/>
          <a:ext cx="12093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6" name="Signo más 5">
          <a:extLst>
            <a:ext uri="{FF2B5EF4-FFF2-40B4-BE49-F238E27FC236}">
              <a16:creationId xmlns:a16="http://schemas.microsoft.com/office/drawing/2014/main" id="{B1BC110E-B601-706B-07F6-7DBF3A328754}"/>
            </a:ext>
          </a:extLst>
        </xdr:cNvPr>
        <xdr:cNvSpPr/>
      </xdr:nvSpPr>
      <xdr:spPr>
        <a:xfrm>
          <a:off x="16525875" y="15960725"/>
          <a:ext cx="1200150" cy="18444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7" name="Signo más 6">
          <a:extLst>
            <a:ext uri="{FF2B5EF4-FFF2-40B4-BE49-F238E27FC236}">
              <a16:creationId xmlns:a16="http://schemas.microsoft.com/office/drawing/2014/main" id="{45452B48-6F83-8FE2-FA6B-84B41936AACD}"/>
            </a:ext>
          </a:extLst>
        </xdr:cNvPr>
        <xdr:cNvSpPr/>
      </xdr:nvSpPr>
      <xdr:spPr>
        <a:xfrm>
          <a:off x="16510000" y="17233900"/>
          <a:ext cx="12093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24114</xdr:colOff>
      <xdr:row>123</xdr:row>
      <xdr:rowOff>6350</xdr:rowOff>
    </xdr:from>
    <xdr:to>
      <xdr:col>27</xdr:col>
      <xdr:colOff>896471</xdr:colOff>
      <xdr:row>125</xdr:row>
      <xdr:rowOff>9525</xdr:rowOff>
    </xdr:to>
    <xdr:sp macro="" textlink="">
      <xdr:nvSpPr>
        <xdr:cNvPr id="8" name="Diagrama de flujo: proceso alternativo 7">
          <a:extLst>
            <a:ext uri="{FF2B5EF4-FFF2-40B4-BE49-F238E27FC236}">
              <a16:creationId xmlns:a16="http://schemas.microsoft.com/office/drawing/2014/main" id="{D5FF2D33-3393-8947-D6B2-3AECBAB18F1E}"/>
            </a:ext>
          </a:extLst>
        </xdr:cNvPr>
        <xdr:cNvSpPr/>
      </xdr:nvSpPr>
      <xdr:spPr>
        <a:xfrm>
          <a:off x="16197564" y="17513300"/>
          <a:ext cx="2218557" cy="3206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9" name="Es igual a 8">
          <a:extLst>
            <a:ext uri="{FF2B5EF4-FFF2-40B4-BE49-F238E27FC236}">
              <a16:creationId xmlns:a16="http://schemas.microsoft.com/office/drawing/2014/main" id="{26DA1991-8432-988F-0710-2BC09AB8EC27}"/>
            </a:ext>
          </a:extLst>
        </xdr:cNvPr>
        <xdr:cNvSpPr/>
      </xdr:nvSpPr>
      <xdr:spPr>
        <a:xfrm>
          <a:off x="18669000" y="1616392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336550</xdr:colOff>
      <xdr:row>106</xdr:row>
      <xdr:rowOff>47625</xdr:rowOff>
    </xdr:from>
    <xdr:to>
      <xdr:col>33</xdr:col>
      <xdr:colOff>199691</xdr:colOff>
      <xdr:row>107</xdr:row>
      <xdr:rowOff>76200</xdr:rowOff>
    </xdr:to>
    <xdr:sp macro="" textlink="">
      <xdr:nvSpPr>
        <xdr:cNvPr id="10" name="Signo más 9">
          <a:extLst>
            <a:ext uri="{FF2B5EF4-FFF2-40B4-BE49-F238E27FC236}">
              <a16:creationId xmlns:a16="http://schemas.microsoft.com/office/drawing/2014/main" id="{431FF2B5-A621-D2C1-774C-58744763CBC9}"/>
            </a:ext>
          </a:extLst>
        </xdr:cNvPr>
        <xdr:cNvSpPr/>
      </xdr:nvSpPr>
      <xdr:spPr>
        <a:xfrm>
          <a:off x="22682200" y="14843125"/>
          <a:ext cx="6505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9524</xdr:colOff>
      <xdr:row>104</xdr:row>
      <xdr:rowOff>9525</xdr:rowOff>
    </xdr:from>
    <xdr:to>
      <xdr:col>33</xdr:col>
      <xdr:colOff>793749</xdr:colOff>
      <xdr:row>106</xdr:row>
      <xdr:rowOff>22225</xdr:rowOff>
    </xdr:to>
    <xdr:sp macro="" textlink="">
      <xdr:nvSpPr>
        <xdr:cNvPr id="11" name="Diagrama de flujo: proceso alternativo 10">
          <a:extLst>
            <a:ext uri="{FF2B5EF4-FFF2-40B4-BE49-F238E27FC236}">
              <a16:creationId xmlns:a16="http://schemas.microsoft.com/office/drawing/2014/main" id="{0301391F-9139-AD67-61DC-019C432B19BC}"/>
            </a:ext>
          </a:extLst>
        </xdr:cNvPr>
        <xdr:cNvSpPr/>
      </xdr:nvSpPr>
      <xdr:spPr>
        <a:xfrm>
          <a:off x="22355174" y="14481175"/>
          <a:ext cx="1533525" cy="33655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336550</xdr:colOff>
      <xdr:row>114</xdr:row>
      <xdr:rowOff>47625</xdr:rowOff>
    </xdr:from>
    <xdr:to>
      <xdr:col>33</xdr:col>
      <xdr:colOff>199691</xdr:colOff>
      <xdr:row>115</xdr:row>
      <xdr:rowOff>76200</xdr:rowOff>
    </xdr:to>
    <xdr:sp macro="" textlink="">
      <xdr:nvSpPr>
        <xdr:cNvPr id="12" name="Signo más 11">
          <a:extLst>
            <a:ext uri="{FF2B5EF4-FFF2-40B4-BE49-F238E27FC236}">
              <a16:creationId xmlns:a16="http://schemas.microsoft.com/office/drawing/2014/main" id="{F30AC6DB-A001-B263-2454-978AE45B13E7}"/>
            </a:ext>
          </a:extLst>
        </xdr:cNvPr>
        <xdr:cNvSpPr/>
      </xdr:nvSpPr>
      <xdr:spPr>
        <a:xfrm>
          <a:off x="22682200" y="16125825"/>
          <a:ext cx="6505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9524</xdr:colOff>
      <xdr:row>112</xdr:row>
      <xdr:rowOff>9525</xdr:rowOff>
    </xdr:from>
    <xdr:to>
      <xdr:col>33</xdr:col>
      <xdr:colOff>787399</xdr:colOff>
      <xdr:row>114</xdr:row>
      <xdr:rowOff>22225</xdr:rowOff>
    </xdr:to>
    <xdr:sp macro="" textlink="">
      <xdr:nvSpPr>
        <xdr:cNvPr id="13" name="Diagrama de flujo: proceso alternativo 12">
          <a:extLst>
            <a:ext uri="{FF2B5EF4-FFF2-40B4-BE49-F238E27FC236}">
              <a16:creationId xmlns:a16="http://schemas.microsoft.com/office/drawing/2014/main" id="{E1F1DF38-73CB-59D3-7E5A-56A7AC2C74FB}"/>
            </a:ext>
          </a:extLst>
        </xdr:cNvPr>
        <xdr:cNvSpPr/>
      </xdr:nvSpPr>
      <xdr:spPr>
        <a:xfrm>
          <a:off x="22355174" y="15757525"/>
          <a:ext cx="1533525" cy="3429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352425</xdr:colOff>
      <xdr:row>110</xdr:row>
      <xdr:rowOff>47625</xdr:rowOff>
    </xdr:from>
    <xdr:to>
      <xdr:col>33</xdr:col>
      <xdr:colOff>206375</xdr:colOff>
      <xdr:row>111</xdr:row>
      <xdr:rowOff>66973</xdr:rowOff>
    </xdr:to>
    <xdr:sp macro="" textlink="">
      <xdr:nvSpPr>
        <xdr:cNvPr id="14" name="Signo más 13">
          <a:extLst>
            <a:ext uri="{FF2B5EF4-FFF2-40B4-BE49-F238E27FC236}">
              <a16:creationId xmlns:a16="http://schemas.microsoft.com/office/drawing/2014/main" id="{1F4A0DA5-9049-E667-8540-A9616000D975}"/>
            </a:ext>
          </a:extLst>
        </xdr:cNvPr>
        <xdr:cNvSpPr/>
      </xdr:nvSpPr>
      <xdr:spPr>
        <a:xfrm>
          <a:off x="22698075" y="15478125"/>
          <a:ext cx="6413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336550</xdr:colOff>
      <xdr:row>118</xdr:row>
      <xdr:rowOff>44450</xdr:rowOff>
    </xdr:from>
    <xdr:to>
      <xdr:col>33</xdr:col>
      <xdr:colOff>199691</xdr:colOff>
      <xdr:row>119</xdr:row>
      <xdr:rowOff>88695</xdr:rowOff>
    </xdr:to>
    <xdr:sp macro="" textlink="">
      <xdr:nvSpPr>
        <xdr:cNvPr id="15" name="Signo más 14">
          <a:extLst>
            <a:ext uri="{FF2B5EF4-FFF2-40B4-BE49-F238E27FC236}">
              <a16:creationId xmlns:a16="http://schemas.microsoft.com/office/drawing/2014/main" id="{A32CCC72-C814-BD74-E559-7837605BDE19}"/>
            </a:ext>
          </a:extLst>
        </xdr:cNvPr>
        <xdr:cNvSpPr/>
      </xdr:nvSpPr>
      <xdr:spPr>
        <a:xfrm>
          <a:off x="22682200" y="16757650"/>
          <a:ext cx="6505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228600</xdr:colOff>
      <xdr:row>114</xdr:row>
      <xdr:rowOff>85725</xdr:rowOff>
    </xdr:from>
    <xdr:to>
      <xdr:col>35</xdr:col>
      <xdr:colOff>546100</xdr:colOff>
      <xdr:row>117</xdr:row>
      <xdr:rowOff>22485</xdr:rowOff>
    </xdr:to>
    <xdr:sp macro="" textlink="">
      <xdr:nvSpPr>
        <xdr:cNvPr id="16" name="Es igual a 15">
          <a:extLst>
            <a:ext uri="{FF2B5EF4-FFF2-40B4-BE49-F238E27FC236}">
              <a16:creationId xmlns:a16="http://schemas.microsoft.com/office/drawing/2014/main" id="{9DD1A9D8-0377-DD4A-90C7-60F785162485}"/>
            </a:ext>
          </a:extLst>
        </xdr:cNvPr>
        <xdr:cNvSpPr/>
      </xdr:nvSpPr>
      <xdr:spPr>
        <a:xfrm>
          <a:off x="24872950" y="1616392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0</xdr:colOff>
      <xdr:row>108</xdr:row>
      <xdr:rowOff>0</xdr:rowOff>
    </xdr:from>
    <xdr:to>
      <xdr:col>33</xdr:col>
      <xdr:colOff>793750</xdr:colOff>
      <xdr:row>110</xdr:row>
      <xdr:rowOff>9525</xdr:rowOff>
    </xdr:to>
    <xdr:sp macro="" textlink="">
      <xdr:nvSpPr>
        <xdr:cNvPr id="17" name="Diagrama de flujo: proceso alternativo 16">
          <a:extLst>
            <a:ext uri="{FF2B5EF4-FFF2-40B4-BE49-F238E27FC236}">
              <a16:creationId xmlns:a16="http://schemas.microsoft.com/office/drawing/2014/main" id="{23A4815A-054F-6CAD-D400-534411ED9277}"/>
            </a:ext>
          </a:extLst>
        </xdr:cNvPr>
        <xdr:cNvSpPr/>
      </xdr:nvSpPr>
      <xdr:spPr>
        <a:xfrm>
          <a:off x="22345650" y="15113000"/>
          <a:ext cx="15430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18" name="Diagrama de flujo: proceso alternativo 17">
          <a:extLst>
            <a:ext uri="{FF2B5EF4-FFF2-40B4-BE49-F238E27FC236}">
              <a16:creationId xmlns:a16="http://schemas.microsoft.com/office/drawing/2014/main" id="{6C876885-371B-023A-DB4D-A02D1A4F5763}"/>
            </a:ext>
          </a:extLst>
        </xdr:cNvPr>
        <xdr:cNvSpPr/>
      </xdr:nvSpPr>
      <xdr:spPr>
        <a:xfrm>
          <a:off x="16179800" y="15589250"/>
          <a:ext cx="2270125" cy="34290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9523</xdr:colOff>
      <xdr:row>119</xdr:row>
      <xdr:rowOff>9525</xdr:rowOff>
    </xdr:from>
    <xdr:to>
      <xdr:col>27</xdr:col>
      <xdr:colOff>903941</xdr:colOff>
      <xdr:row>121</xdr:row>
      <xdr:rowOff>19050</xdr:rowOff>
    </xdr:to>
    <xdr:sp macro="" textlink="">
      <xdr:nvSpPr>
        <xdr:cNvPr id="19" name="Diagrama de flujo: proceso alternativo 18">
          <a:extLst>
            <a:ext uri="{FF2B5EF4-FFF2-40B4-BE49-F238E27FC236}">
              <a16:creationId xmlns:a16="http://schemas.microsoft.com/office/drawing/2014/main" id="{04CED69E-967E-4E2F-A8A2-95402ECBC663}"/>
            </a:ext>
          </a:extLst>
        </xdr:cNvPr>
        <xdr:cNvSpPr/>
      </xdr:nvSpPr>
      <xdr:spPr>
        <a:xfrm>
          <a:off x="16182973" y="16881475"/>
          <a:ext cx="2240618"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20" name="Signo más 19">
          <a:extLst>
            <a:ext uri="{FF2B5EF4-FFF2-40B4-BE49-F238E27FC236}">
              <a16:creationId xmlns:a16="http://schemas.microsoft.com/office/drawing/2014/main" id="{92D2CD3D-8B81-1D91-BD97-8EA335BB4D70}"/>
            </a:ext>
          </a:extLst>
        </xdr:cNvPr>
        <xdr:cNvSpPr/>
      </xdr:nvSpPr>
      <xdr:spPr>
        <a:xfrm>
          <a:off x="16557626" y="14700251"/>
          <a:ext cx="1209341" cy="19367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21" name="Diagrama de flujo: proceso alternativo 20">
          <a:extLst>
            <a:ext uri="{FF2B5EF4-FFF2-40B4-BE49-F238E27FC236}">
              <a16:creationId xmlns:a16="http://schemas.microsoft.com/office/drawing/2014/main" id="{190C51E7-333D-82E0-6DAD-B6E500DF884A}"/>
            </a:ext>
          </a:extLst>
        </xdr:cNvPr>
        <xdr:cNvSpPr/>
      </xdr:nvSpPr>
      <xdr:spPr>
        <a:xfrm>
          <a:off x="16221074" y="14322424"/>
          <a:ext cx="22256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22" name="Signo más 21">
          <a:extLst>
            <a:ext uri="{FF2B5EF4-FFF2-40B4-BE49-F238E27FC236}">
              <a16:creationId xmlns:a16="http://schemas.microsoft.com/office/drawing/2014/main" id="{E21C6E65-7949-2FD2-A637-090FD71AA197}"/>
            </a:ext>
          </a:extLst>
        </xdr:cNvPr>
        <xdr:cNvSpPr/>
      </xdr:nvSpPr>
      <xdr:spPr>
        <a:xfrm>
          <a:off x="16510000" y="17824450"/>
          <a:ext cx="12093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12700</xdr:colOff>
      <xdr:row>12</xdr:row>
      <xdr:rowOff>12700</xdr:rowOff>
    </xdr:from>
    <xdr:to>
      <xdr:col>29</xdr:col>
      <xdr:colOff>736600</xdr:colOff>
      <xdr:row>28</xdr:row>
      <xdr:rowOff>57150</xdr:rowOff>
    </xdr:to>
    <xdr:graphicFrame macro="">
      <xdr:nvGraphicFramePr>
        <xdr:cNvPr id="718516" name="Gráfico 1">
          <a:extLst>
            <a:ext uri="{FF2B5EF4-FFF2-40B4-BE49-F238E27FC236}">
              <a16:creationId xmlns:a16="http://schemas.microsoft.com/office/drawing/2014/main" id="{C3761366-E767-797D-B4F3-63027840C8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6350</xdr:colOff>
      <xdr:row>56</xdr:row>
      <xdr:rowOff>19050</xdr:rowOff>
    </xdr:from>
    <xdr:to>
      <xdr:col>38</xdr:col>
      <xdr:colOff>19050</xdr:colOff>
      <xdr:row>71</xdr:row>
      <xdr:rowOff>139700</xdr:rowOff>
    </xdr:to>
    <xdr:graphicFrame macro="">
      <xdr:nvGraphicFramePr>
        <xdr:cNvPr id="718517" name="Gráfico 3">
          <a:extLst>
            <a:ext uri="{FF2B5EF4-FFF2-40B4-BE49-F238E27FC236}">
              <a16:creationId xmlns:a16="http://schemas.microsoft.com/office/drawing/2014/main" id="{524F7D80-07C5-865D-F70D-458247267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336550</xdr:colOff>
      <xdr:row>109</xdr:row>
      <xdr:rowOff>47625</xdr:rowOff>
    </xdr:from>
    <xdr:to>
      <xdr:col>27</xdr:col>
      <xdr:colOff>199691</xdr:colOff>
      <xdr:row>110</xdr:row>
      <xdr:rowOff>76200</xdr:rowOff>
    </xdr:to>
    <xdr:sp macro="" textlink="">
      <xdr:nvSpPr>
        <xdr:cNvPr id="26" name="Signo más 25">
          <a:extLst>
            <a:ext uri="{FF2B5EF4-FFF2-40B4-BE49-F238E27FC236}">
              <a16:creationId xmlns:a16="http://schemas.microsoft.com/office/drawing/2014/main" id="{7C27ED58-3A9D-679C-1CE9-F4BDE4815FE2}"/>
            </a:ext>
          </a:extLst>
        </xdr:cNvPr>
        <xdr:cNvSpPr/>
      </xdr:nvSpPr>
      <xdr:spPr>
        <a:xfrm>
          <a:off x="16510000" y="15319375"/>
          <a:ext cx="12093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28573</xdr:colOff>
      <xdr:row>106</xdr:row>
      <xdr:rowOff>155574</xdr:rowOff>
    </xdr:from>
    <xdr:to>
      <xdr:col>27</xdr:col>
      <xdr:colOff>903941</xdr:colOff>
      <xdr:row>109</xdr:row>
      <xdr:rowOff>12699</xdr:rowOff>
    </xdr:to>
    <xdr:sp macro="" textlink="">
      <xdr:nvSpPr>
        <xdr:cNvPr id="27" name="Diagrama de flujo: proceso alternativo 26">
          <a:extLst>
            <a:ext uri="{FF2B5EF4-FFF2-40B4-BE49-F238E27FC236}">
              <a16:creationId xmlns:a16="http://schemas.microsoft.com/office/drawing/2014/main" id="{9DD1D2E0-918F-14BB-8773-B08142D05AAB}"/>
            </a:ext>
          </a:extLst>
        </xdr:cNvPr>
        <xdr:cNvSpPr/>
      </xdr:nvSpPr>
      <xdr:spPr>
        <a:xfrm>
          <a:off x="16202023" y="14951074"/>
          <a:ext cx="2221568"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28" name="Signo más 27">
          <a:extLst>
            <a:ext uri="{FF2B5EF4-FFF2-40B4-BE49-F238E27FC236}">
              <a16:creationId xmlns:a16="http://schemas.microsoft.com/office/drawing/2014/main" id="{DE544332-CD9E-369B-D0EF-BDAFF8732861}"/>
            </a:ext>
          </a:extLst>
        </xdr:cNvPr>
        <xdr:cNvSpPr/>
      </xdr:nvSpPr>
      <xdr:spPr>
        <a:xfrm>
          <a:off x="16510000" y="16602075"/>
          <a:ext cx="12093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9523</xdr:colOff>
      <xdr:row>115</xdr:row>
      <xdr:rowOff>9525</xdr:rowOff>
    </xdr:from>
    <xdr:to>
      <xdr:col>27</xdr:col>
      <xdr:colOff>888999</xdr:colOff>
      <xdr:row>117</xdr:row>
      <xdr:rowOff>19050</xdr:rowOff>
    </xdr:to>
    <xdr:sp macro="" textlink="">
      <xdr:nvSpPr>
        <xdr:cNvPr id="29" name="Diagrama de flujo: proceso alternativo 28">
          <a:extLst>
            <a:ext uri="{FF2B5EF4-FFF2-40B4-BE49-F238E27FC236}">
              <a16:creationId xmlns:a16="http://schemas.microsoft.com/office/drawing/2014/main" id="{D54EE574-57D4-4D8C-C80F-7A128CB2D32D}"/>
            </a:ext>
          </a:extLst>
        </xdr:cNvPr>
        <xdr:cNvSpPr/>
      </xdr:nvSpPr>
      <xdr:spPr>
        <a:xfrm>
          <a:off x="16182973" y="16246475"/>
          <a:ext cx="2225676"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30" name="Signo más 29">
          <a:extLst>
            <a:ext uri="{FF2B5EF4-FFF2-40B4-BE49-F238E27FC236}">
              <a16:creationId xmlns:a16="http://schemas.microsoft.com/office/drawing/2014/main" id="{1A6DD610-188E-8B4E-D628-CFFEABB03005}"/>
            </a:ext>
          </a:extLst>
        </xdr:cNvPr>
        <xdr:cNvSpPr/>
      </xdr:nvSpPr>
      <xdr:spPr>
        <a:xfrm>
          <a:off x="16525875" y="15960725"/>
          <a:ext cx="1200150" cy="18444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31" name="Signo más 30">
          <a:extLst>
            <a:ext uri="{FF2B5EF4-FFF2-40B4-BE49-F238E27FC236}">
              <a16:creationId xmlns:a16="http://schemas.microsoft.com/office/drawing/2014/main" id="{F39429BD-B236-1F13-C0C1-16425E932D8E}"/>
            </a:ext>
          </a:extLst>
        </xdr:cNvPr>
        <xdr:cNvSpPr/>
      </xdr:nvSpPr>
      <xdr:spPr>
        <a:xfrm>
          <a:off x="16510000" y="17233900"/>
          <a:ext cx="12093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32" name="Es igual a 31">
          <a:extLst>
            <a:ext uri="{FF2B5EF4-FFF2-40B4-BE49-F238E27FC236}">
              <a16:creationId xmlns:a16="http://schemas.microsoft.com/office/drawing/2014/main" id="{D183E22D-F66E-0760-C88A-73B3C0D220C4}"/>
            </a:ext>
          </a:extLst>
        </xdr:cNvPr>
        <xdr:cNvSpPr/>
      </xdr:nvSpPr>
      <xdr:spPr>
        <a:xfrm>
          <a:off x="18669000" y="1616392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29</xdr:col>
      <xdr:colOff>28574</xdr:colOff>
      <xdr:row>103</xdr:row>
      <xdr:rowOff>31749</xdr:rowOff>
    </xdr:from>
    <xdr:to>
      <xdr:col>31</xdr:col>
      <xdr:colOff>32152</xdr:colOff>
      <xdr:row>145</xdr:row>
      <xdr:rowOff>7469</xdr:rowOff>
    </xdr:to>
    <xdr:sp macro="" textlink="">
      <xdr:nvSpPr>
        <xdr:cNvPr id="33" name="Diagrama de flujo: proceso alternativo 32">
          <a:extLst>
            <a:ext uri="{FF2B5EF4-FFF2-40B4-BE49-F238E27FC236}">
              <a16:creationId xmlns:a16="http://schemas.microsoft.com/office/drawing/2014/main" id="{82772101-F588-F273-D9E9-8864DA0113F3}"/>
            </a:ext>
          </a:extLst>
        </xdr:cNvPr>
        <xdr:cNvSpPr/>
      </xdr:nvSpPr>
      <xdr:spPr>
        <a:xfrm>
          <a:off x="19224624" y="14344649"/>
          <a:ext cx="1514878" cy="647177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336550</xdr:colOff>
      <xdr:row>106</xdr:row>
      <xdr:rowOff>47625</xdr:rowOff>
    </xdr:from>
    <xdr:to>
      <xdr:col>33</xdr:col>
      <xdr:colOff>199691</xdr:colOff>
      <xdr:row>107</xdr:row>
      <xdr:rowOff>76200</xdr:rowOff>
    </xdr:to>
    <xdr:sp macro="" textlink="">
      <xdr:nvSpPr>
        <xdr:cNvPr id="34" name="Signo más 33">
          <a:extLst>
            <a:ext uri="{FF2B5EF4-FFF2-40B4-BE49-F238E27FC236}">
              <a16:creationId xmlns:a16="http://schemas.microsoft.com/office/drawing/2014/main" id="{B52921FD-1243-C6F7-79E1-AC8001292259}"/>
            </a:ext>
          </a:extLst>
        </xdr:cNvPr>
        <xdr:cNvSpPr/>
      </xdr:nvSpPr>
      <xdr:spPr>
        <a:xfrm>
          <a:off x="22682200" y="14843125"/>
          <a:ext cx="6505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9524</xdr:colOff>
      <xdr:row>104</xdr:row>
      <xdr:rowOff>9525</xdr:rowOff>
    </xdr:from>
    <xdr:to>
      <xdr:col>33</xdr:col>
      <xdr:colOff>793749</xdr:colOff>
      <xdr:row>106</xdr:row>
      <xdr:rowOff>22225</xdr:rowOff>
    </xdr:to>
    <xdr:sp macro="" textlink="">
      <xdr:nvSpPr>
        <xdr:cNvPr id="35" name="Diagrama de flujo: proceso alternativo 34">
          <a:extLst>
            <a:ext uri="{FF2B5EF4-FFF2-40B4-BE49-F238E27FC236}">
              <a16:creationId xmlns:a16="http://schemas.microsoft.com/office/drawing/2014/main" id="{53660403-13FA-2056-2EFE-EA4B9855AB68}"/>
            </a:ext>
          </a:extLst>
        </xdr:cNvPr>
        <xdr:cNvSpPr/>
      </xdr:nvSpPr>
      <xdr:spPr>
        <a:xfrm>
          <a:off x="22355174" y="14481175"/>
          <a:ext cx="1533525" cy="33655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336550</xdr:colOff>
      <xdr:row>114</xdr:row>
      <xdr:rowOff>47625</xdr:rowOff>
    </xdr:from>
    <xdr:to>
      <xdr:col>33</xdr:col>
      <xdr:colOff>199691</xdr:colOff>
      <xdr:row>115</xdr:row>
      <xdr:rowOff>76200</xdr:rowOff>
    </xdr:to>
    <xdr:sp macro="" textlink="">
      <xdr:nvSpPr>
        <xdr:cNvPr id="36" name="Signo más 35">
          <a:extLst>
            <a:ext uri="{FF2B5EF4-FFF2-40B4-BE49-F238E27FC236}">
              <a16:creationId xmlns:a16="http://schemas.microsoft.com/office/drawing/2014/main" id="{2427DA64-9F7B-C946-0CBE-6234C8785838}"/>
            </a:ext>
          </a:extLst>
        </xdr:cNvPr>
        <xdr:cNvSpPr/>
      </xdr:nvSpPr>
      <xdr:spPr>
        <a:xfrm>
          <a:off x="22682200" y="16125825"/>
          <a:ext cx="6505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9524</xdr:colOff>
      <xdr:row>112</xdr:row>
      <xdr:rowOff>9525</xdr:rowOff>
    </xdr:from>
    <xdr:to>
      <xdr:col>33</xdr:col>
      <xdr:colOff>787399</xdr:colOff>
      <xdr:row>114</xdr:row>
      <xdr:rowOff>22225</xdr:rowOff>
    </xdr:to>
    <xdr:sp macro="" textlink="">
      <xdr:nvSpPr>
        <xdr:cNvPr id="37" name="Diagrama de flujo: proceso alternativo 36">
          <a:extLst>
            <a:ext uri="{FF2B5EF4-FFF2-40B4-BE49-F238E27FC236}">
              <a16:creationId xmlns:a16="http://schemas.microsoft.com/office/drawing/2014/main" id="{8BD894A7-5E50-CAA9-4B64-2ECD0941F30A}"/>
            </a:ext>
          </a:extLst>
        </xdr:cNvPr>
        <xdr:cNvSpPr/>
      </xdr:nvSpPr>
      <xdr:spPr>
        <a:xfrm>
          <a:off x="22355174" y="15757525"/>
          <a:ext cx="1533525" cy="3429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352425</xdr:colOff>
      <xdr:row>110</xdr:row>
      <xdr:rowOff>47625</xdr:rowOff>
    </xdr:from>
    <xdr:to>
      <xdr:col>33</xdr:col>
      <xdr:colOff>206375</xdr:colOff>
      <xdr:row>111</xdr:row>
      <xdr:rowOff>66973</xdr:rowOff>
    </xdr:to>
    <xdr:sp macro="" textlink="">
      <xdr:nvSpPr>
        <xdr:cNvPr id="38" name="Signo más 37">
          <a:extLst>
            <a:ext uri="{FF2B5EF4-FFF2-40B4-BE49-F238E27FC236}">
              <a16:creationId xmlns:a16="http://schemas.microsoft.com/office/drawing/2014/main" id="{3C63DCB8-C874-B79B-43FD-413EA2D2D1C6}"/>
            </a:ext>
          </a:extLst>
        </xdr:cNvPr>
        <xdr:cNvSpPr/>
      </xdr:nvSpPr>
      <xdr:spPr>
        <a:xfrm>
          <a:off x="22698075" y="15478125"/>
          <a:ext cx="6413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336550</xdr:colOff>
      <xdr:row>118</xdr:row>
      <xdr:rowOff>44450</xdr:rowOff>
    </xdr:from>
    <xdr:to>
      <xdr:col>33</xdr:col>
      <xdr:colOff>199691</xdr:colOff>
      <xdr:row>119</xdr:row>
      <xdr:rowOff>88695</xdr:rowOff>
    </xdr:to>
    <xdr:sp macro="" textlink="">
      <xdr:nvSpPr>
        <xdr:cNvPr id="39" name="Signo más 38">
          <a:extLst>
            <a:ext uri="{FF2B5EF4-FFF2-40B4-BE49-F238E27FC236}">
              <a16:creationId xmlns:a16="http://schemas.microsoft.com/office/drawing/2014/main" id="{B4E71A59-8386-40CE-97F1-CDF407EA6C5C}"/>
            </a:ext>
          </a:extLst>
        </xdr:cNvPr>
        <xdr:cNvSpPr/>
      </xdr:nvSpPr>
      <xdr:spPr>
        <a:xfrm>
          <a:off x="22682200" y="16757650"/>
          <a:ext cx="6505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15875</xdr:colOff>
      <xdr:row>120</xdr:row>
      <xdr:rowOff>9525</xdr:rowOff>
    </xdr:from>
    <xdr:to>
      <xdr:col>34</xdr:col>
      <xdr:colOff>12700</xdr:colOff>
      <xdr:row>122</xdr:row>
      <xdr:rowOff>22225</xdr:rowOff>
    </xdr:to>
    <xdr:sp macro="" textlink="">
      <xdr:nvSpPr>
        <xdr:cNvPr id="40" name="Diagrama de flujo: proceso alternativo 39">
          <a:extLst>
            <a:ext uri="{FF2B5EF4-FFF2-40B4-BE49-F238E27FC236}">
              <a16:creationId xmlns:a16="http://schemas.microsoft.com/office/drawing/2014/main" id="{0BF23A9F-411A-0AA7-2845-C4370C7810F3}"/>
            </a:ext>
          </a:extLst>
        </xdr:cNvPr>
        <xdr:cNvSpPr/>
      </xdr:nvSpPr>
      <xdr:spPr>
        <a:xfrm>
          <a:off x="22361525" y="17040225"/>
          <a:ext cx="1539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228600</xdr:colOff>
      <xdr:row>114</xdr:row>
      <xdr:rowOff>85725</xdr:rowOff>
    </xdr:from>
    <xdr:to>
      <xdr:col>35</xdr:col>
      <xdr:colOff>546100</xdr:colOff>
      <xdr:row>117</xdr:row>
      <xdr:rowOff>22485</xdr:rowOff>
    </xdr:to>
    <xdr:sp macro="" textlink="">
      <xdr:nvSpPr>
        <xdr:cNvPr id="41" name="Es igual a 40">
          <a:extLst>
            <a:ext uri="{FF2B5EF4-FFF2-40B4-BE49-F238E27FC236}">
              <a16:creationId xmlns:a16="http://schemas.microsoft.com/office/drawing/2014/main" id="{32824904-B0BD-4435-D4C1-B16A9733029A}"/>
            </a:ext>
          </a:extLst>
        </xdr:cNvPr>
        <xdr:cNvSpPr/>
      </xdr:nvSpPr>
      <xdr:spPr>
        <a:xfrm>
          <a:off x="24872950" y="1616392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37</xdr:col>
      <xdr:colOff>15874</xdr:colOff>
      <xdr:row>103</xdr:row>
      <xdr:rowOff>25400</xdr:rowOff>
    </xdr:from>
    <xdr:to>
      <xdr:col>39</xdr:col>
      <xdr:colOff>7471</xdr:colOff>
      <xdr:row>144</xdr:row>
      <xdr:rowOff>74706</xdr:rowOff>
    </xdr:to>
    <xdr:sp macro="" textlink="">
      <xdr:nvSpPr>
        <xdr:cNvPr id="42" name="Diagrama de flujo: proceso alternativo 41">
          <a:extLst>
            <a:ext uri="{FF2B5EF4-FFF2-40B4-BE49-F238E27FC236}">
              <a16:creationId xmlns:a16="http://schemas.microsoft.com/office/drawing/2014/main" id="{1E62FDAB-2FA7-0FE7-8D29-5E28A884710D}"/>
            </a:ext>
          </a:extLst>
        </xdr:cNvPr>
        <xdr:cNvSpPr/>
      </xdr:nvSpPr>
      <xdr:spPr>
        <a:xfrm>
          <a:off x="26171524" y="14338300"/>
          <a:ext cx="1502897" cy="639930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0</xdr:colOff>
      <xdr:row>108</xdr:row>
      <xdr:rowOff>0</xdr:rowOff>
    </xdr:from>
    <xdr:to>
      <xdr:col>33</xdr:col>
      <xdr:colOff>793750</xdr:colOff>
      <xdr:row>110</xdr:row>
      <xdr:rowOff>9525</xdr:rowOff>
    </xdr:to>
    <xdr:sp macro="" textlink="">
      <xdr:nvSpPr>
        <xdr:cNvPr id="43" name="Diagrama de flujo: proceso alternativo 42">
          <a:extLst>
            <a:ext uri="{FF2B5EF4-FFF2-40B4-BE49-F238E27FC236}">
              <a16:creationId xmlns:a16="http://schemas.microsoft.com/office/drawing/2014/main" id="{DDABA0A4-5373-BFDE-D492-6E624C4B39D0}"/>
            </a:ext>
          </a:extLst>
        </xdr:cNvPr>
        <xdr:cNvSpPr/>
      </xdr:nvSpPr>
      <xdr:spPr>
        <a:xfrm>
          <a:off x="22345650" y="15113000"/>
          <a:ext cx="15430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0</xdr:colOff>
      <xdr:row>116</xdr:row>
      <xdr:rowOff>0</xdr:rowOff>
    </xdr:from>
    <xdr:to>
      <xdr:col>34</xdr:col>
      <xdr:colOff>6350</xdr:colOff>
      <xdr:row>118</xdr:row>
      <xdr:rowOff>9525</xdr:rowOff>
    </xdr:to>
    <xdr:sp macro="" textlink="">
      <xdr:nvSpPr>
        <xdr:cNvPr id="44" name="Diagrama de flujo: proceso alternativo 43">
          <a:extLst>
            <a:ext uri="{FF2B5EF4-FFF2-40B4-BE49-F238E27FC236}">
              <a16:creationId xmlns:a16="http://schemas.microsoft.com/office/drawing/2014/main" id="{3AE3AEC7-8037-5DC2-018F-5698D67D452D}"/>
            </a:ext>
          </a:extLst>
        </xdr:cNvPr>
        <xdr:cNvSpPr/>
      </xdr:nvSpPr>
      <xdr:spPr>
        <a:xfrm>
          <a:off x="22345650" y="16395700"/>
          <a:ext cx="154940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45" name="Diagrama de flujo: proceso alternativo 44">
          <a:extLst>
            <a:ext uri="{FF2B5EF4-FFF2-40B4-BE49-F238E27FC236}">
              <a16:creationId xmlns:a16="http://schemas.microsoft.com/office/drawing/2014/main" id="{E6F46BA8-3060-F5C6-AB9E-0847ADF9B64C}"/>
            </a:ext>
          </a:extLst>
        </xdr:cNvPr>
        <xdr:cNvSpPr/>
      </xdr:nvSpPr>
      <xdr:spPr>
        <a:xfrm>
          <a:off x="16179800" y="15589250"/>
          <a:ext cx="2270125" cy="34290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46" name="Signo más 45">
          <a:extLst>
            <a:ext uri="{FF2B5EF4-FFF2-40B4-BE49-F238E27FC236}">
              <a16:creationId xmlns:a16="http://schemas.microsoft.com/office/drawing/2014/main" id="{30C26D04-E7A9-BE8C-8B2B-7E8F3FAE6B24}"/>
            </a:ext>
          </a:extLst>
        </xdr:cNvPr>
        <xdr:cNvSpPr/>
      </xdr:nvSpPr>
      <xdr:spPr>
        <a:xfrm>
          <a:off x="16557626" y="14700251"/>
          <a:ext cx="1209341" cy="19367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47" name="Diagrama de flujo: proceso alternativo 46">
          <a:extLst>
            <a:ext uri="{FF2B5EF4-FFF2-40B4-BE49-F238E27FC236}">
              <a16:creationId xmlns:a16="http://schemas.microsoft.com/office/drawing/2014/main" id="{DF134014-F8CD-8689-0183-C68AE0770B4B}"/>
            </a:ext>
          </a:extLst>
        </xdr:cNvPr>
        <xdr:cNvSpPr/>
      </xdr:nvSpPr>
      <xdr:spPr>
        <a:xfrm>
          <a:off x="16221074" y="14322424"/>
          <a:ext cx="22256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48" name="Signo más 47">
          <a:extLst>
            <a:ext uri="{FF2B5EF4-FFF2-40B4-BE49-F238E27FC236}">
              <a16:creationId xmlns:a16="http://schemas.microsoft.com/office/drawing/2014/main" id="{5CF7152E-BE66-9236-94D4-94FFD6F5ED07}"/>
            </a:ext>
          </a:extLst>
        </xdr:cNvPr>
        <xdr:cNvSpPr/>
      </xdr:nvSpPr>
      <xdr:spPr>
        <a:xfrm>
          <a:off x="16510000" y="17824450"/>
          <a:ext cx="12093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12701</xdr:colOff>
      <xdr:row>126</xdr:row>
      <xdr:rowOff>104775</xdr:rowOff>
    </xdr:from>
    <xdr:to>
      <xdr:col>28</xdr:col>
      <xdr:colOff>7471</xdr:colOff>
      <xdr:row>128</xdr:row>
      <xdr:rowOff>139700</xdr:rowOff>
    </xdr:to>
    <xdr:sp macro="" textlink="">
      <xdr:nvSpPr>
        <xdr:cNvPr id="49" name="Diagrama de flujo: proceso alternativo 48">
          <a:extLst>
            <a:ext uri="{FF2B5EF4-FFF2-40B4-BE49-F238E27FC236}">
              <a16:creationId xmlns:a16="http://schemas.microsoft.com/office/drawing/2014/main" id="{85014D8F-ED7E-1701-3385-9F293BF79BCD}"/>
            </a:ext>
          </a:extLst>
        </xdr:cNvPr>
        <xdr:cNvSpPr/>
      </xdr:nvSpPr>
      <xdr:spPr>
        <a:xfrm>
          <a:off x="16186151" y="18087975"/>
          <a:ext cx="2261720" cy="3397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876300</xdr:colOff>
      <xdr:row>11</xdr:row>
      <xdr:rowOff>139700</xdr:rowOff>
    </xdr:from>
    <xdr:to>
      <xdr:col>37</xdr:col>
      <xdr:colOff>12700</xdr:colOff>
      <xdr:row>27</xdr:row>
      <xdr:rowOff>107950</xdr:rowOff>
    </xdr:to>
    <xdr:graphicFrame macro="">
      <xdr:nvGraphicFramePr>
        <xdr:cNvPr id="718542" name="Gráfico 1">
          <a:extLst>
            <a:ext uri="{FF2B5EF4-FFF2-40B4-BE49-F238E27FC236}">
              <a16:creationId xmlns:a16="http://schemas.microsoft.com/office/drawing/2014/main" id="{700BB03D-84D7-8C54-A868-DC9D8A039D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41677</xdr:colOff>
      <xdr:row>129</xdr:row>
      <xdr:rowOff>132184</xdr:rowOff>
    </xdr:from>
    <xdr:to>
      <xdr:col>28</xdr:col>
      <xdr:colOff>17564</xdr:colOff>
      <xdr:row>132</xdr:row>
      <xdr:rowOff>22826</xdr:rowOff>
    </xdr:to>
    <xdr:sp macro="" textlink="">
      <xdr:nvSpPr>
        <xdr:cNvPr id="52" name="Diagrama de flujo: proceso alternativo 51">
          <a:extLst>
            <a:ext uri="{FF2B5EF4-FFF2-40B4-BE49-F238E27FC236}">
              <a16:creationId xmlns:a16="http://schemas.microsoft.com/office/drawing/2014/main" id="{A363EFE6-98DC-0E66-85AE-B3863825AA0F}"/>
            </a:ext>
          </a:extLst>
        </xdr:cNvPr>
        <xdr:cNvSpPr/>
      </xdr:nvSpPr>
      <xdr:spPr>
        <a:xfrm>
          <a:off x="16215127" y="18578934"/>
          <a:ext cx="2242837" cy="3414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321961</xdr:colOff>
      <xdr:row>128</xdr:row>
      <xdr:rowOff>114018</xdr:rowOff>
    </xdr:from>
    <xdr:to>
      <xdr:col>27</xdr:col>
      <xdr:colOff>185102</xdr:colOff>
      <xdr:row>129</xdr:row>
      <xdr:rowOff>128608</xdr:rowOff>
    </xdr:to>
    <xdr:sp macro="" textlink="">
      <xdr:nvSpPr>
        <xdr:cNvPr id="53" name="Signo más 52">
          <a:extLst>
            <a:ext uri="{FF2B5EF4-FFF2-40B4-BE49-F238E27FC236}">
              <a16:creationId xmlns:a16="http://schemas.microsoft.com/office/drawing/2014/main" id="{2CE668FB-18DE-048E-1EA0-52C005FDCBBA}"/>
            </a:ext>
          </a:extLst>
        </xdr:cNvPr>
        <xdr:cNvSpPr/>
      </xdr:nvSpPr>
      <xdr:spPr>
        <a:xfrm>
          <a:off x="16495411" y="18402018"/>
          <a:ext cx="1209341"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336550</xdr:colOff>
      <xdr:row>122</xdr:row>
      <xdr:rowOff>25601</xdr:rowOff>
    </xdr:from>
    <xdr:to>
      <xdr:col>33</xdr:col>
      <xdr:colOff>199691</xdr:colOff>
      <xdr:row>123</xdr:row>
      <xdr:rowOff>53770</xdr:rowOff>
    </xdr:to>
    <xdr:sp macro="" textlink="">
      <xdr:nvSpPr>
        <xdr:cNvPr id="54" name="Signo más 53">
          <a:extLst>
            <a:ext uri="{FF2B5EF4-FFF2-40B4-BE49-F238E27FC236}">
              <a16:creationId xmlns:a16="http://schemas.microsoft.com/office/drawing/2014/main" id="{6711A01F-056A-CD2A-E4E6-F3BFA909F5EE}"/>
            </a:ext>
          </a:extLst>
        </xdr:cNvPr>
        <xdr:cNvSpPr/>
      </xdr:nvSpPr>
      <xdr:spPr>
        <a:xfrm>
          <a:off x="22682200" y="17373801"/>
          <a:ext cx="650541" cy="1869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416929</xdr:colOff>
      <xdr:row>125</xdr:row>
      <xdr:rowOff>135359</xdr:rowOff>
    </xdr:from>
    <xdr:to>
      <xdr:col>33</xdr:col>
      <xdr:colOff>280070</xdr:colOff>
      <xdr:row>127</xdr:row>
      <xdr:rowOff>18845</xdr:rowOff>
    </xdr:to>
    <xdr:sp macro="" textlink="">
      <xdr:nvSpPr>
        <xdr:cNvPr id="55" name="Signo más 54">
          <a:extLst>
            <a:ext uri="{FF2B5EF4-FFF2-40B4-BE49-F238E27FC236}">
              <a16:creationId xmlns:a16="http://schemas.microsoft.com/office/drawing/2014/main" id="{F7A1E658-2559-3847-6154-69FBD6C3DD50}"/>
            </a:ext>
          </a:extLst>
        </xdr:cNvPr>
        <xdr:cNvSpPr/>
      </xdr:nvSpPr>
      <xdr:spPr>
        <a:xfrm>
          <a:off x="22762579" y="17959809"/>
          <a:ext cx="650541" cy="1882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23913</xdr:colOff>
      <xdr:row>127</xdr:row>
      <xdr:rowOff>132585</xdr:rowOff>
    </xdr:from>
    <xdr:to>
      <xdr:col>33</xdr:col>
      <xdr:colOff>749301</xdr:colOff>
      <xdr:row>130</xdr:row>
      <xdr:rowOff>16677</xdr:rowOff>
    </xdr:to>
    <xdr:sp macro="" textlink="">
      <xdr:nvSpPr>
        <xdr:cNvPr id="56" name="Diagrama de flujo: proceso alternativo 55">
          <a:extLst>
            <a:ext uri="{FF2B5EF4-FFF2-40B4-BE49-F238E27FC236}">
              <a16:creationId xmlns:a16="http://schemas.microsoft.com/office/drawing/2014/main" id="{4BF7954B-9F78-EF4C-CA30-4C129BD969E0}"/>
            </a:ext>
          </a:extLst>
        </xdr:cNvPr>
        <xdr:cNvSpPr/>
      </xdr:nvSpPr>
      <xdr:spPr>
        <a:xfrm>
          <a:off x="22369563" y="18261835"/>
          <a:ext cx="1512788" cy="3476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-1</xdr:colOff>
      <xdr:row>134</xdr:row>
      <xdr:rowOff>118782</xdr:rowOff>
    </xdr:from>
    <xdr:to>
      <xdr:col>27</xdr:col>
      <xdr:colOff>911411</xdr:colOff>
      <xdr:row>137</xdr:row>
      <xdr:rowOff>29881</xdr:rowOff>
    </xdr:to>
    <xdr:sp macro="" textlink="">
      <xdr:nvSpPr>
        <xdr:cNvPr id="64" name="Diagrama de flujo: proceso alternativo 63">
          <a:extLst>
            <a:ext uri="{FF2B5EF4-FFF2-40B4-BE49-F238E27FC236}">
              <a16:creationId xmlns:a16="http://schemas.microsoft.com/office/drawing/2014/main" id="{F3F68B24-0DDC-DB70-0249-AD6C272496A3}"/>
            </a:ext>
          </a:extLst>
        </xdr:cNvPr>
        <xdr:cNvSpPr/>
      </xdr:nvSpPr>
      <xdr:spPr>
        <a:xfrm>
          <a:off x="16173449" y="19321182"/>
          <a:ext cx="2257612" cy="3492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312436</xdr:colOff>
      <xdr:row>133</xdr:row>
      <xdr:rowOff>0</xdr:rowOff>
    </xdr:from>
    <xdr:to>
      <xdr:col>27</xdr:col>
      <xdr:colOff>175577</xdr:colOff>
      <xdr:row>134</xdr:row>
      <xdr:rowOff>44246</xdr:rowOff>
    </xdr:to>
    <xdr:sp macro="" textlink="">
      <xdr:nvSpPr>
        <xdr:cNvPr id="65" name="Signo más 64">
          <a:extLst>
            <a:ext uri="{FF2B5EF4-FFF2-40B4-BE49-F238E27FC236}">
              <a16:creationId xmlns:a16="http://schemas.microsoft.com/office/drawing/2014/main" id="{60462A54-4169-AC06-5168-B1E32DA5EB6E}"/>
            </a:ext>
          </a:extLst>
        </xdr:cNvPr>
        <xdr:cNvSpPr/>
      </xdr:nvSpPr>
      <xdr:spPr>
        <a:xfrm>
          <a:off x="16485886" y="19056350"/>
          <a:ext cx="1209341" cy="1902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0</xdr:colOff>
      <xdr:row>139</xdr:row>
      <xdr:rowOff>118781</xdr:rowOff>
    </xdr:from>
    <xdr:to>
      <xdr:col>27</xdr:col>
      <xdr:colOff>911412</xdr:colOff>
      <xdr:row>144</xdr:row>
      <xdr:rowOff>127000</xdr:rowOff>
    </xdr:to>
    <xdr:sp macro="" textlink="">
      <xdr:nvSpPr>
        <xdr:cNvPr id="66" name="Diagrama de flujo: proceso alternativo 65">
          <a:extLst>
            <a:ext uri="{FF2B5EF4-FFF2-40B4-BE49-F238E27FC236}">
              <a16:creationId xmlns:a16="http://schemas.microsoft.com/office/drawing/2014/main" id="{347DE758-B9DF-B1DB-D38C-E655D178C87F}"/>
            </a:ext>
          </a:extLst>
        </xdr:cNvPr>
        <xdr:cNvSpPr/>
      </xdr:nvSpPr>
      <xdr:spPr>
        <a:xfrm>
          <a:off x="16173450" y="20051431"/>
          <a:ext cx="2257612" cy="7384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312437</xdr:colOff>
      <xdr:row>138</xdr:row>
      <xdr:rowOff>0</xdr:rowOff>
    </xdr:from>
    <xdr:to>
      <xdr:col>27</xdr:col>
      <xdr:colOff>175578</xdr:colOff>
      <xdr:row>139</xdr:row>
      <xdr:rowOff>44245</xdr:rowOff>
    </xdr:to>
    <xdr:sp macro="" textlink="">
      <xdr:nvSpPr>
        <xdr:cNvPr id="67" name="Signo más 66">
          <a:extLst>
            <a:ext uri="{FF2B5EF4-FFF2-40B4-BE49-F238E27FC236}">
              <a16:creationId xmlns:a16="http://schemas.microsoft.com/office/drawing/2014/main" id="{954A9E38-19C5-839A-FE0A-7E3A48A7CD7B}"/>
            </a:ext>
          </a:extLst>
        </xdr:cNvPr>
        <xdr:cNvSpPr/>
      </xdr:nvSpPr>
      <xdr:spPr>
        <a:xfrm>
          <a:off x="16485887" y="19786600"/>
          <a:ext cx="12093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403108</xdr:colOff>
      <xdr:row>130</xdr:row>
      <xdr:rowOff>3130</xdr:rowOff>
    </xdr:from>
    <xdr:to>
      <xdr:col>33</xdr:col>
      <xdr:colOff>266249</xdr:colOff>
      <xdr:row>131</xdr:row>
      <xdr:rowOff>43499</xdr:rowOff>
    </xdr:to>
    <xdr:sp macro="" textlink="">
      <xdr:nvSpPr>
        <xdr:cNvPr id="68" name="Signo más 67">
          <a:extLst>
            <a:ext uri="{FF2B5EF4-FFF2-40B4-BE49-F238E27FC236}">
              <a16:creationId xmlns:a16="http://schemas.microsoft.com/office/drawing/2014/main" id="{3B3DB953-9FD5-8943-6069-D1048F89E9EB}"/>
            </a:ext>
          </a:extLst>
        </xdr:cNvPr>
        <xdr:cNvSpPr/>
      </xdr:nvSpPr>
      <xdr:spPr>
        <a:xfrm>
          <a:off x="22748758" y="18595930"/>
          <a:ext cx="650541" cy="1864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10092</xdr:colOff>
      <xdr:row>132</xdr:row>
      <xdr:rowOff>7827</xdr:rowOff>
    </xdr:from>
    <xdr:to>
      <xdr:col>33</xdr:col>
      <xdr:colOff>735480</xdr:colOff>
      <xdr:row>135</xdr:row>
      <xdr:rowOff>74706</xdr:rowOff>
    </xdr:to>
    <xdr:sp macro="" textlink="">
      <xdr:nvSpPr>
        <xdr:cNvPr id="69" name="Diagrama de flujo: proceso alternativo 68">
          <a:extLst>
            <a:ext uri="{FF2B5EF4-FFF2-40B4-BE49-F238E27FC236}">
              <a16:creationId xmlns:a16="http://schemas.microsoft.com/office/drawing/2014/main" id="{C48BCAF2-D580-948B-B5CE-B5CEDD399EB5}"/>
            </a:ext>
          </a:extLst>
        </xdr:cNvPr>
        <xdr:cNvSpPr/>
      </xdr:nvSpPr>
      <xdr:spPr>
        <a:xfrm>
          <a:off x="22355742" y="18905427"/>
          <a:ext cx="1512788" cy="5177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400487</xdr:colOff>
      <xdr:row>135</xdr:row>
      <xdr:rowOff>82177</xdr:rowOff>
    </xdr:from>
    <xdr:to>
      <xdr:col>33</xdr:col>
      <xdr:colOff>263628</xdr:colOff>
      <xdr:row>136</xdr:row>
      <xdr:rowOff>122545</xdr:rowOff>
    </xdr:to>
    <xdr:sp macro="" textlink="">
      <xdr:nvSpPr>
        <xdr:cNvPr id="70" name="Signo más 69">
          <a:extLst>
            <a:ext uri="{FF2B5EF4-FFF2-40B4-BE49-F238E27FC236}">
              <a16:creationId xmlns:a16="http://schemas.microsoft.com/office/drawing/2014/main" id="{6923B9E1-4CCA-F4D2-5CB4-A654630862DF}"/>
            </a:ext>
          </a:extLst>
        </xdr:cNvPr>
        <xdr:cNvSpPr/>
      </xdr:nvSpPr>
      <xdr:spPr>
        <a:xfrm>
          <a:off x="22746137" y="19430627"/>
          <a:ext cx="650541" cy="1864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0</xdr:colOff>
      <xdr:row>137</xdr:row>
      <xdr:rowOff>4696</xdr:rowOff>
    </xdr:from>
    <xdr:to>
      <xdr:col>33</xdr:col>
      <xdr:colOff>725388</xdr:colOff>
      <xdr:row>141</xdr:row>
      <xdr:rowOff>29882</xdr:rowOff>
    </xdr:to>
    <xdr:sp macro="" textlink="">
      <xdr:nvSpPr>
        <xdr:cNvPr id="71" name="Diagrama de flujo: proceso alternativo 70">
          <a:extLst>
            <a:ext uri="{FF2B5EF4-FFF2-40B4-BE49-F238E27FC236}">
              <a16:creationId xmlns:a16="http://schemas.microsoft.com/office/drawing/2014/main" id="{C0E9059E-C60C-DFC7-A059-98450F12CE54}"/>
            </a:ext>
          </a:extLst>
        </xdr:cNvPr>
        <xdr:cNvSpPr/>
      </xdr:nvSpPr>
      <xdr:spPr>
        <a:xfrm>
          <a:off x="22345650" y="19645246"/>
          <a:ext cx="1512788" cy="6093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15875</xdr:colOff>
      <xdr:row>124</xdr:row>
      <xdr:rowOff>9525</xdr:rowOff>
    </xdr:from>
    <xdr:to>
      <xdr:col>34</xdr:col>
      <xdr:colOff>12700</xdr:colOff>
      <xdr:row>126</xdr:row>
      <xdr:rowOff>22225</xdr:rowOff>
    </xdr:to>
    <xdr:sp macro="" textlink="">
      <xdr:nvSpPr>
        <xdr:cNvPr id="72" name="Diagrama de flujo: proceso alternativo 71">
          <a:extLst>
            <a:ext uri="{FF2B5EF4-FFF2-40B4-BE49-F238E27FC236}">
              <a16:creationId xmlns:a16="http://schemas.microsoft.com/office/drawing/2014/main" id="{848CA1E6-D0F3-2C06-DC19-393757284421}"/>
            </a:ext>
          </a:extLst>
        </xdr:cNvPr>
        <xdr:cNvSpPr/>
      </xdr:nvSpPr>
      <xdr:spPr>
        <a:xfrm>
          <a:off x="22361525" y="17675225"/>
          <a:ext cx="1539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30</xdr:col>
      <xdr:colOff>19050</xdr:colOff>
      <xdr:row>30</xdr:row>
      <xdr:rowOff>146050</xdr:rowOff>
    </xdr:from>
    <xdr:to>
      <xdr:col>37</xdr:col>
      <xdr:colOff>742950</xdr:colOff>
      <xdr:row>54</xdr:row>
      <xdr:rowOff>101600</xdr:rowOff>
    </xdr:to>
    <xdr:graphicFrame macro="">
      <xdr:nvGraphicFramePr>
        <xdr:cNvPr id="718557" name="Gráfico 72">
          <a:extLst>
            <a:ext uri="{FF2B5EF4-FFF2-40B4-BE49-F238E27FC236}">
              <a16:creationId xmlns:a16="http://schemas.microsoft.com/office/drawing/2014/main" id="{8977EB40-D236-CB6F-7293-76CB04D5C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41</xdr:col>
      <xdr:colOff>768350</xdr:colOff>
      <xdr:row>59</xdr:row>
      <xdr:rowOff>6350</xdr:rowOff>
    </xdr:from>
    <xdr:to>
      <xdr:col>46</xdr:col>
      <xdr:colOff>12700</xdr:colOff>
      <xdr:row>80</xdr:row>
      <xdr:rowOff>57150</xdr:rowOff>
    </xdr:to>
    <xdr:graphicFrame macro="">
      <xdr:nvGraphicFramePr>
        <xdr:cNvPr id="718558" name="Gráfico 3">
          <a:extLst>
            <a:ext uri="{FF2B5EF4-FFF2-40B4-BE49-F238E27FC236}">
              <a16:creationId xmlns:a16="http://schemas.microsoft.com/office/drawing/2014/main" id="{1BED122E-896B-83C6-63A1-AECA25299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39</xdr:col>
      <xdr:colOff>0</xdr:colOff>
      <xdr:row>12</xdr:row>
      <xdr:rowOff>0</xdr:rowOff>
    </xdr:from>
    <xdr:to>
      <xdr:col>43</xdr:col>
      <xdr:colOff>742950</xdr:colOff>
      <xdr:row>28</xdr:row>
      <xdr:rowOff>0</xdr:rowOff>
    </xdr:to>
    <xdr:graphicFrame macro="">
      <xdr:nvGraphicFramePr>
        <xdr:cNvPr id="718559" name="Gráfico 2">
          <a:extLst>
            <a:ext uri="{FF2B5EF4-FFF2-40B4-BE49-F238E27FC236}">
              <a16:creationId xmlns:a16="http://schemas.microsoft.com/office/drawing/2014/main" id="{BF88363F-2151-4EF5-6B69-9801F85AB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43</xdr:col>
      <xdr:colOff>0</xdr:colOff>
      <xdr:row>30</xdr:row>
      <xdr:rowOff>0</xdr:rowOff>
    </xdr:from>
    <xdr:to>
      <xdr:col>50</xdr:col>
      <xdr:colOff>50800</xdr:colOff>
      <xdr:row>50</xdr:row>
      <xdr:rowOff>139700</xdr:rowOff>
    </xdr:to>
    <xdr:graphicFrame macro="">
      <xdr:nvGraphicFramePr>
        <xdr:cNvPr id="718560" name="Gráfico 59">
          <a:extLst>
            <a:ext uri="{FF2B5EF4-FFF2-40B4-BE49-F238E27FC236}">
              <a16:creationId xmlns:a16="http://schemas.microsoft.com/office/drawing/2014/main" id="{E6D5B111-0D63-893A-33EF-EEBEC0F7F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0.xml><?xml version="1.0" encoding="utf-8"?>
<c:userShapes xmlns:c="http://schemas.openxmlformats.org/drawingml/2006/chart">
  <cdr:relSizeAnchor xmlns:cdr="http://schemas.openxmlformats.org/drawingml/2006/chartDrawing">
    <cdr:from>
      <cdr:x>0.37654</cdr:x>
      <cdr:y>0</cdr:y>
    </cdr:from>
    <cdr:to>
      <cdr:x>0.83865</cdr:x>
      <cdr:y>0.2515</cdr:y>
    </cdr:to>
    <cdr:sp macro="" textlink="">
      <cdr:nvSpPr>
        <cdr:cNvPr id="2" name="CuadroTexto 1"/>
        <cdr:cNvSpPr txBox="1"/>
      </cdr:nvSpPr>
      <cdr:spPr>
        <a:xfrm xmlns:a="http://schemas.openxmlformats.org/drawingml/2006/main">
          <a:off x="1151895" y="0"/>
          <a:ext cx="1413662" cy="66302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60000"/>
                  <a:lumOff val="40000"/>
                </a:schemeClr>
              </a:solidFill>
              <a:effectLst/>
              <a:latin typeface="+mn-lt"/>
              <a:ea typeface="+mn-ea"/>
              <a:cs typeface="+mn-cs"/>
            </a:rPr>
            <a:t>Ingresos presupuestados </a:t>
          </a:r>
          <a:r>
            <a:rPr lang="es-419" sz="900" baseline="0">
              <a:solidFill>
                <a:schemeClr val="tx2">
                  <a:lumMod val="60000"/>
                  <a:lumOff val="40000"/>
                </a:schemeClr>
              </a:solidFill>
              <a:effectLst/>
              <a:latin typeface="+mn-lt"/>
              <a:ea typeface="+mn-ea"/>
              <a:cs typeface="+mn-cs"/>
            </a:rPr>
            <a:t>vs Ingresos ejecutados</a:t>
          </a:r>
        </a:p>
        <a:p xmlns:a="http://schemas.openxmlformats.org/drawingml/2006/main">
          <a:pPr algn="ctr"/>
          <a:r>
            <a:rPr lang="es-419" sz="900" baseline="0">
              <a:solidFill>
                <a:schemeClr val="tx2">
                  <a:lumMod val="60000"/>
                  <a:lumOff val="40000"/>
                </a:schemeClr>
              </a:solidFill>
              <a:effectLst/>
              <a:latin typeface="+mn-lt"/>
              <a:ea typeface="+mn-ea"/>
              <a:cs typeface="+mn-cs"/>
            </a:rPr>
            <a:t>Enero - abril 2025</a:t>
          </a:r>
          <a:endParaRPr lang="es-419" sz="900">
            <a:solidFill>
              <a:schemeClr val="tx2">
                <a:lumMod val="60000"/>
                <a:lumOff val="40000"/>
              </a:schemeClr>
            </a:solidFill>
            <a:effectLst/>
          </a:endParaRPr>
        </a:p>
      </cdr:txBody>
    </cdr:sp>
  </cdr:relSizeAnchor>
</c:userShapes>
</file>

<file path=xl/drawings/drawing31.xml><?xml version="1.0" encoding="utf-8"?>
<c:userShapes xmlns:c="http://schemas.openxmlformats.org/drawingml/2006/chart">
  <cdr:relSizeAnchor xmlns:cdr="http://schemas.openxmlformats.org/drawingml/2006/chartDrawing">
    <cdr:from>
      <cdr:x>0.39409</cdr:x>
      <cdr:y>0.23064</cdr:y>
    </cdr:from>
    <cdr:to>
      <cdr:x>0.82942</cdr:x>
      <cdr:y>0.50132</cdr:y>
    </cdr:to>
    <cdr:sp macro="" textlink="">
      <cdr:nvSpPr>
        <cdr:cNvPr id="2" name="CuadroTexto 1"/>
        <cdr:cNvSpPr txBox="1"/>
      </cdr:nvSpPr>
      <cdr:spPr>
        <a:xfrm xmlns:a="http://schemas.openxmlformats.org/drawingml/2006/main">
          <a:off x="1264701" y="599304"/>
          <a:ext cx="1397043" cy="7033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Enero-abril</a:t>
          </a:r>
          <a:r>
            <a:rPr lang="es-419" sz="900" b="1" baseline="0">
              <a:solidFill>
                <a:schemeClr val="tx2">
                  <a:lumMod val="50000"/>
                </a:schemeClr>
              </a:solidFill>
            </a:rPr>
            <a:t> 2025</a:t>
          </a:r>
          <a:endParaRPr lang="es-419" sz="900" b="1">
            <a:solidFill>
              <a:schemeClr val="tx2">
                <a:lumMod val="50000"/>
              </a:schemeClr>
            </a:solidFill>
          </a:endParaRPr>
        </a:p>
      </cdr:txBody>
    </cdr:sp>
  </cdr:relSizeAnchor>
</c:userShapes>
</file>

<file path=xl/drawings/drawing32.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33.xml><?xml version="1.0" encoding="utf-8"?>
<c:userShapes xmlns:c="http://schemas.openxmlformats.org/drawingml/2006/chart">
  <cdr:relSizeAnchor xmlns:cdr="http://schemas.openxmlformats.org/drawingml/2006/chartDrawing">
    <cdr:from>
      <cdr:x>0.43063</cdr:x>
      <cdr:y>0.02669</cdr:y>
    </cdr:from>
    <cdr:to>
      <cdr:x>0.82149</cdr:x>
      <cdr:y>0.28682</cdr:y>
    </cdr:to>
    <cdr:sp macro="" textlink="">
      <cdr:nvSpPr>
        <cdr:cNvPr id="2" name="CuadroTexto 1"/>
        <cdr:cNvSpPr txBox="1"/>
      </cdr:nvSpPr>
      <cdr:spPr>
        <a:xfrm xmlns:a="http://schemas.openxmlformats.org/drawingml/2006/main">
          <a:off x="1616075" y="56607"/>
          <a:ext cx="1466850" cy="55171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60000"/>
                  <a:lumOff val="40000"/>
                </a:schemeClr>
              </a:solidFill>
            </a:rPr>
            <a:t>Egresos presupuestados  vs Egresos presupuestados </a:t>
          </a:r>
        </a:p>
        <a:p xmlns:a="http://schemas.openxmlformats.org/drawingml/2006/main">
          <a:pPr algn="ctr"/>
          <a:r>
            <a:rPr lang="es-419" sz="900">
              <a:solidFill>
                <a:schemeClr val="tx2">
                  <a:lumMod val="60000"/>
                  <a:lumOff val="40000"/>
                </a:schemeClr>
              </a:solidFill>
            </a:rPr>
            <a:t>enero-diciembre 2023</a:t>
          </a:r>
        </a:p>
      </cdr:txBody>
    </cdr:sp>
  </cdr:relSizeAnchor>
</c:userShapes>
</file>

<file path=xl/drawings/drawing34.xml><?xml version="1.0" encoding="utf-8"?>
<c:userShapes xmlns:c="http://schemas.openxmlformats.org/drawingml/2006/chart">
  <cdr:relSizeAnchor xmlns:cdr="http://schemas.openxmlformats.org/drawingml/2006/chartDrawing">
    <cdr:from>
      <cdr:x>0.26678</cdr:x>
      <cdr:y>0.25553</cdr:y>
    </cdr:from>
    <cdr:to>
      <cdr:x>0.35335</cdr:x>
      <cdr:y>0.30095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0.2539</cdr:x>
      <cdr:y>0.28551</cdr:y>
    </cdr:from>
    <cdr:to>
      <cdr:x>0.36105</cdr:x>
      <cdr:y>0.34782</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35.xml><?xml version="1.0" encoding="utf-8"?>
<xdr:wsDr xmlns:xdr="http://schemas.openxmlformats.org/drawingml/2006/spreadsheetDrawing" xmlns:a="http://schemas.openxmlformats.org/drawingml/2006/main">
  <xdr:twoCellAnchor>
    <xdr:from>
      <xdr:col>0</xdr:col>
      <xdr:colOff>0</xdr:colOff>
      <xdr:row>29</xdr:row>
      <xdr:rowOff>31750</xdr:rowOff>
    </xdr:from>
    <xdr:to>
      <xdr:col>17</xdr:col>
      <xdr:colOff>647700</xdr:colOff>
      <xdr:row>38</xdr:row>
      <xdr:rowOff>88900</xdr:rowOff>
    </xdr:to>
    <xdr:graphicFrame macro="">
      <xdr:nvGraphicFramePr>
        <xdr:cNvPr id="178651" name="Gráfico 5">
          <a:extLst>
            <a:ext uri="{FF2B5EF4-FFF2-40B4-BE49-F238E27FC236}">
              <a16:creationId xmlns:a16="http://schemas.microsoft.com/office/drawing/2014/main" id="{9790B3E4-2C22-7A3F-AB1A-0BDD786F7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32</xdr:row>
      <xdr:rowOff>31750</xdr:rowOff>
    </xdr:from>
    <xdr:to>
      <xdr:col>18</xdr:col>
      <xdr:colOff>0</xdr:colOff>
      <xdr:row>41</xdr:row>
      <xdr:rowOff>12700</xdr:rowOff>
    </xdr:to>
    <xdr:graphicFrame macro="">
      <xdr:nvGraphicFramePr>
        <xdr:cNvPr id="178652" name="Gráfico 5">
          <a:extLst>
            <a:ext uri="{FF2B5EF4-FFF2-40B4-BE49-F238E27FC236}">
              <a16:creationId xmlns:a16="http://schemas.microsoft.com/office/drawing/2014/main" id="{E8E7537E-080B-FCD8-A7A5-B278C9BCD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29</xdr:row>
      <xdr:rowOff>31750</xdr:rowOff>
    </xdr:from>
    <xdr:to>
      <xdr:col>17</xdr:col>
      <xdr:colOff>647700</xdr:colOff>
      <xdr:row>38</xdr:row>
      <xdr:rowOff>88900</xdr:rowOff>
    </xdr:to>
    <xdr:graphicFrame macro="">
      <xdr:nvGraphicFramePr>
        <xdr:cNvPr id="178653" name="Gráfico 5">
          <a:extLst>
            <a:ext uri="{FF2B5EF4-FFF2-40B4-BE49-F238E27FC236}">
              <a16:creationId xmlns:a16="http://schemas.microsoft.com/office/drawing/2014/main" id="{A380FC24-0BF0-1831-FD19-5B0F2D3D9C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32</xdr:row>
      <xdr:rowOff>31750</xdr:rowOff>
    </xdr:from>
    <xdr:to>
      <xdr:col>18</xdr:col>
      <xdr:colOff>0</xdr:colOff>
      <xdr:row>41</xdr:row>
      <xdr:rowOff>12700</xdr:rowOff>
    </xdr:to>
    <xdr:graphicFrame macro="">
      <xdr:nvGraphicFramePr>
        <xdr:cNvPr id="178654" name="Gráfico 5">
          <a:extLst>
            <a:ext uri="{FF2B5EF4-FFF2-40B4-BE49-F238E27FC236}">
              <a16:creationId xmlns:a16="http://schemas.microsoft.com/office/drawing/2014/main" id="{3F5512DA-316A-2E93-3D2C-D6DCEF811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31750</xdr:rowOff>
    </xdr:from>
    <xdr:to>
      <xdr:col>17</xdr:col>
      <xdr:colOff>647700</xdr:colOff>
      <xdr:row>38</xdr:row>
      <xdr:rowOff>88900</xdr:rowOff>
    </xdr:to>
    <xdr:graphicFrame macro="">
      <xdr:nvGraphicFramePr>
        <xdr:cNvPr id="178655" name="Gráfico 5">
          <a:extLst>
            <a:ext uri="{FF2B5EF4-FFF2-40B4-BE49-F238E27FC236}">
              <a16:creationId xmlns:a16="http://schemas.microsoft.com/office/drawing/2014/main" id="{9F02655B-B20D-9789-AC9E-59AC86E3E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32</xdr:row>
      <xdr:rowOff>31750</xdr:rowOff>
    </xdr:from>
    <xdr:to>
      <xdr:col>18</xdr:col>
      <xdr:colOff>0</xdr:colOff>
      <xdr:row>41</xdr:row>
      <xdr:rowOff>12700</xdr:rowOff>
    </xdr:to>
    <xdr:graphicFrame macro="">
      <xdr:nvGraphicFramePr>
        <xdr:cNvPr id="178656" name="Gráfico 5">
          <a:extLst>
            <a:ext uri="{FF2B5EF4-FFF2-40B4-BE49-F238E27FC236}">
              <a16:creationId xmlns:a16="http://schemas.microsoft.com/office/drawing/2014/main" id="{039C4C24-4153-FA61-924F-B9615F83CE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6.xml><?xml version="1.0" encoding="utf-8"?>
<xdr:wsDr xmlns:xdr="http://schemas.openxmlformats.org/drawingml/2006/spreadsheetDrawing" xmlns:a="http://schemas.openxmlformats.org/drawingml/2006/main">
  <xdr:twoCellAnchor>
    <xdr:from>
      <xdr:col>7</xdr:col>
      <xdr:colOff>406400</xdr:colOff>
      <xdr:row>37</xdr:row>
      <xdr:rowOff>19050</xdr:rowOff>
    </xdr:from>
    <xdr:to>
      <xdr:col>37</xdr:col>
      <xdr:colOff>260350</xdr:colOff>
      <xdr:row>54</xdr:row>
      <xdr:rowOff>63500</xdr:rowOff>
    </xdr:to>
    <xdr:graphicFrame macro="">
      <xdr:nvGraphicFramePr>
        <xdr:cNvPr id="590864" name="Gráfico 1">
          <a:extLst>
            <a:ext uri="{FF2B5EF4-FFF2-40B4-BE49-F238E27FC236}">
              <a16:creationId xmlns:a16="http://schemas.microsoft.com/office/drawing/2014/main" id="{62528F5D-33C4-0642-B394-3001612F8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1</xdr:col>
      <xdr:colOff>12700</xdr:colOff>
      <xdr:row>27</xdr:row>
      <xdr:rowOff>12700</xdr:rowOff>
    </xdr:from>
    <xdr:to>
      <xdr:col>12</xdr:col>
      <xdr:colOff>57150</xdr:colOff>
      <xdr:row>42</xdr:row>
      <xdr:rowOff>25400</xdr:rowOff>
    </xdr:to>
    <xdr:graphicFrame macro="">
      <xdr:nvGraphicFramePr>
        <xdr:cNvPr id="589843" name="Gráfico 5">
          <a:extLst>
            <a:ext uri="{FF2B5EF4-FFF2-40B4-BE49-F238E27FC236}">
              <a16:creationId xmlns:a16="http://schemas.microsoft.com/office/drawing/2014/main" id="{8B4D784E-3411-8435-1329-F466BC49B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ILTDA/CONTAI/001/Balance%20de%20Prueba%20por%20Cuenta%20(Normal)%20%20Ene-31-20252222025214416.xlsx" TargetMode="External"/><Relationship Id="rId1" Type="http://schemas.openxmlformats.org/officeDocument/2006/relationships/externalLinkPath" Target="/ILTDA/CONTAI/001/Balance%20de%20Prueba%20por%20Cuenta%20(Normal)%20%20Ene-31-2025222202521441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DESCARGAS/Estados%20financieros%20febrero%202025/2-2025-URBANIZACION%20MONTEVERDI%20P.H.-ESTADOS%20FINANCIEROS%20FEBRERO%202025%20ADMON.xls" TargetMode="External"/><Relationship Id="rId1" Type="http://schemas.openxmlformats.org/officeDocument/2006/relationships/externalLinkPath" Target="/DESCARGAS/Estados%20financieros%20febrero%202025/2-2025-URBANIZACION%20MONTEVERDI%20P.H.-ESTADOS%20FINANCIEROS%20FEBRERO%202025%20ADMON.xls"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ONE%20DRIVE%20ARCHIVOS%202025/DESCARGAS/08-2025-VERSION%201-URBANIZACION%20MONTEVERDI%20P.H.-ESTADOS%20FINANCIEROS%20%20ADMON%20(4).xls" TargetMode="External"/><Relationship Id="rId2" Type="http://schemas.openxmlformats.org/officeDocument/2006/relationships/externalLinkPath" Target="file:///D:\ONE%20DRIVE%20ARCHIVOS%202025\DESCARGAS\08-2025-VERSION%201-URBANIZACION%20MONTEVERDI%20P.H.-ESTADOS%20FINANCIEROS%20%20ADMON%20(4).xls" TargetMode="External"/><Relationship Id="rId1" Type="http://schemas.openxmlformats.org/officeDocument/2006/relationships/externalLinkPath" Target="/ONE%20DRIVE%20ARCHIVOS%202025/DESCARGAS/08-2025-VERSION%201-URBANIZACION%20MONTEVERDI%20P.H.-ESTADOS%20FINANCIEROS%20%20ADMON%20(4).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COPIA%202023/ESCRITORIO%20TOTAL/2024%20monteverdi/2024%20administrativos/Reuniones%20de%20consejo%202024/03-2024-URBANIZACION%20MONTEVERDI%20P.H.-ESTADOS%20FINANCIEROS%20MARZO%202024-graficos.xls" TargetMode="External"/><Relationship Id="rId1" Type="http://schemas.openxmlformats.org/officeDocument/2006/relationships/externalLinkPath" Target="/COPIA%202023/ESCRITORIO%20TOTAL/2024%20monteverdi/2024%20administrativos/Reuniones%20de%20consejo%202024/03-2024-URBANIZACION%20MONTEVERDI%20P.H.-ESTADOS%20FINANCIEROS%20MARZO%202024-graficos.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COPIA%202023/ESCRITORIO%20TOTAL/2024%20monteverdi/FINANCIEROS/04-2024-URBANIZACION%20MONTEVERDI%20P.H.-ESTADOS%20FINANCIEROS%20ABRIL%202024.xls" TargetMode="External"/><Relationship Id="rId1" Type="http://schemas.openxmlformats.org/officeDocument/2006/relationships/externalLinkPath" Target="/COPIA%202023/ESCRITORIO%20TOTAL/2024%20monteverdi/FINANCIEROS/04-2024-URBANIZACION%20MONTEVERDI%20P.H.-ESTADOS%20FINANCIEROS%20ABRIL%202024.xls"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ONE%20DRIVE%20ARCHIVOS%202025/DESCARGAS/07-2025-VERSION%201-URBANIZACION%20MONTEVERDI%20P.H.-ESTADOS%20FINANCIEROS%20%20ADMON%20(1).xls" TargetMode="External"/><Relationship Id="rId2" Type="http://schemas.openxmlformats.org/officeDocument/2006/relationships/externalLinkPath" Target="file:///D:\ONE%20DRIVE%20ARCHIVOS%202025\DESCARGAS\07-2025-VERSION%201-URBANIZACION%20MONTEVERDI%20P.H.-ESTADOS%20FINANCIEROS%20%20ADMON%20(1).xls" TargetMode="External"/><Relationship Id="rId1" Type="http://schemas.openxmlformats.org/officeDocument/2006/relationships/externalLinkPath" Target="/ONE%20DRIVE%20ARCHIVOS%202025/DESCARGAS/07-2025-VERSION%201-URBANIZACION%20MONTEVERDI%20P.H.-ESTADOS%20FINANCIEROS%20%20ADMON%20(1).xls" TargetMode="External"/></Relationships>
</file>

<file path=xl/externalLinks/_rels/externalLink7.xml.rels><?xml version="1.0" encoding="UTF-8" standalone="yes"?>
<Relationships xmlns="http://schemas.openxmlformats.org/package/2006/relationships"><Relationship Id="rId3" Type="http://schemas.openxmlformats.org/officeDocument/2006/relationships/externalLinkPath" Target="../ONE%20DRIVE%20ARCHIVOS%202025/DESCARGAS/06-2025-VERSION%201-URBANIZACION%20MONTEVERDI%20P.H.-ESTADOS%20FINANCIEROS%20%20ADMON%20(1).xls" TargetMode="External"/><Relationship Id="rId2" Type="http://schemas.openxmlformats.org/officeDocument/2006/relationships/externalLinkPath" Target="file:///D:\ONE%20DRIVE%20ARCHIVOS%202025\DESCARGAS\06-2025-VERSION%201-URBANIZACION%20MONTEVERDI%20P.H.-ESTADOS%20FINANCIEROS%20%20ADMON%20(1).xls" TargetMode="External"/><Relationship Id="rId1" Type="http://schemas.openxmlformats.org/officeDocument/2006/relationships/externalLinkPath" Target="/ONE%20DRIVE%20ARCHIVOS%202025/DESCARGAS/06-2025-VERSION%201-URBANIZACION%20MONTEVERDI%20P.H.-ESTADOS%20FINANCIEROS%20%20ADMON%20(1).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Gabriela/Documents/MONTEVERDI-87/2025/05-2025/5-2025-2-URBANIZACION%20MONTEVERDI%20P.H.-ESTADOS%20FINANCIEROS%20ABRIL%202025%20ADMON.xls" TargetMode="External"/><Relationship Id="rId1" Type="http://schemas.openxmlformats.org/officeDocument/2006/relationships/externalLinkPath" Target="/Gabriela/Documents/MONTEVERDI-87/2025/05-2025/5-2025-2-URBANIZACION%20MONTEVERDI%20P.H.-ESTADOS%20FINANCIEROS%20ABRIL%202025%20ADMON.xls" TargetMode="External"/></Relationships>
</file>

<file path=xl/externalLinks/_rels/externalLink9.xml.rels><?xml version="1.0" encoding="UTF-8" standalone="yes"?>
<Relationships xmlns="http://schemas.openxmlformats.org/package/2006/relationships"><Relationship Id="rId3" Type="http://schemas.openxmlformats.org/officeDocument/2006/relationships/externalLinkPath" Target="../2025%20monteverdi/modelo%20de%20graficos%20estados%20financiero-%2000%20agost%202025%20rev.xls" TargetMode="External"/><Relationship Id="rId2" Type="http://schemas.openxmlformats.org/officeDocument/2006/relationships/externalLinkPath" Target="file:///D:\2025%20monteverdi\modelo%20de%20graficos%20estados%20financiero-%2000%20agost%202025%20rev.xls" TargetMode="External"/><Relationship Id="rId1" Type="http://schemas.openxmlformats.org/officeDocument/2006/relationships/externalLinkPath" Target="/2025%20monteverdi/modelo%20de%20graficos%20estados%20financiero-%2000%20agost%202025%20rev.xls" TargetMode="External"/></Relationships>
</file>

<file path=xl/externalLinks/_rels/externalLink10.xml.rels><?xml version="1.0" encoding="UTF-8" standalone="yes"?>
<Relationships xmlns="http://schemas.openxmlformats.org/package/2006/relationships"><Relationship Id="rId3" Type="http://schemas.openxmlformats.org/officeDocument/2006/relationships/externalLinkPath" Target="../2025%20monteverdi/Estados%20financieros%20julio%202025/07-2025-VERSION%201-URBANIZACION%20MONTEVERDI%20P.H.-ESTADOS%20FINANCIEROS%20%20ADMON%20(2).xls" TargetMode="External"/><Relationship Id="rId2" Type="http://schemas.openxmlformats.org/officeDocument/2006/relationships/externalLinkPath" Target="file:///D:\2025%20monteverdi\Estados%20financieros%20julio%202025\07-2025-VERSION%201-URBANIZACION%20MONTEVERDI%20P.H.-ESTADOS%20FINANCIEROS%20%20ADMON%20(2).xls" TargetMode="External"/><Relationship Id="rId1" Type="http://schemas.openxmlformats.org/officeDocument/2006/relationships/externalLinkPath" Target="/2025%20monteverdi/Estados%20financieros%20julio%202025/07-2025-VERSION%201-URBANIZACION%20MONTEVERDI%20P.H.-ESTADOS%20FINANCIEROS%20%20ADMON%2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d.docs.live.net/5c1630c389aad2fc/Desktop/2025%20Informacion%20Moneverdi/5-VERSION%201-2025-2-URBANIZACION%20MONTEVERDI%20P.H.-ESTADOS%20FINANCIEROS%20ABRIL%202025%20ADMON.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DESCARGAS/Estados%20financieros%20abril%202025/4-2025-3-URBANIZACION%20MONTEVERDI%20P.H.-ESTADOS%20FINANCIEROS%20ABRIL%202025%20ADMON.xls" TargetMode="External"/><Relationship Id="rId1" Type="http://schemas.openxmlformats.org/officeDocument/2006/relationships/externalLinkPath" Target="/DESCARGAS/Estados%20financieros%20abril%202025/4-2025-3-URBANIZACION%20MONTEVERDI%20P.H.-ESTADOS%20FINANCIEROS%20ABRIL%202025%20ADMON.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Gabriela/Documents/MONTEVERDI-87/2024/09-2024/09-2024-MOVIMIENTO%20PARA%20SEPTIEMBRE%20MONTEVERDI.xlsx" TargetMode="External"/><Relationship Id="rId1" Type="http://schemas.openxmlformats.org/officeDocument/2006/relationships/externalLinkPath" Target="/Gabriela/Documents/MONTEVERDI-87/2024/09-2024/09-2024-MOVIMIENTO%20PARA%20SEPTIEMBRE%20MONTEVERDI.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Gabriela/Documents/MONTEVERDI-87/2024/02-2024/2-2024--INFORMES%20CONTABLES%20MES%2002-2024.xlsx" TargetMode="External"/><Relationship Id="rId1" Type="http://schemas.openxmlformats.org/officeDocument/2006/relationships/externalLinkPath" Target="/Gabriela/Documents/MONTEVERDI-87/2024/02-2024/2-2024--INFORMES%20CONTABLES%20MES%2002-2024.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Users\Usuario\Documents\Desktop\2022%20MONTEVERDI\ASAMBLEA%202022\8.%20%2012-2021-INFORMES%20MES%20DIC2021-%20MONTEVERDI-verificados%20mes%20a%20mes%20contabildiad%20CUARTA%20REVISI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os"/>
    </sheetNames>
    <sheetDataSet>
      <sheetData sheetId="0" refreshError="1">
        <row r="24">
          <cell r="D24">
            <v>2714788</v>
          </cell>
        </row>
        <row r="61">
          <cell r="G61">
            <v>-44870833</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sheetData sheetId="1">
        <row r="64">
          <cell r="R64">
            <v>563544.10999999824</v>
          </cell>
        </row>
      </sheetData>
      <sheetData sheetId="2"/>
      <sheetData sheetId="3"/>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row r="38">
          <cell r="C38">
            <v>135159.06000000099</v>
          </cell>
        </row>
      </sheetData>
      <sheetData sheetId="1">
        <row r="68">
          <cell r="L68">
            <v>12057266.089999992</v>
          </cell>
        </row>
      </sheetData>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otas para Contadora"/>
      <sheetName val="ESFA"/>
      <sheetName val="Graf ESFA"/>
      <sheetName val="ESTADO DE RESULTADOS"/>
      <sheetName val="Grafic est resul mar 2024"/>
      <sheetName val="EJECUCION PRESUPUESTAL"/>
      <sheetName val="Sobre-Sub ejecuciones"/>
      <sheetName val="CXP"/>
      <sheetName val="Graf Cartera 2023"/>
      <sheetName val="FLUJO DE EFECTIVO"/>
      <sheetName val="Flujo caja marz"/>
      <sheetName val="SERVICIOS PUB."/>
      <sheetName val="INFORME ESPECIAL MENSUAL"/>
      <sheetName val="Acta abril 2 2024"/>
    </sheetNames>
    <sheetDataSet>
      <sheetData sheetId="0" refreshError="1"/>
      <sheetData sheetId="1" refreshError="1">
        <row r="22">
          <cell r="E22">
            <v>-503652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raf esfa"/>
      <sheetName val="ESFA"/>
      <sheetName val="ESTADO DE RESULTADOS"/>
      <sheetName val="Hoja3"/>
      <sheetName val="graf estad result"/>
      <sheetName val="EJECUCION PRESUPUESTAL"/>
      <sheetName val="CXP"/>
      <sheetName val="FLUJO DE CAJA MES"/>
      <sheetName val="SERVICIOS PUB."/>
      <sheetName val="INFORME ESPECIAL MENSUAL"/>
    </sheetNames>
    <sheetDataSet>
      <sheetData sheetId="0" refreshError="1"/>
      <sheetData sheetId="1" refreshError="1">
        <row r="51">
          <cell r="C51">
            <v>25473876.879999999</v>
          </cell>
          <cell r="E51">
            <v>29813541.060000002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row r="38">
          <cell r="C38">
            <v>274160.06</v>
          </cell>
        </row>
      </sheetData>
      <sheetData sheetId="1">
        <row r="65">
          <cell r="Q65">
            <v>248452.74</v>
          </cell>
        </row>
        <row r="68">
          <cell r="K68">
            <v>12102718.989999995</v>
          </cell>
        </row>
      </sheetData>
      <sheetData sheetId="2"/>
      <sheetData sheetId="3"/>
      <sheetData sheetId="4"/>
      <sheetData sheetId="5"/>
      <sheetData sheetId="6"/>
      <sheetData sheetId="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sheetData sheetId="1">
        <row r="11">
          <cell r="D11">
            <v>2766619.86</v>
          </cell>
          <cell r="Q11">
            <v>16661084</v>
          </cell>
        </row>
        <row r="12">
          <cell r="D12">
            <v>105000</v>
          </cell>
          <cell r="Q12">
            <v>990083</v>
          </cell>
        </row>
        <row r="13">
          <cell r="D13">
            <v>875000</v>
          </cell>
          <cell r="Q13">
            <v>3661946</v>
          </cell>
        </row>
        <row r="14">
          <cell r="D14">
            <v>150000</v>
          </cell>
          <cell r="Q14">
            <v>828038</v>
          </cell>
        </row>
        <row r="15">
          <cell r="D15">
            <v>991666.66666666663</v>
          </cell>
          <cell r="Q15">
            <v>4127644</v>
          </cell>
        </row>
        <row r="16">
          <cell r="D16">
            <v>49166.666666666664</v>
          </cell>
          <cell r="Q16">
            <v>140000</v>
          </cell>
        </row>
        <row r="17">
          <cell r="D17">
            <v>202498.33333333334</v>
          </cell>
          <cell r="Q17">
            <v>1242360</v>
          </cell>
        </row>
        <row r="18">
          <cell r="D18">
            <v>0</v>
          </cell>
          <cell r="Q18">
            <v>350000</v>
          </cell>
        </row>
        <row r="19">
          <cell r="D19">
            <v>5139951.5266666664</v>
          </cell>
        </row>
        <row r="20">
          <cell r="D20">
            <v>0</v>
          </cell>
        </row>
        <row r="21">
          <cell r="D21">
            <v>13235866.012500003</v>
          </cell>
          <cell r="Q21">
            <v>78818961</v>
          </cell>
        </row>
        <row r="22">
          <cell r="D22">
            <v>331422.58333333331</v>
          </cell>
          <cell r="Q22">
            <v>1751531</v>
          </cell>
        </row>
        <row r="23">
          <cell r="D23">
            <v>1464796.5</v>
          </cell>
          <cell r="Q23">
            <v>8121508</v>
          </cell>
        </row>
        <row r="24">
          <cell r="D24">
            <v>111750.52</v>
          </cell>
          <cell r="Q24">
            <v>1198860</v>
          </cell>
        </row>
        <row r="25">
          <cell r="D25">
            <v>162500</v>
          </cell>
          <cell r="Q25">
            <v>698530</v>
          </cell>
        </row>
        <row r="26">
          <cell r="D26">
            <v>159166.66666666666</v>
          </cell>
          <cell r="Q26">
            <v>643387</v>
          </cell>
        </row>
        <row r="27">
          <cell r="D27">
            <v>31000</v>
          </cell>
          <cell r="Q27">
            <v>0</v>
          </cell>
        </row>
        <row r="28">
          <cell r="D28">
            <v>61666.666666666664</v>
          </cell>
          <cell r="Q28">
            <v>138500</v>
          </cell>
        </row>
        <row r="29">
          <cell r="D29">
            <v>294424</v>
          </cell>
          <cell r="Q29">
            <v>1766544</v>
          </cell>
        </row>
        <row r="30">
          <cell r="D30">
            <v>15852592.94916667</v>
          </cell>
          <cell r="Q30">
            <v>93137821</v>
          </cell>
        </row>
        <row r="31">
          <cell r="D31">
            <v>0</v>
          </cell>
          <cell r="Q31" t="str">
            <v xml:space="preserve"> </v>
          </cell>
        </row>
        <row r="32">
          <cell r="D32">
            <v>0</v>
          </cell>
          <cell r="Q32">
            <v>179214</v>
          </cell>
        </row>
        <row r="33">
          <cell r="D33">
            <v>0</v>
          </cell>
          <cell r="Q33">
            <v>515365</v>
          </cell>
        </row>
        <row r="34">
          <cell r="D34">
            <v>0</v>
          </cell>
          <cell r="Q34">
            <v>694579</v>
          </cell>
        </row>
        <row r="35">
          <cell r="D35">
            <v>0</v>
          </cell>
          <cell r="Q35" t="str">
            <v xml:space="preserve"> </v>
          </cell>
        </row>
        <row r="36">
          <cell r="D36">
            <v>214000.125</v>
          </cell>
          <cell r="Q36">
            <v>1377102</v>
          </cell>
        </row>
        <row r="37">
          <cell r="D37">
            <v>3186458.3333333335</v>
          </cell>
          <cell r="Q37">
            <v>17021032.879999999</v>
          </cell>
        </row>
        <row r="38">
          <cell r="D38">
            <v>291666.66666666669</v>
          </cell>
          <cell r="Q38">
            <v>1339572</v>
          </cell>
        </row>
        <row r="39">
          <cell r="D39">
            <v>50333.333333333336</v>
          </cell>
          <cell r="Q39">
            <v>324269</v>
          </cell>
        </row>
        <row r="40">
          <cell r="D40">
            <v>100988</v>
          </cell>
          <cell r="Q40">
            <v>55250</v>
          </cell>
        </row>
        <row r="41">
          <cell r="D41">
            <v>66666.666666666672</v>
          </cell>
          <cell r="Q41">
            <v>592522</v>
          </cell>
        </row>
        <row r="42">
          <cell r="D42">
            <v>1354200</v>
          </cell>
          <cell r="Q42">
            <v>6771000</v>
          </cell>
        </row>
        <row r="43">
          <cell r="Q43">
            <v>472500</v>
          </cell>
        </row>
        <row r="44">
          <cell r="D44">
            <v>5264313.125</v>
          </cell>
          <cell r="Q44">
            <v>27953247.879999999</v>
          </cell>
        </row>
        <row r="45">
          <cell r="D45" t="str">
            <v xml:space="preserve"> </v>
          </cell>
        </row>
        <row r="46">
          <cell r="D46">
            <v>2566487.25</v>
          </cell>
          <cell r="Q46">
            <v>15399525</v>
          </cell>
        </row>
        <row r="47">
          <cell r="D47">
            <v>534451.75</v>
          </cell>
          <cell r="Q47">
            <v>3206406</v>
          </cell>
        </row>
        <row r="48">
          <cell r="D48">
            <v>44538.75</v>
          </cell>
          <cell r="Q48">
            <v>534565</v>
          </cell>
        </row>
        <row r="49">
          <cell r="D49">
            <v>50325.25</v>
          </cell>
          <cell r="Q49">
            <v>302064</v>
          </cell>
        </row>
        <row r="50">
          <cell r="D50">
            <v>16666.666666666668</v>
          </cell>
          <cell r="Q50">
            <v>20000</v>
          </cell>
        </row>
        <row r="51">
          <cell r="D51">
            <v>30000</v>
          </cell>
          <cell r="Q51">
            <v>58060</v>
          </cell>
        </row>
        <row r="52">
          <cell r="D52">
            <v>12500</v>
          </cell>
          <cell r="Q52">
            <v>4500</v>
          </cell>
        </row>
        <row r="53">
          <cell r="D53">
            <v>225000</v>
          </cell>
          <cell r="Q53">
            <v>1083824.72</v>
          </cell>
        </row>
        <row r="54">
          <cell r="D54">
            <v>0</v>
          </cell>
          <cell r="Q54">
            <v>-655</v>
          </cell>
        </row>
        <row r="55">
          <cell r="D55">
            <v>0</v>
          </cell>
          <cell r="Q55">
            <v>0</v>
          </cell>
        </row>
        <row r="56">
          <cell r="Q56">
            <v>20608289.719999999</v>
          </cell>
        </row>
        <row r="57">
          <cell r="Q57">
            <v>170395092.59999999</v>
          </cell>
        </row>
        <row r="66">
          <cell r="Q66">
            <v>10687867.490000006</v>
          </cell>
        </row>
      </sheetData>
      <sheetData sheetId="2"/>
      <sheetData sheetId="3"/>
      <sheetData sheetId="4"/>
      <sheetData sheetId="5"/>
      <sheetData sheetId="6"/>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refreshError="1"/>
      <sheetData sheetId="1" refreshError="1">
        <row r="65">
          <cell r="T65">
            <v>7171827.2175000198</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feb 2025"/>
      <sheetName val="ESFA abril 2025"/>
      <sheetName val="GRAFICOS ESFA 2025"/>
      <sheetName val="ESFA AGOS 2025"/>
      <sheetName val="TABLA ESFA 2025"/>
      <sheetName val="ESFA JUL 2025"/>
      <sheetName val="ESFA JUN 2025"/>
      <sheetName val="ESFA JUN GRAF 2025"/>
      <sheetName val="ESTAD RESUL JUN"/>
      <sheetName val="ESFA GRAF 2025"/>
      <sheetName val="GRAF ESTAD RESUL2025"/>
      <sheetName val="Sub-Sobre e"/>
      <sheetName val="Sub.Sobre ejec agos"/>
      <sheetName val="Sobre-sub ejec a jul"/>
      <sheetName val="Estad resul agost 2025"/>
      <sheetName val="TABLA ESTAD RESUL 2025"/>
      <sheetName val="Graf Cartera 2025 Contab"/>
      <sheetName val="Tabla cartera"/>
      <sheetName val="Notas agost"/>
      <sheetName val="Notas Julio 2025"/>
      <sheetName val="Proyecc Flujo de caja 2025"/>
      <sheetName val="Hoja2"/>
      <sheetName val="ESTAD RESUL JULIO 2025"/>
      <sheetName val="ESTAD RESUL GRAF JUN"/>
      <sheetName val="EJEC PRESUP JUN"/>
      <sheetName val="EJEC PRES GRAF"/>
      <sheetName val="ESFA MAY 2025"/>
      <sheetName val="ESFA MAY GRAF"/>
      <sheetName val="ESTAD RESULT MAY"/>
      <sheetName val="ESTAD RESUL GRAF MAY"/>
      <sheetName val="ESTAD RESULT graf abr"/>
      <sheetName val="EJEC PRESUPabr"/>
      <sheetName val="SERVICIOS PUB."/>
      <sheetName val="Notas balance may"/>
      <sheetName val="NOTAS BALANCE abr"/>
      <sheetName val="FLUJO DE CAJA MES"/>
      <sheetName val="Cartera 2024 CONT "/>
      <sheetName val="Cartera 2024"/>
      <sheetName val="INFORME ESPECIAL MENSUAL"/>
      <sheetName val="CONCILIACION BANC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32">
          <cell r="AB32" t="str">
            <v xml:space="preserve">Seguridad </v>
          </cell>
          <cell r="AC32">
            <v>126820743.59333336</v>
          </cell>
        </row>
        <row r="33">
          <cell r="AB33" t="str">
            <v>Seguridad Ejecutada</v>
          </cell>
          <cell r="AC33">
            <v>123989061</v>
          </cell>
        </row>
        <row r="34">
          <cell r="AB34" t="str">
            <v>Diferencia</v>
          </cell>
          <cell r="AC34">
            <v>2831682.5933333635</v>
          </cell>
        </row>
        <row r="36">
          <cell r="AB36" t="str">
            <v>Mantenimiento Ppto</v>
          </cell>
          <cell r="AC36">
            <v>41119612.213333331</v>
          </cell>
        </row>
        <row r="37">
          <cell r="AB37" t="str">
            <v>Mantenimiento Ejecutado</v>
          </cell>
          <cell r="AC37">
            <v>37957243</v>
          </cell>
        </row>
        <row r="38">
          <cell r="AB38" t="str">
            <v>Diferencia</v>
          </cell>
          <cell r="AC38">
            <v>3162369.213333331</v>
          </cell>
        </row>
        <row r="40">
          <cell r="AB40" t="str">
            <v>Ambiental Ppto</v>
          </cell>
          <cell r="AC40">
            <v>42114505</v>
          </cell>
        </row>
        <row r="41">
          <cell r="AB41" t="str">
            <v>Ambiental Ejecutada</v>
          </cell>
          <cell r="AC41">
            <v>40064192.879999995</v>
          </cell>
        </row>
        <row r="42">
          <cell r="AB42" t="str">
            <v>Diferencia</v>
          </cell>
          <cell r="AC42">
            <v>2050312.1200000048</v>
          </cell>
        </row>
        <row r="44">
          <cell r="AB44" t="str">
            <v>Administrativos Ppto</v>
          </cell>
          <cell r="AC44">
            <v>27839757.333333332</v>
          </cell>
        </row>
        <row r="45">
          <cell r="AB45" t="str">
            <v>Administrativo Ejectutado</v>
          </cell>
          <cell r="AC45">
            <v>27302121.32</v>
          </cell>
        </row>
        <row r="46">
          <cell r="AB46" t="str">
            <v>Diferencia</v>
          </cell>
          <cell r="AC46">
            <v>537636.01333333179</v>
          </cell>
        </row>
        <row r="48">
          <cell r="AB48" t="str">
            <v>Convivencia ppto</v>
          </cell>
          <cell r="AC48">
            <v>0</v>
          </cell>
        </row>
        <row r="49">
          <cell r="AB49" t="str">
            <v>Convivencia Ejec</v>
          </cell>
          <cell r="AC49">
            <v>515365</v>
          </cell>
        </row>
      </sheetData>
      <sheetData sheetId="16"/>
      <sheetData sheetId="17"/>
      <sheetData sheetId="18"/>
      <sheetData sheetId="19"/>
      <sheetData sheetId="20"/>
      <sheetData sheetId="21"/>
      <sheetData sheetId="22"/>
      <sheetData sheetId="23">
        <row r="10">
          <cell r="AC10">
            <v>178420963.5</v>
          </cell>
          <cell r="AH10" t="str">
            <v>Egresos operacionales presupuestados</v>
          </cell>
          <cell r="AK10">
            <v>178420963.60500002</v>
          </cell>
        </row>
        <row r="11">
          <cell r="AC11">
            <v>178413504</v>
          </cell>
          <cell r="AH11" t="str">
            <v>Egresos operacionales reales</v>
          </cell>
          <cell r="AK11">
            <v>170395092.59999999</v>
          </cell>
        </row>
        <row r="12">
          <cell r="AC12">
            <v>7459.5</v>
          </cell>
          <cell r="AH12" t="str">
            <v>Diferencia</v>
          </cell>
          <cell r="AK12">
            <v>8025871.005000025</v>
          </cell>
        </row>
      </sheetData>
      <sheetData sheetId="24"/>
      <sheetData sheetId="25"/>
      <sheetData sheetId="26"/>
      <sheetData sheetId="27"/>
      <sheetData sheetId="28"/>
      <sheetData sheetId="29">
        <row r="10">
          <cell r="AA10" t="str">
            <v>Ingresos presupuestados</v>
          </cell>
        </row>
        <row r="11">
          <cell r="AA11" t="str">
            <v>Ingresos ejecutados</v>
          </cell>
        </row>
        <row r="12">
          <cell r="AA12" t="str">
            <v>Ingresos marginales</v>
          </cell>
        </row>
      </sheetData>
      <sheetData sheetId="30">
        <row r="58">
          <cell r="AG58">
            <v>0.16025186355848939</v>
          </cell>
        </row>
        <row r="60">
          <cell r="AG60">
            <v>0.52235986015946412</v>
          </cell>
        </row>
        <row r="62">
          <cell r="AG62">
            <v>0.15601691125353381</v>
          </cell>
        </row>
        <row r="65">
          <cell r="AG65">
            <v>0.11576512369825998</v>
          </cell>
        </row>
      </sheetData>
      <sheetData sheetId="31"/>
      <sheetData sheetId="32"/>
      <sheetData sheetId="33"/>
      <sheetData sheetId="34"/>
      <sheetData sheetId="35"/>
      <sheetData sheetId="36"/>
      <sheetData sheetId="37"/>
      <sheetData sheetId="38"/>
      <sheetData sheetId="3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row r="38">
          <cell r="C38">
            <v>274160.06</v>
          </cell>
        </row>
      </sheetData>
      <sheetData sheetId="1"/>
      <sheetData sheetId="2"/>
      <sheetData sheetId="3"/>
      <sheetData sheetId="4"/>
      <sheetData sheetId="5"/>
      <sheetData sheetId="6"/>
      <sheetData sheetId="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sheetData sheetId="1">
        <row r="65">
          <cell r="R65">
            <v>7171827.1300000064</v>
          </cell>
        </row>
      </sheetData>
      <sheetData sheetId="2"/>
      <sheetData sheetId="3"/>
      <sheetData sheetId="4"/>
      <sheetData sheetId="5"/>
      <sheetData sheetId="6"/>
      <sheetData sheetId="7"/>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SFA"/>
      <sheetName val="ESTADO DE RESULTADOS"/>
      <sheetName val="EJECUCION PRESUPUESTAL"/>
      <sheetName val="NOTAS BALANCE abril"/>
      <sheetName val="FLUJO DE CAJA MES"/>
      <sheetName val="SERVICIOS PUB."/>
      <sheetName val="INFORME ESPECIAL GASTO MENSUAL"/>
      <sheetName val="CONCILIACION BANCO"/>
    </sheetNames>
    <sheetDataSet>
      <sheetData sheetId="0"/>
      <sheetData sheetId="1">
        <row r="11">
          <cell r="D11">
            <v>2766619.86</v>
          </cell>
          <cell r="R11">
            <v>11066476</v>
          </cell>
        </row>
        <row r="12">
          <cell r="D12">
            <v>105000</v>
          </cell>
          <cell r="R12">
            <v>774333</v>
          </cell>
        </row>
        <row r="13">
          <cell r="D13">
            <v>875000</v>
          </cell>
          <cell r="R13">
            <v>2444083</v>
          </cell>
        </row>
        <row r="14">
          <cell r="D14">
            <v>150000</v>
          </cell>
          <cell r="R14">
            <v>700038</v>
          </cell>
        </row>
        <row r="15">
          <cell r="D15">
            <v>991666.66666666663</v>
          </cell>
          <cell r="R15">
            <v>2939771</v>
          </cell>
        </row>
        <row r="16">
          <cell r="D16">
            <v>49166.666666666664</v>
          </cell>
          <cell r="R16">
            <v>140000</v>
          </cell>
        </row>
        <row r="17">
          <cell r="D17">
            <v>202498.33333333334</v>
          </cell>
          <cell r="R17">
            <v>996030</v>
          </cell>
        </row>
        <row r="18">
          <cell r="D18">
            <v>5139951.5266666664</v>
          </cell>
          <cell r="R18">
            <v>19060731</v>
          </cell>
        </row>
        <row r="19">
          <cell r="D19">
            <v>0</v>
          </cell>
        </row>
        <row r="20">
          <cell r="D20">
            <v>13235866.012500003</v>
          </cell>
          <cell r="R20">
            <v>52545974</v>
          </cell>
        </row>
        <row r="21">
          <cell r="D21">
            <v>331422.58333333331</v>
          </cell>
          <cell r="R21">
            <v>1751531</v>
          </cell>
        </row>
        <row r="22">
          <cell r="D22">
            <v>1464796.5</v>
          </cell>
          <cell r="R22">
            <v>5191916</v>
          </cell>
        </row>
        <row r="23">
          <cell r="D23">
            <v>111750.52</v>
          </cell>
          <cell r="R23">
            <v>975360</v>
          </cell>
        </row>
        <row r="24">
          <cell r="D24">
            <v>162500</v>
          </cell>
          <cell r="R24">
            <v>0</v>
          </cell>
        </row>
        <row r="25">
          <cell r="D25">
            <v>159166.66666666666</v>
          </cell>
          <cell r="R25">
            <v>338000</v>
          </cell>
        </row>
        <row r="26">
          <cell r="D26">
            <v>31000</v>
          </cell>
          <cell r="R26">
            <v>0</v>
          </cell>
        </row>
        <row r="27">
          <cell r="D27">
            <v>61666.666666666664</v>
          </cell>
          <cell r="R27">
            <v>138500</v>
          </cell>
        </row>
        <row r="28">
          <cell r="D28">
            <v>294424</v>
          </cell>
          <cell r="R28">
            <v>1189421</v>
          </cell>
        </row>
        <row r="29">
          <cell r="D29">
            <v>15852592.94916667</v>
          </cell>
          <cell r="R29">
            <v>62130702</v>
          </cell>
        </row>
        <row r="30">
          <cell r="D30">
            <v>0</v>
          </cell>
          <cell r="R30" t="str">
            <v xml:space="preserve"> </v>
          </cell>
        </row>
        <row r="31">
          <cell r="D31">
            <v>0</v>
          </cell>
          <cell r="R31">
            <v>0</v>
          </cell>
        </row>
        <row r="32">
          <cell r="D32">
            <v>0</v>
          </cell>
          <cell r="R32">
            <v>338650</v>
          </cell>
        </row>
        <row r="33">
          <cell r="D33">
            <v>0</v>
          </cell>
          <cell r="R33">
            <v>338650</v>
          </cell>
        </row>
        <row r="34">
          <cell r="D34">
            <v>0</v>
          </cell>
          <cell r="R34" t="str">
            <v xml:space="preserve"> </v>
          </cell>
        </row>
        <row r="35">
          <cell r="D35">
            <v>214000.125</v>
          </cell>
          <cell r="R35">
            <v>595450</v>
          </cell>
        </row>
        <row r="36">
          <cell r="D36">
            <v>3186458.3333333335</v>
          </cell>
          <cell r="R36">
            <v>11014163.879999999</v>
          </cell>
        </row>
        <row r="37">
          <cell r="D37">
            <v>291666.66666666669</v>
          </cell>
          <cell r="R37">
            <v>872419</v>
          </cell>
        </row>
        <row r="38">
          <cell r="D38">
            <v>50333.333333333336</v>
          </cell>
          <cell r="R38">
            <v>212387</v>
          </cell>
        </row>
        <row r="39">
          <cell r="D39">
            <v>100988</v>
          </cell>
          <cell r="R39">
            <v>55250</v>
          </cell>
        </row>
        <row r="40">
          <cell r="D40">
            <v>66666.666666666672</v>
          </cell>
          <cell r="R40">
            <v>390546</v>
          </cell>
        </row>
        <row r="41">
          <cell r="D41">
            <v>1354200</v>
          </cell>
          <cell r="R41">
            <v>5416800</v>
          </cell>
        </row>
        <row r="42">
          <cell r="D42">
            <v>5264313.125</v>
          </cell>
          <cell r="R42">
            <v>18557015.879999999</v>
          </cell>
        </row>
        <row r="43">
          <cell r="D43" t="str">
            <v xml:space="preserve"> </v>
          </cell>
        </row>
        <row r="44">
          <cell r="D44">
            <v>2566487.25</v>
          </cell>
          <cell r="R44">
            <v>10266551</v>
          </cell>
        </row>
        <row r="45">
          <cell r="D45">
            <v>534451.75</v>
          </cell>
          <cell r="R45">
            <v>2137702</v>
          </cell>
        </row>
        <row r="46">
          <cell r="D46">
            <v>44538.75</v>
          </cell>
          <cell r="R46">
            <v>0</v>
          </cell>
        </row>
        <row r="47">
          <cell r="D47">
            <v>50325.25</v>
          </cell>
          <cell r="R47">
            <v>201376</v>
          </cell>
        </row>
        <row r="48">
          <cell r="D48">
            <v>16666.666666666668</v>
          </cell>
          <cell r="R48">
            <v>20000</v>
          </cell>
        </row>
        <row r="49">
          <cell r="D49">
            <v>30000</v>
          </cell>
          <cell r="R49">
            <v>31030</v>
          </cell>
        </row>
        <row r="50">
          <cell r="D50">
            <v>12500</v>
          </cell>
          <cell r="R50">
            <v>4500</v>
          </cell>
        </row>
        <row r="51">
          <cell r="D51">
            <v>225000</v>
          </cell>
          <cell r="R51">
            <v>756983.24</v>
          </cell>
        </row>
        <row r="52">
          <cell r="D52">
            <v>0</v>
          </cell>
          <cell r="R52">
            <v>1232</v>
          </cell>
        </row>
        <row r="53">
          <cell r="D53">
            <v>0</v>
          </cell>
          <cell r="R53">
            <v>0</v>
          </cell>
        </row>
        <row r="54">
          <cell r="D54">
            <v>0</v>
          </cell>
          <cell r="R54">
            <v>350000</v>
          </cell>
        </row>
        <row r="55">
          <cell r="R55">
            <v>13769374.24</v>
          </cell>
        </row>
        <row r="56">
          <cell r="R56">
            <v>113856473.12</v>
          </cell>
        </row>
      </sheetData>
      <sheetData sheetId="2"/>
      <sheetData sheetId="3"/>
      <sheetData sheetId="4"/>
      <sheetData sheetId="5"/>
      <sheetData sheetId="6"/>
      <sheetData sheetId="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PTIEMBRE 2024"/>
      <sheetName val="AGOSTO 2024"/>
    </sheetNames>
    <sheetDataSet>
      <sheetData sheetId="0" refreshError="1">
        <row r="128">
          <cell r="I128">
            <v>16192</v>
          </cell>
        </row>
        <row r="129">
          <cell r="I129">
            <v>9047</v>
          </cell>
        </row>
        <row r="130">
          <cell r="I130">
            <v>451423</v>
          </cell>
        </row>
        <row r="132">
          <cell r="I132">
            <v>293595</v>
          </cell>
        </row>
      </sheetData>
      <sheetData sheetId="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LASIFICACION PPTO"/>
      <sheetName val="EJECUCION 2021 4TA REV CONTAD"/>
      <sheetName val="GRAFIC EJEC 2021  4ta Rev cont"/>
      <sheetName val="PPTA PPTO BASE(PROM MES) 2022"/>
      <sheetName val="ACTA FEB 2022"/>
      <sheetName val="COMENTARIOS ADMON"/>
      <sheetName val="EJECUCION"/>
      <sheetName val="-ESFA-"/>
      <sheetName val="PYG MENSUAL"/>
      <sheetName val="GASTOS MES"/>
      <sheetName val="FLUJO DE CAJA"/>
      <sheetName val="CARTERA"/>
      <sheetName val="CONCILIACIONES BANCARIAS"/>
      <sheetName val="SERVICIOS PUBLICOS"/>
      <sheetName val="ESCENARIO base"/>
      <sheetName val="PTA PPTO BASE PROMED MES 2022"/>
      <sheetName val="ESCENARIO 2"/>
      <sheetName val="PPTA PPTO 2022 ASAMBLEA"/>
      <sheetName val="PPTO BASE 202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5">
          <cell r="C5" t="str">
            <v>M3</v>
          </cell>
          <cell r="D5" t="str">
            <v xml:space="preserve">valor  </v>
          </cell>
          <cell r="M5" t="str">
            <v>Total KW</v>
          </cell>
          <cell r="N5" t="str">
            <v>Total Energia</v>
          </cell>
        </row>
        <row r="7">
          <cell r="A7" t="str">
            <v>ENERO</v>
          </cell>
          <cell r="C7">
            <v>24</v>
          </cell>
          <cell r="D7">
            <v>55531</v>
          </cell>
          <cell r="M7">
            <v>3372</v>
          </cell>
          <cell r="N7">
            <v>2530820</v>
          </cell>
        </row>
        <row r="8">
          <cell r="A8" t="str">
            <v>FEBRERO</v>
          </cell>
          <cell r="C8">
            <v>35</v>
          </cell>
          <cell r="D8">
            <v>81600</v>
          </cell>
          <cell r="M8">
            <v>2903</v>
          </cell>
          <cell r="N8">
            <v>2195597</v>
          </cell>
        </row>
        <row r="9">
          <cell r="A9" t="str">
            <v>MARZO</v>
          </cell>
          <cell r="C9">
            <v>65</v>
          </cell>
          <cell r="D9">
            <v>167528</v>
          </cell>
          <cell r="M9">
            <v>2668</v>
          </cell>
          <cell r="N9">
            <v>1839555</v>
          </cell>
        </row>
        <row r="10">
          <cell r="A10" t="str">
            <v>ABRIL</v>
          </cell>
          <cell r="C10">
            <v>22</v>
          </cell>
          <cell r="D10">
            <v>67865</v>
          </cell>
          <cell r="M10">
            <v>2321</v>
          </cell>
          <cell r="N10">
            <v>1680950</v>
          </cell>
        </row>
        <row r="11">
          <cell r="A11" t="str">
            <v>MAYO</v>
          </cell>
          <cell r="D11">
            <v>67865</v>
          </cell>
          <cell r="N11">
            <v>1680950</v>
          </cell>
        </row>
        <row r="12">
          <cell r="A12" t="str">
            <v>JUNIO</v>
          </cell>
          <cell r="D12">
            <v>57800</v>
          </cell>
          <cell r="N12">
            <v>2404624</v>
          </cell>
        </row>
        <row r="13">
          <cell r="A13" t="str">
            <v>JULIO</v>
          </cell>
          <cell r="D13">
            <v>23691</v>
          </cell>
          <cell r="N13">
            <v>2232942</v>
          </cell>
        </row>
        <row r="14">
          <cell r="A14" t="str">
            <v>AGOSTO</v>
          </cell>
          <cell r="D14">
            <v>122529</v>
          </cell>
          <cell r="N14">
            <v>2103831</v>
          </cell>
        </row>
        <row r="15">
          <cell r="A15" t="str">
            <v>SEP</v>
          </cell>
          <cell r="D15">
            <v>59965</v>
          </cell>
          <cell r="N15">
            <v>1904499</v>
          </cell>
        </row>
        <row r="16">
          <cell r="A16" t="str">
            <v>OCT.</v>
          </cell>
          <cell r="D16">
            <v>55635</v>
          </cell>
          <cell r="N16">
            <v>2417899</v>
          </cell>
        </row>
        <row r="17">
          <cell r="A17" t="str">
            <v>NOV</v>
          </cell>
          <cell r="D17">
            <v>55635</v>
          </cell>
          <cell r="N17">
            <v>2761426</v>
          </cell>
        </row>
        <row r="18">
          <cell r="A18" t="str">
            <v>DIC.2023</v>
          </cell>
          <cell r="D18">
            <v>15910</v>
          </cell>
          <cell r="N18">
            <v>2956879</v>
          </cell>
        </row>
        <row r="19">
          <cell r="A19">
            <v>45292</v>
          </cell>
          <cell r="D19">
            <v>32788</v>
          </cell>
          <cell r="N19">
            <v>3538835</v>
          </cell>
        </row>
        <row r="20">
          <cell r="A20">
            <v>45323</v>
          </cell>
          <cell r="D20">
            <v>39508</v>
          </cell>
          <cell r="N20">
            <v>3392177</v>
          </cell>
        </row>
        <row r="21">
          <cell r="A21">
            <v>45352</v>
          </cell>
          <cell r="D21">
            <v>41874</v>
          </cell>
          <cell r="N21">
            <v>2770284</v>
          </cell>
        </row>
      </sheetData>
      <sheetData sheetId="14"/>
      <sheetData sheetId="15"/>
      <sheetData sheetId="16"/>
      <sheetData sheetId="17"/>
      <sheetData sheetId="1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CORTAS"/>
      <sheetName val="BALANCE"/>
      <sheetName val="GRAFICO CARTERA 2020"/>
      <sheetName val="GRAF CARTERA 2021"/>
      <sheetName val="BPRUEBA"/>
      <sheetName val="RESULT.MES"/>
      <sheetName val="EJECUC.ACUM."/>
      <sheetName val="Hoja1"/>
      <sheetName val="Hoja2"/>
      <sheetName val="ESTADI DE RESEULTADO MES DETALL"/>
      <sheetName val="EST.RESUL.RESUM."/>
      <sheetName val="FLUJO EEFCT."/>
      <sheetName val="CARTERA"/>
      <sheetName val="CONC.BANC."/>
      <sheetName val="SERVIC PUBL."/>
    </sheetNames>
    <sheetDataSet>
      <sheetData sheetId="0" refreshError="1"/>
      <sheetData sheetId="1" refreshError="1"/>
      <sheetData sheetId="2" refreshError="1"/>
      <sheetData sheetId="3">
        <row r="4">
          <cell r="C4">
            <v>44201</v>
          </cell>
          <cell r="D4">
            <v>44232</v>
          </cell>
          <cell r="E4">
            <v>44260</v>
          </cell>
          <cell r="F4">
            <v>44292</v>
          </cell>
          <cell r="G4">
            <v>44324</v>
          </cell>
          <cell r="H4">
            <v>44356</v>
          </cell>
          <cell r="I4">
            <v>44388</v>
          </cell>
          <cell r="J4">
            <v>44420</v>
          </cell>
          <cell r="K4">
            <v>44452</v>
          </cell>
          <cell r="L4">
            <v>44484</v>
          </cell>
          <cell r="M4">
            <v>44516</v>
          </cell>
          <cell r="N4">
            <v>44548</v>
          </cell>
        </row>
        <row r="5">
          <cell r="B5" t="str">
            <v>1 al 10</v>
          </cell>
          <cell r="C5">
            <v>2020222</v>
          </cell>
          <cell r="D5">
            <v>6395058</v>
          </cell>
          <cell r="E5">
            <v>6097002</v>
          </cell>
          <cell r="F5">
            <v>3392070</v>
          </cell>
          <cell r="G5">
            <v>3984500</v>
          </cell>
          <cell r="H5">
            <v>4981003</v>
          </cell>
          <cell r="I5">
            <v>2756498</v>
          </cell>
          <cell r="J5">
            <v>5627728</v>
          </cell>
          <cell r="K5">
            <v>4893021</v>
          </cell>
          <cell r="L5">
            <v>5108527</v>
          </cell>
          <cell r="M5">
            <v>4482284</v>
          </cell>
          <cell r="N5">
            <v>3403947</v>
          </cell>
        </row>
        <row r="6">
          <cell r="B6" t="str">
            <v>11 al 20</v>
          </cell>
          <cell r="C6">
            <v>5462497</v>
          </cell>
          <cell r="D6">
            <v>8218620</v>
          </cell>
          <cell r="E6">
            <v>8004884</v>
          </cell>
          <cell r="F6">
            <v>6898263</v>
          </cell>
          <cell r="G6">
            <v>3713840</v>
          </cell>
          <cell r="H6">
            <v>7632604</v>
          </cell>
          <cell r="I6">
            <v>4521534</v>
          </cell>
          <cell r="J6">
            <v>4489593</v>
          </cell>
          <cell r="K6">
            <v>6048548</v>
          </cell>
          <cell r="L6">
            <v>3256338</v>
          </cell>
          <cell r="M6">
            <v>5737509</v>
          </cell>
          <cell r="N6">
            <v>4985110</v>
          </cell>
        </row>
        <row r="7">
          <cell r="B7" t="str">
            <v>21 al 31</v>
          </cell>
          <cell r="C7">
            <v>8970649</v>
          </cell>
          <cell r="D7">
            <v>5555969</v>
          </cell>
          <cell r="E7">
            <v>2803196</v>
          </cell>
          <cell r="F7">
            <v>6075043</v>
          </cell>
          <cell r="G7">
            <v>12308552</v>
          </cell>
          <cell r="H7">
            <v>5069436</v>
          </cell>
          <cell r="I7">
            <v>8810305</v>
          </cell>
          <cell r="J7">
            <v>5456450</v>
          </cell>
          <cell r="K7">
            <v>6513955</v>
          </cell>
          <cell r="L7">
            <v>8308649</v>
          </cell>
          <cell r="N7">
            <v>11097696</v>
          </cell>
        </row>
        <row r="8">
          <cell r="B8" t="str">
            <v>Total Recaudo</v>
          </cell>
          <cell r="C8">
            <v>16453368</v>
          </cell>
          <cell r="D8">
            <v>20169647</v>
          </cell>
          <cell r="E8">
            <v>16905082</v>
          </cell>
          <cell r="F8">
            <v>16365376</v>
          </cell>
          <cell r="G8">
            <v>20006892</v>
          </cell>
          <cell r="H8">
            <v>17683043</v>
          </cell>
          <cell r="I8">
            <v>16088337</v>
          </cell>
          <cell r="J8">
            <v>15573771</v>
          </cell>
          <cell r="K8">
            <v>17455524</v>
          </cell>
          <cell r="L8">
            <v>16673514</v>
          </cell>
          <cell r="M8">
            <v>10219793</v>
          </cell>
          <cell r="N8">
            <v>19486753</v>
          </cell>
        </row>
      </sheetData>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5.xml"/></Relationships>
</file>

<file path=xl/worksheets/_rels/sheet1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2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20.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25.x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9.xml"/><Relationship Id="rId1" Type="http://schemas.openxmlformats.org/officeDocument/2006/relationships/printerSettings" Target="../printerSettings/printerSettings2.bin"/><Relationship Id="rId4" Type="http://schemas.openxmlformats.org/officeDocument/2006/relationships/comments" Target="../comments11.xml"/></Relationships>
</file>

<file path=xl/worksheets/_rels/sheet31.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B114E-F2E4-4A6D-9F03-8AEFA06DB446}">
  <dimension ref="B1:I206"/>
  <sheetViews>
    <sheetView topLeftCell="A40" workbookViewId="0">
      <selection activeCell="K19" sqref="K19"/>
    </sheetView>
  </sheetViews>
  <sheetFormatPr baseColWidth="10" defaultRowHeight="12.5" x14ac:dyDescent="0.25"/>
  <cols>
    <col min="1" max="1" width="4.453125" customWidth="1"/>
    <col min="2" max="2" width="30.453125" bestFit="1" customWidth="1"/>
    <col min="3" max="3" width="13.1796875" customWidth="1"/>
    <col min="4" max="4" width="1.7265625" customWidth="1"/>
    <col min="5" max="5" width="13.1796875" customWidth="1"/>
    <col min="6" max="6" width="2.453125" customWidth="1"/>
    <col min="7" max="7" width="12.54296875" customWidth="1"/>
    <col min="8" max="8" width="10.81640625" style="16" customWidth="1"/>
  </cols>
  <sheetData>
    <row r="1" spans="2:9" ht="6.75" customHeight="1" x14ac:dyDescent="0.25"/>
    <row r="2" spans="2:9" x14ac:dyDescent="0.25">
      <c r="B2" s="1627" t="s">
        <v>218</v>
      </c>
      <c r="C2" s="1627"/>
      <c r="D2" s="1627"/>
      <c r="E2" s="1627"/>
      <c r="F2" s="1627"/>
      <c r="G2" s="1627"/>
      <c r="H2" s="1627"/>
      <c r="I2" s="3"/>
    </row>
    <row r="3" spans="2:9" ht="6" customHeight="1" x14ac:dyDescent="0.25">
      <c r="B3" s="4"/>
      <c r="C3" s="5"/>
      <c r="D3" s="5"/>
      <c r="E3" s="5"/>
      <c r="F3" s="3"/>
      <c r="G3" s="3"/>
      <c r="H3" s="10"/>
      <c r="I3" s="3"/>
    </row>
    <row r="4" spans="2:9" x14ac:dyDescent="0.25">
      <c r="B4" s="1628" t="s">
        <v>1385</v>
      </c>
      <c r="C4" s="1627"/>
      <c r="D4" s="1627"/>
      <c r="E4" s="1627"/>
      <c r="F4" s="1627"/>
      <c r="G4" s="1627"/>
      <c r="H4" s="1627"/>
      <c r="I4" s="3"/>
    </row>
    <row r="5" spans="2:9" ht="9" customHeight="1" x14ac:dyDescent="0.25">
      <c r="B5" s="6"/>
      <c r="C5" s="6"/>
      <c r="D5" s="6"/>
      <c r="E5" s="6"/>
      <c r="F5" s="3"/>
      <c r="G5" s="3"/>
      <c r="H5" s="10"/>
      <c r="I5" s="3"/>
    </row>
    <row r="6" spans="2:9" ht="12.75" customHeight="1" x14ac:dyDescent="0.35">
      <c r="B6" s="7" t="s">
        <v>0</v>
      </c>
      <c r="C6" s="11" t="s">
        <v>1386</v>
      </c>
      <c r="D6" s="11"/>
      <c r="E6" s="11">
        <v>45688</v>
      </c>
      <c r="F6" s="3"/>
      <c r="G6" s="9" t="s">
        <v>9</v>
      </c>
      <c r="H6" s="15" t="s">
        <v>10</v>
      </c>
      <c r="I6" s="3"/>
    </row>
    <row r="7" spans="2:9" ht="7.5" customHeight="1" x14ac:dyDescent="0.25">
      <c r="B7" s="2"/>
      <c r="C7" s="3"/>
      <c r="D7" s="3"/>
      <c r="E7" s="3"/>
      <c r="F7" s="3"/>
      <c r="G7" s="3"/>
      <c r="H7" s="10"/>
      <c r="I7" s="3"/>
    </row>
    <row r="8" spans="2:9" ht="9.75" customHeight="1" x14ac:dyDescent="0.25">
      <c r="B8" s="8" t="s">
        <v>35</v>
      </c>
      <c r="C8" s="3"/>
      <c r="D8" s="3"/>
      <c r="E8" s="3"/>
      <c r="F8" s="3"/>
      <c r="G8" s="3"/>
      <c r="H8" s="10"/>
      <c r="I8" s="3"/>
    </row>
    <row r="9" spans="2:9" ht="11.25" customHeight="1" x14ac:dyDescent="0.25">
      <c r="B9" s="2" t="s">
        <v>13</v>
      </c>
      <c r="C9" s="3">
        <v>200000</v>
      </c>
      <c r="D9" s="3"/>
      <c r="E9" s="3">
        <v>200000</v>
      </c>
      <c r="F9" s="3"/>
      <c r="G9" s="3">
        <f>-C9+E9</f>
        <v>0</v>
      </c>
      <c r="H9" s="10">
        <f>+G9/C9</f>
        <v>0</v>
      </c>
      <c r="I9" s="3"/>
    </row>
    <row r="10" spans="2:9" ht="11.25" customHeight="1" x14ac:dyDescent="0.25">
      <c r="B10" s="2" t="s">
        <v>60</v>
      </c>
      <c r="C10" s="3">
        <v>17827328.149999999</v>
      </c>
      <c r="D10" s="3"/>
      <c r="E10" s="3">
        <v>18836449.449999999</v>
      </c>
      <c r="F10" s="3"/>
      <c r="G10" s="3">
        <f>-C10+E10</f>
        <v>1009121.3000000007</v>
      </c>
      <c r="H10" s="10">
        <f>+G10/C10</f>
        <v>5.6605302348686548E-2</v>
      </c>
      <c r="I10" s="3"/>
    </row>
    <row r="11" spans="2:9" ht="12.25" customHeight="1" x14ac:dyDescent="0.25">
      <c r="B11" s="2"/>
      <c r="C11" s="31">
        <f>SUM(C9:C10)</f>
        <v>18027328.149999999</v>
      </c>
      <c r="D11" s="32"/>
      <c r="E11" s="31">
        <f>SUM(E9:E10)</f>
        <v>19036449.449999999</v>
      </c>
      <c r="F11" s="32"/>
      <c r="G11" s="31">
        <f>SUM(G9:G10)</f>
        <v>1009121.3000000007</v>
      </c>
      <c r="H11" s="33">
        <f>+G11/C11</f>
        <v>5.5977307985043856E-2</v>
      </c>
      <c r="I11" s="3"/>
    </row>
    <row r="12" spans="2:9" ht="9" customHeight="1" x14ac:dyDescent="0.25">
      <c r="B12" s="2"/>
      <c r="C12" s="3"/>
      <c r="D12" s="3"/>
      <c r="E12" s="3"/>
      <c r="F12" s="3"/>
      <c r="G12" s="3"/>
      <c r="H12" s="10"/>
      <c r="I12" s="3"/>
    </row>
    <row r="13" spans="2:9" ht="12.25" customHeight="1" x14ac:dyDescent="0.25">
      <c r="B13" s="8" t="s">
        <v>36</v>
      </c>
      <c r="C13" s="3"/>
      <c r="D13" s="3"/>
      <c r="E13" s="3"/>
      <c r="F13" s="3"/>
      <c r="G13" s="3"/>
      <c r="H13" s="10"/>
      <c r="I13" s="3"/>
    </row>
    <row r="14" spans="2:9" ht="12.25" customHeight="1" x14ac:dyDescent="0.25">
      <c r="B14" s="17" t="s">
        <v>32</v>
      </c>
      <c r="C14" s="3"/>
      <c r="D14" s="3"/>
      <c r="E14" s="3"/>
      <c r="F14" s="3"/>
      <c r="G14" s="3"/>
      <c r="H14" s="10"/>
      <c r="I14" s="3"/>
    </row>
    <row r="15" spans="2:9" ht="12.25" customHeight="1" x14ac:dyDescent="0.25">
      <c r="B15" s="17" t="s">
        <v>771</v>
      </c>
      <c r="C15" s="3">
        <v>0</v>
      </c>
      <c r="D15" s="3"/>
      <c r="E15" s="3">
        <v>0</v>
      </c>
      <c r="F15" s="3"/>
      <c r="G15" s="3"/>
      <c r="H15" s="10"/>
      <c r="I15" s="3"/>
    </row>
    <row r="16" spans="2:9" ht="12.25" customHeight="1" x14ac:dyDescent="0.25">
      <c r="B16" s="2" t="s">
        <v>222</v>
      </c>
      <c r="C16" s="3">
        <v>8477538.3399999999</v>
      </c>
      <c r="D16" s="3"/>
      <c r="E16" s="3">
        <v>8425444.3000000007</v>
      </c>
      <c r="F16" s="3"/>
      <c r="G16" s="3">
        <f>-C16+E16</f>
        <v>-52094.039999999106</v>
      </c>
      <c r="H16" s="10">
        <f>+G16/C16</f>
        <v>-6.1449489121389346E-3</v>
      </c>
      <c r="I16" s="3"/>
    </row>
    <row r="17" spans="2:9" ht="12.25" customHeight="1" x14ac:dyDescent="0.25">
      <c r="B17" s="2"/>
      <c r="C17" s="34">
        <f>SUM(C15:C16)</f>
        <v>8477538.3399999999</v>
      </c>
      <c r="D17" s="32"/>
      <c r="E17" s="34">
        <f>SUM(E15:E16)</f>
        <v>8425444.3000000007</v>
      </c>
      <c r="F17" s="32"/>
      <c r="G17" s="31">
        <f>-C17+E17</f>
        <v>-52094.039999999106</v>
      </c>
      <c r="H17" s="33">
        <f>+G17/C17</f>
        <v>-6.1449489121389346E-3</v>
      </c>
      <c r="I17" s="3"/>
    </row>
    <row r="18" spans="2:9" ht="6" customHeight="1" x14ac:dyDescent="0.25">
      <c r="B18" s="2"/>
      <c r="C18" s="3"/>
      <c r="D18" s="3"/>
      <c r="E18" s="3"/>
      <c r="F18" s="3"/>
      <c r="G18" s="3"/>
      <c r="H18" s="10"/>
      <c r="I18" s="3"/>
    </row>
    <row r="19" spans="2:9" ht="10.5" customHeight="1" x14ac:dyDescent="0.25">
      <c r="B19" s="8" t="s">
        <v>1</v>
      </c>
      <c r="C19" s="3"/>
      <c r="D19" s="3"/>
      <c r="E19" s="3"/>
      <c r="F19" s="3"/>
      <c r="G19" s="3"/>
      <c r="H19" s="10"/>
      <c r="I19" s="3"/>
    </row>
    <row r="20" spans="2:9" ht="7.5" customHeight="1" x14ac:dyDescent="0.25">
      <c r="B20" s="8"/>
      <c r="C20" s="3"/>
      <c r="D20" s="3"/>
      <c r="E20" s="3"/>
      <c r="F20" s="3"/>
      <c r="G20" s="3"/>
      <c r="H20" s="10"/>
      <c r="I20" s="3"/>
    </row>
    <row r="21" spans="2:9" ht="10.5" customHeight="1" x14ac:dyDescent="0.25">
      <c r="B21" s="17" t="s">
        <v>37</v>
      </c>
      <c r="C21" s="3"/>
      <c r="D21" s="3"/>
      <c r="E21" s="3"/>
      <c r="F21" s="3"/>
      <c r="G21" s="3"/>
      <c r="H21" s="10"/>
      <c r="I21" s="3"/>
    </row>
    <row r="22" spans="2:9" ht="12.25" customHeight="1" x14ac:dyDescent="0.25">
      <c r="B22" s="2" t="s">
        <v>2</v>
      </c>
      <c r="C22" s="3">
        <v>5984340</v>
      </c>
      <c r="D22" s="3"/>
      <c r="E22" s="3">
        <v>4645234</v>
      </c>
      <c r="F22" s="3"/>
      <c r="G22" s="3">
        <f>+E22-C22</f>
        <v>-1339106</v>
      </c>
      <c r="H22" s="10">
        <f>+G22/C22</f>
        <v>-0.22376836877583828</v>
      </c>
      <c r="I22" s="3"/>
    </row>
    <row r="23" spans="2:9" ht="12.25" customHeight="1" x14ac:dyDescent="0.25">
      <c r="B23" s="2" t="s">
        <v>61</v>
      </c>
      <c r="C23" s="3">
        <v>0</v>
      </c>
      <c r="D23" s="3"/>
      <c r="E23" s="3">
        <v>0</v>
      </c>
      <c r="F23" s="3"/>
      <c r="G23" s="3">
        <f>+E23-C23</f>
        <v>0</v>
      </c>
      <c r="H23" s="10">
        <v>0</v>
      </c>
      <c r="I23" s="3"/>
    </row>
    <row r="24" spans="2:9" ht="12.25" customHeight="1" x14ac:dyDescent="0.25">
      <c r="B24" s="2"/>
      <c r="C24" s="31">
        <f>SUM(C22:C23)</f>
        <v>5984340</v>
      </c>
      <c r="D24" s="32"/>
      <c r="E24" s="31">
        <f>SUM(E22:E23)</f>
        <v>4645234</v>
      </c>
      <c r="F24" s="32"/>
      <c r="G24" s="31">
        <f>SUM(G22:G23)</f>
        <v>-1339106</v>
      </c>
      <c r="H24" s="33">
        <f>+G24/C24</f>
        <v>-0.22376836877583828</v>
      </c>
      <c r="I24" s="3"/>
    </row>
    <row r="25" spans="2:9" ht="9" customHeight="1" x14ac:dyDescent="0.25">
      <c r="B25" s="2"/>
      <c r="C25" s="3"/>
      <c r="D25" s="3"/>
      <c r="E25" s="3"/>
      <c r="F25" s="3"/>
      <c r="G25" s="3"/>
      <c r="H25" s="10"/>
      <c r="I25" s="3"/>
    </row>
    <row r="26" spans="2:9" ht="10.5" customHeight="1" x14ac:dyDescent="0.25">
      <c r="B26" s="2" t="s">
        <v>44</v>
      </c>
      <c r="C26" s="3">
        <v>0</v>
      </c>
      <c r="D26" s="19"/>
      <c r="E26" s="3">
        <v>0</v>
      </c>
      <c r="F26" s="19"/>
      <c r="G26" s="19">
        <f>+E26-C26</f>
        <v>0</v>
      </c>
      <c r="H26" s="10">
        <v>0</v>
      </c>
      <c r="I26" s="3"/>
    </row>
    <row r="27" spans="2:9" ht="10.5" customHeight="1" x14ac:dyDescent="0.25">
      <c r="B27" s="2" t="s">
        <v>348</v>
      </c>
      <c r="C27" s="3">
        <v>0</v>
      </c>
      <c r="D27" s="19"/>
      <c r="E27" s="3">
        <v>0</v>
      </c>
      <c r="F27" s="19"/>
      <c r="G27" s="19">
        <f>+E27-C27</f>
        <v>0</v>
      </c>
      <c r="H27" s="10" t="s">
        <v>33</v>
      </c>
      <c r="I27" s="3"/>
    </row>
    <row r="28" spans="2:9" ht="10.5" customHeight="1" x14ac:dyDescent="0.25">
      <c r="B28" s="2" t="s">
        <v>500</v>
      </c>
      <c r="C28" s="3">
        <v>50146</v>
      </c>
      <c r="D28" s="19"/>
      <c r="E28" s="3">
        <v>33310</v>
      </c>
      <c r="F28" s="19"/>
      <c r="G28" s="19"/>
      <c r="H28" s="10" t="s">
        <v>33</v>
      </c>
      <c r="I28" s="3"/>
    </row>
    <row r="29" spans="2:9" ht="10.5" customHeight="1" x14ac:dyDescent="0.25">
      <c r="C29" s="3"/>
      <c r="D29" s="19"/>
      <c r="E29" s="3"/>
      <c r="F29" s="19"/>
      <c r="G29" s="19">
        <f>+E29-C29</f>
        <v>0</v>
      </c>
      <c r="H29" s="10" t="s">
        <v>33</v>
      </c>
      <c r="I29" s="3"/>
    </row>
    <row r="30" spans="2:9" s="54" customFormat="1" ht="10.5" customHeight="1" x14ac:dyDescent="0.3">
      <c r="B30" s="8" t="s">
        <v>223</v>
      </c>
      <c r="C30" s="19"/>
      <c r="D30" s="19"/>
      <c r="E30" s="19"/>
      <c r="F30" s="19"/>
      <c r="G30" s="19"/>
      <c r="H30" s="10" t="s">
        <v>33</v>
      </c>
      <c r="I30" s="19"/>
    </row>
    <row r="31" spans="2:9" ht="10.5" customHeight="1" x14ac:dyDescent="0.25">
      <c r="B31" s="8" t="s">
        <v>76</v>
      </c>
      <c r="C31" s="3">
        <v>452464</v>
      </c>
      <c r="D31" s="19"/>
      <c r="E31" s="3">
        <f>+[1]Datos!$D$24/2</f>
        <v>1357394</v>
      </c>
      <c r="F31" s="19"/>
      <c r="G31" s="3">
        <f>+E31-C31</f>
        <v>904930</v>
      </c>
      <c r="H31" s="10">
        <f>+G31/C31</f>
        <v>2.0000044202411682</v>
      </c>
      <c r="I31" s="3"/>
    </row>
    <row r="32" spans="2:9" ht="10.5" customHeight="1" x14ac:dyDescent="0.25">
      <c r="B32" s="2"/>
      <c r="C32" s="3"/>
      <c r="D32" s="3"/>
      <c r="E32" s="3"/>
      <c r="F32" s="3"/>
      <c r="G32" s="3"/>
      <c r="H32" s="10"/>
      <c r="I32" s="3"/>
    </row>
    <row r="33" spans="2:9" ht="13" thickBot="1" x14ac:dyDescent="0.3">
      <c r="B33" s="26" t="s">
        <v>3</v>
      </c>
      <c r="C33" s="34">
        <f>+C11+C17+C24+C26+C31+C27+C28</f>
        <v>32991816.489999998</v>
      </c>
      <c r="D33" s="34" t="s">
        <v>33</v>
      </c>
      <c r="E33" s="34">
        <f>+E11+E17+E24+E26+E31+E27+E28</f>
        <v>33497831.75</v>
      </c>
      <c r="F33" s="34" t="s">
        <v>33</v>
      </c>
      <c r="G33" s="35">
        <f>-C33+E33</f>
        <v>506015.26000000164</v>
      </c>
      <c r="H33" s="36">
        <f>+G33/C33</f>
        <v>1.5337599254450801E-2</v>
      </c>
      <c r="I33" s="3"/>
    </row>
    <row r="34" spans="2:9" ht="9.75" customHeight="1" thickTop="1" x14ac:dyDescent="0.25">
      <c r="B34" s="2"/>
      <c r="C34" s="3"/>
      <c r="D34" s="3"/>
      <c r="E34" s="3"/>
      <c r="F34" s="3"/>
      <c r="G34" s="3"/>
      <c r="H34" s="10"/>
      <c r="I34" s="3"/>
    </row>
    <row r="35" spans="2:9" ht="9.75" customHeight="1" x14ac:dyDescent="0.25">
      <c r="B35" s="2"/>
      <c r="C35" s="3"/>
      <c r="D35" s="3"/>
      <c r="E35" s="3"/>
      <c r="F35" s="3"/>
      <c r="G35" s="3"/>
      <c r="H35" s="10"/>
      <c r="I35" s="3"/>
    </row>
    <row r="36" spans="2:9" ht="10.5" customHeight="1" x14ac:dyDescent="0.25">
      <c r="B36" s="7" t="s">
        <v>4</v>
      </c>
      <c r="C36" s="3"/>
      <c r="D36" s="3"/>
      <c r="E36" s="3"/>
      <c r="F36" s="3"/>
      <c r="G36" s="3"/>
      <c r="H36" s="10"/>
      <c r="I36" s="3"/>
    </row>
    <row r="37" spans="2:9" ht="8.5" customHeight="1" x14ac:dyDescent="0.25">
      <c r="B37" s="2"/>
      <c r="C37" s="3"/>
      <c r="D37" s="3"/>
      <c r="E37" s="3"/>
      <c r="F37" s="3"/>
      <c r="G37" s="3"/>
      <c r="H37" s="10"/>
      <c r="I37" s="3"/>
    </row>
    <row r="38" spans="2:9" ht="11.25" customHeight="1" x14ac:dyDescent="0.25">
      <c r="B38" s="8" t="s">
        <v>5</v>
      </c>
      <c r="C38" s="3"/>
      <c r="D38" s="3"/>
      <c r="E38" s="3"/>
      <c r="F38" s="3"/>
      <c r="G38" s="3"/>
      <c r="H38" s="10"/>
      <c r="I38" s="3"/>
    </row>
    <row r="39" spans="2:9" ht="12.25" customHeight="1" x14ac:dyDescent="0.25">
      <c r="B39" s="2" t="s">
        <v>34</v>
      </c>
      <c r="C39" s="3">
        <f>973636+471300</f>
        <v>1444936</v>
      </c>
      <c r="D39" s="3"/>
      <c r="E39" s="3">
        <f>541510+488080</f>
        <v>1029590</v>
      </c>
      <c r="F39" s="3"/>
      <c r="G39" s="3">
        <f>+E39-C39</f>
        <v>-415346</v>
      </c>
      <c r="H39" s="10">
        <f>+G39/C39</f>
        <v>-0.28744940952402043</v>
      </c>
      <c r="I39" s="3"/>
    </row>
    <row r="40" spans="2:9" ht="12.25" customHeight="1" x14ac:dyDescent="0.25">
      <c r="B40" s="2" t="s">
        <v>11</v>
      </c>
      <c r="C40" s="3">
        <v>97774.06</v>
      </c>
      <c r="D40" s="3"/>
      <c r="E40" s="3">
        <v>299010</v>
      </c>
      <c r="F40" s="3"/>
      <c r="G40" s="3">
        <f>-C40+E40</f>
        <v>201235.94</v>
      </c>
      <c r="H40" s="10">
        <f>+G40/C40</f>
        <v>2.0581730982634863</v>
      </c>
      <c r="I40" s="3"/>
    </row>
    <row r="41" spans="2:9" ht="12.25" customHeight="1" x14ac:dyDescent="0.25">
      <c r="B41" s="2" t="s">
        <v>73</v>
      </c>
      <c r="C41" s="3">
        <v>159977.82</v>
      </c>
      <c r="D41" s="3"/>
      <c r="E41" s="3">
        <v>75083</v>
      </c>
      <c r="F41" s="3"/>
      <c r="G41" s="3"/>
      <c r="H41" s="10"/>
      <c r="I41" s="3"/>
    </row>
    <row r="42" spans="2:9" ht="12.25" customHeight="1" x14ac:dyDescent="0.25">
      <c r="B42" s="2"/>
      <c r="C42" s="31">
        <f>SUM(C39:C41)</f>
        <v>1702687.8800000001</v>
      </c>
      <c r="D42" s="32"/>
      <c r="E42" s="31">
        <f>SUM(E39:E41)</f>
        <v>1403683</v>
      </c>
      <c r="F42" s="32"/>
      <c r="G42" s="31">
        <f>SUM(G39:G40)</f>
        <v>-214110.06</v>
      </c>
      <c r="H42" s="33">
        <f>+G42/C42</f>
        <v>-0.12574827278385278</v>
      </c>
      <c r="I42" s="3"/>
    </row>
    <row r="43" spans="2:9" ht="12" customHeight="1" x14ac:dyDescent="0.25">
      <c r="B43" s="8" t="s">
        <v>568</v>
      </c>
      <c r="C43" s="3"/>
      <c r="D43" s="3"/>
      <c r="E43" s="3"/>
      <c r="F43" s="3"/>
      <c r="G43" s="3"/>
      <c r="H43" s="10"/>
      <c r="I43" s="3"/>
    </row>
    <row r="44" spans="2:9" ht="11.25" customHeight="1" x14ac:dyDescent="0.25">
      <c r="B44" s="8" t="s">
        <v>74</v>
      </c>
      <c r="C44" s="3"/>
      <c r="D44" s="3"/>
      <c r="E44" s="3"/>
      <c r="F44" s="3"/>
      <c r="G44" s="3"/>
      <c r="H44" s="10"/>
      <c r="I44" s="3"/>
    </row>
    <row r="45" spans="2:9" s="145" customFormat="1" ht="11.25" customHeight="1" x14ac:dyDescent="0.25">
      <c r="B45" s="289" t="s">
        <v>75</v>
      </c>
      <c r="C45" s="3">
        <v>7425682</v>
      </c>
      <c r="D45" s="3"/>
      <c r="E45" s="3">
        <v>7425682</v>
      </c>
      <c r="F45" s="3"/>
      <c r="G45" s="3"/>
      <c r="H45" s="10"/>
      <c r="I45" s="404"/>
    </row>
    <row r="46" spans="2:9" s="145" customFormat="1" ht="11.25" customHeight="1" x14ac:dyDescent="0.25">
      <c r="B46" s="289" t="s">
        <v>58</v>
      </c>
      <c r="C46" s="3">
        <v>8550122</v>
      </c>
      <c r="D46" s="3"/>
      <c r="E46" s="3">
        <v>8550122</v>
      </c>
      <c r="F46" s="3"/>
      <c r="G46" s="3">
        <f>-C46+E46</f>
        <v>0</v>
      </c>
      <c r="H46" s="10">
        <f>+G46/C46</f>
        <v>0</v>
      </c>
      <c r="I46" s="404"/>
    </row>
    <row r="47" spans="2:9" s="145" customFormat="1" ht="11.25" customHeight="1" x14ac:dyDescent="0.25">
      <c r="B47" s="289" t="s">
        <v>220</v>
      </c>
      <c r="C47" s="3">
        <v>3837291</v>
      </c>
      <c r="D47" s="3"/>
      <c r="E47" s="3">
        <v>3837291</v>
      </c>
      <c r="F47" s="3"/>
      <c r="G47" s="3">
        <f>-C47+E47</f>
        <v>0</v>
      </c>
      <c r="H47" s="10">
        <f>+G47/C47</f>
        <v>0</v>
      </c>
      <c r="I47" s="404"/>
    </row>
    <row r="48" spans="2:9" s="145" customFormat="1" ht="11.25" customHeight="1" x14ac:dyDescent="0.25">
      <c r="B48" s="289" t="s">
        <v>224</v>
      </c>
      <c r="C48" s="3">
        <f>-[1]Datos!$G$61</f>
        <v>44870833</v>
      </c>
      <c r="D48" s="3"/>
      <c r="E48" s="3">
        <f>-[1]Datos!$G$61</f>
        <v>44870833</v>
      </c>
      <c r="F48" s="3"/>
      <c r="G48" s="3">
        <f>-C48+E48</f>
        <v>0</v>
      </c>
      <c r="H48" s="10"/>
      <c r="I48" s="404"/>
    </row>
    <row r="49" spans="2:9" ht="11.25" customHeight="1" x14ac:dyDescent="0.25">
      <c r="B49" s="8" t="s">
        <v>569</v>
      </c>
      <c r="C49" s="31">
        <f>SUM(C45:C48)</f>
        <v>64683928</v>
      </c>
      <c r="D49" s="32"/>
      <c r="E49" s="31">
        <f>SUM(E45:E48)</f>
        <v>64683928</v>
      </c>
      <c r="F49" s="32"/>
      <c r="G49" s="31">
        <f>SUM(G46:G47)</f>
        <v>0</v>
      </c>
      <c r="H49" s="33">
        <f>+G49/C49</f>
        <v>0</v>
      </c>
      <c r="I49" s="3"/>
    </row>
    <row r="50" spans="2:9" ht="9" customHeight="1" x14ac:dyDescent="0.25">
      <c r="B50" s="2"/>
      <c r="C50" s="3"/>
      <c r="D50" s="3"/>
      <c r="E50" s="3"/>
      <c r="F50" s="3"/>
      <c r="G50" s="3"/>
      <c r="H50" s="10"/>
      <c r="I50" s="3"/>
    </row>
    <row r="51" spans="2:9" ht="11.25" customHeight="1" x14ac:dyDescent="0.25">
      <c r="B51" s="8" t="s">
        <v>57</v>
      </c>
      <c r="C51" s="3"/>
      <c r="D51" s="3"/>
      <c r="E51" s="3"/>
      <c r="F51" s="3"/>
      <c r="G51" s="3"/>
      <c r="H51" s="10"/>
      <c r="I51" s="3"/>
    </row>
    <row r="52" spans="2:9" ht="11.25" customHeight="1" x14ac:dyDescent="0.25">
      <c r="B52" s="2" t="s">
        <v>221</v>
      </c>
      <c r="C52" s="3">
        <v>0</v>
      </c>
      <c r="D52" s="3"/>
      <c r="E52" s="3">
        <v>1598989</v>
      </c>
      <c r="F52" s="3"/>
      <c r="G52" s="3">
        <f>+E52-C52</f>
        <v>1598989</v>
      </c>
      <c r="H52" s="10">
        <v>0</v>
      </c>
      <c r="I52" s="3"/>
    </row>
    <row r="53" spans="2:9" ht="11.25" customHeight="1" x14ac:dyDescent="0.25">
      <c r="B53" s="38" t="s">
        <v>59</v>
      </c>
      <c r="C53" s="40">
        <f>SUM(C52:C52)</f>
        <v>0</v>
      </c>
      <c r="D53" s="40" t="s">
        <v>33</v>
      </c>
      <c r="E53" s="40">
        <f>SUM(E52:E52)</f>
        <v>1598989</v>
      </c>
      <c r="F53" s="19"/>
      <c r="G53" s="20">
        <f>SUM(G52:G52)</f>
        <v>1598989</v>
      </c>
      <c r="H53" s="21">
        <v>0</v>
      </c>
      <c r="I53" s="3"/>
    </row>
    <row r="54" spans="2:9" ht="12" customHeight="1" thickBot="1" x14ac:dyDescent="0.3">
      <c r="B54" s="26" t="s">
        <v>6</v>
      </c>
      <c r="C54" s="35">
        <f>+C42+C49+C53</f>
        <v>66386615.880000003</v>
      </c>
      <c r="D54" s="32"/>
      <c r="E54" s="35">
        <f>+E42+E49+E53</f>
        <v>67686600</v>
      </c>
      <c r="F54" s="32"/>
      <c r="G54" s="35">
        <f>+E54-C54</f>
        <v>1299984.1199999973</v>
      </c>
      <c r="H54" s="37">
        <f>+G54/C54</f>
        <v>1.9582021206651652E-2</v>
      </c>
      <c r="I54" s="3"/>
    </row>
    <row r="55" spans="2:9" ht="8.5" customHeight="1" thickTop="1" x14ac:dyDescent="0.25">
      <c r="B55" s="2"/>
      <c r="C55" s="3"/>
      <c r="D55" s="3"/>
      <c r="E55" s="3"/>
      <c r="F55" s="3"/>
      <c r="G55" s="3"/>
      <c r="H55" s="10"/>
      <c r="I55" s="3"/>
    </row>
    <row r="56" spans="2:9" ht="11.25" customHeight="1" x14ac:dyDescent="0.25">
      <c r="B56" s="7" t="s">
        <v>7</v>
      </c>
      <c r="C56" s="3"/>
      <c r="D56" s="3"/>
      <c r="E56" s="3"/>
      <c r="F56" s="3"/>
      <c r="G56" s="3"/>
      <c r="H56" s="10"/>
      <c r="I56" s="3"/>
    </row>
    <row r="57" spans="2:9" ht="11.25" customHeight="1" x14ac:dyDescent="0.25">
      <c r="B57" s="2" t="s">
        <v>12</v>
      </c>
      <c r="C57" s="3">
        <v>8861215.8800000008</v>
      </c>
      <c r="D57" s="3"/>
      <c r="E57" s="3">
        <v>8574200.8800000008</v>
      </c>
      <c r="F57" s="3"/>
      <c r="G57" s="3">
        <f>+E57-C57</f>
        <v>-287015</v>
      </c>
      <c r="H57" s="10">
        <f>+G57/C57</f>
        <v>-3.2390024561730908E-2</v>
      </c>
      <c r="I57" s="3"/>
    </row>
    <row r="58" spans="2:9" ht="11.25" customHeight="1" x14ac:dyDescent="0.25">
      <c r="B58" s="2" t="s">
        <v>38</v>
      </c>
      <c r="C58" s="3">
        <v>7100905.5</v>
      </c>
      <c r="D58" s="3"/>
      <c r="E58" s="3">
        <v>7100905.5</v>
      </c>
      <c r="F58" s="3"/>
      <c r="G58" s="3">
        <f>+E58-C58</f>
        <v>0</v>
      </c>
      <c r="H58" s="10">
        <f>+G58/C58</f>
        <v>0</v>
      </c>
      <c r="I58" s="3"/>
    </row>
    <row r="59" spans="2:9" x14ac:dyDescent="0.25">
      <c r="B59" s="441" t="s">
        <v>772</v>
      </c>
      <c r="C59" s="637">
        <f>+'[2]ESTADO DE RESULTADOS'!R64</f>
        <v>563544.10999999824</v>
      </c>
      <c r="D59" s="3"/>
      <c r="E59" s="637">
        <v>56589.37</v>
      </c>
      <c r="F59" s="3"/>
      <c r="G59" s="3">
        <f>+E59-C59</f>
        <v>-506954.73999999824</v>
      </c>
      <c r="H59" s="10">
        <f>+G59/C59</f>
        <v>-0.89958306901654927</v>
      </c>
      <c r="I59" s="3"/>
    </row>
    <row r="60" spans="2:9" x14ac:dyDescent="0.25">
      <c r="B60" s="441" t="s">
        <v>773</v>
      </c>
      <c r="C60" s="637">
        <f>-49920464</f>
        <v>-49920464</v>
      </c>
      <c r="D60" s="3"/>
      <c r="E60" s="637">
        <f>-49920464</f>
        <v>-49920464</v>
      </c>
      <c r="F60" s="3"/>
      <c r="G60" s="3"/>
      <c r="H60" s="10">
        <f>+G60/C60</f>
        <v>0</v>
      </c>
      <c r="I60" s="3"/>
    </row>
    <row r="61" spans="2:9" ht="11.25" customHeight="1" x14ac:dyDescent="0.25">
      <c r="B61" s="38" t="s">
        <v>39</v>
      </c>
      <c r="C61" s="31">
        <f>SUM(C57:C60)</f>
        <v>-33394798.510000002</v>
      </c>
      <c r="D61" s="31">
        <f>SUM(D57:D60)</f>
        <v>0</v>
      </c>
      <c r="E61" s="31">
        <f>SUM(E57:E60)</f>
        <v>-34188768.25</v>
      </c>
      <c r="F61" s="32"/>
      <c r="G61" s="31">
        <f>+E61-C61</f>
        <v>-793969.73999999836</v>
      </c>
      <c r="H61" s="33">
        <f>+G61/C61</f>
        <v>2.3775251698621443E-2</v>
      </c>
      <c r="I61" s="3"/>
    </row>
    <row r="62" spans="2:9" ht="8.25" customHeight="1" x14ac:dyDescent="0.25">
      <c r="B62" s="2"/>
      <c r="C62" s="3"/>
      <c r="D62" s="3"/>
      <c r="E62" s="3"/>
      <c r="F62" s="3"/>
      <c r="G62" s="3"/>
      <c r="H62" s="10"/>
      <c r="I62" s="3"/>
    </row>
    <row r="63" spans="2:9" ht="13.5" customHeight="1" thickBot="1" x14ac:dyDescent="0.3">
      <c r="B63" s="38" t="s">
        <v>8</v>
      </c>
      <c r="C63" s="35">
        <f>+C54+C61</f>
        <v>32991817.370000001</v>
      </c>
      <c r="D63" s="35">
        <f>+D54+D61</f>
        <v>0</v>
      </c>
      <c r="E63" s="35">
        <f>+E54+E61</f>
        <v>33497831.75</v>
      </c>
      <c r="F63" s="32"/>
      <c r="G63" s="35">
        <f>+E63-C63</f>
        <v>506014.37999999896</v>
      </c>
      <c r="H63" s="36">
        <f>+G63/C63</f>
        <v>1.5337572172066098E-2</v>
      </c>
      <c r="I63" s="3"/>
    </row>
    <row r="64" spans="2:9" ht="9" customHeight="1" thickTop="1" x14ac:dyDescent="0.25">
      <c r="B64" s="2"/>
      <c r="C64" s="3"/>
      <c r="D64" s="3"/>
      <c r="E64" s="3"/>
      <c r="F64" s="3"/>
      <c r="G64" s="3"/>
      <c r="H64" s="10"/>
      <c r="I64" s="3"/>
    </row>
    <row r="65" spans="2:9" ht="9" customHeight="1" x14ac:dyDescent="0.25">
      <c r="B65" s="2"/>
      <c r="C65" s="3"/>
      <c r="D65" s="3"/>
      <c r="E65" s="3"/>
      <c r="F65" s="3"/>
      <c r="G65" s="3"/>
      <c r="H65" s="10"/>
      <c r="I65" s="3"/>
    </row>
    <row r="66" spans="2:9" ht="9" customHeight="1" x14ac:dyDescent="0.25">
      <c r="B66" s="2"/>
      <c r="C66" s="3"/>
      <c r="D66" s="3"/>
      <c r="E66" s="3"/>
      <c r="F66" s="3"/>
      <c r="G66" s="3"/>
      <c r="H66" s="10"/>
      <c r="I66" s="3"/>
    </row>
    <row r="67" spans="2:9" ht="9.75" customHeight="1" x14ac:dyDescent="0.25">
      <c r="B67" s="7"/>
      <c r="C67" s="3">
        <f>+C33-C63</f>
        <v>-0.88000000268220901</v>
      </c>
      <c r="D67" s="3"/>
      <c r="E67" s="3">
        <f>+E33-E63</f>
        <v>0</v>
      </c>
      <c r="F67" s="3"/>
      <c r="G67" s="3"/>
      <c r="H67" s="10"/>
      <c r="I67" s="3"/>
    </row>
    <row r="68" spans="2:9" ht="11.25" customHeight="1" x14ac:dyDescent="0.25">
      <c r="B68" s="2" t="s">
        <v>456</v>
      </c>
      <c r="C68" s="3"/>
      <c r="D68" s="3"/>
      <c r="E68" s="3"/>
      <c r="F68" s="3"/>
      <c r="G68" s="3" t="s">
        <v>40</v>
      </c>
      <c r="H68" s="10"/>
      <c r="I68" s="3"/>
    </row>
    <row r="69" spans="2:9" x14ac:dyDescent="0.25">
      <c r="B69" s="2" t="s">
        <v>119</v>
      </c>
      <c r="C69" s="2"/>
      <c r="D69" s="2"/>
      <c r="E69" s="2"/>
      <c r="F69" s="2"/>
      <c r="G69" s="1" t="s">
        <v>48</v>
      </c>
      <c r="H69" s="10"/>
    </row>
    <row r="70" spans="2:9" x14ac:dyDescent="0.25">
      <c r="C70" s="42"/>
    </row>
    <row r="71" spans="2:9" x14ac:dyDescent="0.25">
      <c r="F71" s="98"/>
    </row>
    <row r="72" spans="2:9" x14ac:dyDescent="0.25">
      <c r="C72" s="325"/>
    </row>
    <row r="73" spans="2:9" x14ac:dyDescent="0.25">
      <c r="B73" s="1629" t="s">
        <v>498</v>
      </c>
      <c r="C73" s="1630"/>
      <c r="D73" s="1630"/>
      <c r="E73" s="1630"/>
      <c r="F73" s="1630"/>
      <c r="G73" s="1630"/>
    </row>
    <row r="74" spans="2:9" x14ac:dyDescent="0.25">
      <c r="B74" s="1631" t="s">
        <v>1387</v>
      </c>
      <c r="C74" s="1632"/>
      <c r="D74" s="1632"/>
      <c r="E74" s="1632"/>
      <c r="F74" s="1632"/>
      <c r="G74" s="1632"/>
    </row>
    <row r="75" spans="2:9" x14ac:dyDescent="0.25">
      <c r="B75" s="646" t="s">
        <v>499</v>
      </c>
      <c r="C75" s="646" t="s">
        <v>460</v>
      </c>
      <c r="D75" s="647" t="s">
        <v>969</v>
      </c>
      <c r="E75" s="647" t="s">
        <v>970</v>
      </c>
      <c r="F75" s="647" t="s">
        <v>971</v>
      </c>
      <c r="G75" s="647" t="s">
        <v>972</v>
      </c>
    </row>
    <row r="76" spans="2:9" x14ac:dyDescent="0.25">
      <c r="B76" s="446" t="s">
        <v>973</v>
      </c>
      <c r="C76" s="446" t="s">
        <v>974</v>
      </c>
      <c r="D76" s="447">
        <v>33497831.75</v>
      </c>
      <c r="E76" s="447">
        <v>56324783.340000004</v>
      </c>
      <c r="F76" s="447">
        <v>56830798.600000001</v>
      </c>
      <c r="G76" s="447">
        <v>32991816.489999998</v>
      </c>
    </row>
    <row r="77" spans="2:9" x14ac:dyDescent="0.25">
      <c r="B77" s="446" t="s">
        <v>975</v>
      </c>
      <c r="C77" s="446" t="s">
        <v>976</v>
      </c>
      <c r="D77" s="447">
        <v>19036449.449999999</v>
      </c>
      <c r="E77" s="447">
        <v>27458879.300000001</v>
      </c>
      <c r="F77" s="447">
        <v>28468000.600000001</v>
      </c>
      <c r="G77" s="447">
        <v>18027328.149999999</v>
      </c>
    </row>
    <row r="78" spans="2:9" x14ac:dyDescent="0.25">
      <c r="B78" s="446" t="s">
        <v>977</v>
      </c>
      <c r="C78" s="446" t="s">
        <v>978</v>
      </c>
      <c r="D78" s="447">
        <v>200000</v>
      </c>
      <c r="E78" s="447">
        <v>0</v>
      </c>
      <c r="F78" s="447">
        <v>0</v>
      </c>
      <c r="G78" s="447">
        <v>200000</v>
      </c>
    </row>
    <row r="79" spans="2:9" x14ac:dyDescent="0.25">
      <c r="B79" s="446" t="s">
        <v>979</v>
      </c>
      <c r="C79" s="446" t="s">
        <v>980</v>
      </c>
      <c r="D79" s="447">
        <v>200000</v>
      </c>
      <c r="E79" s="447">
        <v>0</v>
      </c>
      <c r="F79" s="447">
        <v>0</v>
      </c>
      <c r="G79" s="447">
        <v>200000</v>
      </c>
    </row>
    <row r="80" spans="2:9" x14ac:dyDescent="0.25">
      <c r="B80" s="446" t="s">
        <v>981</v>
      </c>
      <c r="C80" s="446" t="s">
        <v>982</v>
      </c>
      <c r="D80" s="447">
        <v>18836449.449999999</v>
      </c>
      <c r="E80" s="447">
        <v>27458879.300000001</v>
      </c>
      <c r="F80" s="447">
        <v>28468000.600000001</v>
      </c>
      <c r="G80" s="447">
        <v>17827328.149999999</v>
      </c>
    </row>
    <row r="81" spans="2:7" x14ac:dyDescent="0.25">
      <c r="B81" s="446" t="s">
        <v>983</v>
      </c>
      <c r="C81" s="446" t="s">
        <v>984</v>
      </c>
      <c r="D81" s="447">
        <v>18836449.449999999</v>
      </c>
      <c r="E81" s="447">
        <v>27458879.300000001</v>
      </c>
      <c r="F81" s="447">
        <v>28468000.600000001</v>
      </c>
      <c r="G81" s="447">
        <v>17827328.149999999</v>
      </c>
    </row>
    <row r="82" spans="2:7" x14ac:dyDescent="0.25">
      <c r="B82" s="446" t="s">
        <v>985</v>
      </c>
      <c r="C82" s="446" t="s">
        <v>986</v>
      </c>
      <c r="D82" s="447">
        <v>18836449.449999999</v>
      </c>
      <c r="E82" s="447">
        <v>27458879.300000001</v>
      </c>
      <c r="F82" s="447">
        <v>28468000.600000001</v>
      </c>
      <c r="G82" s="447">
        <v>17827328.149999999</v>
      </c>
    </row>
    <row r="83" spans="2:7" x14ac:dyDescent="0.25">
      <c r="B83" s="446" t="s">
        <v>987</v>
      </c>
      <c r="C83" s="446" t="s">
        <v>988</v>
      </c>
      <c r="D83" s="447">
        <v>8425444.3000000007</v>
      </c>
      <c r="E83" s="447">
        <v>52094.04</v>
      </c>
      <c r="F83" s="447">
        <v>0</v>
      </c>
      <c r="G83" s="447">
        <v>8477538.3399999999</v>
      </c>
    </row>
    <row r="84" spans="2:7" x14ac:dyDescent="0.25">
      <c r="B84" s="446" t="s">
        <v>989</v>
      </c>
      <c r="C84" s="446" t="s">
        <v>990</v>
      </c>
      <c r="D84" s="447">
        <v>8425444.3000000007</v>
      </c>
      <c r="E84" s="447">
        <v>52094.04</v>
      </c>
      <c r="F84" s="447">
        <v>0</v>
      </c>
      <c r="G84" s="447">
        <v>8477538.3399999999</v>
      </c>
    </row>
    <row r="85" spans="2:7" x14ac:dyDescent="0.25">
      <c r="B85" s="446" t="s">
        <v>991</v>
      </c>
      <c r="C85" s="446" t="s">
        <v>992</v>
      </c>
      <c r="D85" s="447">
        <v>8425444.3000000007</v>
      </c>
      <c r="E85" s="447">
        <v>52094.04</v>
      </c>
      <c r="F85" s="447">
        <v>0</v>
      </c>
      <c r="G85" s="447">
        <v>8477538.3399999999</v>
      </c>
    </row>
    <row r="86" spans="2:7" x14ac:dyDescent="0.25">
      <c r="B86" s="446" t="s">
        <v>993</v>
      </c>
      <c r="C86" s="446" t="s">
        <v>994</v>
      </c>
      <c r="D86" s="447">
        <v>4678544</v>
      </c>
      <c r="E86" s="447">
        <v>28813810</v>
      </c>
      <c r="F86" s="447">
        <v>27457868</v>
      </c>
      <c r="G86" s="447">
        <v>6034486</v>
      </c>
    </row>
    <row r="87" spans="2:7" x14ac:dyDescent="0.25">
      <c r="B87" s="446" t="s">
        <v>995</v>
      </c>
      <c r="C87" s="446" t="s">
        <v>996</v>
      </c>
      <c r="D87" s="447">
        <v>4645234</v>
      </c>
      <c r="E87" s="447">
        <v>28796974</v>
      </c>
      <c r="F87" s="447">
        <v>27457868</v>
      </c>
      <c r="G87" s="447">
        <v>5984340</v>
      </c>
    </row>
    <row r="88" spans="2:7" x14ac:dyDescent="0.25">
      <c r="B88" s="446" t="s">
        <v>997</v>
      </c>
      <c r="C88" s="446" t="s">
        <v>998</v>
      </c>
      <c r="D88" s="447">
        <v>4645234</v>
      </c>
      <c r="E88" s="447">
        <v>28796974</v>
      </c>
      <c r="F88" s="447">
        <v>27457868</v>
      </c>
      <c r="G88" s="447">
        <v>5984340</v>
      </c>
    </row>
    <row r="89" spans="2:7" x14ac:dyDescent="0.25">
      <c r="B89" s="446" t="s">
        <v>999</v>
      </c>
      <c r="C89" s="446" t="s">
        <v>1000</v>
      </c>
      <c r="D89" s="447">
        <v>4645234</v>
      </c>
      <c r="E89" s="447">
        <v>28796974</v>
      </c>
      <c r="F89" s="447">
        <v>27457868</v>
      </c>
      <c r="G89" s="447">
        <v>5984340</v>
      </c>
    </row>
    <row r="90" spans="2:7" x14ac:dyDescent="0.25">
      <c r="B90" s="446" t="s">
        <v>1001</v>
      </c>
      <c r="C90" s="446" t="s">
        <v>1002</v>
      </c>
      <c r="D90" s="447">
        <v>33310</v>
      </c>
      <c r="E90" s="447">
        <v>16836</v>
      </c>
      <c r="F90" s="447">
        <v>0</v>
      </c>
      <c r="G90" s="447">
        <v>50146</v>
      </c>
    </row>
    <row r="91" spans="2:7" x14ac:dyDescent="0.25">
      <c r="B91" s="446" t="s">
        <v>1003</v>
      </c>
      <c r="C91" s="446" t="s">
        <v>998</v>
      </c>
      <c r="D91" s="447">
        <v>33310</v>
      </c>
      <c r="E91" s="447">
        <v>16836</v>
      </c>
      <c r="F91" s="447">
        <v>0</v>
      </c>
      <c r="G91" s="447">
        <v>50146</v>
      </c>
    </row>
    <row r="92" spans="2:7" x14ac:dyDescent="0.25">
      <c r="B92" s="446" t="s">
        <v>1004</v>
      </c>
      <c r="C92" s="446" t="s">
        <v>1005</v>
      </c>
      <c r="D92" s="447">
        <v>33310</v>
      </c>
      <c r="E92" s="447">
        <v>16836</v>
      </c>
      <c r="F92" s="447">
        <v>0</v>
      </c>
      <c r="G92" s="447">
        <v>50146</v>
      </c>
    </row>
    <row r="93" spans="2:7" x14ac:dyDescent="0.25">
      <c r="B93" s="446" t="s">
        <v>1006</v>
      </c>
      <c r="C93" s="446" t="s">
        <v>1007</v>
      </c>
      <c r="D93" s="447">
        <v>1357394</v>
      </c>
      <c r="E93" s="447">
        <v>0</v>
      </c>
      <c r="F93" s="447">
        <v>904930</v>
      </c>
      <c r="G93" s="447">
        <v>452464</v>
      </c>
    </row>
    <row r="94" spans="2:7" x14ac:dyDescent="0.25">
      <c r="B94" s="446" t="s">
        <v>1008</v>
      </c>
      <c r="C94" s="446" t="s">
        <v>1009</v>
      </c>
      <c r="D94" s="447">
        <v>1357394</v>
      </c>
      <c r="E94" s="447">
        <v>0</v>
      </c>
      <c r="F94" s="447">
        <v>904930</v>
      </c>
      <c r="G94" s="447">
        <v>452464</v>
      </c>
    </row>
    <row r="95" spans="2:7" x14ac:dyDescent="0.25">
      <c r="B95" s="446" t="s">
        <v>1010</v>
      </c>
      <c r="C95" s="446" t="s">
        <v>1011</v>
      </c>
      <c r="D95" s="447">
        <v>1357394</v>
      </c>
      <c r="E95" s="447">
        <v>0</v>
      </c>
      <c r="F95" s="447">
        <v>904930</v>
      </c>
      <c r="G95" s="447">
        <v>452464</v>
      </c>
    </row>
    <row r="96" spans="2:7" x14ac:dyDescent="0.25">
      <c r="B96" s="446" t="s">
        <v>1012</v>
      </c>
      <c r="C96" s="446" t="s">
        <v>357</v>
      </c>
      <c r="D96" s="447">
        <v>1357394</v>
      </c>
      <c r="E96" s="447">
        <v>0</v>
      </c>
      <c r="F96" s="447">
        <v>904930</v>
      </c>
      <c r="G96" s="447">
        <v>452464</v>
      </c>
    </row>
    <row r="97" spans="2:7" x14ac:dyDescent="0.25">
      <c r="B97" s="446" t="s">
        <v>1013</v>
      </c>
      <c r="C97" s="446" t="s">
        <v>234</v>
      </c>
      <c r="D97" s="447">
        <v>-67686600.879999995</v>
      </c>
      <c r="E97" s="447">
        <v>3108959</v>
      </c>
      <c r="F97" s="447">
        <v>1808974</v>
      </c>
      <c r="G97" s="447">
        <v>-66386615.880000003</v>
      </c>
    </row>
    <row r="98" spans="2:7" x14ac:dyDescent="0.25">
      <c r="B98" s="446" t="s">
        <v>1014</v>
      </c>
      <c r="C98" s="446" t="s">
        <v>1015</v>
      </c>
      <c r="D98" s="447">
        <v>-1403683.88</v>
      </c>
      <c r="E98" s="447">
        <v>1509970</v>
      </c>
      <c r="F98" s="447">
        <v>1808974</v>
      </c>
      <c r="G98" s="447">
        <v>-1702687.88</v>
      </c>
    </row>
    <row r="99" spans="2:7" x14ac:dyDescent="0.25">
      <c r="B99" s="446" t="s">
        <v>1016</v>
      </c>
      <c r="C99" s="446" t="s">
        <v>1017</v>
      </c>
      <c r="D99" s="447">
        <v>-1029590</v>
      </c>
      <c r="E99" s="447">
        <v>1212970</v>
      </c>
      <c r="F99" s="447">
        <v>1628316</v>
      </c>
      <c r="G99" s="447">
        <v>-1444936</v>
      </c>
    </row>
    <row r="100" spans="2:7" x14ac:dyDescent="0.25">
      <c r="B100" s="446" t="s">
        <v>1018</v>
      </c>
      <c r="C100" s="446" t="s">
        <v>1019</v>
      </c>
      <c r="D100" s="447">
        <v>-488080</v>
      </c>
      <c r="E100" s="447">
        <v>976160</v>
      </c>
      <c r="F100" s="447">
        <v>488080</v>
      </c>
      <c r="G100" s="447">
        <v>0</v>
      </c>
    </row>
    <row r="101" spans="2:7" x14ac:dyDescent="0.25">
      <c r="B101" s="446" t="s">
        <v>1020</v>
      </c>
      <c r="C101" s="446" t="s">
        <v>1019</v>
      </c>
      <c r="D101" s="447">
        <v>-488080</v>
      </c>
      <c r="E101" s="447">
        <v>976160</v>
      </c>
      <c r="F101" s="447">
        <v>488080</v>
      </c>
      <c r="G101" s="447">
        <v>0</v>
      </c>
    </row>
    <row r="102" spans="2:7" x14ac:dyDescent="0.25">
      <c r="B102" s="446" t="s">
        <v>1388</v>
      </c>
      <c r="C102" s="446" t="s">
        <v>1389</v>
      </c>
      <c r="D102" s="447">
        <v>0</v>
      </c>
      <c r="E102" s="447">
        <v>0</v>
      </c>
      <c r="F102" s="447">
        <v>973636</v>
      </c>
      <c r="G102" s="447">
        <v>-973636</v>
      </c>
    </row>
    <row r="103" spans="2:7" x14ac:dyDescent="0.25">
      <c r="B103" s="446" t="s">
        <v>1390</v>
      </c>
      <c r="C103" s="446" t="s">
        <v>1389</v>
      </c>
      <c r="D103" s="447">
        <v>0</v>
      </c>
      <c r="E103" s="447">
        <v>0</v>
      </c>
      <c r="F103" s="447">
        <v>973636</v>
      </c>
      <c r="G103" s="447">
        <v>-973636</v>
      </c>
    </row>
    <row r="104" spans="2:7" x14ac:dyDescent="0.25">
      <c r="B104" s="446" t="s">
        <v>1021</v>
      </c>
      <c r="C104" s="446" t="s">
        <v>998</v>
      </c>
      <c r="D104" s="447">
        <v>-541510</v>
      </c>
      <c r="E104" s="447">
        <v>236810</v>
      </c>
      <c r="F104" s="447">
        <v>166600</v>
      </c>
      <c r="G104" s="447">
        <v>-471300</v>
      </c>
    </row>
    <row r="105" spans="2:7" x14ac:dyDescent="0.25">
      <c r="B105" s="446" t="s">
        <v>1022</v>
      </c>
      <c r="C105" s="446" t="s">
        <v>998</v>
      </c>
      <c r="D105" s="447">
        <v>-541510</v>
      </c>
      <c r="E105" s="447">
        <v>236810</v>
      </c>
      <c r="F105" s="447">
        <v>166600</v>
      </c>
      <c r="G105" s="447">
        <v>-471300</v>
      </c>
    </row>
    <row r="106" spans="2:7" x14ac:dyDescent="0.25">
      <c r="B106" s="446" t="s">
        <v>1023</v>
      </c>
      <c r="C106" s="446" t="s">
        <v>1024</v>
      </c>
      <c r="D106" s="447">
        <v>-299010.06000000099</v>
      </c>
      <c r="E106" s="447">
        <v>297000</v>
      </c>
      <c r="F106" s="447">
        <v>95764</v>
      </c>
      <c r="G106" s="447">
        <v>-97774.060000000507</v>
      </c>
    </row>
    <row r="107" spans="2:7" x14ac:dyDescent="0.25">
      <c r="B107" s="446" t="s">
        <v>1025</v>
      </c>
      <c r="C107" s="446" t="s">
        <v>1026</v>
      </c>
      <c r="D107" s="447">
        <v>-22203</v>
      </c>
      <c r="E107" s="447">
        <v>0</v>
      </c>
      <c r="F107" s="447">
        <v>18802</v>
      </c>
      <c r="G107" s="447">
        <v>-41005</v>
      </c>
    </row>
    <row r="108" spans="2:7" x14ac:dyDescent="0.25">
      <c r="B108" s="446" t="s">
        <v>1027</v>
      </c>
      <c r="C108" s="446" t="s">
        <v>1028</v>
      </c>
      <c r="D108" s="447">
        <v>-22203</v>
      </c>
      <c r="E108" s="447">
        <v>0</v>
      </c>
      <c r="F108" s="447">
        <v>18802</v>
      </c>
      <c r="G108" s="447">
        <v>-41005</v>
      </c>
    </row>
    <row r="109" spans="2:7" x14ac:dyDescent="0.25">
      <c r="B109" s="446" t="s">
        <v>1029</v>
      </c>
      <c r="C109" s="446" t="s">
        <v>1030</v>
      </c>
      <c r="D109" s="447">
        <v>-275562</v>
      </c>
      <c r="E109" s="447">
        <v>0</v>
      </c>
      <c r="F109" s="447">
        <v>76962</v>
      </c>
      <c r="G109" s="447">
        <v>-352524</v>
      </c>
    </row>
    <row r="110" spans="2:7" x14ac:dyDescent="0.25">
      <c r="B110" s="446" t="s">
        <v>1031</v>
      </c>
      <c r="C110" s="446" t="s">
        <v>1032</v>
      </c>
      <c r="D110" s="447">
        <v>-6492</v>
      </c>
      <c r="E110" s="447">
        <v>0</v>
      </c>
      <c r="F110" s="447">
        <v>6492</v>
      </c>
      <c r="G110" s="447">
        <v>-12984</v>
      </c>
    </row>
    <row r="111" spans="2:7" x14ac:dyDescent="0.25">
      <c r="B111" s="446" t="s">
        <v>1033</v>
      </c>
      <c r="C111" s="446" t="s">
        <v>1034</v>
      </c>
      <c r="D111" s="447">
        <v>-48800</v>
      </c>
      <c r="E111" s="447">
        <v>0</v>
      </c>
      <c r="F111" s="447">
        <v>46400</v>
      </c>
      <c r="G111" s="447">
        <v>-95200</v>
      </c>
    </row>
    <row r="112" spans="2:7" x14ac:dyDescent="0.25">
      <c r="B112" s="446" t="s">
        <v>1035</v>
      </c>
      <c r="C112" s="446" t="s">
        <v>1036</v>
      </c>
      <c r="D112" s="447">
        <v>-3070</v>
      </c>
      <c r="E112" s="447">
        <v>0</v>
      </c>
      <c r="F112" s="447">
        <v>3070</v>
      </c>
      <c r="G112" s="447">
        <v>-6140</v>
      </c>
    </row>
    <row r="113" spans="2:7" x14ac:dyDescent="0.25">
      <c r="B113" s="446" t="s">
        <v>1037</v>
      </c>
      <c r="C113" s="446" t="s">
        <v>1038</v>
      </c>
      <c r="D113" s="447">
        <v>-217200</v>
      </c>
      <c r="E113" s="447">
        <v>0</v>
      </c>
      <c r="F113" s="447">
        <v>21000</v>
      </c>
      <c r="G113" s="447">
        <v>-238200</v>
      </c>
    </row>
    <row r="114" spans="2:7" x14ac:dyDescent="0.25">
      <c r="B114" s="446" t="s">
        <v>1043</v>
      </c>
      <c r="C114" s="446" t="s">
        <v>1044</v>
      </c>
      <c r="D114" s="447">
        <v>-1245.0600000005199</v>
      </c>
      <c r="E114" s="447">
        <v>297000</v>
      </c>
      <c r="F114" s="447">
        <v>0</v>
      </c>
      <c r="G114" s="447">
        <v>295754.93999999901</v>
      </c>
    </row>
    <row r="115" spans="2:7" x14ac:dyDescent="0.25">
      <c r="B115" s="446" t="s">
        <v>1045</v>
      </c>
      <c r="C115" s="446" t="s">
        <v>1046</v>
      </c>
      <c r="D115" s="447">
        <v>-75083.819999999803</v>
      </c>
      <c r="E115" s="447">
        <v>0</v>
      </c>
      <c r="F115" s="447">
        <v>84894</v>
      </c>
      <c r="G115" s="447">
        <v>-159977.82</v>
      </c>
    </row>
    <row r="116" spans="2:7" x14ac:dyDescent="0.25">
      <c r="B116" s="446" t="s">
        <v>1047</v>
      </c>
      <c r="C116" s="446" t="s">
        <v>1048</v>
      </c>
      <c r="D116" s="447">
        <v>-78303</v>
      </c>
      <c r="E116" s="447">
        <v>0</v>
      </c>
      <c r="F116" s="447">
        <v>84894</v>
      </c>
      <c r="G116" s="447">
        <v>-163197</v>
      </c>
    </row>
    <row r="117" spans="2:7" x14ac:dyDescent="0.25">
      <c r="B117" s="446" t="s">
        <v>1049</v>
      </c>
      <c r="C117" s="446" t="s">
        <v>1050</v>
      </c>
      <c r="D117" s="447">
        <v>-65411</v>
      </c>
      <c r="E117" s="447">
        <v>0</v>
      </c>
      <c r="F117" s="447">
        <v>37755</v>
      </c>
      <c r="G117" s="447">
        <v>-103166</v>
      </c>
    </row>
    <row r="118" spans="2:7" x14ac:dyDescent="0.25">
      <c r="B118" s="446" t="s">
        <v>1051</v>
      </c>
      <c r="C118" s="446" t="s">
        <v>1052</v>
      </c>
      <c r="D118" s="447">
        <v>-12892</v>
      </c>
      <c r="E118" s="447">
        <v>0</v>
      </c>
      <c r="F118" s="447">
        <v>47139</v>
      </c>
      <c r="G118" s="447">
        <v>-60031</v>
      </c>
    </row>
    <row r="119" spans="2:7" x14ac:dyDescent="0.25">
      <c r="B119" s="446" t="s">
        <v>1055</v>
      </c>
      <c r="C119" s="446" t="s">
        <v>1056</v>
      </c>
      <c r="D119" s="447">
        <v>3219.1800000001699</v>
      </c>
      <c r="E119" s="447">
        <v>0</v>
      </c>
      <c r="F119" s="447">
        <v>0</v>
      </c>
      <c r="G119" s="447">
        <v>3219.1800000001699</v>
      </c>
    </row>
    <row r="120" spans="2:7" x14ac:dyDescent="0.25">
      <c r="B120" s="446" t="s">
        <v>1391</v>
      </c>
      <c r="C120" s="446" t="s">
        <v>1192</v>
      </c>
      <c r="D120" s="447">
        <v>-1598989</v>
      </c>
      <c r="E120" s="447">
        <v>1598989</v>
      </c>
      <c r="F120" s="447">
        <v>0</v>
      </c>
      <c r="G120" s="447">
        <v>0</v>
      </c>
    </row>
    <row r="121" spans="2:7" x14ac:dyDescent="0.25">
      <c r="B121" s="446" t="s">
        <v>1392</v>
      </c>
      <c r="C121" s="446" t="s">
        <v>1393</v>
      </c>
      <c r="D121" s="447">
        <v>-1598989</v>
      </c>
      <c r="E121" s="447">
        <v>1598989</v>
      </c>
      <c r="F121" s="447">
        <v>0</v>
      </c>
      <c r="G121" s="447">
        <v>0</v>
      </c>
    </row>
    <row r="122" spans="2:7" x14ac:dyDescent="0.25">
      <c r="B122" s="446" t="s">
        <v>1394</v>
      </c>
      <c r="C122" s="446" t="s">
        <v>1395</v>
      </c>
      <c r="D122" s="447">
        <v>-1598989</v>
      </c>
      <c r="E122" s="447">
        <v>1598989</v>
      </c>
      <c r="F122" s="447">
        <v>0</v>
      </c>
      <c r="G122" s="447">
        <v>0</v>
      </c>
    </row>
    <row r="123" spans="2:7" x14ac:dyDescent="0.25">
      <c r="B123" s="446" t="s">
        <v>1396</v>
      </c>
      <c r="C123" s="446" t="s">
        <v>1397</v>
      </c>
      <c r="D123" s="447">
        <v>-1598989</v>
      </c>
      <c r="E123" s="447">
        <v>1598989</v>
      </c>
      <c r="F123" s="447">
        <v>0</v>
      </c>
      <c r="G123" s="447">
        <v>0</v>
      </c>
    </row>
    <row r="124" spans="2:7" x14ac:dyDescent="0.25">
      <c r="B124" s="446" t="s">
        <v>1057</v>
      </c>
      <c r="C124" s="446" t="s">
        <v>1058</v>
      </c>
      <c r="D124" s="447">
        <v>-64683928</v>
      </c>
      <c r="E124" s="447">
        <v>0</v>
      </c>
      <c r="F124" s="447">
        <v>0</v>
      </c>
      <c r="G124" s="447">
        <v>-64683928</v>
      </c>
    </row>
    <row r="125" spans="2:7" x14ac:dyDescent="0.25">
      <c r="B125" s="446" t="s">
        <v>1059</v>
      </c>
      <c r="C125" s="446" t="s">
        <v>1060</v>
      </c>
      <c r="D125" s="447">
        <v>-64683928</v>
      </c>
      <c r="E125" s="447">
        <v>0</v>
      </c>
      <c r="F125" s="447">
        <v>0</v>
      </c>
      <c r="G125" s="447">
        <v>-64683928</v>
      </c>
    </row>
    <row r="126" spans="2:7" x14ac:dyDescent="0.25">
      <c r="B126" s="446" t="s">
        <v>1061</v>
      </c>
      <c r="C126" s="446" t="s">
        <v>1062</v>
      </c>
      <c r="D126" s="447">
        <v>-64683928</v>
      </c>
      <c r="E126" s="447">
        <v>0</v>
      </c>
      <c r="F126" s="447">
        <v>0</v>
      </c>
      <c r="G126" s="447">
        <v>-64683928</v>
      </c>
    </row>
    <row r="127" spans="2:7" x14ac:dyDescent="0.25">
      <c r="B127" s="446" t="s">
        <v>1063</v>
      </c>
      <c r="C127" s="446" t="s">
        <v>1064</v>
      </c>
      <c r="D127" s="447">
        <v>-7425682</v>
      </c>
      <c r="E127" s="447">
        <v>0</v>
      </c>
      <c r="F127" s="447">
        <v>0</v>
      </c>
      <c r="G127" s="447">
        <v>-7425682</v>
      </c>
    </row>
    <row r="128" spans="2:7" x14ac:dyDescent="0.25">
      <c r="B128" s="446" t="s">
        <v>1065</v>
      </c>
      <c r="C128" s="446" t="s">
        <v>1066</v>
      </c>
      <c r="D128" s="447">
        <v>-3837291</v>
      </c>
      <c r="E128" s="447">
        <v>0</v>
      </c>
      <c r="F128" s="447">
        <v>0</v>
      </c>
      <c r="G128" s="447">
        <v>-3837291</v>
      </c>
    </row>
    <row r="129" spans="2:7" x14ac:dyDescent="0.25">
      <c r="B129" s="446" t="s">
        <v>1067</v>
      </c>
      <c r="C129" s="446" t="s">
        <v>1068</v>
      </c>
      <c r="D129" s="447">
        <v>-8550122</v>
      </c>
      <c r="E129" s="447">
        <v>0</v>
      </c>
      <c r="F129" s="447">
        <v>0</v>
      </c>
      <c r="G129" s="447">
        <v>-8550122</v>
      </c>
    </row>
    <row r="130" spans="2:7" x14ac:dyDescent="0.25">
      <c r="B130" s="446" t="s">
        <v>570</v>
      </c>
      <c r="C130" s="446" t="s">
        <v>571</v>
      </c>
      <c r="D130" s="447">
        <v>-44870833</v>
      </c>
      <c r="E130" s="447">
        <v>0</v>
      </c>
      <c r="F130" s="447">
        <v>0</v>
      </c>
      <c r="G130" s="447">
        <v>-44870833</v>
      </c>
    </row>
    <row r="131" spans="2:7" x14ac:dyDescent="0.25">
      <c r="B131" s="446" t="s">
        <v>1069</v>
      </c>
      <c r="C131" s="446" t="s">
        <v>234</v>
      </c>
      <c r="D131" s="447">
        <v>34245358.380000003</v>
      </c>
      <c r="E131" s="447">
        <v>0</v>
      </c>
      <c r="F131" s="447">
        <v>287015</v>
      </c>
      <c r="G131" s="447">
        <v>33958343.380000003</v>
      </c>
    </row>
    <row r="132" spans="2:7" x14ac:dyDescent="0.25">
      <c r="B132" s="446" t="s">
        <v>1070</v>
      </c>
      <c r="C132" s="446" t="s">
        <v>1071</v>
      </c>
      <c r="D132" s="447">
        <v>-8574200.8800000008</v>
      </c>
      <c r="E132" s="447">
        <v>0</v>
      </c>
      <c r="F132" s="447">
        <v>287015</v>
      </c>
      <c r="G132" s="447">
        <v>-8861215.8800000008</v>
      </c>
    </row>
    <row r="133" spans="2:7" x14ac:dyDescent="0.25">
      <c r="B133" s="446" t="s">
        <v>1072</v>
      </c>
      <c r="C133" s="446" t="s">
        <v>1073</v>
      </c>
      <c r="D133" s="447">
        <v>-8574200.8800000008</v>
      </c>
      <c r="E133" s="447">
        <v>0</v>
      </c>
      <c r="F133" s="447">
        <v>287015</v>
      </c>
      <c r="G133" s="447">
        <v>-8861215.8800000008</v>
      </c>
    </row>
    <row r="134" spans="2:7" x14ac:dyDescent="0.25">
      <c r="B134" s="446" t="s">
        <v>1074</v>
      </c>
      <c r="C134" s="446" t="s">
        <v>1075</v>
      </c>
      <c r="D134" s="447">
        <v>-8574200.8800000008</v>
      </c>
      <c r="E134" s="447">
        <v>0</v>
      </c>
      <c r="F134" s="447">
        <v>287015</v>
      </c>
      <c r="G134" s="447">
        <v>-8861215.8800000008</v>
      </c>
    </row>
    <row r="135" spans="2:7" x14ac:dyDescent="0.25">
      <c r="B135" s="446" t="s">
        <v>1076</v>
      </c>
      <c r="C135" s="446" t="s">
        <v>1077</v>
      </c>
      <c r="D135" s="447">
        <v>-8574200.8800000008</v>
      </c>
      <c r="E135" s="447">
        <v>0</v>
      </c>
      <c r="F135" s="447">
        <v>287015</v>
      </c>
      <c r="G135" s="447">
        <v>-8861215.8800000008</v>
      </c>
    </row>
    <row r="136" spans="2:7" x14ac:dyDescent="0.25">
      <c r="B136" s="446" t="s">
        <v>1078</v>
      </c>
      <c r="C136" s="446" t="s">
        <v>1079</v>
      </c>
      <c r="D136" s="447">
        <v>42819559.259999998</v>
      </c>
      <c r="E136" s="447">
        <v>0</v>
      </c>
      <c r="F136" s="447">
        <v>0</v>
      </c>
      <c r="G136" s="447">
        <v>42819559.259999998</v>
      </c>
    </row>
    <row r="137" spans="2:7" x14ac:dyDescent="0.25">
      <c r="B137" s="446" t="s">
        <v>1080</v>
      </c>
      <c r="C137" s="446" t="s">
        <v>1081</v>
      </c>
      <c r="D137" s="447">
        <v>42819559.259999998</v>
      </c>
      <c r="E137" s="447">
        <v>0</v>
      </c>
      <c r="F137" s="447">
        <v>0</v>
      </c>
      <c r="G137" s="447">
        <v>42819559.259999998</v>
      </c>
    </row>
    <row r="138" spans="2:7" x14ac:dyDescent="0.25">
      <c r="B138" s="446" t="s">
        <v>1082</v>
      </c>
      <c r="C138" s="446" t="s">
        <v>1083</v>
      </c>
      <c r="D138" s="447">
        <v>42819559.259999998</v>
      </c>
      <c r="E138" s="447">
        <v>0</v>
      </c>
      <c r="F138" s="447">
        <v>0</v>
      </c>
      <c r="G138" s="447">
        <v>42819559.259999998</v>
      </c>
    </row>
    <row r="139" spans="2:7" x14ac:dyDescent="0.25">
      <c r="B139" s="446" t="s">
        <v>1084</v>
      </c>
      <c r="C139" s="446" t="s">
        <v>1085</v>
      </c>
      <c r="D139" s="447">
        <v>42819559.259999998</v>
      </c>
      <c r="E139" s="447">
        <v>0</v>
      </c>
      <c r="F139" s="447">
        <v>0</v>
      </c>
      <c r="G139" s="447">
        <v>42819559.259999998</v>
      </c>
    </row>
    <row r="140" spans="2:7" x14ac:dyDescent="0.25">
      <c r="B140" s="446" t="s">
        <v>1086</v>
      </c>
      <c r="C140" s="446" t="s">
        <v>1087</v>
      </c>
      <c r="D140" s="447">
        <v>-9.3132257461547893E-10</v>
      </c>
      <c r="E140" s="447">
        <v>0</v>
      </c>
      <c r="F140" s="447">
        <v>0</v>
      </c>
      <c r="G140" s="447">
        <v>-9.3132257461547893E-10</v>
      </c>
    </row>
    <row r="141" spans="2:7" x14ac:dyDescent="0.25">
      <c r="B141" s="446" t="s">
        <v>1088</v>
      </c>
      <c r="C141" s="446" t="s">
        <v>1089</v>
      </c>
      <c r="D141" s="447">
        <v>-9.3132257461547893E-10</v>
      </c>
      <c r="E141" s="447">
        <v>0</v>
      </c>
      <c r="F141" s="447">
        <v>0</v>
      </c>
      <c r="G141" s="447">
        <v>-9.3132257461547893E-10</v>
      </c>
    </row>
    <row r="142" spans="2:7" x14ac:dyDescent="0.25">
      <c r="B142" s="446" t="s">
        <v>1090</v>
      </c>
      <c r="C142" s="446" t="s">
        <v>1091</v>
      </c>
      <c r="D142" s="447">
        <v>-9.3132257461547893E-10</v>
      </c>
      <c r="E142" s="447">
        <v>0</v>
      </c>
      <c r="F142" s="447">
        <v>0</v>
      </c>
      <c r="G142" s="447">
        <v>-9.3132257461547893E-10</v>
      </c>
    </row>
    <row r="143" spans="2:7" x14ac:dyDescent="0.25">
      <c r="B143" s="446" t="s">
        <v>1092</v>
      </c>
      <c r="C143" s="446" t="s">
        <v>1089</v>
      </c>
      <c r="D143" s="447">
        <v>-9.3132257461547893E-10</v>
      </c>
      <c r="E143" s="447">
        <v>0</v>
      </c>
      <c r="F143" s="447">
        <v>0</v>
      </c>
      <c r="G143" s="447">
        <v>-9.3132257461547893E-10</v>
      </c>
    </row>
    <row r="144" spans="2:7" x14ac:dyDescent="0.25">
      <c r="B144" s="446" t="s">
        <v>1093</v>
      </c>
      <c r="C144" s="446" t="s">
        <v>1094</v>
      </c>
      <c r="D144" s="447">
        <v>-29152795.690000001</v>
      </c>
      <c r="E144" s="447">
        <v>0</v>
      </c>
      <c r="F144" s="447">
        <v>29173670.34</v>
      </c>
      <c r="G144" s="447">
        <v>-58326466.030000001</v>
      </c>
    </row>
    <row r="145" spans="2:7" x14ac:dyDescent="0.25">
      <c r="B145" s="446" t="s">
        <v>1095</v>
      </c>
      <c r="C145" s="446" t="s">
        <v>1096</v>
      </c>
      <c r="D145" s="447">
        <v>-28701567</v>
      </c>
      <c r="E145" s="447">
        <v>0</v>
      </c>
      <c r="F145" s="447">
        <v>28701567</v>
      </c>
      <c r="G145" s="447">
        <v>-57403134</v>
      </c>
    </row>
    <row r="146" spans="2:7" x14ac:dyDescent="0.25">
      <c r="B146" s="446" t="s">
        <v>1097</v>
      </c>
      <c r="C146" s="446" t="s">
        <v>1098</v>
      </c>
      <c r="D146" s="447">
        <v>-28701567</v>
      </c>
      <c r="E146" s="447">
        <v>0</v>
      </c>
      <c r="F146" s="447">
        <v>28701567</v>
      </c>
      <c r="G146" s="447">
        <v>-57403134</v>
      </c>
    </row>
    <row r="147" spans="2:7" x14ac:dyDescent="0.25">
      <c r="B147" s="446" t="s">
        <v>1099</v>
      </c>
      <c r="C147" s="446" t="s">
        <v>1100</v>
      </c>
      <c r="D147" s="447">
        <v>-28701567</v>
      </c>
      <c r="E147" s="447">
        <v>0</v>
      </c>
      <c r="F147" s="447">
        <v>28701567</v>
      </c>
      <c r="G147" s="447">
        <v>-57403134</v>
      </c>
    </row>
    <row r="148" spans="2:7" x14ac:dyDescent="0.25">
      <c r="B148" s="446" t="s">
        <v>1101</v>
      </c>
      <c r="C148" s="446" t="s">
        <v>1000</v>
      </c>
      <c r="D148" s="447">
        <v>-28701567</v>
      </c>
      <c r="E148" s="447">
        <v>0</v>
      </c>
      <c r="F148" s="447">
        <v>28701567</v>
      </c>
      <c r="G148" s="447">
        <v>-57403134</v>
      </c>
    </row>
    <row r="149" spans="2:7" x14ac:dyDescent="0.25">
      <c r="B149" s="446" t="s">
        <v>1102</v>
      </c>
      <c r="C149" s="446" t="s">
        <v>1103</v>
      </c>
      <c r="D149" s="447">
        <v>-451228.69</v>
      </c>
      <c r="E149" s="447">
        <v>0</v>
      </c>
      <c r="F149" s="447">
        <v>472103.34</v>
      </c>
      <c r="G149" s="447">
        <v>-923332.03</v>
      </c>
    </row>
    <row r="150" spans="2:7" x14ac:dyDescent="0.25">
      <c r="B150" s="446" t="s">
        <v>1104</v>
      </c>
      <c r="C150" s="446" t="s">
        <v>1105</v>
      </c>
      <c r="D150" s="447">
        <v>-451228.69</v>
      </c>
      <c r="E150" s="447">
        <v>0</v>
      </c>
      <c r="F150" s="447">
        <v>472103.34</v>
      </c>
      <c r="G150" s="447">
        <v>-923332.03</v>
      </c>
    </row>
    <row r="151" spans="2:7" x14ac:dyDescent="0.25">
      <c r="B151" s="446" t="s">
        <v>1106</v>
      </c>
      <c r="C151" s="446" t="s">
        <v>1107</v>
      </c>
      <c r="D151" s="447">
        <v>-124384.69</v>
      </c>
      <c r="E151" s="447">
        <v>0</v>
      </c>
      <c r="F151" s="447">
        <v>53105.34</v>
      </c>
      <c r="G151" s="447">
        <v>-177490.03</v>
      </c>
    </row>
    <row r="152" spans="2:7" x14ac:dyDescent="0.25">
      <c r="B152" s="446" t="s">
        <v>1108</v>
      </c>
      <c r="C152" s="446" t="s">
        <v>1109</v>
      </c>
      <c r="D152" s="447">
        <v>-669.23999999999796</v>
      </c>
      <c r="E152" s="447">
        <v>0</v>
      </c>
      <c r="F152" s="447">
        <v>1011.3</v>
      </c>
      <c r="G152" s="447">
        <v>-1680.54</v>
      </c>
    </row>
    <row r="153" spans="2:7" x14ac:dyDescent="0.25">
      <c r="B153" s="446" t="s">
        <v>1110</v>
      </c>
      <c r="C153" s="446" t="s">
        <v>1111</v>
      </c>
      <c r="D153" s="447">
        <v>-123715.45</v>
      </c>
      <c r="E153" s="447">
        <v>0</v>
      </c>
      <c r="F153" s="447">
        <v>52094.04</v>
      </c>
      <c r="G153" s="447">
        <v>-175809.49</v>
      </c>
    </row>
    <row r="154" spans="2:7" x14ac:dyDescent="0.25">
      <c r="B154" s="446" t="s">
        <v>1112</v>
      </c>
      <c r="C154" s="446" t="s">
        <v>1113</v>
      </c>
      <c r="D154" s="447">
        <v>-257831</v>
      </c>
      <c r="E154" s="447">
        <v>0</v>
      </c>
      <c r="F154" s="447">
        <v>323591</v>
      </c>
      <c r="G154" s="447">
        <v>-581422</v>
      </c>
    </row>
    <row r="155" spans="2:7" x14ac:dyDescent="0.25">
      <c r="B155" s="446" t="s">
        <v>1114</v>
      </c>
      <c r="C155" s="446" t="s">
        <v>1115</v>
      </c>
      <c r="D155" s="447">
        <v>-257831</v>
      </c>
      <c r="E155" s="447">
        <v>0</v>
      </c>
      <c r="F155" s="447">
        <v>323591</v>
      </c>
      <c r="G155" s="447">
        <v>-581422</v>
      </c>
    </row>
    <row r="156" spans="2:7" x14ac:dyDescent="0.25">
      <c r="B156" s="446" t="s">
        <v>1116</v>
      </c>
      <c r="C156" s="446" t="s">
        <v>998</v>
      </c>
      <c r="D156" s="447">
        <v>-69013</v>
      </c>
      <c r="E156" s="447">
        <v>0</v>
      </c>
      <c r="F156" s="447">
        <v>95407</v>
      </c>
      <c r="G156" s="447">
        <v>-164420</v>
      </c>
    </row>
    <row r="157" spans="2:7" x14ac:dyDescent="0.25">
      <c r="B157" s="446" t="s">
        <v>1117</v>
      </c>
      <c r="C157" s="446" t="s">
        <v>1118</v>
      </c>
      <c r="D157" s="447">
        <v>-69013</v>
      </c>
      <c r="E157" s="447">
        <v>0</v>
      </c>
      <c r="F157" s="447">
        <v>95407</v>
      </c>
      <c r="G157" s="447">
        <v>-164420</v>
      </c>
    </row>
    <row r="158" spans="2:7" x14ac:dyDescent="0.25">
      <c r="B158" s="446" t="s">
        <v>1124</v>
      </c>
      <c r="C158" s="446" t="s">
        <v>1125</v>
      </c>
      <c r="D158" s="447">
        <v>29096206.440000001</v>
      </c>
      <c r="E158" s="447">
        <v>28799995.600000001</v>
      </c>
      <c r="F158" s="447">
        <v>133280</v>
      </c>
      <c r="G158" s="447">
        <v>57762922.039999999</v>
      </c>
    </row>
    <row r="159" spans="2:7" x14ac:dyDescent="0.25">
      <c r="B159" s="446" t="s">
        <v>1126</v>
      </c>
      <c r="C159" s="446" t="s">
        <v>412</v>
      </c>
      <c r="D159" s="447">
        <v>28905054</v>
      </c>
      <c r="E159" s="447">
        <v>28610473</v>
      </c>
      <c r="F159" s="447">
        <v>133280</v>
      </c>
      <c r="G159" s="447">
        <v>57382247</v>
      </c>
    </row>
    <row r="160" spans="2:7" x14ac:dyDescent="0.25">
      <c r="B160" s="446" t="s">
        <v>1127</v>
      </c>
      <c r="C160" s="446" t="s">
        <v>1019</v>
      </c>
      <c r="D160" s="447">
        <v>488080</v>
      </c>
      <c r="E160" s="447">
        <v>488080</v>
      </c>
      <c r="F160" s="447">
        <v>0</v>
      </c>
      <c r="G160" s="447">
        <v>976160</v>
      </c>
    </row>
    <row r="161" spans="2:7" x14ac:dyDescent="0.25">
      <c r="B161" s="446" t="s">
        <v>1128</v>
      </c>
      <c r="C161" s="446" t="s">
        <v>1129</v>
      </c>
      <c r="D161" s="447">
        <v>488080</v>
      </c>
      <c r="E161" s="447">
        <v>488080</v>
      </c>
      <c r="F161" s="447">
        <v>0</v>
      </c>
      <c r="G161" s="447">
        <v>976160</v>
      </c>
    </row>
    <row r="162" spans="2:7" x14ac:dyDescent="0.25">
      <c r="B162" s="446" t="s">
        <v>1130</v>
      </c>
      <c r="C162" s="446" t="s">
        <v>354</v>
      </c>
      <c r="D162" s="447">
        <v>488080</v>
      </c>
      <c r="E162" s="447">
        <v>488080</v>
      </c>
      <c r="F162" s="447">
        <v>0</v>
      </c>
      <c r="G162" s="447">
        <v>976160</v>
      </c>
    </row>
    <row r="163" spans="2:7" x14ac:dyDescent="0.25">
      <c r="B163" s="446" t="s">
        <v>1131</v>
      </c>
      <c r="C163" s="446" t="s">
        <v>1132</v>
      </c>
      <c r="D163" s="447">
        <v>1357394</v>
      </c>
      <c r="E163" s="447">
        <v>904930</v>
      </c>
      <c r="F163" s="447">
        <v>0</v>
      </c>
      <c r="G163" s="447">
        <v>2262324</v>
      </c>
    </row>
    <row r="164" spans="2:7" x14ac:dyDescent="0.25">
      <c r="B164" s="446" t="s">
        <v>1133</v>
      </c>
      <c r="C164" s="446" t="s">
        <v>1134</v>
      </c>
      <c r="D164" s="447">
        <v>1357394</v>
      </c>
      <c r="E164" s="447">
        <v>904930</v>
      </c>
      <c r="F164" s="447">
        <v>0</v>
      </c>
      <c r="G164" s="447">
        <v>2262324</v>
      </c>
    </row>
    <row r="165" spans="2:7" x14ac:dyDescent="0.25">
      <c r="B165" s="446" t="s">
        <v>1135</v>
      </c>
      <c r="C165" s="446" t="s">
        <v>357</v>
      </c>
      <c r="D165" s="447">
        <v>1357394</v>
      </c>
      <c r="E165" s="447">
        <v>904930</v>
      </c>
      <c r="F165" s="447">
        <v>0</v>
      </c>
      <c r="G165" s="447">
        <v>2262324</v>
      </c>
    </row>
    <row r="166" spans="2:7" x14ac:dyDescent="0.25">
      <c r="B166" s="446" t="s">
        <v>1136</v>
      </c>
      <c r="C166" s="446" t="s">
        <v>1137</v>
      </c>
      <c r="D166" s="447">
        <v>21754351.879999999</v>
      </c>
      <c r="E166" s="447">
        <v>23061740</v>
      </c>
      <c r="F166" s="447">
        <v>0</v>
      </c>
      <c r="G166" s="447">
        <v>44816091.880000003</v>
      </c>
    </row>
    <row r="167" spans="2:7" x14ac:dyDescent="0.25">
      <c r="B167" s="446" t="s">
        <v>1138</v>
      </c>
      <c r="C167" s="446" t="s">
        <v>1139</v>
      </c>
      <c r="D167" s="447">
        <v>15953212</v>
      </c>
      <c r="E167" s="447">
        <v>17704758</v>
      </c>
      <c r="F167" s="447">
        <v>0</v>
      </c>
      <c r="G167" s="447">
        <v>33657970</v>
      </c>
    </row>
    <row r="168" spans="2:7" x14ac:dyDescent="0.25">
      <c r="B168" s="446" t="s">
        <v>1140</v>
      </c>
      <c r="C168" s="446" t="s">
        <v>360</v>
      </c>
      <c r="D168" s="447">
        <v>13136493</v>
      </c>
      <c r="E168" s="447">
        <v>14888024</v>
      </c>
      <c r="F168" s="447">
        <v>0</v>
      </c>
      <c r="G168" s="447">
        <v>28024517</v>
      </c>
    </row>
    <row r="169" spans="2:7" x14ac:dyDescent="0.25">
      <c r="B169" s="446" t="s">
        <v>1141</v>
      </c>
      <c r="C169" s="446" t="s">
        <v>363</v>
      </c>
      <c r="D169" s="447">
        <v>2766619</v>
      </c>
      <c r="E169" s="447">
        <v>2766619</v>
      </c>
      <c r="F169" s="447">
        <v>0</v>
      </c>
      <c r="G169" s="447">
        <v>5533238</v>
      </c>
    </row>
    <row r="170" spans="2:7" x14ac:dyDescent="0.25">
      <c r="B170" s="446" t="s">
        <v>1142</v>
      </c>
      <c r="C170" s="446" t="s">
        <v>366</v>
      </c>
      <c r="D170" s="447">
        <v>50100</v>
      </c>
      <c r="E170" s="447">
        <v>50115</v>
      </c>
      <c r="F170" s="447">
        <v>0</v>
      </c>
      <c r="G170" s="447">
        <v>100215</v>
      </c>
    </row>
    <row r="171" spans="2:7" x14ac:dyDescent="0.25">
      <c r="B171" s="446" t="s">
        <v>1143</v>
      </c>
      <c r="C171" s="446" t="s">
        <v>1144</v>
      </c>
      <c r="D171" s="447">
        <v>2343824</v>
      </c>
      <c r="E171" s="447">
        <v>2343824</v>
      </c>
      <c r="F171" s="447">
        <v>0</v>
      </c>
      <c r="G171" s="447">
        <v>4687648</v>
      </c>
    </row>
    <row r="172" spans="2:7" x14ac:dyDescent="0.25">
      <c r="B172" s="446" t="s">
        <v>1145</v>
      </c>
      <c r="C172" s="446" t="s">
        <v>369</v>
      </c>
      <c r="D172" s="447">
        <v>2343824</v>
      </c>
      <c r="E172" s="447">
        <v>2343824</v>
      </c>
      <c r="F172" s="447">
        <v>0</v>
      </c>
      <c r="G172" s="447">
        <v>4687648</v>
      </c>
    </row>
    <row r="173" spans="2:7" x14ac:dyDescent="0.25">
      <c r="B173" s="446" t="s">
        <v>1146</v>
      </c>
      <c r="C173" s="446" t="s">
        <v>1147</v>
      </c>
      <c r="D173" s="447">
        <v>50344</v>
      </c>
      <c r="E173" s="447">
        <v>50344</v>
      </c>
      <c r="F173" s="447">
        <v>0</v>
      </c>
      <c r="G173" s="447">
        <v>100688</v>
      </c>
    </row>
    <row r="174" spans="2:7" x14ac:dyDescent="0.25">
      <c r="B174" s="446" t="s">
        <v>1148</v>
      </c>
      <c r="C174" s="446" t="s">
        <v>371</v>
      </c>
      <c r="D174" s="447">
        <v>50344</v>
      </c>
      <c r="E174" s="447">
        <v>50344</v>
      </c>
      <c r="F174" s="447">
        <v>0</v>
      </c>
      <c r="G174" s="447">
        <v>100688</v>
      </c>
    </row>
    <row r="175" spans="2:7" x14ac:dyDescent="0.25">
      <c r="B175" s="446" t="s">
        <v>1149</v>
      </c>
      <c r="C175" s="446" t="s">
        <v>374</v>
      </c>
      <c r="D175" s="447">
        <v>129706</v>
      </c>
      <c r="E175" s="447">
        <v>233099</v>
      </c>
      <c r="F175" s="447">
        <v>0</v>
      </c>
      <c r="G175" s="447">
        <v>362805</v>
      </c>
    </row>
    <row r="176" spans="2:7" x14ac:dyDescent="0.25">
      <c r="B176" s="446" t="s">
        <v>1150</v>
      </c>
      <c r="C176" s="446" t="s">
        <v>374</v>
      </c>
      <c r="D176" s="447">
        <v>129706</v>
      </c>
      <c r="E176" s="447">
        <v>233099</v>
      </c>
      <c r="F176" s="447">
        <v>0</v>
      </c>
      <c r="G176" s="447">
        <v>362805</v>
      </c>
    </row>
    <row r="177" spans="2:7" x14ac:dyDescent="0.25">
      <c r="B177" s="446" t="s">
        <v>1151</v>
      </c>
      <c r="C177" s="446" t="s">
        <v>381</v>
      </c>
      <c r="D177" s="447">
        <v>3189683.88</v>
      </c>
      <c r="E177" s="447">
        <v>2628727</v>
      </c>
      <c r="F177" s="447">
        <v>0</v>
      </c>
      <c r="G177" s="447">
        <v>5818410.8799999999</v>
      </c>
    </row>
    <row r="178" spans="2:7" x14ac:dyDescent="0.25">
      <c r="B178" s="446" t="s">
        <v>1152</v>
      </c>
      <c r="C178" s="446" t="s">
        <v>381</v>
      </c>
      <c r="D178" s="447">
        <v>3189683.88</v>
      </c>
      <c r="E178" s="447">
        <v>2628727</v>
      </c>
      <c r="F178" s="447">
        <v>0</v>
      </c>
      <c r="G178" s="447">
        <v>5818410.8799999999</v>
      </c>
    </row>
    <row r="179" spans="2:7" x14ac:dyDescent="0.25">
      <c r="B179" s="446" t="s">
        <v>1153</v>
      </c>
      <c r="C179" s="446" t="s">
        <v>385</v>
      </c>
      <c r="D179" s="447">
        <v>87582</v>
      </c>
      <c r="E179" s="447">
        <v>100988</v>
      </c>
      <c r="F179" s="447">
        <v>0</v>
      </c>
      <c r="G179" s="447">
        <v>188570</v>
      </c>
    </row>
    <row r="180" spans="2:7" x14ac:dyDescent="0.25">
      <c r="B180" s="446" t="s">
        <v>1154</v>
      </c>
      <c r="C180" s="446" t="s">
        <v>385</v>
      </c>
      <c r="D180" s="447">
        <v>87582</v>
      </c>
      <c r="E180" s="447">
        <v>100988</v>
      </c>
      <c r="F180" s="447">
        <v>0</v>
      </c>
      <c r="G180" s="447">
        <v>188570</v>
      </c>
    </row>
    <row r="181" spans="2:7" x14ac:dyDescent="0.25">
      <c r="B181" s="446" t="s">
        <v>1155</v>
      </c>
      <c r="C181" s="446" t="s">
        <v>233</v>
      </c>
      <c r="D181" s="447">
        <v>4874663</v>
      </c>
      <c r="E181" s="447">
        <v>3145009</v>
      </c>
      <c r="F181" s="447">
        <v>133280</v>
      </c>
      <c r="G181" s="447">
        <v>7886392</v>
      </c>
    </row>
    <row r="182" spans="2:7" x14ac:dyDescent="0.25">
      <c r="B182" s="446" t="s">
        <v>1159</v>
      </c>
      <c r="C182" s="446" t="s">
        <v>1160</v>
      </c>
      <c r="D182" s="447">
        <v>4874663</v>
      </c>
      <c r="E182" s="447">
        <v>3145009</v>
      </c>
      <c r="F182" s="447">
        <v>133280</v>
      </c>
      <c r="G182" s="447">
        <v>7886392</v>
      </c>
    </row>
    <row r="183" spans="2:7" x14ac:dyDescent="0.25">
      <c r="B183" s="446" t="s">
        <v>1161</v>
      </c>
      <c r="C183" s="446" t="s">
        <v>277</v>
      </c>
      <c r="D183" s="447">
        <v>1581421</v>
      </c>
      <c r="E183" s="447">
        <v>0</v>
      </c>
      <c r="F183" s="447">
        <v>0</v>
      </c>
      <c r="G183" s="447">
        <v>1581421</v>
      </c>
    </row>
    <row r="184" spans="2:7" x14ac:dyDescent="0.25">
      <c r="B184" s="446" t="s">
        <v>1162</v>
      </c>
      <c r="C184" s="446" t="s">
        <v>210</v>
      </c>
      <c r="D184" s="447">
        <v>640110</v>
      </c>
      <c r="E184" s="447">
        <v>111750</v>
      </c>
      <c r="F184" s="447">
        <v>0</v>
      </c>
      <c r="G184" s="447">
        <v>751860</v>
      </c>
    </row>
    <row r="185" spans="2:7" x14ac:dyDescent="0.25">
      <c r="B185" s="446" t="s">
        <v>1163</v>
      </c>
      <c r="C185" s="446" t="s">
        <v>240</v>
      </c>
      <c r="D185" s="447">
        <v>229300</v>
      </c>
      <c r="E185" s="447">
        <v>104000</v>
      </c>
      <c r="F185" s="447">
        <v>0</v>
      </c>
      <c r="G185" s="447">
        <v>333300</v>
      </c>
    </row>
    <row r="186" spans="2:7" x14ac:dyDescent="0.25">
      <c r="B186" s="446" t="s">
        <v>1164</v>
      </c>
      <c r="C186" s="446" t="s">
        <v>244</v>
      </c>
      <c r="D186" s="447">
        <v>246330</v>
      </c>
      <c r="E186" s="447">
        <v>0</v>
      </c>
      <c r="F186" s="447">
        <v>0</v>
      </c>
      <c r="G186" s="447">
        <v>246330</v>
      </c>
    </row>
    <row r="187" spans="2:7" x14ac:dyDescent="0.25">
      <c r="B187" s="446" t="s">
        <v>1165</v>
      </c>
      <c r="C187" s="446" t="s">
        <v>247</v>
      </c>
      <c r="D187" s="447">
        <v>1354200</v>
      </c>
      <c r="E187" s="447">
        <v>1354200</v>
      </c>
      <c r="F187" s="447">
        <v>0</v>
      </c>
      <c r="G187" s="447">
        <v>2708400</v>
      </c>
    </row>
    <row r="188" spans="2:7" x14ac:dyDescent="0.25">
      <c r="B188" s="446" t="s">
        <v>1166</v>
      </c>
      <c r="C188" s="446" t="s">
        <v>212</v>
      </c>
      <c r="D188" s="447">
        <v>823302</v>
      </c>
      <c r="E188" s="447">
        <v>1435059</v>
      </c>
      <c r="F188" s="447">
        <v>133280</v>
      </c>
      <c r="G188" s="447">
        <v>2125081</v>
      </c>
    </row>
    <row r="189" spans="2:7" x14ac:dyDescent="0.25">
      <c r="B189" s="446" t="s">
        <v>1167</v>
      </c>
      <c r="C189" s="446" t="s">
        <v>1168</v>
      </c>
      <c r="D189" s="447">
        <v>0</v>
      </c>
      <c r="E189" s="447">
        <v>140000</v>
      </c>
      <c r="F189" s="447">
        <v>0</v>
      </c>
      <c r="G189" s="447">
        <v>140000</v>
      </c>
    </row>
    <row r="190" spans="2:7" x14ac:dyDescent="0.25">
      <c r="B190" s="446" t="s">
        <v>1169</v>
      </c>
      <c r="C190" s="446" t="s">
        <v>1170</v>
      </c>
      <c r="D190" s="447">
        <v>0</v>
      </c>
      <c r="E190" s="447">
        <v>350000</v>
      </c>
      <c r="F190" s="447">
        <v>0</v>
      </c>
      <c r="G190" s="447">
        <v>350000</v>
      </c>
    </row>
    <row r="191" spans="2:7" x14ac:dyDescent="0.25">
      <c r="B191" s="446" t="s">
        <v>1171</v>
      </c>
      <c r="C191" s="446" t="s">
        <v>298</v>
      </c>
      <c r="D191" s="447">
        <v>0</v>
      </c>
      <c r="E191" s="447">
        <v>350000</v>
      </c>
      <c r="F191" s="447">
        <v>0</v>
      </c>
      <c r="G191" s="447">
        <v>350000</v>
      </c>
    </row>
    <row r="192" spans="2:7" x14ac:dyDescent="0.25">
      <c r="B192" s="446" t="s">
        <v>1172</v>
      </c>
      <c r="C192" s="446" t="s">
        <v>1120</v>
      </c>
      <c r="D192" s="447">
        <v>143550.12</v>
      </c>
      <c r="E192" s="447">
        <v>373699</v>
      </c>
      <c r="F192" s="447">
        <v>0</v>
      </c>
      <c r="G192" s="447">
        <v>517249.12</v>
      </c>
    </row>
    <row r="193" spans="2:7" x14ac:dyDescent="0.25">
      <c r="B193" s="446" t="s">
        <v>1173</v>
      </c>
      <c r="C193" s="446" t="s">
        <v>1174</v>
      </c>
      <c r="D193" s="447">
        <v>143550</v>
      </c>
      <c r="E193" s="447">
        <v>235199</v>
      </c>
      <c r="F193" s="447">
        <v>0</v>
      </c>
      <c r="G193" s="447">
        <v>378749</v>
      </c>
    </row>
    <row r="194" spans="2:7" x14ac:dyDescent="0.25">
      <c r="B194" s="446" t="s">
        <v>1175</v>
      </c>
      <c r="C194" s="446" t="s">
        <v>215</v>
      </c>
      <c r="D194" s="447">
        <v>143550</v>
      </c>
      <c r="E194" s="447">
        <v>235199</v>
      </c>
      <c r="F194" s="447">
        <v>0</v>
      </c>
      <c r="G194" s="447">
        <v>378749</v>
      </c>
    </row>
    <row r="195" spans="2:7" x14ac:dyDescent="0.25">
      <c r="B195" s="446" t="s">
        <v>1182</v>
      </c>
      <c r="C195" s="446" t="s">
        <v>1183</v>
      </c>
      <c r="D195" s="447">
        <v>0</v>
      </c>
      <c r="E195" s="447">
        <v>138500</v>
      </c>
      <c r="F195" s="447">
        <v>0</v>
      </c>
      <c r="G195" s="447">
        <v>138500</v>
      </c>
    </row>
    <row r="196" spans="2:7" x14ac:dyDescent="0.25">
      <c r="B196" s="446" t="s">
        <v>1184</v>
      </c>
      <c r="C196" s="446" t="s">
        <v>295</v>
      </c>
      <c r="D196" s="447">
        <v>0</v>
      </c>
      <c r="E196" s="447">
        <v>138500</v>
      </c>
      <c r="F196" s="447">
        <v>0</v>
      </c>
      <c r="G196" s="447">
        <v>138500</v>
      </c>
    </row>
    <row r="197" spans="2:7" x14ac:dyDescent="0.25">
      <c r="B197" s="446" t="s">
        <v>1187</v>
      </c>
      <c r="C197" s="446" t="s">
        <v>998</v>
      </c>
      <c r="D197" s="447">
        <v>0.12</v>
      </c>
      <c r="E197" s="447">
        <v>0</v>
      </c>
      <c r="F197" s="447">
        <v>0</v>
      </c>
      <c r="G197" s="447">
        <v>0.12</v>
      </c>
    </row>
    <row r="198" spans="2:7" x14ac:dyDescent="0.25">
      <c r="B198" s="446" t="s">
        <v>1190</v>
      </c>
      <c r="C198" s="446" t="s">
        <v>432</v>
      </c>
      <c r="D198" s="447">
        <v>0.12</v>
      </c>
      <c r="E198" s="447">
        <v>0</v>
      </c>
      <c r="F198" s="447">
        <v>0</v>
      </c>
      <c r="G198" s="447">
        <v>0.12</v>
      </c>
    </row>
    <row r="199" spans="2:7" x14ac:dyDescent="0.25">
      <c r="B199" s="446" t="s">
        <v>1191</v>
      </c>
      <c r="C199" s="446" t="s">
        <v>1192</v>
      </c>
      <c r="D199" s="447">
        <v>287015</v>
      </c>
      <c r="E199" s="447">
        <v>287015</v>
      </c>
      <c r="F199" s="447">
        <v>0</v>
      </c>
      <c r="G199" s="447">
        <v>574030</v>
      </c>
    </row>
    <row r="200" spans="2:7" x14ac:dyDescent="0.25">
      <c r="B200" s="446" t="s">
        <v>1193</v>
      </c>
      <c r="C200" s="446" t="s">
        <v>1194</v>
      </c>
      <c r="D200" s="447">
        <v>287015</v>
      </c>
      <c r="E200" s="447">
        <v>287015</v>
      </c>
      <c r="F200" s="447">
        <v>0</v>
      </c>
      <c r="G200" s="447">
        <v>574030</v>
      </c>
    </row>
    <row r="201" spans="2:7" x14ac:dyDescent="0.25">
      <c r="B201" s="446" t="s">
        <v>1195</v>
      </c>
      <c r="C201" s="446" t="s">
        <v>217</v>
      </c>
      <c r="D201" s="447">
        <v>287015</v>
      </c>
      <c r="E201" s="447">
        <v>287015</v>
      </c>
      <c r="F201" s="447">
        <v>0</v>
      </c>
      <c r="G201" s="447">
        <v>574030</v>
      </c>
    </row>
    <row r="202" spans="2:7" x14ac:dyDescent="0.25">
      <c r="B202" s="446" t="s">
        <v>1196</v>
      </c>
      <c r="C202" s="446" t="s">
        <v>1103</v>
      </c>
      <c r="D202" s="447">
        <v>191152.44</v>
      </c>
      <c r="E202" s="447">
        <v>189522.6</v>
      </c>
      <c r="F202" s="447">
        <v>0</v>
      </c>
      <c r="G202" s="447">
        <v>380675.04</v>
      </c>
    </row>
    <row r="203" spans="2:7" x14ac:dyDescent="0.25">
      <c r="B203" s="446" t="s">
        <v>1197</v>
      </c>
      <c r="C203" s="446" t="s">
        <v>1105</v>
      </c>
      <c r="D203" s="447">
        <v>191152.44</v>
      </c>
      <c r="E203" s="447">
        <v>189522.6</v>
      </c>
      <c r="F203" s="447">
        <v>0</v>
      </c>
      <c r="G203" s="447">
        <v>380675.04</v>
      </c>
    </row>
    <row r="204" spans="2:7" x14ac:dyDescent="0.25">
      <c r="B204" s="446" t="s">
        <v>1198</v>
      </c>
      <c r="C204" s="446" t="s">
        <v>1199</v>
      </c>
      <c r="D204" s="447">
        <v>191152.44</v>
      </c>
      <c r="E204" s="447">
        <v>189522.6</v>
      </c>
      <c r="F204" s="447">
        <v>0</v>
      </c>
      <c r="G204" s="447">
        <v>380675.04</v>
      </c>
    </row>
    <row r="205" spans="2:7" x14ac:dyDescent="0.25">
      <c r="B205" s="446" t="s">
        <v>1200</v>
      </c>
      <c r="C205" s="446" t="s">
        <v>302</v>
      </c>
      <c r="D205" s="447">
        <v>94604.44</v>
      </c>
      <c r="E205" s="447">
        <v>88464.6</v>
      </c>
      <c r="F205" s="447">
        <v>0</v>
      </c>
      <c r="G205" s="447">
        <v>183069.04</v>
      </c>
    </row>
    <row r="206" spans="2:7" x14ac:dyDescent="0.25">
      <c r="B206" s="446" t="s">
        <v>1201</v>
      </c>
      <c r="C206" s="446" t="s">
        <v>305</v>
      </c>
      <c r="D206" s="447">
        <v>96548</v>
      </c>
      <c r="E206" s="447">
        <v>101058</v>
      </c>
      <c r="F206" s="447">
        <v>0</v>
      </c>
      <c r="G206" s="447">
        <v>197606</v>
      </c>
    </row>
  </sheetData>
  <mergeCells count="4">
    <mergeCell ref="B2:H2"/>
    <mergeCell ref="B4:H4"/>
    <mergeCell ref="B73:G73"/>
    <mergeCell ref="B74:G7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F8B0F-9AC4-4074-8EEF-9D4C230EB7CC}">
  <sheetPr>
    <tabColor rgb="FFFFFF00"/>
  </sheetPr>
  <dimension ref="B1:K240"/>
  <sheetViews>
    <sheetView topLeftCell="A23" zoomScaleNormal="100" workbookViewId="0">
      <selection activeCell="D22" sqref="D22"/>
    </sheetView>
  </sheetViews>
  <sheetFormatPr baseColWidth="10" defaultRowHeight="12.5" x14ac:dyDescent="0.25"/>
  <cols>
    <col min="1" max="1" width="4.453125" customWidth="1"/>
    <col min="2" max="2" width="30.453125" bestFit="1" customWidth="1"/>
    <col min="3" max="3" width="13.1796875" customWidth="1"/>
    <col min="4" max="4" width="12.7265625" bestFit="1" customWidth="1"/>
    <col min="5" max="5" width="13.1796875" customWidth="1"/>
    <col min="6" max="6" width="10.81640625" bestFit="1" customWidth="1"/>
    <col min="7" max="7" width="12.54296875" customWidth="1"/>
    <col min="8" max="8" width="10.81640625" style="16" customWidth="1"/>
    <col min="10" max="10" width="12.54296875" bestFit="1" customWidth="1"/>
    <col min="11" max="11" width="13.81640625" bestFit="1" customWidth="1"/>
  </cols>
  <sheetData>
    <row r="1" spans="2:10" ht="6.75" customHeight="1" x14ac:dyDescent="0.25"/>
    <row r="2" spans="2:10" x14ac:dyDescent="0.25">
      <c r="B2" s="1627" t="s">
        <v>218</v>
      </c>
      <c r="C2" s="1627"/>
      <c r="D2" s="1627"/>
      <c r="E2" s="1627"/>
      <c r="F2" s="1627"/>
      <c r="G2" s="1627"/>
      <c r="H2" s="1627"/>
      <c r="I2" s="3"/>
    </row>
    <row r="3" spans="2:10" ht="6" customHeight="1" x14ac:dyDescent="0.25">
      <c r="B3" s="4"/>
      <c r="C3" s="5"/>
      <c r="D3" s="5"/>
      <c r="E3" s="5"/>
      <c r="F3" s="3"/>
      <c r="G3" s="3"/>
      <c r="H3" s="10"/>
      <c r="I3" s="3"/>
    </row>
    <row r="4" spans="2:10" x14ac:dyDescent="0.25">
      <c r="B4" s="1628" t="s">
        <v>957</v>
      </c>
      <c r="C4" s="1627"/>
      <c r="D4" s="1627"/>
      <c r="E4" s="1627"/>
      <c r="F4" s="1627"/>
      <c r="G4" s="1627"/>
      <c r="H4" s="1627"/>
      <c r="I4" s="3"/>
    </row>
    <row r="5" spans="2:10" ht="9" customHeight="1" x14ac:dyDescent="0.25">
      <c r="B5" s="6"/>
      <c r="C5" s="6"/>
      <c r="D5" s="6"/>
      <c r="E5" s="6"/>
      <c r="F5" s="3"/>
      <c r="G5" s="3"/>
      <c r="H5" s="10"/>
      <c r="I5" s="3"/>
    </row>
    <row r="6" spans="2:10" ht="12.75" customHeight="1" x14ac:dyDescent="0.35">
      <c r="B6" s="7" t="s">
        <v>0</v>
      </c>
      <c r="C6" s="11" t="s">
        <v>958</v>
      </c>
      <c r="D6" s="11"/>
      <c r="E6" s="11" t="s">
        <v>959</v>
      </c>
      <c r="F6" s="3"/>
      <c r="G6" s="9" t="s">
        <v>9</v>
      </c>
      <c r="H6" s="15" t="s">
        <v>10</v>
      </c>
      <c r="I6" s="3"/>
    </row>
    <row r="7" spans="2:10" ht="7.5" customHeight="1" x14ac:dyDescent="0.25">
      <c r="B7" s="2"/>
      <c r="C7" s="3"/>
      <c r="D7" s="3"/>
      <c r="E7" s="3"/>
      <c r="F7" s="3"/>
      <c r="G7" s="3"/>
      <c r="H7" s="10"/>
      <c r="I7" s="3"/>
    </row>
    <row r="8" spans="2:10" ht="9.75" customHeight="1" x14ac:dyDescent="0.25">
      <c r="B8" s="8" t="s">
        <v>35</v>
      </c>
      <c r="C8" s="3"/>
      <c r="D8" s="3"/>
      <c r="E8" s="3"/>
      <c r="F8" s="3"/>
      <c r="G8" s="3"/>
      <c r="H8" s="10"/>
      <c r="I8" s="3"/>
    </row>
    <row r="9" spans="2:10" ht="11.25" customHeight="1" x14ac:dyDescent="0.25">
      <c r="B9" s="2" t="s">
        <v>13</v>
      </c>
      <c r="C9" s="3">
        <v>200000</v>
      </c>
      <c r="D9" s="3"/>
      <c r="E9" s="3">
        <v>200000</v>
      </c>
      <c r="F9" s="3"/>
      <c r="G9" s="3">
        <f>-C9+E9</f>
        <v>0</v>
      </c>
      <c r="H9" s="10">
        <f>+G9/C9</f>
        <v>0</v>
      </c>
      <c r="I9" s="3"/>
    </row>
    <row r="10" spans="2:10" ht="11.25" customHeight="1" x14ac:dyDescent="0.25">
      <c r="B10" s="2" t="s">
        <v>60</v>
      </c>
      <c r="C10" s="3">
        <v>16236253.85</v>
      </c>
      <c r="D10" s="3"/>
      <c r="E10" s="3">
        <v>16432365.949999999</v>
      </c>
      <c r="F10" s="3"/>
      <c r="G10" s="3">
        <f>-C10+E10</f>
        <v>196112.09999999963</v>
      </c>
      <c r="H10" s="10">
        <f>+G10/C10</f>
        <v>1.2078654461293708E-2</v>
      </c>
      <c r="I10" s="3"/>
    </row>
    <row r="11" spans="2:10" ht="12.25" customHeight="1" x14ac:dyDescent="0.25">
      <c r="B11" s="2"/>
      <c r="C11" s="31">
        <f>SUM(C9:C10)</f>
        <v>16436253.85</v>
      </c>
      <c r="D11" s="32"/>
      <c r="E11" s="31">
        <f>SUM(E9:E10)</f>
        <v>16632365.949999999</v>
      </c>
      <c r="F11" s="32"/>
      <c r="G11" s="31">
        <f>SUM(G9:G10)</f>
        <v>196112.09999999963</v>
      </c>
      <c r="H11" s="33">
        <f>+G11/C11</f>
        <v>1.1931678701835067E-2</v>
      </c>
      <c r="I11" s="3"/>
    </row>
    <row r="12" spans="2:10" ht="12.25" customHeight="1" x14ac:dyDescent="0.25">
      <c r="B12" s="8" t="s">
        <v>36</v>
      </c>
      <c r="C12" s="3"/>
      <c r="D12" s="3"/>
      <c r="E12" s="3"/>
      <c r="F12" s="3"/>
      <c r="G12" s="3"/>
      <c r="H12" s="10"/>
      <c r="I12" s="3"/>
      <c r="J12" s="636"/>
    </row>
    <row r="13" spans="2:10" ht="12.25" customHeight="1" x14ac:dyDescent="0.25">
      <c r="B13" s="17" t="s">
        <v>32</v>
      </c>
      <c r="C13" s="3"/>
      <c r="D13" s="3"/>
      <c r="E13" s="3"/>
      <c r="F13" s="3"/>
      <c r="G13" s="3"/>
      <c r="H13" s="10"/>
      <c r="I13" s="3"/>
    </row>
    <row r="14" spans="2:10" ht="12.25" customHeight="1" x14ac:dyDescent="0.25">
      <c r="B14" s="17" t="s">
        <v>771</v>
      </c>
      <c r="C14" s="3">
        <v>0</v>
      </c>
      <c r="D14" s="3"/>
      <c r="E14" s="3">
        <v>0</v>
      </c>
      <c r="F14" s="3"/>
      <c r="G14" s="3"/>
      <c r="H14" s="10"/>
      <c r="I14" s="3"/>
    </row>
    <row r="15" spans="2:10" ht="12.25" customHeight="1" x14ac:dyDescent="0.25">
      <c r="B15" s="2" t="s">
        <v>222</v>
      </c>
      <c r="C15" s="3">
        <v>8594287.8300000001</v>
      </c>
      <c r="D15" s="3"/>
      <c r="E15" s="3">
        <v>8534559.6999999993</v>
      </c>
      <c r="F15" s="3"/>
      <c r="G15" s="3">
        <f>-C15+E15</f>
        <v>-59728.13000000082</v>
      </c>
      <c r="H15" s="10">
        <f>+G15/C15</f>
        <v>-6.9497474580160548E-3</v>
      </c>
      <c r="I15" s="3"/>
    </row>
    <row r="16" spans="2:10" ht="12.25" customHeight="1" x14ac:dyDescent="0.25">
      <c r="B16" s="2"/>
      <c r="C16" s="34">
        <f>SUM(C14:C15)</f>
        <v>8594287.8300000001</v>
      </c>
      <c r="D16" s="32"/>
      <c r="E16" s="34">
        <f>SUM(E14:E15)</f>
        <v>8534559.6999999993</v>
      </c>
      <c r="F16" s="32"/>
      <c r="G16" s="31">
        <f>-C16+E16</f>
        <v>-59728.13000000082</v>
      </c>
      <c r="H16" s="33">
        <f>+G16/C16</f>
        <v>-6.9497474580160548E-3</v>
      </c>
      <c r="I16" s="3"/>
    </row>
    <row r="17" spans="2:9" ht="6" customHeight="1" x14ac:dyDescent="0.25">
      <c r="B17" s="2"/>
      <c r="C17" s="3"/>
      <c r="D17" s="3"/>
      <c r="E17" s="3"/>
      <c r="F17" s="3"/>
      <c r="G17" s="3"/>
      <c r="H17" s="10"/>
      <c r="I17" s="3"/>
    </row>
    <row r="18" spans="2:9" ht="10.5" customHeight="1" x14ac:dyDescent="0.25">
      <c r="B18" s="8" t="s">
        <v>1</v>
      </c>
      <c r="C18" s="3"/>
      <c r="D18" s="3"/>
      <c r="E18" s="3"/>
      <c r="F18" s="3"/>
      <c r="G18" s="3"/>
      <c r="H18" s="10"/>
      <c r="I18" s="3"/>
    </row>
    <row r="19" spans="2:9" ht="7.5" customHeight="1" x14ac:dyDescent="0.25">
      <c r="B19" s="8"/>
      <c r="C19" s="3"/>
      <c r="D19" s="3"/>
      <c r="E19" s="3"/>
      <c r="F19" s="3"/>
      <c r="G19" s="3"/>
      <c r="H19" s="10"/>
      <c r="I19" s="3"/>
    </row>
    <row r="20" spans="2:9" ht="10.5" customHeight="1" x14ac:dyDescent="0.25">
      <c r="B20" s="17" t="s">
        <v>37</v>
      </c>
      <c r="C20" s="3"/>
      <c r="D20" s="3"/>
      <c r="E20" s="3"/>
      <c r="F20" s="3"/>
      <c r="G20" s="3"/>
      <c r="H20" s="10"/>
      <c r="I20" s="3"/>
    </row>
    <row r="21" spans="2:9" ht="12.25" customHeight="1" x14ac:dyDescent="0.25">
      <c r="B21" s="2" t="s">
        <v>2</v>
      </c>
      <c r="C21" s="3">
        <v>4269712</v>
      </c>
      <c r="D21" s="3"/>
      <c r="E21" s="3">
        <v>4129452</v>
      </c>
      <c r="F21" s="3"/>
      <c r="G21" s="3">
        <f>+E21-C21</f>
        <v>-140260</v>
      </c>
      <c r="H21" s="10">
        <f>+G21/C21</f>
        <v>-3.2849990819052904E-2</v>
      </c>
      <c r="I21" s="3"/>
    </row>
    <row r="22" spans="2:9" ht="12.25" customHeight="1" x14ac:dyDescent="0.25">
      <c r="B22" s="2" t="s">
        <v>61</v>
      </c>
      <c r="C22" s="3">
        <v>0</v>
      </c>
      <c r="D22" s="3"/>
      <c r="E22" s="3">
        <v>0</v>
      </c>
      <c r="F22" s="3"/>
      <c r="G22" s="3">
        <f>+E22-C22</f>
        <v>0</v>
      </c>
      <c r="H22" s="10">
        <v>0</v>
      </c>
      <c r="I22" s="3"/>
    </row>
    <row r="23" spans="2:9" ht="12.25" customHeight="1" x14ac:dyDescent="0.25">
      <c r="B23" s="2"/>
      <c r="C23" s="31">
        <f>SUM(C21:C22)</f>
        <v>4269712</v>
      </c>
      <c r="D23" s="32"/>
      <c r="E23" s="31">
        <f>SUM(E21:E22)</f>
        <v>4129452</v>
      </c>
      <c r="F23" s="32"/>
      <c r="G23" s="31">
        <f>SUM(G21:G22)</f>
        <v>-140260</v>
      </c>
      <c r="H23" s="33">
        <f>+G23/C23</f>
        <v>-3.2849990819052904E-2</v>
      </c>
      <c r="I23" s="3"/>
    </row>
    <row r="24" spans="2:9" ht="9" customHeight="1" x14ac:dyDescent="0.25">
      <c r="B24" s="2"/>
      <c r="C24" s="3"/>
      <c r="D24" s="3"/>
      <c r="E24" s="3"/>
      <c r="F24" s="3"/>
      <c r="G24" s="3"/>
      <c r="H24" s="10"/>
      <c r="I24" s="3"/>
    </row>
    <row r="25" spans="2:9" ht="10.5" customHeight="1" x14ac:dyDescent="0.25">
      <c r="B25" s="2" t="s">
        <v>44</v>
      </c>
      <c r="C25" s="3">
        <v>0</v>
      </c>
      <c r="D25" s="19"/>
      <c r="E25" s="3">
        <v>0</v>
      </c>
      <c r="F25" s="19"/>
      <c r="G25" s="19">
        <f>+E25-C25</f>
        <v>0</v>
      </c>
      <c r="H25" s="10">
        <v>0</v>
      </c>
      <c r="I25" s="3"/>
    </row>
    <row r="26" spans="2:9" ht="10.5" customHeight="1" x14ac:dyDescent="0.25">
      <c r="B26" s="2" t="s">
        <v>348</v>
      </c>
      <c r="C26" s="3">
        <v>0</v>
      </c>
      <c r="D26" s="19"/>
      <c r="E26" s="3">
        <v>0</v>
      </c>
      <c r="F26" s="19"/>
      <c r="G26" s="19">
        <f>+E26-C26</f>
        <v>0</v>
      </c>
      <c r="H26" s="10" t="s">
        <v>33</v>
      </c>
      <c r="I26" s="3"/>
    </row>
    <row r="27" spans="2:9" ht="10.5" customHeight="1" x14ac:dyDescent="0.25">
      <c r="B27" s="2" t="s">
        <v>500</v>
      </c>
      <c r="C27" s="3">
        <v>440118</v>
      </c>
      <c r="D27" s="19"/>
      <c r="E27" s="3">
        <v>38070</v>
      </c>
      <c r="F27" s="19"/>
      <c r="G27" s="19"/>
      <c r="H27" s="10" t="s">
        <v>33</v>
      </c>
      <c r="I27" s="3"/>
    </row>
    <row r="28" spans="2:9" ht="10.5" customHeight="1" x14ac:dyDescent="0.25">
      <c r="C28" s="3"/>
      <c r="D28" s="19"/>
      <c r="E28" s="3"/>
      <c r="F28" s="19"/>
      <c r="G28" s="19">
        <f>+E28-C28</f>
        <v>0</v>
      </c>
      <c r="H28" s="10" t="s">
        <v>33</v>
      </c>
      <c r="I28" s="3"/>
    </row>
    <row r="29" spans="2:9" s="54" customFormat="1" ht="10.5" customHeight="1" x14ac:dyDescent="0.3">
      <c r="B29" s="8" t="s">
        <v>223</v>
      </c>
      <c r="C29" s="19"/>
      <c r="D29" s="19"/>
      <c r="E29" s="19"/>
      <c r="F29" s="19"/>
      <c r="G29" s="19"/>
      <c r="H29" s="10" t="s">
        <v>33</v>
      </c>
      <c r="I29" s="19"/>
    </row>
    <row r="30" spans="2:9" ht="10.5" customHeight="1" x14ac:dyDescent="0.25">
      <c r="B30" s="8" t="s">
        <v>76</v>
      </c>
      <c r="C30" s="3">
        <v>15358191</v>
      </c>
      <c r="D30" s="19"/>
      <c r="E30" s="3">
        <v>16844468</v>
      </c>
      <c r="F30" s="19"/>
      <c r="G30" s="3">
        <f>+E30-C30</f>
        <v>1486277</v>
      </c>
      <c r="H30" s="10">
        <f>+G30/C30</f>
        <v>9.6774222953731989E-2</v>
      </c>
      <c r="I30" s="3"/>
    </row>
    <row r="31" spans="2:9" ht="10.5" customHeight="1" x14ac:dyDescent="0.25">
      <c r="B31" s="2"/>
      <c r="C31" s="3"/>
      <c r="D31" s="3"/>
      <c r="E31" s="3"/>
      <c r="F31" s="3"/>
      <c r="G31" s="3"/>
      <c r="H31" s="10"/>
      <c r="I31" s="3"/>
    </row>
    <row r="32" spans="2:9" ht="13" thickBot="1" x14ac:dyDescent="0.3">
      <c r="B32" s="26" t="s">
        <v>3</v>
      </c>
      <c r="C32" s="34">
        <f>+C11+C16+C23+C25+C30+C26+C27</f>
        <v>45098562.68</v>
      </c>
      <c r="D32" s="34" t="s">
        <v>33</v>
      </c>
      <c r="E32" s="34">
        <f>+E11+E16+E23+E25+E30+E26+E27</f>
        <v>46178915.649999999</v>
      </c>
      <c r="F32" s="34" t="s">
        <v>33</v>
      </c>
      <c r="G32" s="35">
        <f>-C32+E32</f>
        <v>1080352.9699999988</v>
      </c>
      <c r="H32" s="36">
        <f>+G32/C32</f>
        <v>2.3955374756967726E-2</v>
      </c>
      <c r="I32" s="3"/>
    </row>
    <row r="33" spans="2:9" ht="9.75" customHeight="1" thickTop="1" x14ac:dyDescent="0.25">
      <c r="B33" s="2"/>
      <c r="C33" s="3" t="s">
        <v>958</v>
      </c>
      <c r="D33" s="3"/>
      <c r="E33" s="3" t="s">
        <v>959</v>
      </c>
      <c r="F33" s="3"/>
      <c r="G33" s="3" t="s">
        <v>9</v>
      </c>
      <c r="H33" s="10" t="s">
        <v>10</v>
      </c>
      <c r="I33" s="3"/>
    </row>
    <row r="34" spans="2:9" ht="10.5" customHeight="1" x14ac:dyDescent="0.25">
      <c r="B34" s="7" t="s">
        <v>4</v>
      </c>
      <c r="C34" s="3"/>
      <c r="D34" s="3"/>
      <c r="E34" s="3"/>
      <c r="F34" s="3"/>
      <c r="G34" s="3"/>
      <c r="H34" s="10"/>
      <c r="I34" s="3"/>
    </row>
    <row r="35" spans="2:9" ht="8.5" customHeight="1" x14ac:dyDescent="0.25">
      <c r="B35" s="2"/>
      <c r="C35" s="3"/>
      <c r="D35" s="3"/>
      <c r="E35" s="3"/>
      <c r="F35" s="3"/>
      <c r="G35" s="3"/>
      <c r="H35" s="10"/>
      <c r="I35" s="3"/>
    </row>
    <row r="36" spans="2:9" ht="11.25" customHeight="1" x14ac:dyDescent="0.25">
      <c r="B36" s="8" t="s">
        <v>5</v>
      </c>
      <c r="C36" s="3"/>
      <c r="D36" s="3"/>
      <c r="E36" s="3"/>
      <c r="F36" s="3"/>
      <c r="G36" s="3"/>
      <c r="H36" s="10"/>
      <c r="I36" s="3"/>
    </row>
    <row r="37" spans="2:9" ht="12.25" customHeight="1" x14ac:dyDescent="0.25">
      <c r="B37" s="2" t="s">
        <v>34</v>
      </c>
      <c r="C37" s="3">
        <f>-1359+6715424</f>
        <v>6714065</v>
      </c>
      <c r="D37" s="3"/>
      <c r="E37" s="3">
        <v>14432437</v>
      </c>
      <c r="F37" s="3"/>
      <c r="G37" s="3">
        <f>+E37-C37</f>
        <v>7718372</v>
      </c>
      <c r="H37" s="10">
        <f>+G37/C37</f>
        <v>1.149582555426556</v>
      </c>
      <c r="I37" s="3"/>
    </row>
    <row r="38" spans="2:9" ht="12.25" customHeight="1" x14ac:dyDescent="0.25">
      <c r="B38" s="2" t="s">
        <v>11</v>
      </c>
      <c r="C38" s="3">
        <v>63720.06</v>
      </c>
      <c r="D38" s="3"/>
      <c r="E38" s="3">
        <v>90156.56</v>
      </c>
      <c r="F38" s="3"/>
      <c r="G38" s="3">
        <f>-C38+E38</f>
        <v>26436.5</v>
      </c>
      <c r="H38" s="10">
        <f>+G38/C38</f>
        <v>0.41488504561985662</v>
      </c>
      <c r="I38" s="3"/>
    </row>
    <row r="39" spans="2:9" ht="12.25" customHeight="1" x14ac:dyDescent="0.25">
      <c r="B39" s="2" t="s">
        <v>73</v>
      </c>
      <c r="C39" s="3">
        <v>103730.82</v>
      </c>
      <c r="D39" s="3"/>
      <c r="E39" s="3">
        <v>47884.82</v>
      </c>
      <c r="F39" s="3"/>
      <c r="G39" s="3"/>
      <c r="H39" s="10"/>
      <c r="I39" s="3"/>
    </row>
    <row r="40" spans="2:9" ht="12.25" customHeight="1" x14ac:dyDescent="0.25">
      <c r="B40" s="2"/>
      <c r="C40" s="31">
        <f>SUM(C37:C39)</f>
        <v>6881515.8799999999</v>
      </c>
      <c r="D40" s="32"/>
      <c r="E40" s="31">
        <f>SUM(E37:E39)</f>
        <v>14570478.380000001</v>
      </c>
      <c r="F40" s="32"/>
      <c r="G40" s="31">
        <f>SUM(G37:G38)</f>
        <v>7744808.5</v>
      </c>
      <c r="H40" s="33">
        <f>+G40/C40</f>
        <v>1.1254509377082191</v>
      </c>
      <c r="I40" s="3"/>
    </row>
    <row r="41" spans="2:9" ht="12" customHeight="1" x14ac:dyDescent="0.25">
      <c r="B41" s="8" t="s">
        <v>568</v>
      </c>
      <c r="C41" s="3"/>
      <c r="D41" s="3"/>
      <c r="E41" s="3"/>
      <c r="F41" s="3"/>
      <c r="G41" s="3"/>
      <c r="H41" s="10"/>
      <c r="I41" s="3"/>
    </row>
    <row r="42" spans="2:9" ht="11.25" customHeight="1" x14ac:dyDescent="0.25">
      <c r="B42" s="8" t="s">
        <v>74</v>
      </c>
      <c r="C42" s="3"/>
      <c r="D42" s="3"/>
      <c r="E42" s="3"/>
      <c r="F42" s="3"/>
      <c r="G42" s="3"/>
      <c r="H42" s="10"/>
      <c r="I42" s="3"/>
    </row>
    <row r="43" spans="2:9" s="145" customFormat="1" ht="11.25" customHeight="1" x14ac:dyDescent="0.25">
      <c r="B43" s="289" t="s">
        <v>75</v>
      </c>
      <c r="C43" s="3">
        <v>0</v>
      </c>
      <c r="D43" s="3"/>
      <c r="E43" s="3">
        <v>7425682</v>
      </c>
      <c r="F43" s="3"/>
      <c r="G43" s="3"/>
      <c r="H43" s="10"/>
      <c r="I43" s="404"/>
    </row>
    <row r="44" spans="2:9" s="145" customFormat="1" ht="11.25" customHeight="1" x14ac:dyDescent="0.25">
      <c r="B44" s="289" t="s">
        <v>58</v>
      </c>
      <c r="C44" s="3">
        <v>0</v>
      </c>
      <c r="D44" s="3"/>
      <c r="E44" s="3">
        <v>8550122</v>
      </c>
      <c r="F44" s="3"/>
      <c r="G44" s="3">
        <f>-C44+E44</f>
        <v>8550122</v>
      </c>
      <c r="H44" s="10" t="s">
        <v>960</v>
      </c>
      <c r="I44" s="404"/>
    </row>
    <row r="45" spans="2:9" s="145" customFormat="1" ht="11.25" customHeight="1" x14ac:dyDescent="0.25">
      <c r="B45" s="289" t="s">
        <v>220</v>
      </c>
      <c r="C45" s="3">
        <v>0</v>
      </c>
      <c r="D45" s="3"/>
      <c r="E45" s="3">
        <v>3837291</v>
      </c>
      <c r="F45" s="3"/>
      <c r="G45" s="3">
        <f>-C45+E45</f>
        <v>3837291</v>
      </c>
      <c r="H45" s="10" t="s">
        <v>961</v>
      </c>
      <c r="I45" s="404"/>
    </row>
    <row r="46" spans="2:9" s="145" customFormat="1" ht="11.25" customHeight="1" x14ac:dyDescent="0.25">
      <c r="B46" s="289" t="s">
        <v>224</v>
      </c>
      <c r="C46" s="3">
        <v>21864369.5</v>
      </c>
      <c r="D46" s="3"/>
      <c r="E46" s="3">
        <f>-[1]Datos!$G$61</f>
        <v>44870833</v>
      </c>
      <c r="F46" s="3"/>
      <c r="G46" s="3">
        <f>-C46+E46</f>
        <v>23006463.5</v>
      </c>
      <c r="H46" s="10"/>
      <c r="I46" s="404"/>
    </row>
    <row r="47" spans="2:9" ht="11.25" customHeight="1" x14ac:dyDescent="0.25">
      <c r="B47" s="8" t="s">
        <v>569</v>
      </c>
      <c r="C47" s="31">
        <f>SUM(C43:C46)</f>
        <v>21864369.5</v>
      </c>
      <c r="D47" s="32"/>
      <c r="E47" s="31">
        <f>SUM(E43:E46)</f>
        <v>64683928</v>
      </c>
      <c r="F47" s="32"/>
      <c r="G47" s="31">
        <f>SUM(G44:G45)</f>
        <v>12387413</v>
      </c>
      <c r="H47" s="33">
        <f>+G47/C47</f>
        <v>0.56655706445136689</v>
      </c>
      <c r="I47" s="3"/>
    </row>
    <row r="48" spans="2:9" ht="9" customHeight="1" x14ac:dyDescent="0.25">
      <c r="B48" s="2"/>
      <c r="C48" s="3"/>
      <c r="D48" s="3"/>
      <c r="E48" s="3"/>
      <c r="F48" s="3"/>
      <c r="G48" s="3"/>
      <c r="H48" s="10"/>
      <c r="I48" s="3"/>
    </row>
    <row r="49" spans="2:11" ht="11.25" customHeight="1" x14ac:dyDescent="0.25">
      <c r="B49" s="8" t="s">
        <v>57</v>
      </c>
      <c r="C49" s="3"/>
      <c r="D49" s="3"/>
      <c r="E49" s="3"/>
      <c r="F49" s="3"/>
      <c r="G49" s="3"/>
      <c r="H49" s="10"/>
      <c r="I49" s="3"/>
    </row>
    <row r="50" spans="2:11" ht="11.25" customHeight="1" x14ac:dyDescent="0.25">
      <c r="B50" s="2" t="s">
        <v>221</v>
      </c>
      <c r="C50" s="3">
        <v>0</v>
      </c>
      <c r="D50" s="3"/>
      <c r="E50" s="3">
        <v>0</v>
      </c>
      <c r="F50" s="3"/>
      <c r="G50" s="3">
        <f>+E50-C50</f>
        <v>0</v>
      </c>
      <c r="H50" s="10">
        <v>0</v>
      </c>
      <c r="I50" s="3"/>
    </row>
    <row r="51" spans="2:11" ht="11.25" customHeight="1" x14ac:dyDescent="0.25">
      <c r="B51" s="38" t="s">
        <v>59</v>
      </c>
      <c r="C51" s="40">
        <f>SUM(C50:C50)</f>
        <v>0</v>
      </c>
      <c r="D51" s="40" t="s">
        <v>33</v>
      </c>
      <c r="E51" s="40">
        <f>SUM(E50:E50)</f>
        <v>0</v>
      </c>
      <c r="F51" s="19"/>
      <c r="G51" s="20">
        <f>SUM(G50:G50)</f>
        <v>0</v>
      </c>
      <c r="H51" s="21">
        <v>0</v>
      </c>
      <c r="I51" s="3"/>
    </row>
    <row r="52" spans="2:11" ht="12" customHeight="1" thickBot="1" x14ac:dyDescent="0.3">
      <c r="B52" s="26" t="s">
        <v>6</v>
      </c>
      <c r="C52" s="35">
        <f>+C40+C47+C51</f>
        <v>28745885.379999999</v>
      </c>
      <c r="D52" s="32"/>
      <c r="E52" s="35">
        <f>+E40+E47+E51</f>
        <v>79254406.379999995</v>
      </c>
      <c r="F52" s="32"/>
      <c r="G52" s="35">
        <f>+E52-C52</f>
        <v>50508521</v>
      </c>
      <c r="H52" s="37">
        <f>+G52/C52</f>
        <v>1.757069588649421</v>
      </c>
      <c r="I52" s="3"/>
    </row>
    <row r="53" spans="2:11" ht="8.5" customHeight="1" thickTop="1" x14ac:dyDescent="0.25">
      <c r="B53" s="2"/>
      <c r="C53" s="3"/>
      <c r="D53" s="3"/>
      <c r="E53" s="3"/>
      <c r="F53" s="3"/>
      <c r="G53" s="3"/>
      <c r="H53" s="10"/>
      <c r="I53" s="3"/>
    </row>
    <row r="54" spans="2:11" ht="11.25" customHeight="1" x14ac:dyDescent="0.25">
      <c r="B54" s="7" t="s">
        <v>7</v>
      </c>
      <c r="C54" s="3"/>
      <c r="D54" s="3"/>
      <c r="E54" s="3"/>
      <c r="F54" s="3"/>
      <c r="G54" s="3"/>
      <c r="H54" s="10"/>
      <c r="I54" s="3"/>
    </row>
    <row r="55" spans="2:11" ht="11.25" customHeight="1" x14ac:dyDescent="0.25">
      <c r="B55" s="2" t="s">
        <v>12</v>
      </c>
      <c r="C55" s="3">
        <v>9476606.8800000008</v>
      </c>
      <c r="D55" s="3"/>
      <c r="E55" s="3">
        <v>9148230.0800000001</v>
      </c>
      <c r="F55" s="3"/>
      <c r="G55" s="3">
        <f>+E55-C55</f>
        <v>-328376.80000000075</v>
      </c>
      <c r="H55" s="10">
        <f>+G55/C55</f>
        <v>-3.4651305489206988E-2</v>
      </c>
      <c r="I55" s="3"/>
    </row>
    <row r="56" spans="2:11" ht="11.25" customHeight="1" x14ac:dyDescent="0.25">
      <c r="B56" s="2" t="s">
        <v>38</v>
      </c>
      <c r="C56" s="3">
        <v>0</v>
      </c>
      <c r="D56" s="3"/>
      <c r="E56" s="3">
        <v>7100905.5</v>
      </c>
      <c r="F56" s="3"/>
      <c r="G56" s="3">
        <f>+E56-C56</f>
        <v>7100905.5</v>
      </c>
      <c r="H56" s="10" t="s">
        <v>961</v>
      </c>
      <c r="I56" s="3"/>
      <c r="K56" s="98"/>
    </row>
    <row r="57" spans="2:11" x14ac:dyDescent="0.25">
      <c r="B57" s="441" t="s">
        <v>772</v>
      </c>
      <c r="C57" s="637">
        <v>6876070.4199999999</v>
      </c>
      <c r="D57" s="3"/>
      <c r="E57" s="637">
        <v>595837.68999999994</v>
      </c>
      <c r="F57" s="3"/>
      <c r="G57" s="3">
        <f>+E57-C57</f>
        <v>-6280232.7300000004</v>
      </c>
      <c r="H57" s="10">
        <f>+G57/C57</f>
        <v>-0.91334619141378726</v>
      </c>
      <c r="I57" s="3"/>
    </row>
    <row r="58" spans="2:11" x14ac:dyDescent="0.25">
      <c r="B58" s="441" t="s">
        <v>773</v>
      </c>
      <c r="C58" s="637">
        <v>0</v>
      </c>
      <c r="D58" s="3"/>
      <c r="E58" s="637">
        <f>-49920464</f>
        <v>-49920464</v>
      </c>
      <c r="F58" s="3"/>
      <c r="G58" s="3"/>
      <c r="H58" s="10" t="s">
        <v>961</v>
      </c>
      <c r="I58" s="3"/>
    </row>
    <row r="59" spans="2:11" ht="11.25" customHeight="1" x14ac:dyDescent="0.25">
      <c r="B59" s="38" t="s">
        <v>39</v>
      </c>
      <c r="C59" s="31">
        <f>SUM(C55:C58)</f>
        <v>16352677.300000001</v>
      </c>
      <c r="D59" s="31">
        <f>SUM(D55:D58)</f>
        <v>0</v>
      </c>
      <c r="E59" s="31">
        <f>SUM(E55:E58)</f>
        <v>-33075490.73</v>
      </c>
      <c r="F59" s="32"/>
      <c r="G59" s="31">
        <f>+E59-C59</f>
        <v>-49428168.030000001</v>
      </c>
      <c r="H59" s="33">
        <f>+G59/C59</f>
        <v>-3.0226345890161972</v>
      </c>
      <c r="I59" s="3"/>
    </row>
    <row r="60" spans="2:11" ht="8.25" customHeight="1" x14ac:dyDescent="0.25">
      <c r="B60" s="2"/>
      <c r="C60" s="3"/>
      <c r="D60" s="3"/>
      <c r="E60" s="3"/>
      <c r="F60" s="3"/>
      <c r="G60" s="3"/>
      <c r="H60" s="10"/>
      <c r="I60" s="3"/>
    </row>
    <row r="61" spans="2:11" ht="13.5" customHeight="1" thickBot="1" x14ac:dyDescent="0.3">
      <c r="B61" s="38" t="s">
        <v>8</v>
      </c>
      <c r="C61" s="35">
        <f>+C52+C59</f>
        <v>45098562.68</v>
      </c>
      <c r="D61" s="35">
        <f>+D52+D59</f>
        <v>0</v>
      </c>
      <c r="E61" s="35">
        <f>+E52+E59</f>
        <v>46178915.649999991</v>
      </c>
      <c r="F61" s="32"/>
      <c r="G61" s="35">
        <f>+E61-C61</f>
        <v>1080352.9699999914</v>
      </c>
      <c r="H61" s="36">
        <f>+G61/C61</f>
        <v>2.3955374756967563E-2</v>
      </c>
      <c r="I61" s="3"/>
    </row>
    <row r="62" spans="2:11" ht="9" customHeight="1" thickTop="1" x14ac:dyDescent="0.25">
      <c r="B62" s="2"/>
      <c r="C62" s="3"/>
      <c r="D62" s="3"/>
      <c r="E62" s="3"/>
      <c r="F62" s="3"/>
      <c r="G62" s="3"/>
      <c r="H62" s="10"/>
      <c r="I62" s="3"/>
    </row>
    <row r="63" spans="2:11" ht="9.75" customHeight="1" x14ac:dyDescent="0.25">
      <c r="B63" s="7"/>
      <c r="C63" s="3">
        <f>+C32-C61</f>
        <v>0</v>
      </c>
      <c r="D63" s="3"/>
      <c r="E63" s="3">
        <f>+E32-E61</f>
        <v>0</v>
      </c>
      <c r="F63" s="3"/>
      <c r="G63" s="3"/>
      <c r="H63" s="10"/>
      <c r="I63" s="3"/>
    </row>
    <row r="64" spans="2:11" ht="9.75" customHeight="1" x14ac:dyDescent="0.25">
      <c r="B64" s="7"/>
      <c r="C64" s="3"/>
      <c r="D64" s="3"/>
      <c r="E64" s="3"/>
      <c r="F64" s="3"/>
      <c r="G64" s="3"/>
      <c r="H64" s="10"/>
      <c r="I64" s="3"/>
    </row>
    <row r="65" spans="2:9" ht="9.75" customHeight="1" x14ac:dyDescent="0.25">
      <c r="B65" s="7"/>
      <c r="C65" s="3"/>
      <c r="D65" s="3"/>
      <c r="E65" s="3"/>
      <c r="F65" s="3"/>
      <c r="G65" s="3"/>
      <c r="H65" s="10"/>
      <c r="I65" s="3"/>
    </row>
    <row r="66" spans="2:9" ht="11.25" customHeight="1" x14ac:dyDescent="0.25">
      <c r="B66" s="2" t="s">
        <v>456</v>
      </c>
      <c r="C66" s="3"/>
      <c r="D66" s="3"/>
      <c r="E66" s="3"/>
      <c r="F66" s="3"/>
      <c r="G66" s="3" t="s">
        <v>40</v>
      </c>
      <c r="H66" s="10"/>
      <c r="I66" s="3"/>
    </row>
    <row r="67" spans="2:9" x14ac:dyDescent="0.25">
      <c r="B67" s="2" t="s">
        <v>119</v>
      </c>
      <c r="C67" s="2"/>
      <c r="D67" s="2"/>
      <c r="E67" s="2"/>
      <c r="F67" s="2"/>
      <c r="G67" s="1" t="s">
        <v>48</v>
      </c>
      <c r="H67" s="10"/>
    </row>
    <row r="68" spans="2:9" x14ac:dyDescent="0.25">
      <c r="C68" s="42"/>
    </row>
    <row r="69" spans="2:9" x14ac:dyDescent="0.25">
      <c r="F69" s="98"/>
    </row>
    <row r="70" spans="2:9" x14ac:dyDescent="0.25">
      <c r="B70" s="1633" t="s">
        <v>962</v>
      </c>
      <c r="C70" s="1634"/>
    </row>
    <row r="71" spans="2:9" x14ac:dyDescent="0.25">
      <c r="B71" s="302" t="s">
        <v>773</v>
      </c>
      <c r="C71" s="638">
        <f>-49920464</f>
        <v>-49920464</v>
      </c>
    </row>
    <row r="72" spans="2:9" x14ac:dyDescent="0.25">
      <c r="B72" s="639" t="s">
        <v>963</v>
      </c>
      <c r="C72" s="640">
        <v>-893269.33</v>
      </c>
    </row>
    <row r="73" spans="2:9" x14ac:dyDescent="0.25">
      <c r="B73" s="641" t="s">
        <v>964</v>
      </c>
      <c r="C73" s="642">
        <f>SUM(C71:C72)</f>
        <v>-50813733.329999998</v>
      </c>
    </row>
    <row r="74" spans="2:9" x14ac:dyDescent="0.25">
      <c r="B74" s="639" t="s">
        <v>965</v>
      </c>
      <c r="C74" s="643"/>
    </row>
    <row r="75" spans="2:9" x14ac:dyDescent="0.25">
      <c r="B75" s="302" t="s">
        <v>75</v>
      </c>
      <c r="C75" s="640">
        <v>7425682</v>
      </c>
    </row>
    <row r="76" spans="2:9" x14ac:dyDescent="0.25">
      <c r="B76" s="302" t="s">
        <v>58</v>
      </c>
      <c r="C76" s="640">
        <v>8550122</v>
      </c>
    </row>
    <row r="77" spans="2:9" x14ac:dyDescent="0.25">
      <c r="B77" s="302" t="s">
        <v>220</v>
      </c>
      <c r="C77" s="640">
        <v>3837291</v>
      </c>
    </row>
    <row r="78" spans="2:9" x14ac:dyDescent="0.25">
      <c r="B78" s="302" t="s">
        <v>224</v>
      </c>
      <c r="C78" s="640">
        <v>23006463.5</v>
      </c>
    </row>
    <row r="79" spans="2:9" x14ac:dyDescent="0.25">
      <c r="B79" s="302" t="s">
        <v>966</v>
      </c>
      <c r="C79" s="640">
        <v>7994163.0700000003</v>
      </c>
    </row>
    <row r="80" spans="2:9" x14ac:dyDescent="0.25">
      <c r="B80" s="644" t="s">
        <v>967</v>
      </c>
      <c r="C80" s="645">
        <f>SUM(C75:C79)</f>
        <v>50813721.57</v>
      </c>
    </row>
    <row r="81" spans="2:7" x14ac:dyDescent="0.25">
      <c r="C81" s="325"/>
    </row>
    <row r="82" spans="2:7" x14ac:dyDescent="0.25">
      <c r="C82" s="325"/>
    </row>
    <row r="83" spans="2:7" x14ac:dyDescent="0.25">
      <c r="C83" s="325"/>
    </row>
    <row r="84" spans="2:7" x14ac:dyDescent="0.25">
      <c r="C84" s="325"/>
    </row>
    <row r="85" spans="2:7" x14ac:dyDescent="0.25">
      <c r="C85" s="325"/>
    </row>
    <row r="86" spans="2:7" x14ac:dyDescent="0.25">
      <c r="C86" s="325"/>
    </row>
    <row r="89" spans="2:7" ht="14" x14ac:dyDescent="0.25">
      <c r="B89" s="1635" t="s">
        <v>498</v>
      </c>
      <c r="C89" s="1636"/>
      <c r="D89" s="1636"/>
      <c r="E89" s="1636"/>
      <c r="F89" s="1636"/>
      <c r="G89" s="1636"/>
    </row>
    <row r="90" spans="2:7" ht="14" x14ac:dyDescent="0.25">
      <c r="B90" s="1637" t="s">
        <v>968</v>
      </c>
      <c r="C90" s="1638"/>
      <c r="D90" s="1638"/>
      <c r="E90" s="1638"/>
      <c r="F90" s="1638"/>
      <c r="G90" s="1638"/>
    </row>
    <row r="91" spans="2:7" x14ac:dyDescent="0.25">
      <c r="B91" s="646" t="s">
        <v>499</v>
      </c>
      <c r="C91" s="646" t="s">
        <v>460</v>
      </c>
      <c r="D91" s="647" t="s">
        <v>969</v>
      </c>
      <c r="E91" s="647" t="s">
        <v>970</v>
      </c>
      <c r="F91" s="647" t="s">
        <v>971</v>
      </c>
      <c r="G91" s="647" t="s">
        <v>972</v>
      </c>
    </row>
    <row r="92" spans="2:7" x14ac:dyDescent="0.25">
      <c r="B92" s="446" t="s">
        <v>973</v>
      </c>
      <c r="C92" s="446" t="s">
        <v>974</v>
      </c>
      <c r="D92" s="447">
        <v>46178914.649999999</v>
      </c>
      <c r="E92" s="447">
        <v>66778860.130000003</v>
      </c>
      <c r="F92" s="447">
        <v>67859212.099999994</v>
      </c>
      <c r="G92" s="447">
        <v>45098562.68</v>
      </c>
    </row>
    <row r="93" spans="2:7" x14ac:dyDescent="0.25">
      <c r="B93" s="446" t="s">
        <v>975</v>
      </c>
      <c r="C93" s="446" t="s">
        <v>976</v>
      </c>
      <c r="D93" s="447">
        <v>16632364.949999999</v>
      </c>
      <c r="E93" s="447">
        <v>33083828</v>
      </c>
      <c r="F93" s="447">
        <v>33279939.100000001</v>
      </c>
      <c r="G93" s="447">
        <v>16436253.85</v>
      </c>
    </row>
    <row r="94" spans="2:7" x14ac:dyDescent="0.25">
      <c r="B94" s="446" t="s">
        <v>977</v>
      </c>
      <c r="C94" s="446" t="s">
        <v>978</v>
      </c>
      <c r="D94" s="447">
        <v>200000</v>
      </c>
      <c r="E94" s="447">
        <v>0</v>
      </c>
      <c r="F94" s="447">
        <v>0</v>
      </c>
      <c r="G94" s="447">
        <v>200000</v>
      </c>
    </row>
    <row r="95" spans="2:7" x14ac:dyDescent="0.25">
      <c r="B95" s="446" t="s">
        <v>979</v>
      </c>
      <c r="C95" s="446" t="s">
        <v>980</v>
      </c>
      <c r="D95" s="447">
        <v>200000</v>
      </c>
      <c r="E95" s="447">
        <v>0</v>
      </c>
      <c r="F95" s="447">
        <v>0</v>
      </c>
      <c r="G95" s="447">
        <v>200000</v>
      </c>
    </row>
    <row r="96" spans="2:7" x14ac:dyDescent="0.25">
      <c r="B96" s="446" t="s">
        <v>981</v>
      </c>
      <c r="C96" s="446" t="s">
        <v>982</v>
      </c>
      <c r="D96" s="447">
        <v>16432364.949999999</v>
      </c>
      <c r="E96" s="447">
        <v>33083828</v>
      </c>
      <c r="F96" s="447">
        <v>33279939.100000001</v>
      </c>
      <c r="G96" s="447">
        <v>16236253.85</v>
      </c>
    </row>
    <row r="97" spans="2:7" x14ac:dyDescent="0.25">
      <c r="B97" s="446" t="s">
        <v>983</v>
      </c>
      <c r="C97" s="446" t="s">
        <v>984</v>
      </c>
      <c r="D97" s="447">
        <v>16432364.949999999</v>
      </c>
      <c r="E97" s="447">
        <v>33083828</v>
      </c>
      <c r="F97" s="447">
        <v>33279939.100000001</v>
      </c>
      <c r="G97" s="447">
        <v>16236253.85</v>
      </c>
    </row>
    <row r="98" spans="2:7" x14ac:dyDescent="0.25">
      <c r="B98" s="446" t="s">
        <v>985</v>
      </c>
      <c r="C98" s="446" t="s">
        <v>986</v>
      </c>
      <c r="D98" s="447">
        <v>16432364.949999999</v>
      </c>
      <c r="E98" s="447">
        <v>33083828</v>
      </c>
      <c r="F98" s="447">
        <v>33279939.100000001</v>
      </c>
      <c r="G98" s="447">
        <v>16236253.85</v>
      </c>
    </row>
    <row r="99" spans="2:7" x14ac:dyDescent="0.25">
      <c r="B99" s="446" t="s">
        <v>987</v>
      </c>
      <c r="C99" s="446" t="s">
        <v>988</v>
      </c>
      <c r="D99" s="447">
        <v>8534559.6999999993</v>
      </c>
      <c r="E99" s="447">
        <v>59728.13</v>
      </c>
      <c r="F99" s="447">
        <v>0</v>
      </c>
      <c r="G99" s="447">
        <v>8594287.8300000001</v>
      </c>
    </row>
    <row r="100" spans="2:7" x14ac:dyDescent="0.25">
      <c r="B100" s="446" t="s">
        <v>989</v>
      </c>
      <c r="C100" s="446" t="s">
        <v>990</v>
      </c>
      <c r="D100" s="447">
        <v>8534559.6999999993</v>
      </c>
      <c r="E100" s="447">
        <v>59728.13</v>
      </c>
      <c r="F100" s="447">
        <v>0</v>
      </c>
      <c r="G100" s="447">
        <v>8594287.8300000001</v>
      </c>
    </row>
    <row r="101" spans="2:7" x14ac:dyDescent="0.25">
      <c r="B101" s="446" t="s">
        <v>991</v>
      </c>
      <c r="C101" s="446" t="s">
        <v>992</v>
      </c>
      <c r="D101" s="447">
        <v>8534559.6999999993</v>
      </c>
      <c r="E101" s="447">
        <v>59728.13</v>
      </c>
      <c r="F101" s="447">
        <v>0</v>
      </c>
      <c r="G101" s="447">
        <v>8594287.8300000001</v>
      </c>
    </row>
    <row r="102" spans="2:7" x14ac:dyDescent="0.25">
      <c r="B102" s="446" t="s">
        <v>993</v>
      </c>
      <c r="C102" s="446" t="s">
        <v>994</v>
      </c>
      <c r="D102" s="447">
        <v>4167522</v>
      </c>
      <c r="E102" s="447">
        <v>33635304</v>
      </c>
      <c r="F102" s="447">
        <v>33092996</v>
      </c>
      <c r="G102" s="447">
        <v>4709830</v>
      </c>
    </row>
    <row r="103" spans="2:7" x14ac:dyDescent="0.25">
      <c r="B103" s="446" t="s">
        <v>995</v>
      </c>
      <c r="C103" s="446" t="s">
        <v>996</v>
      </c>
      <c r="D103" s="447">
        <v>4129452</v>
      </c>
      <c r="E103" s="447">
        <v>33222945</v>
      </c>
      <c r="F103" s="447">
        <v>33082685</v>
      </c>
      <c r="G103" s="447">
        <v>4269712</v>
      </c>
    </row>
    <row r="104" spans="2:7" x14ac:dyDescent="0.25">
      <c r="B104" s="446" t="s">
        <v>997</v>
      </c>
      <c r="C104" s="446" t="s">
        <v>998</v>
      </c>
      <c r="D104" s="447">
        <v>4129452</v>
      </c>
      <c r="E104" s="447">
        <v>33222945</v>
      </c>
      <c r="F104" s="447">
        <v>33082685</v>
      </c>
      <c r="G104" s="447">
        <v>4269712</v>
      </c>
    </row>
    <row r="105" spans="2:7" x14ac:dyDescent="0.25">
      <c r="B105" s="446" t="s">
        <v>999</v>
      </c>
      <c r="C105" s="446" t="s">
        <v>1000</v>
      </c>
      <c r="D105" s="447">
        <v>4129452</v>
      </c>
      <c r="E105" s="447">
        <v>33222945</v>
      </c>
      <c r="F105" s="447">
        <v>33082685</v>
      </c>
      <c r="G105" s="447">
        <v>4269712</v>
      </c>
    </row>
    <row r="106" spans="2:7" x14ac:dyDescent="0.25">
      <c r="B106" s="446" t="s">
        <v>1001</v>
      </c>
      <c r="C106" s="446" t="s">
        <v>1002</v>
      </c>
      <c r="D106" s="447">
        <v>38070</v>
      </c>
      <c r="E106" s="447">
        <v>412359</v>
      </c>
      <c r="F106" s="447">
        <v>10311</v>
      </c>
      <c r="G106" s="447">
        <v>440118</v>
      </c>
    </row>
    <row r="107" spans="2:7" x14ac:dyDescent="0.25">
      <c r="B107" s="446" t="s">
        <v>1003</v>
      </c>
      <c r="C107" s="446" t="s">
        <v>998</v>
      </c>
      <c r="D107" s="447">
        <v>38070</v>
      </c>
      <c r="E107" s="447">
        <v>412359</v>
      </c>
      <c r="F107" s="447">
        <v>10311</v>
      </c>
      <c r="G107" s="447">
        <v>440118</v>
      </c>
    </row>
    <row r="108" spans="2:7" x14ac:dyDescent="0.25">
      <c r="B108" s="446" t="s">
        <v>1004</v>
      </c>
      <c r="C108" s="446" t="s">
        <v>1005</v>
      </c>
      <c r="D108" s="447">
        <v>38070</v>
      </c>
      <c r="E108" s="447">
        <v>412359</v>
      </c>
      <c r="F108" s="447">
        <v>10311</v>
      </c>
      <c r="G108" s="447">
        <v>440118</v>
      </c>
    </row>
    <row r="109" spans="2:7" x14ac:dyDescent="0.25">
      <c r="B109" s="446" t="s">
        <v>1006</v>
      </c>
      <c r="C109" s="446" t="s">
        <v>1007</v>
      </c>
      <c r="D109" s="447">
        <v>16844468</v>
      </c>
      <c r="E109" s="447">
        <v>0</v>
      </c>
      <c r="F109" s="447">
        <v>1486277</v>
      </c>
      <c r="G109" s="447">
        <v>15358191</v>
      </c>
    </row>
    <row r="110" spans="2:7" x14ac:dyDescent="0.25">
      <c r="B110" s="446" t="s">
        <v>1008</v>
      </c>
      <c r="C110" s="446" t="s">
        <v>1009</v>
      </c>
      <c r="D110" s="447">
        <v>16844468</v>
      </c>
      <c r="E110" s="447">
        <v>0</v>
      </c>
      <c r="F110" s="447">
        <v>1486277</v>
      </c>
      <c r="G110" s="447">
        <v>15358191</v>
      </c>
    </row>
    <row r="111" spans="2:7" x14ac:dyDescent="0.25">
      <c r="B111" s="446" t="s">
        <v>1010</v>
      </c>
      <c r="C111" s="446" t="s">
        <v>1011</v>
      </c>
      <c r="D111" s="447">
        <v>16844468</v>
      </c>
      <c r="E111" s="447">
        <v>0</v>
      </c>
      <c r="F111" s="447">
        <v>1486277</v>
      </c>
      <c r="G111" s="447">
        <v>15358191</v>
      </c>
    </row>
    <row r="112" spans="2:7" x14ac:dyDescent="0.25">
      <c r="B112" s="446" t="s">
        <v>1012</v>
      </c>
      <c r="C112" s="446" t="s">
        <v>357</v>
      </c>
      <c r="D112" s="447">
        <v>16844468</v>
      </c>
      <c r="E112" s="447">
        <v>0</v>
      </c>
      <c r="F112" s="447">
        <v>1486277</v>
      </c>
      <c r="G112" s="447">
        <v>15358191</v>
      </c>
    </row>
    <row r="113" spans="2:7" x14ac:dyDescent="0.25">
      <c r="B113" s="446" t="s">
        <v>1013</v>
      </c>
      <c r="C113" s="446" t="s">
        <v>234</v>
      </c>
      <c r="D113" s="447">
        <v>-79254405.879999995</v>
      </c>
      <c r="E113" s="447">
        <v>8577331</v>
      </c>
      <c r="F113" s="447">
        <v>888369</v>
      </c>
      <c r="G113" s="447">
        <v>-71565443.879999995</v>
      </c>
    </row>
    <row r="114" spans="2:7" x14ac:dyDescent="0.25">
      <c r="B114" s="446" t="s">
        <v>1014</v>
      </c>
      <c r="C114" s="446" t="s">
        <v>1015</v>
      </c>
      <c r="D114" s="447">
        <v>-14570477.880000001</v>
      </c>
      <c r="E114" s="447">
        <v>8577331</v>
      </c>
      <c r="F114" s="447">
        <v>888369</v>
      </c>
      <c r="G114" s="447">
        <v>-6881515.8799999999</v>
      </c>
    </row>
    <row r="115" spans="2:7" x14ac:dyDescent="0.25">
      <c r="B115" s="446" t="s">
        <v>1016</v>
      </c>
      <c r="C115" s="446" t="s">
        <v>1017</v>
      </c>
      <c r="D115" s="447">
        <v>-14432437</v>
      </c>
      <c r="E115" s="447">
        <v>8487331</v>
      </c>
      <c r="F115" s="447">
        <v>768959</v>
      </c>
      <c r="G115" s="447">
        <v>-6714065</v>
      </c>
    </row>
    <row r="116" spans="2:7" x14ac:dyDescent="0.25">
      <c r="B116" s="446" t="s">
        <v>1018</v>
      </c>
      <c r="C116" s="446" t="s">
        <v>1019</v>
      </c>
      <c r="D116" s="447">
        <v>-627190</v>
      </c>
      <c r="E116" s="447">
        <v>627190</v>
      </c>
      <c r="F116" s="447">
        <v>534352</v>
      </c>
      <c r="G116" s="447">
        <v>-534352</v>
      </c>
    </row>
    <row r="117" spans="2:7" x14ac:dyDescent="0.25">
      <c r="B117" s="446" t="s">
        <v>1020</v>
      </c>
      <c r="C117" s="446" t="s">
        <v>1019</v>
      </c>
      <c r="D117" s="447">
        <v>-627190</v>
      </c>
      <c r="E117" s="447">
        <v>627190</v>
      </c>
      <c r="F117" s="447">
        <v>534352</v>
      </c>
      <c r="G117" s="447">
        <v>-534352</v>
      </c>
    </row>
    <row r="118" spans="2:7" x14ac:dyDescent="0.25">
      <c r="B118" s="446" t="s">
        <v>1021</v>
      </c>
      <c r="C118" s="446" t="s">
        <v>998</v>
      </c>
      <c r="D118" s="447">
        <v>-13805247</v>
      </c>
      <c r="E118" s="447">
        <v>7860141</v>
      </c>
      <c r="F118" s="447">
        <v>234607</v>
      </c>
      <c r="G118" s="447">
        <v>-6179713</v>
      </c>
    </row>
    <row r="119" spans="2:7" x14ac:dyDescent="0.25">
      <c r="B119" s="446" t="s">
        <v>1022</v>
      </c>
      <c r="C119" s="446" t="s">
        <v>998</v>
      </c>
      <c r="D119" s="447">
        <v>-13805247</v>
      </c>
      <c r="E119" s="447">
        <v>7860141</v>
      </c>
      <c r="F119" s="447">
        <v>234607</v>
      </c>
      <c r="G119" s="447">
        <v>-6179713</v>
      </c>
    </row>
    <row r="120" spans="2:7" x14ac:dyDescent="0.25">
      <c r="B120" s="446" t="s">
        <v>1023</v>
      </c>
      <c r="C120" s="446" t="s">
        <v>1024</v>
      </c>
      <c r="D120" s="447">
        <v>-90156.060000000507</v>
      </c>
      <c r="E120" s="447">
        <v>90000</v>
      </c>
      <c r="F120" s="447">
        <v>63564</v>
      </c>
      <c r="G120" s="447">
        <v>-63720.0600000005</v>
      </c>
    </row>
    <row r="121" spans="2:7" x14ac:dyDescent="0.25">
      <c r="B121" s="446" t="s">
        <v>1025</v>
      </c>
      <c r="C121" s="446" t="s">
        <v>1026</v>
      </c>
      <c r="D121" s="447">
        <v>-59808</v>
      </c>
      <c r="E121" s="447">
        <v>0</v>
      </c>
      <c r="F121" s="447">
        <v>18802</v>
      </c>
      <c r="G121" s="447">
        <v>-78610</v>
      </c>
    </row>
    <row r="122" spans="2:7" x14ac:dyDescent="0.25">
      <c r="B122" s="446" t="s">
        <v>1027</v>
      </c>
      <c r="C122" s="446" t="s">
        <v>1028</v>
      </c>
      <c r="D122" s="447">
        <v>-59808</v>
      </c>
      <c r="E122" s="447">
        <v>0</v>
      </c>
      <c r="F122" s="447">
        <v>18802</v>
      </c>
      <c r="G122" s="447">
        <v>-78610</v>
      </c>
    </row>
    <row r="123" spans="2:7" x14ac:dyDescent="0.25">
      <c r="B123" s="446" t="s">
        <v>1029</v>
      </c>
      <c r="C123" s="446" t="s">
        <v>1030</v>
      </c>
      <c r="D123" s="447">
        <v>-409286</v>
      </c>
      <c r="E123" s="447">
        <v>0</v>
      </c>
      <c r="F123" s="447">
        <v>44762</v>
      </c>
      <c r="G123" s="447">
        <v>-454048</v>
      </c>
    </row>
    <row r="124" spans="2:7" x14ac:dyDescent="0.25">
      <c r="B124" s="446" t="s">
        <v>1031</v>
      </c>
      <c r="C124" s="446" t="s">
        <v>1032</v>
      </c>
      <c r="D124" s="447">
        <v>-19476</v>
      </c>
      <c r="E124" s="447">
        <v>0</v>
      </c>
      <c r="F124" s="447">
        <v>6492</v>
      </c>
      <c r="G124" s="447">
        <v>-25968</v>
      </c>
    </row>
    <row r="125" spans="2:7" x14ac:dyDescent="0.25">
      <c r="B125" s="446" t="s">
        <v>1033</v>
      </c>
      <c r="C125" s="446" t="s">
        <v>1034</v>
      </c>
      <c r="D125" s="447">
        <v>-130400</v>
      </c>
      <c r="E125" s="447">
        <v>0</v>
      </c>
      <c r="F125" s="447">
        <v>35200</v>
      </c>
      <c r="G125" s="447">
        <v>-165600</v>
      </c>
    </row>
    <row r="126" spans="2:7" x14ac:dyDescent="0.25">
      <c r="B126" s="446" t="s">
        <v>1035</v>
      </c>
      <c r="C126" s="446" t="s">
        <v>1036</v>
      </c>
      <c r="D126" s="447">
        <v>-9210</v>
      </c>
      <c r="E126" s="447">
        <v>0</v>
      </c>
      <c r="F126" s="447">
        <v>3070</v>
      </c>
      <c r="G126" s="447">
        <v>-12280</v>
      </c>
    </row>
    <row r="127" spans="2:7" x14ac:dyDescent="0.25">
      <c r="B127" s="446" t="s">
        <v>1037</v>
      </c>
      <c r="C127" s="446" t="s">
        <v>1038</v>
      </c>
      <c r="D127" s="447">
        <v>-250200</v>
      </c>
      <c r="E127" s="447">
        <v>0</v>
      </c>
      <c r="F127" s="447">
        <v>0</v>
      </c>
      <c r="G127" s="447">
        <v>-250200</v>
      </c>
    </row>
    <row r="128" spans="2:7" x14ac:dyDescent="0.25">
      <c r="B128" s="446" t="s">
        <v>1039</v>
      </c>
      <c r="C128" s="446" t="s">
        <v>1040</v>
      </c>
      <c r="D128" s="447">
        <v>-9817</v>
      </c>
      <c r="E128" s="447">
        <v>0</v>
      </c>
      <c r="F128" s="447">
        <v>0</v>
      </c>
      <c r="G128" s="447">
        <v>-9817</v>
      </c>
    </row>
    <row r="129" spans="2:7" x14ac:dyDescent="0.25">
      <c r="B129" s="446" t="s">
        <v>1041</v>
      </c>
      <c r="C129" s="446" t="s">
        <v>1042</v>
      </c>
      <c r="D129" s="447">
        <v>-9817</v>
      </c>
      <c r="E129" s="447">
        <v>0</v>
      </c>
      <c r="F129" s="447">
        <v>0</v>
      </c>
      <c r="G129" s="447">
        <v>-9817</v>
      </c>
    </row>
    <row r="130" spans="2:7" x14ac:dyDescent="0.25">
      <c r="B130" s="446" t="s">
        <v>1043</v>
      </c>
      <c r="C130" s="446" t="s">
        <v>1044</v>
      </c>
      <c r="D130" s="447">
        <v>388754.93999999901</v>
      </c>
      <c r="E130" s="447">
        <v>90000</v>
      </c>
      <c r="F130" s="447">
        <v>0</v>
      </c>
      <c r="G130" s="447">
        <v>478754.93999999901</v>
      </c>
    </row>
    <row r="131" spans="2:7" x14ac:dyDescent="0.25">
      <c r="B131" s="446" t="s">
        <v>1045</v>
      </c>
      <c r="C131" s="446" t="s">
        <v>1046</v>
      </c>
      <c r="D131" s="447">
        <v>-47884.819999999803</v>
      </c>
      <c r="E131" s="447">
        <v>0</v>
      </c>
      <c r="F131" s="447">
        <v>55846</v>
      </c>
      <c r="G131" s="447">
        <v>-103730.82</v>
      </c>
    </row>
    <row r="132" spans="2:7" x14ac:dyDescent="0.25">
      <c r="B132" s="446" t="s">
        <v>1047</v>
      </c>
      <c r="C132" s="446" t="s">
        <v>1048</v>
      </c>
      <c r="D132" s="447">
        <v>-214104</v>
      </c>
      <c r="E132" s="447">
        <v>0</v>
      </c>
      <c r="F132" s="447">
        <v>55846</v>
      </c>
      <c r="G132" s="447">
        <v>-269950</v>
      </c>
    </row>
    <row r="133" spans="2:7" x14ac:dyDescent="0.25">
      <c r="B133" s="446" t="s">
        <v>1049</v>
      </c>
      <c r="C133" s="446" t="s">
        <v>1050</v>
      </c>
      <c r="D133" s="447">
        <v>-141181</v>
      </c>
      <c r="E133" s="447">
        <v>0</v>
      </c>
      <c r="F133" s="447">
        <v>19011</v>
      </c>
      <c r="G133" s="447">
        <v>-160192</v>
      </c>
    </row>
    <row r="134" spans="2:7" x14ac:dyDescent="0.25">
      <c r="B134" s="446" t="s">
        <v>1051</v>
      </c>
      <c r="C134" s="446" t="s">
        <v>1052</v>
      </c>
      <c r="D134" s="447">
        <v>-72923</v>
      </c>
      <c r="E134" s="447">
        <v>0</v>
      </c>
      <c r="F134" s="447">
        <v>12892</v>
      </c>
      <c r="G134" s="447">
        <v>-85815</v>
      </c>
    </row>
    <row r="135" spans="2:7" x14ac:dyDescent="0.25">
      <c r="B135" s="446" t="s">
        <v>1053</v>
      </c>
      <c r="C135" s="446" t="s">
        <v>1054</v>
      </c>
      <c r="D135" s="447">
        <v>0</v>
      </c>
      <c r="E135" s="447">
        <v>0</v>
      </c>
      <c r="F135" s="447">
        <v>23943</v>
      </c>
      <c r="G135" s="447">
        <v>-23943</v>
      </c>
    </row>
    <row r="136" spans="2:7" x14ac:dyDescent="0.25">
      <c r="B136" s="446" t="s">
        <v>1055</v>
      </c>
      <c r="C136" s="446" t="s">
        <v>1056</v>
      </c>
      <c r="D136" s="447">
        <v>166219.18</v>
      </c>
      <c r="E136" s="447">
        <v>0</v>
      </c>
      <c r="F136" s="447">
        <v>0</v>
      </c>
      <c r="G136" s="447">
        <v>166219.18</v>
      </c>
    </row>
    <row r="137" spans="2:7" x14ac:dyDescent="0.25">
      <c r="B137" s="446" t="s">
        <v>1057</v>
      </c>
      <c r="C137" s="446" t="s">
        <v>1058</v>
      </c>
      <c r="D137" s="447">
        <v>-64683928</v>
      </c>
      <c r="E137" s="447">
        <v>0</v>
      </c>
      <c r="F137" s="447">
        <v>0</v>
      </c>
      <c r="G137" s="447">
        <v>-64683928</v>
      </c>
    </row>
    <row r="138" spans="2:7" x14ac:dyDescent="0.25">
      <c r="B138" s="446" t="s">
        <v>1059</v>
      </c>
      <c r="C138" s="446" t="s">
        <v>1060</v>
      </c>
      <c r="D138" s="447">
        <v>-64683928</v>
      </c>
      <c r="E138" s="447">
        <v>0</v>
      </c>
      <c r="F138" s="447">
        <v>0</v>
      </c>
      <c r="G138" s="447">
        <v>-64683928</v>
      </c>
    </row>
    <row r="139" spans="2:7" x14ac:dyDescent="0.25">
      <c r="B139" s="446" t="s">
        <v>1061</v>
      </c>
      <c r="C139" s="446" t="s">
        <v>1062</v>
      </c>
      <c r="D139" s="447">
        <v>-64683928</v>
      </c>
      <c r="E139" s="447">
        <v>0</v>
      </c>
      <c r="F139" s="447">
        <v>0</v>
      </c>
      <c r="G139" s="447">
        <v>-64683928</v>
      </c>
    </row>
    <row r="140" spans="2:7" x14ac:dyDescent="0.25">
      <c r="B140" s="446" t="s">
        <v>1063</v>
      </c>
      <c r="C140" s="446" t="s">
        <v>1064</v>
      </c>
      <c r="D140" s="447">
        <v>-7425682</v>
      </c>
      <c r="E140" s="447">
        <v>0</v>
      </c>
      <c r="F140" s="447">
        <v>0</v>
      </c>
      <c r="G140" s="447">
        <v>-7425682</v>
      </c>
    </row>
    <row r="141" spans="2:7" x14ac:dyDescent="0.25">
      <c r="B141" s="446" t="s">
        <v>1065</v>
      </c>
      <c r="C141" s="446" t="s">
        <v>1066</v>
      </c>
      <c r="D141" s="447">
        <v>-3837291</v>
      </c>
      <c r="E141" s="447">
        <v>0</v>
      </c>
      <c r="F141" s="447">
        <v>0</v>
      </c>
      <c r="G141" s="447">
        <v>-3837291</v>
      </c>
    </row>
    <row r="142" spans="2:7" x14ac:dyDescent="0.25">
      <c r="B142" s="446" t="s">
        <v>1067</v>
      </c>
      <c r="C142" s="446" t="s">
        <v>1068</v>
      </c>
      <c r="D142" s="447">
        <v>-8550122</v>
      </c>
      <c r="E142" s="447">
        <v>0</v>
      </c>
      <c r="F142" s="447">
        <v>0</v>
      </c>
      <c r="G142" s="447">
        <v>-8550122</v>
      </c>
    </row>
    <row r="143" spans="2:7" x14ac:dyDescent="0.25">
      <c r="B143" s="446" t="s">
        <v>570</v>
      </c>
      <c r="C143" s="446" t="s">
        <v>571</v>
      </c>
      <c r="D143" s="447">
        <v>-44870833</v>
      </c>
      <c r="E143" s="447">
        <v>0</v>
      </c>
      <c r="F143" s="447">
        <v>0</v>
      </c>
      <c r="G143" s="447">
        <v>-44870833</v>
      </c>
    </row>
    <row r="144" spans="2:7" x14ac:dyDescent="0.25">
      <c r="B144" s="446" t="s">
        <v>1069</v>
      </c>
      <c r="C144" s="446" t="s">
        <v>234</v>
      </c>
      <c r="D144" s="447">
        <v>33671328.380000003</v>
      </c>
      <c r="E144" s="447">
        <v>0</v>
      </c>
      <c r="F144" s="447">
        <v>328376</v>
      </c>
      <c r="G144" s="447">
        <v>33342952.379999999</v>
      </c>
    </row>
    <row r="145" spans="2:7" x14ac:dyDescent="0.25">
      <c r="B145" s="446" t="s">
        <v>1070</v>
      </c>
      <c r="C145" s="446" t="s">
        <v>1071</v>
      </c>
      <c r="D145" s="447">
        <v>-9148230.8800000008</v>
      </c>
      <c r="E145" s="447">
        <v>0</v>
      </c>
      <c r="F145" s="447">
        <v>328376</v>
      </c>
      <c r="G145" s="447">
        <v>-9476606.8800000008</v>
      </c>
    </row>
    <row r="146" spans="2:7" x14ac:dyDescent="0.25">
      <c r="B146" s="446" t="s">
        <v>1072</v>
      </c>
      <c r="C146" s="446" t="s">
        <v>1073</v>
      </c>
      <c r="D146" s="447">
        <v>-9148230.8800000008</v>
      </c>
      <c r="E146" s="447">
        <v>0</v>
      </c>
      <c r="F146" s="447">
        <v>328376</v>
      </c>
      <c r="G146" s="447">
        <v>-9476606.8800000008</v>
      </c>
    </row>
    <row r="147" spans="2:7" x14ac:dyDescent="0.25">
      <c r="B147" s="446" t="s">
        <v>1074</v>
      </c>
      <c r="C147" s="446" t="s">
        <v>1075</v>
      </c>
      <c r="D147" s="447">
        <v>-9148230.8800000008</v>
      </c>
      <c r="E147" s="447">
        <v>0</v>
      </c>
      <c r="F147" s="447">
        <v>328376</v>
      </c>
      <c r="G147" s="447">
        <v>-9476606.8800000008</v>
      </c>
    </row>
    <row r="148" spans="2:7" x14ac:dyDescent="0.25">
      <c r="B148" s="446" t="s">
        <v>1076</v>
      </c>
      <c r="C148" s="446" t="s">
        <v>1077</v>
      </c>
      <c r="D148" s="447">
        <v>-9148230.8800000008</v>
      </c>
      <c r="E148" s="447">
        <v>0</v>
      </c>
      <c r="F148" s="447">
        <v>328376</v>
      </c>
      <c r="G148" s="447">
        <v>-9476606.8800000008</v>
      </c>
    </row>
    <row r="149" spans="2:7" x14ac:dyDescent="0.25">
      <c r="B149" s="446" t="s">
        <v>1078</v>
      </c>
      <c r="C149" s="446" t="s">
        <v>1079</v>
      </c>
      <c r="D149" s="447">
        <v>42819559.259999998</v>
      </c>
      <c r="E149" s="447">
        <v>0</v>
      </c>
      <c r="F149" s="447">
        <v>0</v>
      </c>
      <c r="G149" s="447">
        <v>42819559.259999998</v>
      </c>
    </row>
    <row r="150" spans="2:7" x14ac:dyDescent="0.25">
      <c r="B150" s="446" t="s">
        <v>1080</v>
      </c>
      <c r="C150" s="446" t="s">
        <v>1081</v>
      </c>
      <c r="D150" s="447">
        <v>42819559.259999998</v>
      </c>
      <c r="E150" s="447">
        <v>0</v>
      </c>
      <c r="F150" s="447">
        <v>0</v>
      </c>
      <c r="G150" s="447">
        <v>42819559.259999998</v>
      </c>
    </row>
    <row r="151" spans="2:7" x14ac:dyDescent="0.25">
      <c r="B151" s="446" t="s">
        <v>1082</v>
      </c>
      <c r="C151" s="446" t="s">
        <v>1083</v>
      </c>
      <c r="D151" s="447">
        <v>42819559.259999998</v>
      </c>
      <c r="E151" s="447">
        <v>0</v>
      </c>
      <c r="F151" s="447">
        <v>0</v>
      </c>
      <c r="G151" s="447">
        <v>42819559.259999998</v>
      </c>
    </row>
    <row r="152" spans="2:7" x14ac:dyDescent="0.25">
      <c r="B152" s="446" t="s">
        <v>1084</v>
      </c>
      <c r="C152" s="446" t="s">
        <v>1085</v>
      </c>
      <c r="D152" s="447">
        <v>42819559.259999998</v>
      </c>
      <c r="E152" s="447">
        <v>0</v>
      </c>
      <c r="F152" s="447">
        <v>0</v>
      </c>
      <c r="G152" s="447">
        <v>42819559.259999998</v>
      </c>
    </row>
    <row r="153" spans="2:7" x14ac:dyDescent="0.25">
      <c r="B153" s="446" t="s">
        <v>1086</v>
      </c>
      <c r="C153" s="446" t="s">
        <v>1087</v>
      </c>
      <c r="D153" s="447">
        <v>-9.3132257461547893E-10</v>
      </c>
      <c r="E153" s="447">
        <v>0</v>
      </c>
      <c r="F153" s="447">
        <v>0</v>
      </c>
      <c r="G153" s="447">
        <v>-9.3132257461547893E-10</v>
      </c>
    </row>
    <row r="154" spans="2:7" x14ac:dyDescent="0.25">
      <c r="B154" s="446" t="s">
        <v>1088</v>
      </c>
      <c r="C154" s="446" t="s">
        <v>1089</v>
      </c>
      <c r="D154" s="447">
        <v>-9.3132257461547893E-10</v>
      </c>
      <c r="E154" s="447">
        <v>0</v>
      </c>
      <c r="F154" s="447">
        <v>0</v>
      </c>
      <c r="G154" s="447">
        <v>-9.3132257461547893E-10</v>
      </c>
    </row>
    <row r="155" spans="2:7" x14ac:dyDescent="0.25">
      <c r="B155" s="446" t="s">
        <v>1090</v>
      </c>
      <c r="C155" s="446" t="s">
        <v>1091</v>
      </c>
      <c r="D155" s="447">
        <v>-9.3132257461547893E-10</v>
      </c>
      <c r="E155" s="447">
        <v>0</v>
      </c>
      <c r="F155" s="447">
        <v>0</v>
      </c>
      <c r="G155" s="447">
        <v>-9.3132257461547893E-10</v>
      </c>
    </row>
    <row r="156" spans="2:7" x14ac:dyDescent="0.25">
      <c r="B156" s="446" t="s">
        <v>1092</v>
      </c>
      <c r="C156" s="446" t="s">
        <v>1089</v>
      </c>
      <c r="D156" s="447">
        <v>-9.3132257461547893E-10</v>
      </c>
      <c r="E156" s="447">
        <v>0</v>
      </c>
      <c r="F156" s="447">
        <v>0</v>
      </c>
      <c r="G156" s="447">
        <v>-9.3132257461547893E-10</v>
      </c>
    </row>
    <row r="157" spans="2:7" x14ac:dyDescent="0.25">
      <c r="B157" s="446" t="s">
        <v>1093</v>
      </c>
      <c r="C157" s="446" t="s">
        <v>1094</v>
      </c>
      <c r="D157" s="447">
        <v>-87483712.290000007</v>
      </c>
      <c r="E157" s="447">
        <v>0</v>
      </c>
      <c r="F157" s="447">
        <v>33248832.129999999</v>
      </c>
      <c r="G157" s="447">
        <v>-120732544.42</v>
      </c>
    </row>
    <row r="158" spans="2:7" x14ac:dyDescent="0.25">
      <c r="B158" s="446" t="s">
        <v>1095</v>
      </c>
      <c r="C158" s="446" t="s">
        <v>1096</v>
      </c>
      <c r="D158" s="447">
        <v>-86104701</v>
      </c>
      <c r="E158" s="447">
        <v>0</v>
      </c>
      <c r="F158" s="447">
        <v>32837635</v>
      </c>
      <c r="G158" s="447">
        <v>-118942336</v>
      </c>
    </row>
    <row r="159" spans="2:7" x14ac:dyDescent="0.25">
      <c r="B159" s="446" t="s">
        <v>1097</v>
      </c>
      <c r="C159" s="446" t="s">
        <v>1098</v>
      </c>
      <c r="D159" s="447">
        <v>-86104701</v>
      </c>
      <c r="E159" s="447">
        <v>0</v>
      </c>
      <c r="F159" s="447">
        <v>32837635</v>
      </c>
      <c r="G159" s="447">
        <v>-118942336</v>
      </c>
    </row>
    <row r="160" spans="2:7" x14ac:dyDescent="0.25">
      <c r="B160" s="446" t="s">
        <v>1099</v>
      </c>
      <c r="C160" s="446" t="s">
        <v>1100</v>
      </c>
      <c r="D160" s="447">
        <v>-86104701</v>
      </c>
      <c r="E160" s="447">
        <v>0</v>
      </c>
      <c r="F160" s="447">
        <v>32837635</v>
      </c>
      <c r="G160" s="447">
        <v>-118942336</v>
      </c>
    </row>
    <row r="161" spans="2:7" x14ac:dyDescent="0.25">
      <c r="B161" s="446" t="s">
        <v>1101</v>
      </c>
      <c r="C161" s="446" t="s">
        <v>1000</v>
      </c>
      <c r="D161" s="447">
        <v>-86104701</v>
      </c>
      <c r="E161" s="447">
        <v>0</v>
      </c>
      <c r="F161" s="447">
        <v>32837635</v>
      </c>
      <c r="G161" s="447">
        <v>-118942336</v>
      </c>
    </row>
    <row r="162" spans="2:7" x14ac:dyDescent="0.25">
      <c r="B162" s="446" t="s">
        <v>1102</v>
      </c>
      <c r="C162" s="446" t="s">
        <v>1103</v>
      </c>
      <c r="D162" s="447">
        <v>-1379011.29</v>
      </c>
      <c r="E162" s="447">
        <v>0</v>
      </c>
      <c r="F162" s="447">
        <v>411197.13</v>
      </c>
      <c r="G162" s="447">
        <v>-1790208.42</v>
      </c>
    </row>
    <row r="163" spans="2:7" x14ac:dyDescent="0.25">
      <c r="B163" s="446" t="s">
        <v>1104</v>
      </c>
      <c r="C163" s="446" t="s">
        <v>1105</v>
      </c>
      <c r="D163" s="447">
        <v>-1378759.29</v>
      </c>
      <c r="E163" s="447">
        <v>0</v>
      </c>
      <c r="F163" s="447">
        <v>411197.13</v>
      </c>
      <c r="G163" s="447">
        <v>-1789956.42</v>
      </c>
    </row>
    <row r="164" spans="2:7" x14ac:dyDescent="0.25">
      <c r="B164" s="446" t="s">
        <v>1106</v>
      </c>
      <c r="C164" s="446" t="s">
        <v>1107</v>
      </c>
      <c r="D164" s="447">
        <v>-235568.29</v>
      </c>
      <c r="E164" s="447">
        <v>0</v>
      </c>
      <c r="F164" s="447">
        <v>60871.13</v>
      </c>
      <c r="G164" s="447">
        <v>-296439.42</v>
      </c>
    </row>
    <row r="165" spans="2:7" x14ac:dyDescent="0.25">
      <c r="B165" s="446" t="s">
        <v>1108</v>
      </c>
      <c r="C165" s="446" t="s">
        <v>1109</v>
      </c>
      <c r="D165" s="447">
        <v>-2737.44</v>
      </c>
      <c r="E165" s="447">
        <v>0</v>
      </c>
      <c r="F165" s="447">
        <v>1143</v>
      </c>
      <c r="G165" s="447">
        <v>-3880.44</v>
      </c>
    </row>
    <row r="166" spans="2:7" x14ac:dyDescent="0.25">
      <c r="B166" s="446" t="s">
        <v>1110</v>
      </c>
      <c r="C166" s="446" t="s">
        <v>1111</v>
      </c>
      <c r="D166" s="447">
        <v>-232830.85</v>
      </c>
      <c r="E166" s="447">
        <v>0</v>
      </c>
      <c r="F166" s="447">
        <v>59728.13</v>
      </c>
      <c r="G166" s="447">
        <v>-292558.98</v>
      </c>
    </row>
    <row r="167" spans="2:7" x14ac:dyDescent="0.25">
      <c r="B167" s="446" t="s">
        <v>1112</v>
      </c>
      <c r="C167" s="446" t="s">
        <v>1113</v>
      </c>
      <c r="D167" s="447">
        <v>-839253</v>
      </c>
      <c r="E167" s="447">
        <v>0</v>
      </c>
      <c r="F167" s="447">
        <v>257831</v>
      </c>
      <c r="G167" s="447">
        <v>-1097084</v>
      </c>
    </row>
    <row r="168" spans="2:7" x14ac:dyDescent="0.25">
      <c r="B168" s="446" t="s">
        <v>1114</v>
      </c>
      <c r="C168" s="446" t="s">
        <v>1115</v>
      </c>
      <c r="D168" s="447">
        <v>-839253</v>
      </c>
      <c r="E168" s="447">
        <v>0</v>
      </c>
      <c r="F168" s="447">
        <v>257831</v>
      </c>
      <c r="G168" s="447">
        <v>-1097084</v>
      </c>
    </row>
    <row r="169" spans="2:7" x14ac:dyDescent="0.25">
      <c r="B169" s="446" t="s">
        <v>1116</v>
      </c>
      <c r="C169" s="446" t="s">
        <v>998</v>
      </c>
      <c r="D169" s="447">
        <v>-303938</v>
      </c>
      <c r="E169" s="447">
        <v>0</v>
      </c>
      <c r="F169" s="447">
        <v>92495</v>
      </c>
      <c r="G169" s="447">
        <v>-396433</v>
      </c>
    </row>
    <row r="170" spans="2:7" x14ac:dyDescent="0.25">
      <c r="B170" s="446" t="s">
        <v>1117</v>
      </c>
      <c r="C170" s="446" t="s">
        <v>1118</v>
      </c>
      <c r="D170" s="447">
        <v>-303938</v>
      </c>
      <c r="E170" s="447">
        <v>0</v>
      </c>
      <c r="F170" s="447">
        <v>92495</v>
      </c>
      <c r="G170" s="447">
        <v>-396433</v>
      </c>
    </row>
    <row r="171" spans="2:7" x14ac:dyDescent="0.25">
      <c r="B171" s="446" t="s">
        <v>1119</v>
      </c>
      <c r="C171" s="446" t="s">
        <v>1120</v>
      </c>
      <c r="D171" s="447">
        <v>-252</v>
      </c>
      <c r="E171" s="447">
        <v>0</v>
      </c>
      <c r="F171" s="447">
        <v>0</v>
      </c>
      <c r="G171" s="447">
        <v>-252</v>
      </c>
    </row>
    <row r="172" spans="2:7" x14ac:dyDescent="0.25">
      <c r="B172" s="446" t="s">
        <v>1121</v>
      </c>
      <c r="C172" s="446" t="s">
        <v>1122</v>
      </c>
      <c r="D172" s="447">
        <v>-252</v>
      </c>
      <c r="E172" s="447">
        <v>0</v>
      </c>
      <c r="F172" s="447">
        <v>0</v>
      </c>
      <c r="G172" s="447">
        <v>-252</v>
      </c>
    </row>
    <row r="173" spans="2:7" x14ac:dyDescent="0.25">
      <c r="B173" s="446" t="s">
        <v>1123</v>
      </c>
      <c r="C173" s="446" t="s">
        <v>432</v>
      </c>
      <c r="D173" s="447">
        <v>-252</v>
      </c>
      <c r="E173" s="447">
        <v>0</v>
      </c>
      <c r="F173" s="447">
        <v>0</v>
      </c>
      <c r="G173" s="447">
        <v>-252</v>
      </c>
    </row>
    <row r="174" spans="2:7" x14ac:dyDescent="0.25">
      <c r="B174" s="446" t="s">
        <v>1124</v>
      </c>
      <c r="C174" s="446" t="s">
        <v>1125</v>
      </c>
      <c r="D174" s="447">
        <v>86887875.140000001</v>
      </c>
      <c r="E174" s="447">
        <v>26968598.100000001</v>
      </c>
      <c r="F174" s="447">
        <v>0</v>
      </c>
      <c r="G174" s="447">
        <v>113856473.23999999</v>
      </c>
    </row>
    <row r="175" spans="2:7" x14ac:dyDescent="0.25">
      <c r="B175" s="446" t="s">
        <v>1126</v>
      </c>
      <c r="C175" s="446" t="s">
        <v>412</v>
      </c>
      <c r="D175" s="447">
        <v>86309370</v>
      </c>
      <c r="E175" s="447">
        <v>26788893</v>
      </c>
      <c r="F175" s="447">
        <v>0</v>
      </c>
      <c r="G175" s="447">
        <v>113098263</v>
      </c>
    </row>
    <row r="176" spans="2:7" x14ac:dyDescent="0.25">
      <c r="B176" s="446" t="s">
        <v>1127</v>
      </c>
      <c r="C176" s="446" t="s">
        <v>1019</v>
      </c>
      <c r="D176" s="447">
        <v>1603350</v>
      </c>
      <c r="E176" s="447">
        <v>534352</v>
      </c>
      <c r="F176" s="447">
        <v>0</v>
      </c>
      <c r="G176" s="447">
        <v>2137702</v>
      </c>
    </row>
    <row r="177" spans="2:7" x14ac:dyDescent="0.25">
      <c r="B177" s="446" t="s">
        <v>1128</v>
      </c>
      <c r="C177" s="446" t="s">
        <v>1129</v>
      </c>
      <c r="D177" s="447">
        <v>1603350</v>
      </c>
      <c r="E177" s="447">
        <v>534352</v>
      </c>
      <c r="F177" s="447">
        <v>0</v>
      </c>
      <c r="G177" s="447">
        <v>2137702</v>
      </c>
    </row>
    <row r="178" spans="2:7" x14ac:dyDescent="0.25">
      <c r="B178" s="446" t="s">
        <v>1130</v>
      </c>
      <c r="C178" s="446" t="s">
        <v>354</v>
      </c>
      <c r="D178" s="447">
        <v>1603350</v>
      </c>
      <c r="E178" s="447">
        <v>534352</v>
      </c>
      <c r="F178" s="447">
        <v>0</v>
      </c>
      <c r="G178" s="447">
        <v>2137702</v>
      </c>
    </row>
    <row r="179" spans="2:7" x14ac:dyDescent="0.25">
      <c r="B179" s="446" t="s">
        <v>1131</v>
      </c>
      <c r="C179" s="446" t="s">
        <v>1132</v>
      </c>
      <c r="D179" s="447">
        <v>3705639</v>
      </c>
      <c r="E179" s="447">
        <v>1486277</v>
      </c>
      <c r="F179" s="447">
        <v>0</v>
      </c>
      <c r="G179" s="447">
        <v>5191916</v>
      </c>
    </row>
    <row r="180" spans="2:7" x14ac:dyDescent="0.25">
      <c r="B180" s="446" t="s">
        <v>1133</v>
      </c>
      <c r="C180" s="446" t="s">
        <v>1134</v>
      </c>
      <c r="D180" s="447">
        <v>3705639</v>
      </c>
      <c r="E180" s="447">
        <v>1486277</v>
      </c>
      <c r="F180" s="447">
        <v>0</v>
      </c>
      <c r="G180" s="447">
        <v>5191916</v>
      </c>
    </row>
    <row r="181" spans="2:7" x14ac:dyDescent="0.25">
      <c r="B181" s="446" t="s">
        <v>1135</v>
      </c>
      <c r="C181" s="446" t="s">
        <v>357</v>
      </c>
      <c r="D181" s="447">
        <v>3705639</v>
      </c>
      <c r="E181" s="447">
        <v>1486277</v>
      </c>
      <c r="F181" s="447">
        <v>0</v>
      </c>
      <c r="G181" s="447">
        <v>5191916</v>
      </c>
    </row>
    <row r="182" spans="2:7" x14ac:dyDescent="0.25">
      <c r="B182" s="446" t="s">
        <v>1136</v>
      </c>
      <c r="C182" s="446" t="s">
        <v>1137</v>
      </c>
      <c r="D182" s="447">
        <v>66129224.880000003</v>
      </c>
      <c r="E182" s="447">
        <v>22192199</v>
      </c>
      <c r="F182" s="447">
        <v>0</v>
      </c>
      <c r="G182" s="447">
        <v>88321423.879999995</v>
      </c>
    </row>
    <row r="183" spans="2:7" x14ac:dyDescent="0.25">
      <c r="B183" s="446" t="s">
        <v>1138</v>
      </c>
      <c r="C183" s="446" t="s">
        <v>1139</v>
      </c>
      <c r="D183" s="447">
        <v>49617185</v>
      </c>
      <c r="E183" s="447">
        <v>15959183</v>
      </c>
      <c r="F183" s="447">
        <v>0</v>
      </c>
      <c r="G183" s="447">
        <v>65576368</v>
      </c>
    </row>
    <row r="184" spans="2:7" x14ac:dyDescent="0.25">
      <c r="B184" s="446" t="s">
        <v>1140</v>
      </c>
      <c r="C184" s="446" t="s">
        <v>360</v>
      </c>
      <c r="D184" s="447">
        <v>41161011</v>
      </c>
      <c r="E184" s="447">
        <v>13136494</v>
      </c>
      <c r="F184" s="447">
        <v>0</v>
      </c>
      <c r="G184" s="447">
        <v>54297505</v>
      </c>
    </row>
    <row r="185" spans="2:7" x14ac:dyDescent="0.25">
      <c r="B185" s="446" t="s">
        <v>1141</v>
      </c>
      <c r="C185" s="446" t="s">
        <v>363</v>
      </c>
      <c r="D185" s="447">
        <v>8299857</v>
      </c>
      <c r="E185" s="447">
        <v>2766619</v>
      </c>
      <c r="F185" s="447">
        <v>0</v>
      </c>
      <c r="G185" s="447">
        <v>11066476</v>
      </c>
    </row>
    <row r="186" spans="2:7" x14ac:dyDescent="0.25">
      <c r="B186" s="446" t="s">
        <v>1142</v>
      </c>
      <c r="C186" s="446" t="s">
        <v>366</v>
      </c>
      <c r="D186" s="447">
        <v>156317</v>
      </c>
      <c r="E186" s="447">
        <v>56070</v>
      </c>
      <c r="F186" s="447">
        <v>0</v>
      </c>
      <c r="G186" s="447">
        <v>212387</v>
      </c>
    </row>
    <row r="187" spans="2:7" x14ac:dyDescent="0.25">
      <c r="B187" s="446" t="s">
        <v>1143</v>
      </c>
      <c r="C187" s="446" t="s">
        <v>1144</v>
      </c>
      <c r="D187" s="447">
        <v>7031472</v>
      </c>
      <c r="E187" s="447">
        <v>3235079</v>
      </c>
      <c r="F187" s="447">
        <v>0</v>
      </c>
      <c r="G187" s="447">
        <v>10266551</v>
      </c>
    </row>
    <row r="188" spans="2:7" x14ac:dyDescent="0.25">
      <c r="B188" s="446" t="s">
        <v>1145</v>
      </c>
      <c r="C188" s="446" t="s">
        <v>369</v>
      </c>
      <c r="D188" s="447">
        <v>7031472</v>
      </c>
      <c r="E188" s="447">
        <v>3235079</v>
      </c>
      <c r="F188" s="447">
        <v>0</v>
      </c>
      <c r="G188" s="447">
        <v>10266551</v>
      </c>
    </row>
    <row r="189" spans="2:7" x14ac:dyDescent="0.25">
      <c r="B189" s="446" t="s">
        <v>1146</v>
      </c>
      <c r="C189" s="446" t="s">
        <v>1147</v>
      </c>
      <c r="D189" s="447">
        <v>151032</v>
      </c>
      <c r="E189" s="447">
        <v>50344</v>
      </c>
      <c r="F189" s="447">
        <v>0</v>
      </c>
      <c r="G189" s="447">
        <v>201376</v>
      </c>
    </row>
    <row r="190" spans="2:7" x14ac:dyDescent="0.25">
      <c r="B190" s="446" t="s">
        <v>1148</v>
      </c>
      <c r="C190" s="446" t="s">
        <v>371</v>
      </c>
      <c r="D190" s="447">
        <v>151032</v>
      </c>
      <c r="E190" s="447">
        <v>50344</v>
      </c>
      <c r="F190" s="447">
        <v>0</v>
      </c>
      <c r="G190" s="447">
        <v>201376</v>
      </c>
    </row>
    <row r="191" spans="2:7" x14ac:dyDescent="0.25">
      <c r="B191" s="446" t="s">
        <v>1149</v>
      </c>
      <c r="C191" s="446" t="s">
        <v>374</v>
      </c>
      <c r="D191" s="447">
        <v>666675</v>
      </c>
      <c r="E191" s="447">
        <v>205744</v>
      </c>
      <c r="F191" s="447">
        <v>0</v>
      </c>
      <c r="G191" s="447">
        <v>872419</v>
      </c>
    </row>
    <row r="192" spans="2:7" x14ac:dyDescent="0.25">
      <c r="B192" s="446" t="s">
        <v>1150</v>
      </c>
      <c r="C192" s="446" t="s">
        <v>374</v>
      </c>
      <c r="D192" s="447">
        <v>666675</v>
      </c>
      <c r="E192" s="447">
        <v>205744</v>
      </c>
      <c r="F192" s="447">
        <v>0</v>
      </c>
      <c r="G192" s="447">
        <v>872419</v>
      </c>
    </row>
    <row r="193" spans="2:7" x14ac:dyDescent="0.25">
      <c r="B193" s="446" t="s">
        <v>1151</v>
      </c>
      <c r="C193" s="446" t="s">
        <v>381</v>
      </c>
      <c r="D193" s="447">
        <v>8373302.8799999999</v>
      </c>
      <c r="E193" s="447">
        <v>2640861</v>
      </c>
      <c r="F193" s="447">
        <v>0</v>
      </c>
      <c r="G193" s="447">
        <v>11014163.880000001</v>
      </c>
    </row>
    <row r="194" spans="2:7" x14ac:dyDescent="0.25">
      <c r="B194" s="446" t="s">
        <v>1152</v>
      </c>
      <c r="C194" s="446" t="s">
        <v>381</v>
      </c>
      <c r="D194" s="447">
        <v>8373302.8799999999</v>
      </c>
      <c r="E194" s="447">
        <v>2640861</v>
      </c>
      <c r="F194" s="447">
        <v>0</v>
      </c>
      <c r="G194" s="447">
        <v>11014163.880000001</v>
      </c>
    </row>
    <row r="195" spans="2:7" x14ac:dyDescent="0.25">
      <c r="B195" s="446" t="s">
        <v>1153</v>
      </c>
      <c r="C195" s="446" t="s">
        <v>385</v>
      </c>
      <c r="D195" s="447">
        <v>289558</v>
      </c>
      <c r="E195" s="447">
        <v>100988</v>
      </c>
      <c r="F195" s="447">
        <v>0</v>
      </c>
      <c r="G195" s="447">
        <v>390546</v>
      </c>
    </row>
    <row r="196" spans="2:7" x14ac:dyDescent="0.25">
      <c r="B196" s="446" t="s">
        <v>1154</v>
      </c>
      <c r="C196" s="446" t="s">
        <v>385</v>
      </c>
      <c r="D196" s="447">
        <v>289558</v>
      </c>
      <c r="E196" s="447">
        <v>100988</v>
      </c>
      <c r="F196" s="447">
        <v>0</v>
      </c>
      <c r="G196" s="447">
        <v>390546</v>
      </c>
    </row>
    <row r="197" spans="2:7" x14ac:dyDescent="0.25">
      <c r="B197" s="446" t="s">
        <v>1155</v>
      </c>
      <c r="C197" s="446" t="s">
        <v>233</v>
      </c>
      <c r="D197" s="447">
        <v>12199348</v>
      </c>
      <c r="E197" s="447">
        <v>2008184</v>
      </c>
      <c r="F197" s="447">
        <v>0</v>
      </c>
      <c r="G197" s="447">
        <v>14207532</v>
      </c>
    </row>
    <row r="198" spans="2:7" x14ac:dyDescent="0.25">
      <c r="B198" s="446" t="s">
        <v>1156</v>
      </c>
      <c r="C198" s="446" t="s">
        <v>1157</v>
      </c>
      <c r="D198" s="447">
        <v>595450</v>
      </c>
      <c r="E198" s="447">
        <v>0</v>
      </c>
      <c r="F198" s="447">
        <v>0</v>
      </c>
      <c r="G198" s="447">
        <v>595450</v>
      </c>
    </row>
    <row r="199" spans="2:7" x14ac:dyDescent="0.25">
      <c r="B199" s="446" t="s">
        <v>1158</v>
      </c>
      <c r="C199" s="446" t="s">
        <v>274</v>
      </c>
      <c r="D199" s="447">
        <v>595450</v>
      </c>
      <c r="E199" s="447">
        <v>0</v>
      </c>
      <c r="F199" s="447">
        <v>0</v>
      </c>
      <c r="G199" s="447">
        <v>595450</v>
      </c>
    </row>
    <row r="200" spans="2:7" x14ac:dyDescent="0.25">
      <c r="B200" s="446" t="s">
        <v>1159</v>
      </c>
      <c r="C200" s="446" t="s">
        <v>1160</v>
      </c>
      <c r="D200" s="447">
        <v>11603898</v>
      </c>
      <c r="E200" s="447">
        <v>2008184</v>
      </c>
      <c r="F200" s="447">
        <v>0</v>
      </c>
      <c r="G200" s="447">
        <v>13612082</v>
      </c>
    </row>
    <row r="201" spans="2:7" x14ac:dyDescent="0.25">
      <c r="B201" s="446" t="s">
        <v>1161</v>
      </c>
      <c r="C201" s="446" t="s">
        <v>277</v>
      </c>
      <c r="D201" s="447">
        <v>2105258</v>
      </c>
      <c r="E201" s="447">
        <v>338825</v>
      </c>
      <c r="F201" s="447">
        <v>0</v>
      </c>
      <c r="G201" s="447">
        <v>2444083</v>
      </c>
    </row>
    <row r="202" spans="2:7" x14ac:dyDescent="0.25">
      <c r="B202" s="446" t="s">
        <v>1162</v>
      </c>
      <c r="C202" s="446" t="s">
        <v>210</v>
      </c>
      <c r="D202" s="447">
        <v>863610</v>
      </c>
      <c r="E202" s="447">
        <v>111750</v>
      </c>
      <c r="F202" s="447">
        <v>0</v>
      </c>
      <c r="G202" s="447">
        <v>975360</v>
      </c>
    </row>
    <row r="203" spans="2:7" x14ac:dyDescent="0.25">
      <c r="B203" s="446" t="s">
        <v>1163</v>
      </c>
      <c r="C203" s="446" t="s">
        <v>240</v>
      </c>
      <c r="D203" s="447">
        <v>700038</v>
      </c>
      <c r="E203" s="447">
        <v>0</v>
      </c>
      <c r="F203" s="447">
        <v>0</v>
      </c>
      <c r="G203" s="447">
        <v>700038</v>
      </c>
    </row>
    <row r="204" spans="2:7" x14ac:dyDescent="0.25">
      <c r="B204" s="446" t="s">
        <v>1164</v>
      </c>
      <c r="C204" s="446" t="s">
        <v>244</v>
      </c>
      <c r="D204" s="447">
        <v>996030</v>
      </c>
      <c r="E204" s="447">
        <v>0</v>
      </c>
      <c r="F204" s="447">
        <v>0</v>
      </c>
      <c r="G204" s="447">
        <v>996030</v>
      </c>
    </row>
    <row r="205" spans="2:7" x14ac:dyDescent="0.25">
      <c r="B205" s="446" t="s">
        <v>1165</v>
      </c>
      <c r="C205" s="446" t="s">
        <v>247</v>
      </c>
      <c r="D205" s="447">
        <v>4062600</v>
      </c>
      <c r="E205" s="447">
        <v>1354200</v>
      </c>
      <c r="F205" s="447">
        <v>0</v>
      </c>
      <c r="G205" s="447">
        <v>5416800</v>
      </c>
    </row>
    <row r="206" spans="2:7" x14ac:dyDescent="0.25">
      <c r="B206" s="446" t="s">
        <v>1166</v>
      </c>
      <c r="C206" s="446" t="s">
        <v>212</v>
      </c>
      <c r="D206" s="447">
        <v>2736362</v>
      </c>
      <c r="E206" s="447">
        <v>203409</v>
      </c>
      <c r="F206" s="447">
        <v>0</v>
      </c>
      <c r="G206" s="447">
        <v>2939771</v>
      </c>
    </row>
    <row r="207" spans="2:7" x14ac:dyDescent="0.25">
      <c r="B207" s="446" t="s">
        <v>1167</v>
      </c>
      <c r="C207" s="446" t="s">
        <v>1168</v>
      </c>
      <c r="D207" s="447">
        <v>140000</v>
      </c>
      <c r="E207" s="447">
        <v>0</v>
      </c>
      <c r="F207" s="447">
        <v>0</v>
      </c>
      <c r="G207" s="447">
        <v>140000</v>
      </c>
    </row>
    <row r="208" spans="2:7" x14ac:dyDescent="0.25">
      <c r="B208" s="446" t="s">
        <v>1169</v>
      </c>
      <c r="C208" s="446" t="s">
        <v>1170</v>
      </c>
      <c r="D208" s="447">
        <v>350000</v>
      </c>
      <c r="E208" s="447">
        <v>0</v>
      </c>
      <c r="F208" s="447">
        <v>0</v>
      </c>
      <c r="G208" s="447">
        <v>350000</v>
      </c>
    </row>
    <row r="209" spans="2:7" x14ac:dyDescent="0.25">
      <c r="B209" s="446" t="s">
        <v>1171</v>
      </c>
      <c r="C209" s="446" t="s">
        <v>298</v>
      </c>
      <c r="D209" s="447">
        <v>350000</v>
      </c>
      <c r="E209" s="447">
        <v>0</v>
      </c>
      <c r="F209" s="447">
        <v>0</v>
      </c>
      <c r="G209" s="447">
        <v>350000</v>
      </c>
    </row>
    <row r="210" spans="2:7" x14ac:dyDescent="0.25">
      <c r="B210" s="446" t="s">
        <v>1172</v>
      </c>
      <c r="C210" s="446" t="s">
        <v>1120</v>
      </c>
      <c r="D210" s="447">
        <v>1460763.12</v>
      </c>
      <c r="E210" s="447">
        <v>239505</v>
      </c>
      <c r="F210" s="447">
        <v>0</v>
      </c>
      <c r="G210" s="447">
        <v>1700268.12</v>
      </c>
    </row>
    <row r="211" spans="2:7" x14ac:dyDescent="0.25">
      <c r="B211" s="446" t="s">
        <v>1173</v>
      </c>
      <c r="C211" s="446" t="s">
        <v>1174</v>
      </c>
      <c r="D211" s="447">
        <v>625863</v>
      </c>
      <c r="E211" s="447">
        <v>179500</v>
      </c>
      <c r="F211" s="447">
        <v>0</v>
      </c>
      <c r="G211" s="447">
        <v>805363</v>
      </c>
    </row>
    <row r="212" spans="2:7" x14ac:dyDescent="0.25">
      <c r="B212" s="446" t="s">
        <v>1175</v>
      </c>
      <c r="C212" s="446" t="s">
        <v>215</v>
      </c>
      <c r="D212" s="447">
        <v>599223</v>
      </c>
      <c r="E212" s="447">
        <v>175110</v>
      </c>
      <c r="F212" s="447">
        <v>0</v>
      </c>
      <c r="G212" s="447">
        <v>774333</v>
      </c>
    </row>
    <row r="213" spans="2:7" x14ac:dyDescent="0.25">
      <c r="B213" s="446" t="s">
        <v>1176</v>
      </c>
      <c r="C213" s="446" t="s">
        <v>264</v>
      </c>
      <c r="D213" s="447">
        <v>26640</v>
      </c>
      <c r="E213" s="447">
        <v>4390</v>
      </c>
      <c r="F213" s="447">
        <v>0</v>
      </c>
      <c r="G213" s="447">
        <v>31030</v>
      </c>
    </row>
    <row r="214" spans="2:7" x14ac:dyDescent="0.25">
      <c r="B214" s="446" t="s">
        <v>1177</v>
      </c>
      <c r="C214" s="446" t="s">
        <v>1178</v>
      </c>
      <c r="D214" s="447">
        <v>10000</v>
      </c>
      <c r="E214" s="447">
        <v>10000</v>
      </c>
      <c r="F214" s="447">
        <v>0</v>
      </c>
      <c r="G214" s="447">
        <v>20000</v>
      </c>
    </row>
    <row r="215" spans="2:7" x14ac:dyDescent="0.25">
      <c r="B215" s="446" t="s">
        <v>1179</v>
      </c>
      <c r="C215" s="446" t="s">
        <v>401</v>
      </c>
      <c r="D215" s="447">
        <v>10000</v>
      </c>
      <c r="E215" s="447">
        <v>10000</v>
      </c>
      <c r="F215" s="447">
        <v>0</v>
      </c>
      <c r="G215" s="447">
        <v>20000</v>
      </c>
    </row>
    <row r="216" spans="2:7" x14ac:dyDescent="0.25">
      <c r="B216" s="446" t="s">
        <v>1180</v>
      </c>
      <c r="C216" s="446" t="s">
        <v>292</v>
      </c>
      <c r="D216" s="447">
        <v>4500</v>
      </c>
      <c r="E216" s="447">
        <v>0</v>
      </c>
      <c r="F216" s="447">
        <v>0</v>
      </c>
      <c r="G216" s="447">
        <v>4500</v>
      </c>
    </row>
    <row r="217" spans="2:7" x14ac:dyDescent="0.25">
      <c r="B217" s="446" t="s">
        <v>1181</v>
      </c>
      <c r="C217" s="446" t="s">
        <v>292</v>
      </c>
      <c r="D217" s="447">
        <v>4500</v>
      </c>
      <c r="E217" s="447">
        <v>0</v>
      </c>
      <c r="F217" s="447">
        <v>0</v>
      </c>
      <c r="G217" s="447">
        <v>4500</v>
      </c>
    </row>
    <row r="218" spans="2:7" x14ac:dyDescent="0.25">
      <c r="B218" s="446" t="s">
        <v>1182</v>
      </c>
      <c r="C218" s="446" t="s">
        <v>1183</v>
      </c>
      <c r="D218" s="447">
        <v>481750</v>
      </c>
      <c r="E218" s="447">
        <v>50000</v>
      </c>
      <c r="F218" s="447">
        <v>0</v>
      </c>
      <c r="G218" s="447">
        <v>531750</v>
      </c>
    </row>
    <row r="219" spans="2:7" x14ac:dyDescent="0.25">
      <c r="B219" s="446" t="s">
        <v>1184</v>
      </c>
      <c r="C219" s="446" t="s">
        <v>295</v>
      </c>
      <c r="D219" s="447">
        <v>426500</v>
      </c>
      <c r="E219" s="447">
        <v>50000</v>
      </c>
      <c r="F219" s="447">
        <v>0</v>
      </c>
      <c r="G219" s="447">
        <v>476500</v>
      </c>
    </row>
    <row r="220" spans="2:7" x14ac:dyDescent="0.25">
      <c r="B220" s="446" t="s">
        <v>1185</v>
      </c>
      <c r="C220" s="446" t="s">
        <v>1186</v>
      </c>
      <c r="D220" s="447">
        <v>55250</v>
      </c>
      <c r="E220" s="447">
        <v>0</v>
      </c>
      <c r="F220" s="447">
        <v>0</v>
      </c>
      <c r="G220" s="447">
        <v>55250</v>
      </c>
    </row>
    <row r="221" spans="2:7" x14ac:dyDescent="0.25">
      <c r="B221" s="446" t="s">
        <v>1187</v>
      </c>
      <c r="C221" s="446" t="s">
        <v>998</v>
      </c>
      <c r="D221" s="447">
        <v>338650.12</v>
      </c>
      <c r="E221" s="447">
        <v>5</v>
      </c>
      <c r="F221" s="447">
        <v>0</v>
      </c>
      <c r="G221" s="447">
        <v>338655.12</v>
      </c>
    </row>
    <row r="222" spans="2:7" x14ac:dyDescent="0.25">
      <c r="B222" s="446" t="s">
        <v>1188</v>
      </c>
      <c r="C222" s="446" t="s">
        <v>1189</v>
      </c>
      <c r="D222" s="447">
        <v>338650</v>
      </c>
      <c r="E222" s="447">
        <v>0</v>
      </c>
      <c r="F222" s="447">
        <v>0</v>
      </c>
      <c r="G222" s="447">
        <v>338650</v>
      </c>
    </row>
    <row r="223" spans="2:7" x14ac:dyDescent="0.25">
      <c r="B223" s="446" t="s">
        <v>1190</v>
      </c>
      <c r="C223" s="446" t="s">
        <v>432</v>
      </c>
      <c r="D223" s="447">
        <v>0.12</v>
      </c>
      <c r="E223" s="447">
        <v>5</v>
      </c>
      <c r="F223" s="447">
        <v>0</v>
      </c>
      <c r="G223" s="447">
        <v>5.12</v>
      </c>
    </row>
    <row r="224" spans="2:7" x14ac:dyDescent="0.25">
      <c r="B224" s="446" t="s">
        <v>1191</v>
      </c>
      <c r="C224" s="446" t="s">
        <v>1192</v>
      </c>
      <c r="D224" s="447">
        <v>861045</v>
      </c>
      <c r="E224" s="447">
        <v>328376</v>
      </c>
      <c r="F224" s="447">
        <v>0</v>
      </c>
      <c r="G224" s="447">
        <v>1189421</v>
      </c>
    </row>
    <row r="225" spans="2:7" x14ac:dyDescent="0.25">
      <c r="B225" s="446" t="s">
        <v>1193</v>
      </c>
      <c r="C225" s="446" t="s">
        <v>1194</v>
      </c>
      <c r="D225" s="447">
        <v>861045</v>
      </c>
      <c r="E225" s="447">
        <v>328376</v>
      </c>
      <c r="F225" s="447">
        <v>0</v>
      </c>
      <c r="G225" s="447">
        <v>1189421</v>
      </c>
    </row>
    <row r="226" spans="2:7" x14ac:dyDescent="0.25">
      <c r="B226" s="446" t="s">
        <v>1195</v>
      </c>
      <c r="C226" s="446" t="s">
        <v>217</v>
      </c>
      <c r="D226" s="447">
        <v>861045</v>
      </c>
      <c r="E226" s="447">
        <v>328376</v>
      </c>
      <c r="F226" s="447">
        <v>0</v>
      </c>
      <c r="G226" s="447">
        <v>1189421</v>
      </c>
    </row>
    <row r="227" spans="2:7" x14ac:dyDescent="0.25">
      <c r="B227" s="446" t="s">
        <v>1196</v>
      </c>
      <c r="C227" s="446" t="s">
        <v>1103</v>
      </c>
      <c r="D227" s="447">
        <v>578505.14</v>
      </c>
      <c r="E227" s="447">
        <v>179705.1</v>
      </c>
      <c r="F227" s="447">
        <v>0</v>
      </c>
      <c r="G227" s="447">
        <v>758210.24</v>
      </c>
    </row>
    <row r="228" spans="2:7" x14ac:dyDescent="0.25">
      <c r="B228" s="446" t="s">
        <v>1197</v>
      </c>
      <c r="C228" s="446" t="s">
        <v>1105</v>
      </c>
      <c r="D228" s="447">
        <v>577278.14</v>
      </c>
      <c r="E228" s="447">
        <v>179705.1</v>
      </c>
      <c r="F228" s="447">
        <v>0</v>
      </c>
      <c r="G228" s="447">
        <v>756983.24</v>
      </c>
    </row>
    <row r="229" spans="2:7" x14ac:dyDescent="0.25">
      <c r="B229" s="446" t="s">
        <v>1198</v>
      </c>
      <c r="C229" s="446" t="s">
        <v>1199</v>
      </c>
      <c r="D229" s="447">
        <v>577278.14</v>
      </c>
      <c r="E229" s="447">
        <v>179705.1</v>
      </c>
      <c r="F229" s="447">
        <v>0</v>
      </c>
      <c r="G229" s="447">
        <v>756983.24</v>
      </c>
    </row>
    <row r="230" spans="2:7" x14ac:dyDescent="0.25">
      <c r="B230" s="446" t="s">
        <v>1200</v>
      </c>
      <c r="C230" s="446" t="s">
        <v>302</v>
      </c>
      <c r="D230" s="447">
        <v>278614.14</v>
      </c>
      <c r="E230" s="447">
        <v>78647.100000000006</v>
      </c>
      <c r="F230" s="447">
        <v>0</v>
      </c>
      <c r="G230" s="447">
        <v>357261.24</v>
      </c>
    </row>
    <row r="231" spans="2:7" x14ac:dyDescent="0.25">
      <c r="B231" s="446" t="s">
        <v>1201</v>
      </c>
      <c r="C231" s="446" t="s">
        <v>305</v>
      </c>
      <c r="D231" s="447">
        <v>298664</v>
      </c>
      <c r="E231" s="447">
        <v>101058</v>
      </c>
      <c r="F231" s="447">
        <v>0</v>
      </c>
      <c r="G231" s="447">
        <v>399722</v>
      </c>
    </row>
    <row r="232" spans="2:7" x14ac:dyDescent="0.25">
      <c r="B232" s="446" t="s">
        <v>1202</v>
      </c>
      <c r="C232" s="446" t="s">
        <v>1203</v>
      </c>
      <c r="D232" s="447">
        <v>1227</v>
      </c>
      <c r="E232" s="447">
        <v>0</v>
      </c>
      <c r="F232" s="447">
        <v>0</v>
      </c>
      <c r="G232" s="447">
        <v>1227</v>
      </c>
    </row>
    <row r="233" spans="2:7" x14ac:dyDescent="0.25">
      <c r="B233" s="446" t="s">
        <v>1204</v>
      </c>
      <c r="C233" s="446" t="s">
        <v>1205</v>
      </c>
      <c r="D233" s="447">
        <v>1227</v>
      </c>
      <c r="E233" s="447">
        <v>0</v>
      </c>
      <c r="F233" s="447">
        <v>0</v>
      </c>
      <c r="G233" s="447">
        <v>1227</v>
      </c>
    </row>
    <row r="234" spans="2:7" x14ac:dyDescent="0.25">
      <c r="B234" s="648" t="s">
        <v>1206</v>
      </c>
      <c r="C234" s="648" t="s">
        <v>1207</v>
      </c>
      <c r="D234" s="649">
        <v>0</v>
      </c>
      <c r="E234" s="649">
        <v>605817.56000000006</v>
      </c>
      <c r="F234" s="649">
        <v>605817.56000000006</v>
      </c>
      <c r="G234" s="649">
        <v>0</v>
      </c>
    </row>
    <row r="235" spans="2:7" x14ac:dyDescent="0.25">
      <c r="B235" s="648" t="s">
        <v>1208</v>
      </c>
      <c r="C235" s="648" t="s">
        <v>1209</v>
      </c>
      <c r="D235" s="649">
        <v>5777824.0800000001</v>
      </c>
      <c r="E235" s="649">
        <v>605817.56000000006</v>
      </c>
      <c r="F235" s="649">
        <v>0</v>
      </c>
      <c r="G235" s="649">
        <v>6383641.6399999997</v>
      </c>
    </row>
    <row r="236" spans="2:7" x14ac:dyDescent="0.25">
      <c r="B236" s="648" t="s">
        <v>1210</v>
      </c>
      <c r="C236" s="648" t="s">
        <v>1211</v>
      </c>
      <c r="D236" s="649">
        <v>5777824.0800000001</v>
      </c>
      <c r="E236" s="649">
        <v>605817.56000000006</v>
      </c>
      <c r="F236" s="649">
        <v>0</v>
      </c>
      <c r="G236" s="649">
        <v>6383641.6399999997</v>
      </c>
    </row>
    <row r="237" spans="2:7" x14ac:dyDescent="0.25">
      <c r="B237" s="648" t="s">
        <v>1212</v>
      </c>
      <c r="C237" s="648" t="s">
        <v>1213</v>
      </c>
      <c r="D237" s="649">
        <v>5777824.0800000001</v>
      </c>
      <c r="E237" s="649">
        <v>605817.56000000006</v>
      </c>
      <c r="F237" s="649">
        <v>0</v>
      </c>
      <c r="G237" s="649">
        <v>6383641.6399999997</v>
      </c>
    </row>
    <row r="238" spans="2:7" x14ac:dyDescent="0.25">
      <c r="B238" s="648" t="s">
        <v>1214</v>
      </c>
      <c r="C238" s="648" t="s">
        <v>1215</v>
      </c>
      <c r="D238" s="649">
        <v>-5777824.0800000001</v>
      </c>
      <c r="E238" s="649">
        <v>0</v>
      </c>
      <c r="F238" s="649">
        <v>605817.56000000006</v>
      </c>
      <c r="G238" s="649">
        <v>-6383641.6399999997</v>
      </c>
    </row>
    <row r="239" spans="2:7" x14ac:dyDescent="0.25">
      <c r="B239" s="648" t="s">
        <v>1216</v>
      </c>
      <c r="C239" s="648" t="s">
        <v>1217</v>
      </c>
      <c r="D239" s="649">
        <v>-5777824.0800000001</v>
      </c>
      <c r="E239" s="649">
        <v>0</v>
      </c>
      <c r="F239" s="649">
        <v>605817.56000000006</v>
      </c>
      <c r="G239" s="649">
        <v>-6383641.6399999997</v>
      </c>
    </row>
    <row r="240" spans="2:7" x14ac:dyDescent="0.25">
      <c r="B240" s="648" t="s">
        <v>1218</v>
      </c>
      <c r="C240" s="648" t="s">
        <v>1219</v>
      </c>
      <c r="D240" s="649">
        <v>-5777824.0800000001</v>
      </c>
      <c r="E240" s="649">
        <v>0</v>
      </c>
      <c r="F240" s="649">
        <v>605817.56000000006</v>
      </c>
      <c r="G240" s="649">
        <v>-6383641.6399999997</v>
      </c>
    </row>
  </sheetData>
  <mergeCells count="5">
    <mergeCell ref="B2:H2"/>
    <mergeCell ref="B4:H4"/>
    <mergeCell ref="B70:C70"/>
    <mergeCell ref="B89:G89"/>
    <mergeCell ref="B90:G90"/>
  </mergeCells>
  <phoneticPr fontId="0" type="noConversion"/>
  <printOptions horizontalCentered="1"/>
  <pageMargins left="0" right="0" top="0.39370078740157483" bottom="0" header="0" footer="0"/>
  <pageSetup paperSize="9" scale="95"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E8FB5-DF4B-4524-9EF2-395AA8FD4F78}">
  <dimension ref="A1"/>
  <sheetViews>
    <sheetView tabSelected="1" topLeftCell="A64" workbookViewId="0">
      <selection activeCell="N52" sqref="N52"/>
    </sheetView>
  </sheetViews>
  <sheetFormatPr baseColWidth="10" defaultRowHeight="12.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57AEB-CDCC-40C3-B593-58175F963A1F}">
  <dimension ref="B1:V99"/>
  <sheetViews>
    <sheetView topLeftCell="A52" workbookViewId="0">
      <selection activeCell="AA12" sqref="AA12"/>
    </sheetView>
  </sheetViews>
  <sheetFormatPr baseColWidth="10" defaultRowHeight="12.5" x14ac:dyDescent="0.25"/>
  <cols>
    <col min="1" max="1" width="4.453125" customWidth="1"/>
    <col min="2" max="2" width="30.453125" bestFit="1" customWidth="1"/>
    <col min="3" max="3" width="17.26953125" bestFit="1" customWidth="1"/>
    <col min="4" max="4" width="1.81640625" customWidth="1"/>
    <col min="5" max="5" width="15" customWidth="1"/>
    <col min="6" max="6" width="4" customWidth="1"/>
    <col min="7" max="7" width="12.54296875" customWidth="1"/>
    <col min="8" max="8" width="10.81640625" style="16" customWidth="1"/>
    <col min="9" max="9" width="5.54296875" customWidth="1"/>
    <col min="10" max="10" width="37" hidden="1" customWidth="1"/>
    <col min="11" max="11" width="14.453125" hidden="1" customWidth="1"/>
    <col min="12" max="12" width="0" hidden="1" customWidth="1"/>
    <col min="13" max="13" width="13.26953125" style="325" hidden="1" customWidth="1"/>
    <col min="14" max="14" width="16.7265625" style="325" hidden="1" customWidth="1"/>
    <col min="17" max="25" width="0" hidden="1" customWidth="1"/>
    <col min="257" max="257" width="4.453125" customWidth="1"/>
    <col min="258" max="258" width="30.453125" bestFit="1" customWidth="1"/>
    <col min="259" max="259" width="17.26953125" bestFit="1" customWidth="1"/>
    <col min="260" max="260" width="1.81640625" customWidth="1"/>
    <col min="261" max="261" width="15" customWidth="1"/>
    <col min="262" max="262" width="4" customWidth="1"/>
    <col min="263" max="263" width="12.54296875" customWidth="1"/>
    <col min="264" max="264" width="10.81640625" customWidth="1"/>
    <col min="265" max="265" width="5.54296875" customWidth="1"/>
    <col min="266" max="270" width="0" hidden="1" customWidth="1"/>
    <col min="273" max="281" width="0" hidden="1" customWidth="1"/>
    <col min="513" max="513" width="4.453125" customWidth="1"/>
    <col min="514" max="514" width="30.453125" bestFit="1" customWidth="1"/>
    <col min="515" max="515" width="17.26953125" bestFit="1" customWidth="1"/>
    <col min="516" max="516" width="1.81640625" customWidth="1"/>
    <col min="517" max="517" width="15" customWidth="1"/>
    <col min="518" max="518" width="4" customWidth="1"/>
    <col min="519" max="519" width="12.54296875" customWidth="1"/>
    <col min="520" max="520" width="10.81640625" customWidth="1"/>
    <col min="521" max="521" width="5.54296875" customWidth="1"/>
    <col min="522" max="526" width="0" hidden="1" customWidth="1"/>
    <col min="529" max="537" width="0" hidden="1" customWidth="1"/>
    <col min="769" max="769" width="4.453125" customWidth="1"/>
    <col min="770" max="770" width="30.453125" bestFit="1" customWidth="1"/>
    <col min="771" max="771" width="17.26953125" bestFit="1" customWidth="1"/>
    <col min="772" max="772" width="1.81640625" customWidth="1"/>
    <col min="773" max="773" width="15" customWidth="1"/>
    <col min="774" max="774" width="4" customWidth="1"/>
    <col min="775" max="775" width="12.54296875" customWidth="1"/>
    <col min="776" max="776" width="10.81640625" customWidth="1"/>
    <col min="777" max="777" width="5.54296875" customWidth="1"/>
    <col min="778" max="782" width="0" hidden="1" customWidth="1"/>
    <col min="785" max="793" width="0" hidden="1" customWidth="1"/>
    <col min="1025" max="1025" width="4.453125" customWidth="1"/>
    <col min="1026" max="1026" width="30.453125" bestFit="1" customWidth="1"/>
    <col min="1027" max="1027" width="17.26953125" bestFit="1" customWidth="1"/>
    <col min="1028" max="1028" width="1.81640625" customWidth="1"/>
    <col min="1029" max="1029" width="15" customWidth="1"/>
    <col min="1030" max="1030" width="4" customWidth="1"/>
    <col min="1031" max="1031" width="12.54296875" customWidth="1"/>
    <col min="1032" max="1032" width="10.81640625" customWidth="1"/>
    <col min="1033" max="1033" width="5.54296875" customWidth="1"/>
    <col min="1034" max="1038" width="0" hidden="1" customWidth="1"/>
    <col min="1041" max="1049" width="0" hidden="1" customWidth="1"/>
    <col min="1281" max="1281" width="4.453125" customWidth="1"/>
    <col min="1282" max="1282" width="30.453125" bestFit="1" customWidth="1"/>
    <col min="1283" max="1283" width="17.26953125" bestFit="1" customWidth="1"/>
    <col min="1284" max="1284" width="1.81640625" customWidth="1"/>
    <col min="1285" max="1285" width="15" customWidth="1"/>
    <col min="1286" max="1286" width="4" customWidth="1"/>
    <col min="1287" max="1287" width="12.54296875" customWidth="1"/>
    <col min="1288" max="1288" width="10.81640625" customWidth="1"/>
    <col min="1289" max="1289" width="5.54296875" customWidth="1"/>
    <col min="1290" max="1294" width="0" hidden="1" customWidth="1"/>
    <col min="1297" max="1305" width="0" hidden="1" customWidth="1"/>
    <col min="1537" max="1537" width="4.453125" customWidth="1"/>
    <col min="1538" max="1538" width="30.453125" bestFit="1" customWidth="1"/>
    <col min="1539" max="1539" width="17.26953125" bestFit="1" customWidth="1"/>
    <col min="1540" max="1540" width="1.81640625" customWidth="1"/>
    <col min="1541" max="1541" width="15" customWidth="1"/>
    <col min="1542" max="1542" width="4" customWidth="1"/>
    <col min="1543" max="1543" width="12.54296875" customWidth="1"/>
    <col min="1544" max="1544" width="10.81640625" customWidth="1"/>
    <col min="1545" max="1545" width="5.54296875" customWidth="1"/>
    <col min="1546" max="1550" width="0" hidden="1" customWidth="1"/>
    <col min="1553" max="1561" width="0" hidden="1" customWidth="1"/>
    <col min="1793" max="1793" width="4.453125" customWidth="1"/>
    <col min="1794" max="1794" width="30.453125" bestFit="1" customWidth="1"/>
    <col min="1795" max="1795" width="17.26953125" bestFit="1" customWidth="1"/>
    <col min="1796" max="1796" width="1.81640625" customWidth="1"/>
    <col min="1797" max="1797" width="15" customWidth="1"/>
    <col min="1798" max="1798" width="4" customWidth="1"/>
    <col min="1799" max="1799" width="12.54296875" customWidth="1"/>
    <col min="1800" max="1800" width="10.81640625" customWidth="1"/>
    <col min="1801" max="1801" width="5.54296875" customWidth="1"/>
    <col min="1802" max="1806" width="0" hidden="1" customWidth="1"/>
    <col min="1809" max="1817" width="0" hidden="1" customWidth="1"/>
    <col min="2049" max="2049" width="4.453125" customWidth="1"/>
    <col min="2050" max="2050" width="30.453125" bestFit="1" customWidth="1"/>
    <col min="2051" max="2051" width="17.26953125" bestFit="1" customWidth="1"/>
    <col min="2052" max="2052" width="1.81640625" customWidth="1"/>
    <col min="2053" max="2053" width="15" customWidth="1"/>
    <col min="2054" max="2054" width="4" customWidth="1"/>
    <col min="2055" max="2055" width="12.54296875" customWidth="1"/>
    <col min="2056" max="2056" width="10.81640625" customWidth="1"/>
    <col min="2057" max="2057" width="5.54296875" customWidth="1"/>
    <col min="2058" max="2062" width="0" hidden="1" customWidth="1"/>
    <col min="2065" max="2073" width="0" hidden="1" customWidth="1"/>
    <col min="2305" max="2305" width="4.453125" customWidth="1"/>
    <col min="2306" max="2306" width="30.453125" bestFit="1" customWidth="1"/>
    <col min="2307" max="2307" width="17.26953125" bestFit="1" customWidth="1"/>
    <col min="2308" max="2308" width="1.81640625" customWidth="1"/>
    <col min="2309" max="2309" width="15" customWidth="1"/>
    <col min="2310" max="2310" width="4" customWidth="1"/>
    <col min="2311" max="2311" width="12.54296875" customWidth="1"/>
    <col min="2312" max="2312" width="10.81640625" customWidth="1"/>
    <col min="2313" max="2313" width="5.54296875" customWidth="1"/>
    <col min="2314" max="2318" width="0" hidden="1" customWidth="1"/>
    <col min="2321" max="2329" width="0" hidden="1" customWidth="1"/>
    <col min="2561" max="2561" width="4.453125" customWidth="1"/>
    <col min="2562" max="2562" width="30.453125" bestFit="1" customWidth="1"/>
    <col min="2563" max="2563" width="17.26953125" bestFit="1" customWidth="1"/>
    <col min="2564" max="2564" width="1.81640625" customWidth="1"/>
    <col min="2565" max="2565" width="15" customWidth="1"/>
    <col min="2566" max="2566" width="4" customWidth="1"/>
    <col min="2567" max="2567" width="12.54296875" customWidth="1"/>
    <col min="2568" max="2568" width="10.81640625" customWidth="1"/>
    <col min="2569" max="2569" width="5.54296875" customWidth="1"/>
    <col min="2570" max="2574" width="0" hidden="1" customWidth="1"/>
    <col min="2577" max="2585" width="0" hidden="1" customWidth="1"/>
    <col min="2817" max="2817" width="4.453125" customWidth="1"/>
    <col min="2818" max="2818" width="30.453125" bestFit="1" customWidth="1"/>
    <col min="2819" max="2819" width="17.26953125" bestFit="1" customWidth="1"/>
    <col min="2820" max="2820" width="1.81640625" customWidth="1"/>
    <col min="2821" max="2821" width="15" customWidth="1"/>
    <col min="2822" max="2822" width="4" customWidth="1"/>
    <col min="2823" max="2823" width="12.54296875" customWidth="1"/>
    <col min="2824" max="2824" width="10.81640625" customWidth="1"/>
    <col min="2825" max="2825" width="5.54296875" customWidth="1"/>
    <col min="2826" max="2830" width="0" hidden="1" customWidth="1"/>
    <col min="2833" max="2841" width="0" hidden="1" customWidth="1"/>
    <col min="3073" max="3073" width="4.453125" customWidth="1"/>
    <col min="3074" max="3074" width="30.453125" bestFit="1" customWidth="1"/>
    <col min="3075" max="3075" width="17.26953125" bestFit="1" customWidth="1"/>
    <col min="3076" max="3076" width="1.81640625" customWidth="1"/>
    <col min="3077" max="3077" width="15" customWidth="1"/>
    <col min="3078" max="3078" width="4" customWidth="1"/>
    <col min="3079" max="3079" width="12.54296875" customWidth="1"/>
    <col min="3080" max="3080" width="10.81640625" customWidth="1"/>
    <col min="3081" max="3081" width="5.54296875" customWidth="1"/>
    <col min="3082" max="3086" width="0" hidden="1" customWidth="1"/>
    <col min="3089" max="3097" width="0" hidden="1" customWidth="1"/>
    <col min="3329" max="3329" width="4.453125" customWidth="1"/>
    <col min="3330" max="3330" width="30.453125" bestFit="1" customWidth="1"/>
    <col min="3331" max="3331" width="17.26953125" bestFit="1" customWidth="1"/>
    <col min="3332" max="3332" width="1.81640625" customWidth="1"/>
    <col min="3333" max="3333" width="15" customWidth="1"/>
    <col min="3334" max="3334" width="4" customWidth="1"/>
    <col min="3335" max="3335" width="12.54296875" customWidth="1"/>
    <col min="3336" max="3336" width="10.81640625" customWidth="1"/>
    <col min="3337" max="3337" width="5.54296875" customWidth="1"/>
    <col min="3338" max="3342" width="0" hidden="1" customWidth="1"/>
    <col min="3345" max="3353" width="0" hidden="1" customWidth="1"/>
    <col min="3585" max="3585" width="4.453125" customWidth="1"/>
    <col min="3586" max="3586" width="30.453125" bestFit="1" customWidth="1"/>
    <col min="3587" max="3587" width="17.26953125" bestFit="1" customWidth="1"/>
    <col min="3588" max="3588" width="1.81640625" customWidth="1"/>
    <col min="3589" max="3589" width="15" customWidth="1"/>
    <col min="3590" max="3590" width="4" customWidth="1"/>
    <col min="3591" max="3591" width="12.54296875" customWidth="1"/>
    <col min="3592" max="3592" width="10.81640625" customWidth="1"/>
    <col min="3593" max="3593" width="5.54296875" customWidth="1"/>
    <col min="3594" max="3598" width="0" hidden="1" customWidth="1"/>
    <col min="3601" max="3609" width="0" hidden="1" customWidth="1"/>
    <col min="3841" max="3841" width="4.453125" customWidth="1"/>
    <col min="3842" max="3842" width="30.453125" bestFit="1" customWidth="1"/>
    <col min="3843" max="3843" width="17.26953125" bestFit="1" customWidth="1"/>
    <col min="3844" max="3844" width="1.81640625" customWidth="1"/>
    <col min="3845" max="3845" width="15" customWidth="1"/>
    <col min="3846" max="3846" width="4" customWidth="1"/>
    <col min="3847" max="3847" width="12.54296875" customWidth="1"/>
    <col min="3848" max="3848" width="10.81640625" customWidth="1"/>
    <col min="3849" max="3849" width="5.54296875" customWidth="1"/>
    <col min="3850" max="3854" width="0" hidden="1" customWidth="1"/>
    <col min="3857" max="3865" width="0" hidden="1" customWidth="1"/>
    <col min="4097" max="4097" width="4.453125" customWidth="1"/>
    <col min="4098" max="4098" width="30.453125" bestFit="1" customWidth="1"/>
    <col min="4099" max="4099" width="17.26953125" bestFit="1" customWidth="1"/>
    <col min="4100" max="4100" width="1.81640625" customWidth="1"/>
    <col min="4101" max="4101" width="15" customWidth="1"/>
    <col min="4102" max="4102" width="4" customWidth="1"/>
    <col min="4103" max="4103" width="12.54296875" customWidth="1"/>
    <col min="4104" max="4104" width="10.81640625" customWidth="1"/>
    <col min="4105" max="4105" width="5.54296875" customWidth="1"/>
    <col min="4106" max="4110" width="0" hidden="1" customWidth="1"/>
    <col min="4113" max="4121" width="0" hidden="1" customWidth="1"/>
    <col min="4353" max="4353" width="4.453125" customWidth="1"/>
    <col min="4354" max="4354" width="30.453125" bestFit="1" customWidth="1"/>
    <col min="4355" max="4355" width="17.26953125" bestFit="1" customWidth="1"/>
    <col min="4356" max="4356" width="1.81640625" customWidth="1"/>
    <col min="4357" max="4357" width="15" customWidth="1"/>
    <col min="4358" max="4358" width="4" customWidth="1"/>
    <col min="4359" max="4359" width="12.54296875" customWidth="1"/>
    <col min="4360" max="4360" width="10.81640625" customWidth="1"/>
    <col min="4361" max="4361" width="5.54296875" customWidth="1"/>
    <col min="4362" max="4366" width="0" hidden="1" customWidth="1"/>
    <col min="4369" max="4377" width="0" hidden="1" customWidth="1"/>
    <col min="4609" max="4609" width="4.453125" customWidth="1"/>
    <col min="4610" max="4610" width="30.453125" bestFit="1" customWidth="1"/>
    <col min="4611" max="4611" width="17.26953125" bestFit="1" customWidth="1"/>
    <col min="4612" max="4612" width="1.81640625" customWidth="1"/>
    <col min="4613" max="4613" width="15" customWidth="1"/>
    <col min="4614" max="4614" width="4" customWidth="1"/>
    <col min="4615" max="4615" width="12.54296875" customWidth="1"/>
    <col min="4616" max="4616" width="10.81640625" customWidth="1"/>
    <col min="4617" max="4617" width="5.54296875" customWidth="1"/>
    <col min="4618" max="4622" width="0" hidden="1" customWidth="1"/>
    <col min="4625" max="4633" width="0" hidden="1" customWidth="1"/>
    <col min="4865" max="4865" width="4.453125" customWidth="1"/>
    <col min="4866" max="4866" width="30.453125" bestFit="1" customWidth="1"/>
    <col min="4867" max="4867" width="17.26953125" bestFit="1" customWidth="1"/>
    <col min="4868" max="4868" width="1.81640625" customWidth="1"/>
    <col min="4869" max="4869" width="15" customWidth="1"/>
    <col min="4870" max="4870" width="4" customWidth="1"/>
    <col min="4871" max="4871" width="12.54296875" customWidth="1"/>
    <col min="4872" max="4872" width="10.81640625" customWidth="1"/>
    <col min="4873" max="4873" width="5.54296875" customWidth="1"/>
    <col min="4874" max="4878" width="0" hidden="1" customWidth="1"/>
    <col min="4881" max="4889" width="0" hidden="1" customWidth="1"/>
    <col min="5121" max="5121" width="4.453125" customWidth="1"/>
    <col min="5122" max="5122" width="30.453125" bestFit="1" customWidth="1"/>
    <col min="5123" max="5123" width="17.26953125" bestFit="1" customWidth="1"/>
    <col min="5124" max="5124" width="1.81640625" customWidth="1"/>
    <col min="5125" max="5125" width="15" customWidth="1"/>
    <col min="5126" max="5126" width="4" customWidth="1"/>
    <col min="5127" max="5127" width="12.54296875" customWidth="1"/>
    <col min="5128" max="5128" width="10.81640625" customWidth="1"/>
    <col min="5129" max="5129" width="5.54296875" customWidth="1"/>
    <col min="5130" max="5134" width="0" hidden="1" customWidth="1"/>
    <col min="5137" max="5145" width="0" hidden="1" customWidth="1"/>
    <col min="5377" max="5377" width="4.453125" customWidth="1"/>
    <col min="5378" max="5378" width="30.453125" bestFit="1" customWidth="1"/>
    <col min="5379" max="5379" width="17.26953125" bestFit="1" customWidth="1"/>
    <col min="5380" max="5380" width="1.81640625" customWidth="1"/>
    <col min="5381" max="5381" width="15" customWidth="1"/>
    <col min="5382" max="5382" width="4" customWidth="1"/>
    <col min="5383" max="5383" width="12.54296875" customWidth="1"/>
    <col min="5384" max="5384" width="10.81640625" customWidth="1"/>
    <col min="5385" max="5385" width="5.54296875" customWidth="1"/>
    <col min="5386" max="5390" width="0" hidden="1" customWidth="1"/>
    <col min="5393" max="5401" width="0" hidden="1" customWidth="1"/>
    <col min="5633" max="5633" width="4.453125" customWidth="1"/>
    <col min="5634" max="5634" width="30.453125" bestFit="1" customWidth="1"/>
    <col min="5635" max="5635" width="17.26953125" bestFit="1" customWidth="1"/>
    <col min="5636" max="5636" width="1.81640625" customWidth="1"/>
    <col min="5637" max="5637" width="15" customWidth="1"/>
    <col min="5638" max="5638" width="4" customWidth="1"/>
    <col min="5639" max="5639" width="12.54296875" customWidth="1"/>
    <col min="5640" max="5640" width="10.81640625" customWidth="1"/>
    <col min="5641" max="5641" width="5.54296875" customWidth="1"/>
    <col min="5642" max="5646" width="0" hidden="1" customWidth="1"/>
    <col min="5649" max="5657" width="0" hidden="1" customWidth="1"/>
    <col min="5889" max="5889" width="4.453125" customWidth="1"/>
    <col min="5890" max="5890" width="30.453125" bestFit="1" customWidth="1"/>
    <col min="5891" max="5891" width="17.26953125" bestFit="1" customWidth="1"/>
    <col min="5892" max="5892" width="1.81640625" customWidth="1"/>
    <col min="5893" max="5893" width="15" customWidth="1"/>
    <col min="5894" max="5894" width="4" customWidth="1"/>
    <col min="5895" max="5895" width="12.54296875" customWidth="1"/>
    <col min="5896" max="5896" width="10.81640625" customWidth="1"/>
    <col min="5897" max="5897" width="5.54296875" customWidth="1"/>
    <col min="5898" max="5902" width="0" hidden="1" customWidth="1"/>
    <col min="5905" max="5913" width="0" hidden="1" customWidth="1"/>
    <col min="6145" max="6145" width="4.453125" customWidth="1"/>
    <col min="6146" max="6146" width="30.453125" bestFit="1" customWidth="1"/>
    <col min="6147" max="6147" width="17.26953125" bestFit="1" customWidth="1"/>
    <col min="6148" max="6148" width="1.81640625" customWidth="1"/>
    <col min="6149" max="6149" width="15" customWidth="1"/>
    <col min="6150" max="6150" width="4" customWidth="1"/>
    <col min="6151" max="6151" width="12.54296875" customWidth="1"/>
    <col min="6152" max="6152" width="10.81640625" customWidth="1"/>
    <col min="6153" max="6153" width="5.54296875" customWidth="1"/>
    <col min="6154" max="6158" width="0" hidden="1" customWidth="1"/>
    <col min="6161" max="6169" width="0" hidden="1" customWidth="1"/>
    <col min="6401" max="6401" width="4.453125" customWidth="1"/>
    <col min="6402" max="6402" width="30.453125" bestFit="1" customWidth="1"/>
    <col min="6403" max="6403" width="17.26953125" bestFit="1" customWidth="1"/>
    <col min="6404" max="6404" width="1.81640625" customWidth="1"/>
    <col min="6405" max="6405" width="15" customWidth="1"/>
    <col min="6406" max="6406" width="4" customWidth="1"/>
    <col min="6407" max="6407" width="12.54296875" customWidth="1"/>
    <col min="6408" max="6408" width="10.81640625" customWidth="1"/>
    <col min="6409" max="6409" width="5.54296875" customWidth="1"/>
    <col min="6410" max="6414" width="0" hidden="1" customWidth="1"/>
    <col min="6417" max="6425" width="0" hidden="1" customWidth="1"/>
    <col min="6657" max="6657" width="4.453125" customWidth="1"/>
    <col min="6658" max="6658" width="30.453125" bestFit="1" customWidth="1"/>
    <col min="6659" max="6659" width="17.26953125" bestFit="1" customWidth="1"/>
    <col min="6660" max="6660" width="1.81640625" customWidth="1"/>
    <col min="6661" max="6661" width="15" customWidth="1"/>
    <col min="6662" max="6662" width="4" customWidth="1"/>
    <col min="6663" max="6663" width="12.54296875" customWidth="1"/>
    <col min="6664" max="6664" width="10.81640625" customWidth="1"/>
    <col min="6665" max="6665" width="5.54296875" customWidth="1"/>
    <col min="6666" max="6670" width="0" hidden="1" customWidth="1"/>
    <col min="6673" max="6681" width="0" hidden="1" customWidth="1"/>
    <col min="6913" max="6913" width="4.453125" customWidth="1"/>
    <col min="6914" max="6914" width="30.453125" bestFit="1" customWidth="1"/>
    <col min="6915" max="6915" width="17.26953125" bestFit="1" customWidth="1"/>
    <col min="6916" max="6916" width="1.81640625" customWidth="1"/>
    <col min="6917" max="6917" width="15" customWidth="1"/>
    <col min="6918" max="6918" width="4" customWidth="1"/>
    <col min="6919" max="6919" width="12.54296875" customWidth="1"/>
    <col min="6920" max="6920" width="10.81640625" customWidth="1"/>
    <col min="6921" max="6921" width="5.54296875" customWidth="1"/>
    <col min="6922" max="6926" width="0" hidden="1" customWidth="1"/>
    <col min="6929" max="6937" width="0" hidden="1" customWidth="1"/>
    <col min="7169" max="7169" width="4.453125" customWidth="1"/>
    <col min="7170" max="7170" width="30.453125" bestFit="1" customWidth="1"/>
    <col min="7171" max="7171" width="17.26953125" bestFit="1" customWidth="1"/>
    <col min="7172" max="7172" width="1.81640625" customWidth="1"/>
    <col min="7173" max="7173" width="15" customWidth="1"/>
    <col min="7174" max="7174" width="4" customWidth="1"/>
    <col min="7175" max="7175" width="12.54296875" customWidth="1"/>
    <col min="7176" max="7176" width="10.81640625" customWidth="1"/>
    <col min="7177" max="7177" width="5.54296875" customWidth="1"/>
    <col min="7178" max="7182" width="0" hidden="1" customWidth="1"/>
    <col min="7185" max="7193" width="0" hidden="1" customWidth="1"/>
    <col min="7425" max="7425" width="4.453125" customWidth="1"/>
    <col min="7426" max="7426" width="30.453125" bestFit="1" customWidth="1"/>
    <col min="7427" max="7427" width="17.26953125" bestFit="1" customWidth="1"/>
    <col min="7428" max="7428" width="1.81640625" customWidth="1"/>
    <col min="7429" max="7429" width="15" customWidth="1"/>
    <col min="7430" max="7430" width="4" customWidth="1"/>
    <col min="7431" max="7431" width="12.54296875" customWidth="1"/>
    <col min="7432" max="7432" width="10.81640625" customWidth="1"/>
    <col min="7433" max="7433" width="5.54296875" customWidth="1"/>
    <col min="7434" max="7438" width="0" hidden="1" customWidth="1"/>
    <col min="7441" max="7449" width="0" hidden="1" customWidth="1"/>
    <col min="7681" max="7681" width="4.453125" customWidth="1"/>
    <col min="7682" max="7682" width="30.453125" bestFit="1" customWidth="1"/>
    <col min="7683" max="7683" width="17.26953125" bestFit="1" customWidth="1"/>
    <col min="7684" max="7684" width="1.81640625" customWidth="1"/>
    <col min="7685" max="7685" width="15" customWidth="1"/>
    <col min="7686" max="7686" width="4" customWidth="1"/>
    <col min="7687" max="7687" width="12.54296875" customWidth="1"/>
    <col min="7688" max="7688" width="10.81640625" customWidth="1"/>
    <col min="7689" max="7689" width="5.54296875" customWidth="1"/>
    <col min="7690" max="7694" width="0" hidden="1" customWidth="1"/>
    <col min="7697" max="7705" width="0" hidden="1" customWidth="1"/>
    <col min="7937" max="7937" width="4.453125" customWidth="1"/>
    <col min="7938" max="7938" width="30.453125" bestFit="1" customWidth="1"/>
    <col min="7939" max="7939" width="17.26953125" bestFit="1" customWidth="1"/>
    <col min="7940" max="7940" width="1.81640625" customWidth="1"/>
    <col min="7941" max="7941" width="15" customWidth="1"/>
    <col min="7942" max="7942" width="4" customWidth="1"/>
    <col min="7943" max="7943" width="12.54296875" customWidth="1"/>
    <col min="7944" max="7944" width="10.81640625" customWidth="1"/>
    <col min="7945" max="7945" width="5.54296875" customWidth="1"/>
    <col min="7946" max="7950" width="0" hidden="1" customWidth="1"/>
    <col min="7953" max="7961" width="0" hidden="1" customWidth="1"/>
    <col min="8193" max="8193" width="4.453125" customWidth="1"/>
    <col min="8194" max="8194" width="30.453125" bestFit="1" customWidth="1"/>
    <col min="8195" max="8195" width="17.26953125" bestFit="1" customWidth="1"/>
    <col min="8196" max="8196" width="1.81640625" customWidth="1"/>
    <col min="8197" max="8197" width="15" customWidth="1"/>
    <col min="8198" max="8198" width="4" customWidth="1"/>
    <col min="8199" max="8199" width="12.54296875" customWidth="1"/>
    <col min="8200" max="8200" width="10.81640625" customWidth="1"/>
    <col min="8201" max="8201" width="5.54296875" customWidth="1"/>
    <col min="8202" max="8206" width="0" hidden="1" customWidth="1"/>
    <col min="8209" max="8217" width="0" hidden="1" customWidth="1"/>
    <col min="8449" max="8449" width="4.453125" customWidth="1"/>
    <col min="8450" max="8450" width="30.453125" bestFit="1" customWidth="1"/>
    <col min="8451" max="8451" width="17.26953125" bestFit="1" customWidth="1"/>
    <col min="8452" max="8452" width="1.81640625" customWidth="1"/>
    <col min="8453" max="8453" width="15" customWidth="1"/>
    <col min="8454" max="8454" width="4" customWidth="1"/>
    <col min="8455" max="8455" width="12.54296875" customWidth="1"/>
    <col min="8456" max="8456" width="10.81640625" customWidth="1"/>
    <col min="8457" max="8457" width="5.54296875" customWidth="1"/>
    <col min="8458" max="8462" width="0" hidden="1" customWidth="1"/>
    <col min="8465" max="8473" width="0" hidden="1" customWidth="1"/>
    <col min="8705" max="8705" width="4.453125" customWidth="1"/>
    <col min="8706" max="8706" width="30.453125" bestFit="1" customWidth="1"/>
    <col min="8707" max="8707" width="17.26953125" bestFit="1" customWidth="1"/>
    <col min="8708" max="8708" width="1.81640625" customWidth="1"/>
    <col min="8709" max="8709" width="15" customWidth="1"/>
    <col min="8710" max="8710" width="4" customWidth="1"/>
    <col min="8711" max="8711" width="12.54296875" customWidth="1"/>
    <col min="8712" max="8712" width="10.81640625" customWidth="1"/>
    <col min="8713" max="8713" width="5.54296875" customWidth="1"/>
    <col min="8714" max="8718" width="0" hidden="1" customWidth="1"/>
    <col min="8721" max="8729" width="0" hidden="1" customWidth="1"/>
    <col min="8961" max="8961" width="4.453125" customWidth="1"/>
    <col min="8962" max="8962" width="30.453125" bestFit="1" customWidth="1"/>
    <col min="8963" max="8963" width="17.26953125" bestFit="1" customWidth="1"/>
    <col min="8964" max="8964" width="1.81640625" customWidth="1"/>
    <col min="8965" max="8965" width="15" customWidth="1"/>
    <col min="8966" max="8966" width="4" customWidth="1"/>
    <col min="8967" max="8967" width="12.54296875" customWidth="1"/>
    <col min="8968" max="8968" width="10.81640625" customWidth="1"/>
    <col min="8969" max="8969" width="5.54296875" customWidth="1"/>
    <col min="8970" max="8974" width="0" hidden="1" customWidth="1"/>
    <col min="8977" max="8985" width="0" hidden="1" customWidth="1"/>
    <col min="9217" max="9217" width="4.453125" customWidth="1"/>
    <col min="9218" max="9218" width="30.453125" bestFit="1" customWidth="1"/>
    <col min="9219" max="9219" width="17.26953125" bestFit="1" customWidth="1"/>
    <col min="9220" max="9220" width="1.81640625" customWidth="1"/>
    <col min="9221" max="9221" width="15" customWidth="1"/>
    <col min="9222" max="9222" width="4" customWidth="1"/>
    <col min="9223" max="9223" width="12.54296875" customWidth="1"/>
    <col min="9224" max="9224" width="10.81640625" customWidth="1"/>
    <col min="9225" max="9225" width="5.54296875" customWidth="1"/>
    <col min="9226" max="9230" width="0" hidden="1" customWidth="1"/>
    <col min="9233" max="9241" width="0" hidden="1" customWidth="1"/>
    <col min="9473" max="9473" width="4.453125" customWidth="1"/>
    <col min="9474" max="9474" width="30.453125" bestFit="1" customWidth="1"/>
    <col min="9475" max="9475" width="17.26953125" bestFit="1" customWidth="1"/>
    <col min="9476" max="9476" width="1.81640625" customWidth="1"/>
    <col min="9477" max="9477" width="15" customWidth="1"/>
    <col min="9478" max="9478" width="4" customWidth="1"/>
    <col min="9479" max="9479" width="12.54296875" customWidth="1"/>
    <col min="9480" max="9480" width="10.81640625" customWidth="1"/>
    <col min="9481" max="9481" width="5.54296875" customWidth="1"/>
    <col min="9482" max="9486" width="0" hidden="1" customWidth="1"/>
    <col min="9489" max="9497" width="0" hidden="1" customWidth="1"/>
    <col min="9729" max="9729" width="4.453125" customWidth="1"/>
    <col min="9730" max="9730" width="30.453125" bestFit="1" customWidth="1"/>
    <col min="9731" max="9731" width="17.26953125" bestFit="1" customWidth="1"/>
    <col min="9732" max="9732" width="1.81640625" customWidth="1"/>
    <col min="9733" max="9733" width="15" customWidth="1"/>
    <col min="9734" max="9734" width="4" customWidth="1"/>
    <col min="9735" max="9735" width="12.54296875" customWidth="1"/>
    <col min="9736" max="9736" width="10.81640625" customWidth="1"/>
    <col min="9737" max="9737" width="5.54296875" customWidth="1"/>
    <col min="9738" max="9742" width="0" hidden="1" customWidth="1"/>
    <col min="9745" max="9753" width="0" hidden="1" customWidth="1"/>
    <col min="9985" max="9985" width="4.453125" customWidth="1"/>
    <col min="9986" max="9986" width="30.453125" bestFit="1" customWidth="1"/>
    <col min="9987" max="9987" width="17.26953125" bestFit="1" customWidth="1"/>
    <col min="9988" max="9988" width="1.81640625" customWidth="1"/>
    <col min="9989" max="9989" width="15" customWidth="1"/>
    <col min="9990" max="9990" width="4" customWidth="1"/>
    <col min="9991" max="9991" width="12.54296875" customWidth="1"/>
    <col min="9992" max="9992" width="10.81640625" customWidth="1"/>
    <col min="9993" max="9993" width="5.54296875" customWidth="1"/>
    <col min="9994" max="9998" width="0" hidden="1" customWidth="1"/>
    <col min="10001" max="10009" width="0" hidden="1" customWidth="1"/>
    <col min="10241" max="10241" width="4.453125" customWidth="1"/>
    <col min="10242" max="10242" width="30.453125" bestFit="1" customWidth="1"/>
    <col min="10243" max="10243" width="17.26953125" bestFit="1" customWidth="1"/>
    <col min="10244" max="10244" width="1.81640625" customWidth="1"/>
    <col min="10245" max="10245" width="15" customWidth="1"/>
    <col min="10246" max="10246" width="4" customWidth="1"/>
    <col min="10247" max="10247" width="12.54296875" customWidth="1"/>
    <col min="10248" max="10248" width="10.81640625" customWidth="1"/>
    <col min="10249" max="10249" width="5.54296875" customWidth="1"/>
    <col min="10250" max="10254" width="0" hidden="1" customWidth="1"/>
    <col min="10257" max="10265" width="0" hidden="1" customWidth="1"/>
    <col min="10497" max="10497" width="4.453125" customWidth="1"/>
    <col min="10498" max="10498" width="30.453125" bestFit="1" customWidth="1"/>
    <col min="10499" max="10499" width="17.26953125" bestFit="1" customWidth="1"/>
    <col min="10500" max="10500" width="1.81640625" customWidth="1"/>
    <col min="10501" max="10501" width="15" customWidth="1"/>
    <col min="10502" max="10502" width="4" customWidth="1"/>
    <col min="10503" max="10503" width="12.54296875" customWidth="1"/>
    <col min="10504" max="10504" width="10.81640625" customWidth="1"/>
    <col min="10505" max="10505" width="5.54296875" customWidth="1"/>
    <col min="10506" max="10510" width="0" hidden="1" customWidth="1"/>
    <col min="10513" max="10521" width="0" hidden="1" customWidth="1"/>
    <col min="10753" max="10753" width="4.453125" customWidth="1"/>
    <col min="10754" max="10754" width="30.453125" bestFit="1" customWidth="1"/>
    <col min="10755" max="10755" width="17.26953125" bestFit="1" customWidth="1"/>
    <col min="10756" max="10756" width="1.81640625" customWidth="1"/>
    <col min="10757" max="10757" width="15" customWidth="1"/>
    <col min="10758" max="10758" width="4" customWidth="1"/>
    <col min="10759" max="10759" width="12.54296875" customWidth="1"/>
    <col min="10760" max="10760" width="10.81640625" customWidth="1"/>
    <col min="10761" max="10761" width="5.54296875" customWidth="1"/>
    <col min="10762" max="10766" width="0" hidden="1" customWidth="1"/>
    <col min="10769" max="10777" width="0" hidden="1" customWidth="1"/>
    <col min="11009" max="11009" width="4.453125" customWidth="1"/>
    <col min="11010" max="11010" width="30.453125" bestFit="1" customWidth="1"/>
    <col min="11011" max="11011" width="17.26953125" bestFit="1" customWidth="1"/>
    <col min="11012" max="11012" width="1.81640625" customWidth="1"/>
    <col min="11013" max="11013" width="15" customWidth="1"/>
    <col min="11014" max="11014" width="4" customWidth="1"/>
    <col min="11015" max="11015" width="12.54296875" customWidth="1"/>
    <col min="11016" max="11016" width="10.81640625" customWidth="1"/>
    <col min="11017" max="11017" width="5.54296875" customWidth="1"/>
    <col min="11018" max="11022" width="0" hidden="1" customWidth="1"/>
    <col min="11025" max="11033" width="0" hidden="1" customWidth="1"/>
    <col min="11265" max="11265" width="4.453125" customWidth="1"/>
    <col min="11266" max="11266" width="30.453125" bestFit="1" customWidth="1"/>
    <col min="11267" max="11267" width="17.26953125" bestFit="1" customWidth="1"/>
    <col min="11268" max="11268" width="1.81640625" customWidth="1"/>
    <col min="11269" max="11269" width="15" customWidth="1"/>
    <col min="11270" max="11270" width="4" customWidth="1"/>
    <col min="11271" max="11271" width="12.54296875" customWidth="1"/>
    <col min="11272" max="11272" width="10.81640625" customWidth="1"/>
    <col min="11273" max="11273" width="5.54296875" customWidth="1"/>
    <col min="11274" max="11278" width="0" hidden="1" customWidth="1"/>
    <col min="11281" max="11289" width="0" hidden="1" customWidth="1"/>
    <col min="11521" max="11521" width="4.453125" customWidth="1"/>
    <col min="11522" max="11522" width="30.453125" bestFit="1" customWidth="1"/>
    <col min="11523" max="11523" width="17.26953125" bestFit="1" customWidth="1"/>
    <col min="11524" max="11524" width="1.81640625" customWidth="1"/>
    <col min="11525" max="11525" width="15" customWidth="1"/>
    <col min="11526" max="11526" width="4" customWidth="1"/>
    <col min="11527" max="11527" width="12.54296875" customWidth="1"/>
    <col min="11528" max="11528" width="10.81640625" customWidth="1"/>
    <col min="11529" max="11529" width="5.54296875" customWidth="1"/>
    <col min="11530" max="11534" width="0" hidden="1" customWidth="1"/>
    <col min="11537" max="11545" width="0" hidden="1" customWidth="1"/>
    <col min="11777" max="11777" width="4.453125" customWidth="1"/>
    <col min="11778" max="11778" width="30.453125" bestFit="1" customWidth="1"/>
    <col min="11779" max="11779" width="17.26953125" bestFit="1" customWidth="1"/>
    <col min="11780" max="11780" width="1.81640625" customWidth="1"/>
    <col min="11781" max="11781" width="15" customWidth="1"/>
    <col min="11782" max="11782" width="4" customWidth="1"/>
    <col min="11783" max="11783" width="12.54296875" customWidth="1"/>
    <col min="11784" max="11784" width="10.81640625" customWidth="1"/>
    <col min="11785" max="11785" width="5.54296875" customWidth="1"/>
    <col min="11786" max="11790" width="0" hidden="1" customWidth="1"/>
    <col min="11793" max="11801" width="0" hidden="1" customWidth="1"/>
    <col min="12033" max="12033" width="4.453125" customWidth="1"/>
    <col min="12034" max="12034" width="30.453125" bestFit="1" customWidth="1"/>
    <col min="12035" max="12035" width="17.26953125" bestFit="1" customWidth="1"/>
    <col min="12036" max="12036" width="1.81640625" customWidth="1"/>
    <col min="12037" max="12037" width="15" customWidth="1"/>
    <col min="12038" max="12038" width="4" customWidth="1"/>
    <col min="12039" max="12039" width="12.54296875" customWidth="1"/>
    <col min="12040" max="12040" width="10.81640625" customWidth="1"/>
    <col min="12041" max="12041" width="5.54296875" customWidth="1"/>
    <col min="12042" max="12046" width="0" hidden="1" customWidth="1"/>
    <col min="12049" max="12057" width="0" hidden="1" customWidth="1"/>
    <col min="12289" max="12289" width="4.453125" customWidth="1"/>
    <col min="12290" max="12290" width="30.453125" bestFit="1" customWidth="1"/>
    <col min="12291" max="12291" width="17.26953125" bestFit="1" customWidth="1"/>
    <col min="12292" max="12292" width="1.81640625" customWidth="1"/>
    <col min="12293" max="12293" width="15" customWidth="1"/>
    <col min="12294" max="12294" width="4" customWidth="1"/>
    <col min="12295" max="12295" width="12.54296875" customWidth="1"/>
    <col min="12296" max="12296" width="10.81640625" customWidth="1"/>
    <col min="12297" max="12297" width="5.54296875" customWidth="1"/>
    <col min="12298" max="12302" width="0" hidden="1" customWidth="1"/>
    <col min="12305" max="12313" width="0" hidden="1" customWidth="1"/>
    <col min="12545" max="12545" width="4.453125" customWidth="1"/>
    <col min="12546" max="12546" width="30.453125" bestFit="1" customWidth="1"/>
    <col min="12547" max="12547" width="17.26953125" bestFit="1" customWidth="1"/>
    <col min="12548" max="12548" width="1.81640625" customWidth="1"/>
    <col min="12549" max="12549" width="15" customWidth="1"/>
    <col min="12550" max="12550" width="4" customWidth="1"/>
    <col min="12551" max="12551" width="12.54296875" customWidth="1"/>
    <col min="12552" max="12552" width="10.81640625" customWidth="1"/>
    <col min="12553" max="12553" width="5.54296875" customWidth="1"/>
    <col min="12554" max="12558" width="0" hidden="1" customWidth="1"/>
    <col min="12561" max="12569" width="0" hidden="1" customWidth="1"/>
    <col min="12801" max="12801" width="4.453125" customWidth="1"/>
    <col min="12802" max="12802" width="30.453125" bestFit="1" customWidth="1"/>
    <col min="12803" max="12803" width="17.26953125" bestFit="1" customWidth="1"/>
    <col min="12804" max="12804" width="1.81640625" customWidth="1"/>
    <col min="12805" max="12805" width="15" customWidth="1"/>
    <col min="12806" max="12806" width="4" customWidth="1"/>
    <col min="12807" max="12807" width="12.54296875" customWidth="1"/>
    <col min="12808" max="12808" width="10.81640625" customWidth="1"/>
    <col min="12809" max="12809" width="5.54296875" customWidth="1"/>
    <col min="12810" max="12814" width="0" hidden="1" customWidth="1"/>
    <col min="12817" max="12825" width="0" hidden="1" customWidth="1"/>
    <col min="13057" max="13057" width="4.453125" customWidth="1"/>
    <col min="13058" max="13058" width="30.453125" bestFit="1" customWidth="1"/>
    <col min="13059" max="13059" width="17.26953125" bestFit="1" customWidth="1"/>
    <col min="13060" max="13060" width="1.81640625" customWidth="1"/>
    <col min="13061" max="13061" width="15" customWidth="1"/>
    <col min="13062" max="13062" width="4" customWidth="1"/>
    <col min="13063" max="13063" width="12.54296875" customWidth="1"/>
    <col min="13064" max="13064" width="10.81640625" customWidth="1"/>
    <col min="13065" max="13065" width="5.54296875" customWidth="1"/>
    <col min="13066" max="13070" width="0" hidden="1" customWidth="1"/>
    <col min="13073" max="13081" width="0" hidden="1" customWidth="1"/>
    <col min="13313" max="13313" width="4.453125" customWidth="1"/>
    <col min="13314" max="13314" width="30.453125" bestFit="1" customWidth="1"/>
    <col min="13315" max="13315" width="17.26953125" bestFit="1" customWidth="1"/>
    <col min="13316" max="13316" width="1.81640625" customWidth="1"/>
    <col min="13317" max="13317" width="15" customWidth="1"/>
    <col min="13318" max="13318" width="4" customWidth="1"/>
    <col min="13319" max="13319" width="12.54296875" customWidth="1"/>
    <col min="13320" max="13320" width="10.81640625" customWidth="1"/>
    <col min="13321" max="13321" width="5.54296875" customWidth="1"/>
    <col min="13322" max="13326" width="0" hidden="1" customWidth="1"/>
    <col min="13329" max="13337" width="0" hidden="1" customWidth="1"/>
    <col min="13569" max="13569" width="4.453125" customWidth="1"/>
    <col min="13570" max="13570" width="30.453125" bestFit="1" customWidth="1"/>
    <col min="13571" max="13571" width="17.26953125" bestFit="1" customWidth="1"/>
    <col min="13572" max="13572" width="1.81640625" customWidth="1"/>
    <col min="13573" max="13573" width="15" customWidth="1"/>
    <col min="13574" max="13574" width="4" customWidth="1"/>
    <col min="13575" max="13575" width="12.54296875" customWidth="1"/>
    <col min="13576" max="13576" width="10.81640625" customWidth="1"/>
    <col min="13577" max="13577" width="5.54296875" customWidth="1"/>
    <col min="13578" max="13582" width="0" hidden="1" customWidth="1"/>
    <col min="13585" max="13593" width="0" hidden="1" customWidth="1"/>
    <col min="13825" max="13825" width="4.453125" customWidth="1"/>
    <col min="13826" max="13826" width="30.453125" bestFit="1" customWidth="1"/>
    <col min="13827" max="13827" width="17.26953125" bestFit="1" customWidth="1"/>
    <col min="13828" max="13828" width="1.81640625" customWidth="1"/>
    <col min="13829" max="13829" width="15" customWidth="1"/>
    <col min="13830" max="13830" width="4" customWidth="1"/>
    <col min="13831" max="13831" width="12.54296875" customWidth="1"/>
    <col min="13832" max="13832" width="10.81640625" customWidth="1"/>
    <col min="13833" max="13833" width="5.54296875" customWidth="1"/>
    <col min="13834" max="13838" width="0" hidden="1" customWidth="1"/>
    <col min="13841" max="13849" width="0" hidden="1" customWidth="1"/>
    <col min="14081" max="14081" width="4.453125" customWidth="1"/>
    <col min="14082" max="14082" width="30.453125" bestFit="1" customWidth="1"/>
    <col min="14083" max="14083" width="17.26953125" bestFit="1" customWidth="1"/>
    <col min="14084" max="14084" width="1.81640625" customWidth="1"/>
    <col min="14085" max="14085" width="15" customWidth="1"/>
    <col min="14086" max="14086" width="4" customWidth="1"/>
    <col min="14087" max="14087" width="12.54296875" customWidth="1"/>
    <col min="14088" max="14088" width="10.81640625" customWidth="1"/>
    <col min="14089" max="14089" width="5.54296875" customWidth="1"/>
    <col min="14090" max="14094" width="0" hidden="1" customWidth="1"/>
    <col min="14097" max="14105" width="0" hidden="1" customWidth="1"/>
    <col min="14337" max="14337" width="4.453125" customWidth="1"/>
    <col min="14338" max="14338" width="30.453125" bestFit="1" customWidth="1"/>
    <col min="14339" max="14339" width="17.26953125" bestFit="1" customWidth="1"/>
    <col min="14340" max="14340" width="1.81640625" customWidth="1"/>
    <col min="14341" max="14341" width="15" customWidth="1"/>
    <col min="14342" max="14342" width="4" customWidth="1"/>
    <col min="14343" max="14343" width="12.54296875" customWidth="1"/>
    <col min="14344" max="14344" width="10.81640625" customWidth="1"/>
    <col min="14345" max="14345" width="5.54296875" customWidth="1"/>
    <col min="14346" max="14350" width="0" hidden="1" customWidth="1"/>
    <col min="14353" max="14361" width="0" hidden="1" customWidth="1"/>
    <col min="14593" max="14593" width="4.453125" customWidth="1"/>
    <col min="14594" max="14594" width="30.453125" bestFit="1" customWidth="1"/>
    <col min="14595" max="14595" width="17.26953125" bestFit="1" customWidth="1"/>
    <col min="14596" max="14596" width="1.81640625" customWidth="1"/>
    <col min="14597" max="14597" width="15" customWidth="1"/>
    <col min="14598" max="14598" width="4" customWidth="1"/>
    <col min="14599" max="14599" width="12.54296875" customWidth="1"/>
    <col min="14600" max="14600" width="10.81640625" customWidth="1"/>
    <col min="14601" max="14601" width="5.54296875" customWidth="1"/>
    <col min="14602" max="14606" width="0" hidden="1" customWidth="1"/>
    <col min="14609" max="14617" width="0" hidden="1" customWidth="1"/>
    <col min="14849" max="14849" width="4.453125" customWidth="1"/>
    <col min="14850" max="14850" width="30.453125" bestFit="1" customWidth="1"/>
    <col min="14851" max="14851" width="17.26953125" bestFit="1" customWidth="1"/>
    <col min="14852" max="14852" width="1.81640625" customWidth="1"/>
    <col min="14853" max="14853" width="15" customWidth="1"/>
    <col min="14854" max="14854" width="4" customWidth="1"/>
    <col min="14855" max="14855" width="12.54296875" customWidth="1"/>
    <col min="14856" max="14856" width="10.81640625" customWidth="1"/>
    <col min="14857" max="14857" width="5.54296875" customWidth="1"/>
    <col min="14858" max="14862" width="0" hidden="1" customWidth="1"/>
    <col min="14865" max="14873" width="0" hidden="1" customWidth="1"/>
    <col min="15105" max="15105" width="4.453125" customWidth="1"/>
    <col min="15106" max="15106" width="30.453125" bestFit="1" customWidth="1"/>
    <col min="15107" max="15107" width="17.26953125" bestFit="1" customWidth="1"/>
    <col min="15108" max="15108" width="1.81640625" customWidth="1"/>
    <col min="15109" max="15109" width="15" customWidth="1"/>
    <col min="15110" max="15110" width="4" customWidth="1"/>
    <col min="15111" max="15111" width="12.54296875" customWidth="1"/>
    <col min="15112" max="15112" width="10.81640625" customWidth="1"/>
    <col min="15113" max="15113" width="5.54296875" customWidth="1"/>
    <col min="15114" max="15118" width="0" hidden="1" customWidth="1"/>
    <col min="15121" max="15129" width="0" hidden="1" customWidth="1"/>
    <col min="15361" max="15361" width="4.453125" customWidth="1"/>
    <col min="15362" max="15362" width="30.453125" bestFit="1" customWidth="1"/>
    <col min="15363" max="15363" width="17.26953125" bestFit="1" customWidth="1"/>
    <col min="15364" max="15364" width="1.81640625" customWidth="1"/>
    <col min="15365" max="15365" width="15" customWidth="1"/>
    <col min="15366" max="15366" width="4" customWidth="1"/>
    <col min="15367" max="15367" width="12.54296875" customWidth="1"/>
    <col min="15368" max="15368" width="10.81640625" customWidth="1"/>
    <col min="15369" max="15369" width="5.54296875" customWidth="1"/>
    <col min="15370" max="15374" width="0" hidden="1" customWidth="1"/>
    <col min="15377" max="15385" width="0" hidden="1" customWidth="1"/>
    <col min="15617" max="15617" width="4.453125" customWidth="1"/>
    <col min="15618" max="15618" width="30.453125" bestFit="1" customWidth="1"/>
    <col min="15619" max="15619" width="17.26953125" bestFit="1" customWidth="1"/>
    <col min="15620" max="15620" width="1.81640625" customWidth="1"/>
    <col min="15621" max="15621" width="15" customWidth="1"/>
    <col min="15622" max="15622" width="4" customWidth="1"/>
    <col min="15623" max="15623" width="12.54296875" customWidth="1"/>
    <col min="15624" max="15624" width="10.81640625" customWidth="1"/>
    <col min="15625" max="15625" width="5.54296875" customWidth="1"/>
    <col min="15626" max="15630" width="0" hidden="1" customWidth="1"/>
    <col min="15633" max="15641" width="0" hidden="1" customWidth="1"/>
    <col min="15873" max="15873" width="4.453125" customWidth="1"/>
    <col min="15874" max="15874" width="30.453125" bestFit="1" customWidth="1"/>
    <col min="15875" max="15875" width="17.26953125" bestFit="1" customWidth="1"/>
    <col min="15876" max="15876" width="1.81640625" customWidth="1"/>
    <col min="15877" max="15877" width="15" customWidth="1"/>
    <col min="15878" max="15878" width="4" customWidth="1"/>
    <col min="15879" max="15879" width="12.54296875" customWidth="1"/>
    <col min="15880" max="15880" width="10.81640625" customWidth="1"/>
    <col min="15881" max="15881" width="5.54296875" customWidth="1"/>
    <col min="15882" max="15886" width="0" hidden="1" customWidth="1"/>
    <col min="15889" max="15897" width="0" hidden="1" customWidth="1"/>
    <col min="16129" max="16129" width="4.453125" customWidth="1"/>
    <col min="16130" max="16130" width="30.453125" bestFit="1" customWidth="1"/>
    <col min="16131" max="16131" width="17.26953125" bestFit="1" customWidth="1"/>
    <col min="16132" max="16132" width="1.81640625" customWidth="1"/>
    <col min="16133" max="16133" width="15" customWidth="1"/>
    <col min="16134" max="16134" width="4" customWidth="1"/>
    <col min="16135" max="16135" width="12.54296875" customWidth="1"/>
    <col min="16136" max="16136" width="10.81640625" customWidth="1"/>
    <col min="16137" max="16137" width="5.54296875" customWidth="1"/>
    <col min="16138" max="16142" width="0" hidden="1" customWidth="1"/>
    <col min="16145" max="16153" width="0" hidden="1" customWidth="1"/>
  </cols>
  <sheetData>
    <row r="1" spans="2:9" ht="6.75" customHeight="1" x14ac:dyDescent="0.25"/>
    <row r="2" spans="2:9" x14ac:dyDescent="0.25">
      <c r="B2" s="1627" t="s">
        <v>218</v>
      </c>
      <c r="C2" s="1627"/>
      <c r="D2" s="1627"/>
      <c r="E2" s="1627"/>
      <c r="F2" s="1627"/>
      <c r="G2" s="1627"/>
      <c r="H2" s="1627"/>
      <c r="I2" s="3"/>
    </row>
    <row r="3" spans="2:9" ht="6" customHeight="1" x14ac:dyDescent="0.25">
      <c r="B3" s="4"/>
      <c r="C3" s="5"/>
      <c r="D3" s="5"/>
      <c r="E3" s="5"/>
      <c r="F3" s="3"/>
      <c r="G3" s="3"/>
      <c r="H3" s="10"/>
      <c r="I3" s="3"/>
    </row>
    <row r="4" spans="2:9" x14ac:dyDescent="0.25">
      <c r="B4" s="1628" t="s">
        <v>1612</v>
      </c>
      <c r="C4" s="1627"/>
      <c r="D4" s="1627"/>
      <c r="E4" s="1627"/>
      <c r="F4" s="1627"/>
      <c r="G4" s="1627"/>
      <c r="H4" s="1627"/>
      <c r="I4" s="3"/>
    </row>
    <row r="5" spans="2:9" ht="9" customHeight="1" x14ac:dyDescent="0.25">
      <c r="B5" s="6"/>
      <c r="C5" s="6"/>
      <c r="D5" s="6"/>
      <c r="E5" s="6"/>
      <c r="F5" s="3"/>
      <c r="G5" s="3"/>
      <c r="H5" s="10"/>
      <c r="I5" s="3"/>
    </row>
    <row r="6" spans="2:9" ht="12.75" customHeight="1" x14ac:dyDescent="0.35">
      <c r="B6" s="7" t="s">
        <v>0</v>
      </c>
      <c r="C6" s="11">
        <v>45900</v>
      </c>
      <c r="D6" s="11"/>
      <c r="E6" s="11" t="s">
        <v>1600</v>
      </c>
      <c r="F6" s="3"/>
      <c r="G6" s="9" t="s">
        <v>9</v>
      </c>
      <c r="H6" s="15" t="s">
        <v>10</v>
      </c>
      <c r="I6" s="3"/>
    </row>
    <row r="7" spans="2:9" ht="7.5" customHeight="1" x14ac:dyDescent="0.25">
      <c r="B7" s="2"/>
      <c r="C7" s="3"/>
      <c r="D7" s="3"/>
      <c r="E7" s="3"/>
      <c r="F7" s="3"/>
      <c r="G7" s="3"/>
      <c r="H7" s="10"/>
      <c r="I7" s="3"/>
    </row>
    <row r="8" spans="2:9" ht="9.75" customHeight="1" x14ac:dyDescent="0.25">
      <c r="B8" s="8" t="s">
        <v>35</v>
      </c>
      <c r="C8" s="3"/>
      <c r="D8" s="3"/>
      <c r="E8" s="3"/>
      <c r="F8" s="3"/>
      <c r="G8" s="3"/>
      <c r="H8" s="10"/>
      <c r="I8" s="3"/>
    </row>
    <row r="9" spans="2:9" ht="11.25" customHeight="1" x14ac:dyDescent="0.25">
      <c r="B9" s="2" t="s">
        <v>13</v>
      </c>
      <c r="C9" s="3">
        <v>200000</v>
      </c>
      <c r="D9" s="3"/>
      <c r="E9" s="3">
        <v>200000</v>
      </c>
      <c r="F9" s="3"/>
      <c r="G9" s="3">
        <f>-C9+E9</f>
        <v>0</v>
      </c>
      <c r="H9" s="10">
        <f>+G9/C9</f>
        <v>0</v>
      </c>
      <c r="I9" s="3"/>
    </row>
    <row r="10" spans="2:9" ht="11.25" customHeight="1" x14ac:dyDescent="0.25">
      <c r="B10" s="2" t="s">
        <v>60</v>
      </c>
      <c r="C10" s="3">
        <f>+V41</f>
        <v>50572212.920000002</v>
      </c>
      <c r="D10" s="3"/>
      <c r="E10" s="3">
        <v>50775680.840000004</v>
      </c>
      <c r="F10" s="3"/>
      <c r="G10" s="3">
        <f>-C10+E10</f>
        <v>203467.92000000179</v>
      </c>
      <c r="H10" s="10">
        <f>+G10/C10</f>
        <v>4.023314548680457E-3</v>
      </c>
      <c r="I10" s="3"/>
    </row>
    <row r="11" spans="2:9" ht="12.25" customHeight="1" x14ac:dyDescent="0.25">
      <c r="B11" s="2"/>
      <c r="C11" s="31">
        <f>SUM(C9:C10)</f>
        <v>50772212.920000002</v>
      </c>
      <c r="D11" s="32"/>
      <c r="E11" s="31">
        <v>50975680.840000004</v>
      </c>
      <c r="F11" s="32"/>
      <c r="G11" s="31">
        <f>SUM(G9:G10)</f>
        <v>203467.92000000179</v>
      </c>
      <c r="H11" s="33">
        <f>+G11/C11</f>
        <v>4.0074660586608482E-3</v>
      </c>
      <c r="I11" s="3"/>
    </row>
    <row r="12" spans="2:9" ht="12.25" customHeight="1" x14ac:dyDescent="0.25">
      <c r="B12" s="8" t="s">
        <v>36</v>
      </c>
      <c r="C12" s="3"/>
      <c r="D12" s="3"/>
      <c r="E12" s="3"/>
      <c r="F12" s="3"/>
      <c r="G12" s="3"/>
      <c r="H12" s="10"/>
      <c r="I12" s="3"/>
    </row>
    <row r="13" spans="2:9" ht="12.25" customHeight="1" x14ac:dyDescent="0.25">
      <c r="B13" s="17" t="s">
        <v>32</v>
      </c>
      <c r="C13" s="3"/>
      <c r="D13" s="3"/>
      <c r="E13" s="3"/>
      <c r="F13" s="3"/>
      <c r="G13" s="3"/>
      <c r="H13" s="10"/>
      <c r="I13" s="3"/>
    </row>
    <row r="14" spans="2:9" ht="12.25" customHeight="1" x14ac:dyDescent="0.25">
      <c r="B14" s="17" t="s">
        <v>771</v>
      </c>
      <c r="C14" s="3">
        <v>0</v>
      </c>
      <c r="D14" s="3"/>
      <c r="E14" s="3">
        <v>0</v>
      </c>
      <c r="F14" s="3"/>
      <c r="G14" s="3"/>
      <c r="H14" s="10"/>
      <c r="I14" s="3"/>
    </row>
    <row r="15" spans="2:9" ht="12.25" customHeight="1" x14ac:dyDescent="0.25">
      <c r="B15" s="2" t="s">
        <v>222</v>
      </c>
      <c r="C15" s="3">
        <f>+V42</f>
        <v>10916889.99</v>
      </c>
      <c r="D15" s="3"/>
      <c r="E15" s="3">
        <v>10852427.970000001</v>
      </c>
      <c r="F15" s="3"/>
      <c r="G15" s="3">
        <f>-C15+E15</f>
        <v>-64462.019999999553</v>
      </c>
      <c r="H15" s="10">
        <f>+G15/C15</f>
        <v>-5.9047970675757955E-3</v>
      </c>
      <c r="I15" s="3"/>
    </row>
    <row r="16" spans="2:9" ht="12.25" customHeight="1" x14ac:dyDescent="0.25">
      <c r="B16" s="2"/>
      <c r="C16" s="34">
        <f>SUM(C14:C15)</f>
        <v>10916889.99</v>
      </c>
      <c r="D16" s="32"/>
      <c r="E16" s="34">
        <v>10852427.970000001</v>
      </c>
      <c r="F16" s="32"/>
      <c r="G16" s="31">
        <f>-C16+E16</f>
        <v>-64462.019999999553</v>
      </c>
      <c r="H16" s="33">
        <f>+G16/C16</f>
        <v>-5.9047970675757955E-3</v>
      </c>
      <c r="I16" s="3"/>
    </row>
    <row r="17" spans="2:22" ht="6" customHeight="1" x14ac:dyDescent="0.25">
      <c r="B17" s="2"/>
      <c r="C17" s="3"/>
      <c r="D17" s="3"/>
      <c r="E17" s="3"/>
      <c r="F17" s="3"/>
      <c r="G17" s="3"/>
      <c r="H17" s="10"/>
      <c r="I17" s="3"/>
    </row>
    <row r="18" spans="2:22" ht="10.5" customHeight="1" x14ac:dyDescent="0.25">
      <c r="B18" s="8" t="s">
        <v>1</v>
      </c>
      <c r="C18" s="3"/>
      <c r="D18" s="3"/>
      <c r="E18" s="3"/>
      <c r="F18" s="3"/>
      <c r="G18" s="3"/>
      <c r="H18" s="10"/>
      <c r="I18" s="3"/>
    </row>
    <row r="19" spans="2:22" ht="7.5" customHeight="1" x14ac:dyDescent="0.25">
      <c r="B19" s="8"/>
      <c r="C19" s="3"/>
      <c r="D19" s="3"/>
      <c r="E19" s="3"/>
      <c r="F19" s="3"/>
      <c r="G19" s="3"/>
      <c r="H19" s="10"/>
      <c r="I19" s="3"/>
    </row>
    <row r="20" spans="2:22" ht="10.5" customHeight="1" x14ac:dyDescent="0.25">
      <c r="B20" s="17" t="s">
        <v>37</v>
      </c>
      <c r="C20" s="3"/>
      <c r="D20" s="3"/>
      <c r="E20" s="3"/>
      <c r="F20" s="3"/>
      <c r="G20" s="3"/>
      <c r="H20" s="10"/>
      <c r="I20" s="3"/>
    </row>
    <row r="21" spans="2:22" ht="12.25" customHeight="1" x14ac:dyDescent="0.25">
      <c r="B21" s="2" t="s">
        <v>2</v>
      </c>
      <c r="C21" s="3">
        <f>+V51</f>
        <v>14428308</v>
      </c>
      <c r="D21" s="3"/>
      <c r="E21" s="3">
        <v>8689091</v>
      </c>
      <c r="F21" s="3"/>
      <c r="G21" s="3">
        <f>+E21-C21</f>
        <v>-5739217</v>
      </c>
      <c r="H21" s="10">
        <f>+G21/C21</f>
        <v>-0.39777477719494203</v>
      </c>
      <c r="I21" s="3"/>
      <c r="R21" s="325">
        <f>+C32-V35</f>
        <v>0</v>
      </c>
    </row>
    <row r="22" spans="2:22" ht="12.25" customHeight="1" x14ac:dyDescent="0.25">
      <c r="B22" s="2" t="s">
        <v>61</v>
      </c>
      <c r="C22" s="3">
        <f>-408000</f>
        <v>-408000</v>
      </c>
      <c r="D22" s="3"/>
      <c r="E22" s="3">
        <v>-408000</v>
      </c>
      <c r="F22" s="3"/>
      <c r="G22" s="3">
        <f>+E22-C22</f>
        <v>0</v>
      </c>
      <c r="H22" s="10">
        <v>0</v>
      </c>
      <c r="I22" s="3"/>
    </row>
    <row r="23" spans="2:22" ht="12.25" customHeight="1" x14ac:dyDescent="0.25">
      <c r="B23" s="2"/>
      <c r="C23" s="31">
        <f>SUM(C21:C22)</f>
        <v>14020308</v>
      </c>
      <c r="D23" s="32"/>
      <c r="E23" s="31">
        <v>8281091</v>
      </c>
      <c r="F23" s="32"/>
      <c r="G23" s="31">
        <f>SUM(G21:G22)</f>
        <v>-5739217</v>
      </c>
      <c r="H23" s="33">
        <f>+G23/C23</f>
        <v>-0.40935027960869336</v>
      </c>
      <c r="I23" s="3"/>
    </row>
    <row r="24" spans="2:22" ht="9" customHeight="1" x14ac:dyDescent="0.25">
      <c r="B24" s="2"/>
      <c r="C24" s="3"/>
      <c r="D24" s="3"/>
      <c r="E24" s="3"/>
      <c r="F24" s="3"/>
      <c r="G24" s="3"/>
      <c r="H24" s="10"/>
      <c r="I24" s="3"/>
    </row>
    <row r="25" spans="2:22" ht="10.5" hidden="1" customHeight="1" x14ac:dyDescent="0.25">
      <c r="B25" s="2" t="s">
        <v>44</v>
      </c>
      <c r="C25" s="3">
        <v>0</v>
      </c>
      <c r="D25" s="19"/>
      <c r="E25" s="3">
        <v>0</v>
      </c>
      <c r="F25" s="19"/>
      <c r="G25" s="19">
        <f>+E25-C25</f>
        <v>0</v>
      </c>
      <c r="H25" s="10">
        <v>0</v>
      </c>
      <c r="I25" s="3"/>
    </row>
    <row r="26" spans="2:22" ht="10.5" hidden="1" customHeight="1" x14ac:dyDescent="0.25">
      <c r="B26" s="2" t="s">
        <v>348</v>
      </c>
      <c r="C26" s="3">
        <v>0</v>
      </c>
      <c r="D26" s="19"/>
      <c r="E26" s="3">
        <v>0</v>
      </c>
      <c r="F26" s="19"/>
      <c r="G26" s="19">
        <f>+E26-C26</f>
        <v>0</v>
      </c>
      <c r="H26" s="10" t="s">
        <v>33</v>
      </c>
      <c r="I26" s="3"/>
    </row>
    <row r="27" spans="2:22" ht="10.5" customHeight="1" x14ac:dyDescent="0.25">
      <c r="B27" s="2" t="s">
        <v>500</v>
      </c>
      <c r="C27" s="3">
        <f>+V47</f>
        <v>6688000</v>
      </c>
      <c r="D27" s="19"/>
      <c r="E27" s="3">
        <v>3232000</v>
      </c>
      <c r="F27" s="19"/>
      <c r="G27" s="19"/>
      <c r="H27" s="10" t="s">
        <v>33</v>
      </c>
      <c r="I27" s="3"/>
    </row>
    <row r="28" spans="2:22" ht="10.5" customHeight="1" x14ac:dyDescent="0.25">
      <c r="C28" s="3"/>
      <c r="D28" s="19"/>
      <c r="E28" s="3"/>
      <c r="F28" s="19"/>
      <c r="G28" s="19">
        <f>+E28-C28</f>
        <v>0</v>
      </c>
      <c r="H28" s="10" t="s">
        <v>33</v>
      </c>
      <c r="I28" s="3"/>
    </row>
    <row r="29" spans="2:22" s="54" customFormat="1" ht="10.5" customHeight="1" x14ac:dyDescent="0.3">
      <c r="B29" s="8" t="s">
        <v>223</v>
      </c>
      <c r="C29" s="19"/>
      <c r="D29" s="19"/>
      <c r="E29" s="19"/>
      <c r="F29" s="19"/>
      <c r="G29" s="19"/>
      <c r="H29" s="10" t="s">
        <v>33</v>
      </c>
      <c r="I29" s="19"/>
      <c r="M29" s="992"/>
      <c r="N29" s="992"/>
    </row>
    <row r="30" spans="2:22" ht="10.5" customHeight="1" x14ac:dyDescent="0.25">
      <c r="B30" s="8" t="s">
        <v>76</v>
      </c>
      <c r="C30" s="3">
        <f>+V54</f>
        <v>9541969</v>
      </c>
      <c r="D30" s="19"/>
      <c r="E30" s="3">
        <v>10985284</v>
      </c>
      <c r="F30" s="19"/>
      <c r="G30" s="3">
        <f>+E30-C30</f>
        <v>1443315</v>
      </c>
      <c r="H30" s="10">
        <f>+G30/C30</f>
        <v>0.1512596613969297</v>
      </c>
      <c r="I30" s="3"/>
    </row>
    <row r="31" spans="2:22" ht="10.5" customHeight="1" x14ac:dyDescent="0.25">
      <c r="B31" s="2"/>
      <c r="C31" s="3"/>
      <c r="D31" s="3"/>
      <c r="E31" s="3"/>
      <c r="F31" s="3"/>
      <c r="G31" s="3"/>
      <c r="H31" s="10"/>
      <c r="I31" s="3"/>
    </row>
    <row r="32" spans="2:22" ht="15" thickBot="1" x14ac:dyDescent="0.4">
      <c r="B32" s="26" t="s">
        <v>3</v>
      </c>
      <c r="C32" s="34">
        <f>+C11+C16+C23+C25+C30+C26+C27</f>
        <v>91939379.909999996</v>
      </c>
      <c r="D32" s="34" t="s">
        <v>33</v>
      </c>
      <c r="E32" s="34">
        <v>84326483.810000002</v>
      </c>
      <c r="F32" s="34" t="s">
        <v>33</v>
      </c>
      <c r="G32" s="35">
        <f>-C32+E32</f>
        <v>-7612896.099999994</v>
      </c>
      <c r="H32" s="36">
        <f>+G32/C32</f>
        <v>-8.2803430993903845E-2</v>
      </c>
      <c r="I32" s="3"/>
      <c r="Q32" s="1639" t="s">
        <v>498</v>
      </c>
      <c r="R32" s="1640"/>
      <c r="S32" s="1640"/>
      <c r="T32" s="1640"/>
      <c r="U32" s="1640"/>
      <c r="V32" s="1640"/>
    </row>
    <row r="33" spans="2:22" ht="9.75" customHeight="1" thickTop="1" x14ac:dyDescent="0.35">
      <c r="B33" s="2"/>
      <c r="C33" s="3"/>
      <c r="D33" s="3"/>
      <c r="E33" s="3"/>
      <c r="F33" s="3"/>
      <c r="G33" s="3"/>
      <c r="H33" s="10"/>
      <c r="I33" s="3"/>
      <c r="Q33" s="1641" t="s">
        <v>1601</v>
      </c>
      <c r="R33" s="1642"/>
      <c r="S33" s="1642"/>
      <c r="T33" s="1642"/>
      <c r="U33" s="1642"/>
      <c r="V33" s="1642"/>
    </row>
    <row r="34" spans="2:22" ht="10.5" customHeight="1" x14ac:dyDescent="0.25">
      <c r="B34" s="7" t="s">
        <v>4</v>
      </c>
      <c r="C34" s="3"/>
      <c r="D34" s="3"/>
      <c r="E34" s="3"/>
      <c r="F34" s="3"/>
      <c r="G34" s="3"/>
      <c r="H34" s="10"/>
      <c r="I34" s="3"/>
      <c r="Q34" s="1135" t="s">
        <v>499</v>
      </c>
      <c r="R34" s="1135" t="s">
        <v>460</v>
      </c>
      <c r="S34" s="1136" t="s">
        <v>969</v>
      </c>
      <c r="T34" s="1136" t="s">
        <v>970</v>
      </c>
      <c r="U34" s="1136" t="s">
        <v>971</v>
      </c>
      <c r="V34" s="1136" t="s">
        <v>972</v>
      </c>
    </row>
    <row r="35" spans="2:22" ht="8.5" customHeight="1" x14ac:dyDescent="0.25">
      <c r="B35" s="2"/>
      <c r="C35" s="3"/>
      <c r="D35" s="3"/>
      <c r="E35" s="3"/>
      <c r="F35" s="3"/>
      <c r="G35" s="3"/>
      <c r="H35" s="10"/>
      <c r="I35" s="3"/>
      <c r="Q35" s="1137" t="s">
        <v>973</v>
      </c>
      <c r="R35" s="1137" t="s">
        <v>974</v>
      </c>
      <c r="S35" s="1138">
        <v>84326483.810000002</v>
      </c>
      <c r="T35" s="1138">
        <v>73041703.700000003</v>
      </c>
      <c r="U35" s="1138">
        <v>65428807.600000001</v>
      </c>
      <c r="V35" s="1138">
        <v>91939379.909999996</v>
      </c>
    </row>
    <row r="36" spans="2:22" ht="11.25" customHeight="1" x14ac:dyDescent="0.25">
      <c r="B36" s="8" t="s">
        <v>5</v>
      </c>
      <c r="C36" s="3"/>
      <c r="D36" s="3"/>
      <c r="E36" s="3"/>
      <c r="F36" s="3"/>
      <c r="G36" s="3"/>
      <c r="H36" s="10"/>
      <c r="I36" s="3"/>
      <c r="Q36" s="1137" t="s">
        <v>975</v>
      </c>
      <c r="R36" s="1137" t="s">
        <v>976</v>
      </c>
      <c r="S36" s="1138">
        <v>50567680.840000004</v>
      </c>
      <c r="T36" s="1138">
        <v>32097501.68</v>
      </c>
      <c r="U36" s="1138">
        <v>31892969.600000001</v>
      </c>
      <c r="V36" s="1138">
        <v>50772212.920000002</v>
      </c>
    </row>
    <row r="37" spans="2:22" ht="12.25" customHeight="1" x14ac:dyDescent="0.25">
      <c r="B37" s="2" t="s">
        <v>34</v>
      </c>
      <c r="C37" s="3">
        <f>-V59</f>
        <v>677548</v>
      </c>
      <c r="D37" s="3"/>
      <c r="E37" s="3">
        <v>677548</v>
      </c>
      <c r="F37" s="3"/>
      <c r="G37" s="3">
        <f>+E37-C37</f>
        <v>0</v>
      </c>
      <c r="H37" s="10">
        <f>+G37/C37</f>
        <v>0</v>
      </c>
      <c r="I37" s="3"/>
      <c r="Q37" s="1137" t="s">
        <v>977</v>
      </c>
      <c r="R37" s="1137" t="s">
        <v>978</v>
      </c>
      <c r="S37" s="1138">
        <v>200000</v>
      </c>
      <c r="T37" s="1138">
        <v>0</v>
      </c>
      <c r="U37" s="1138">
        <v>0</v>
      </c>
      <c r="V37" s="1138">
        <v>200000</v>
      </c>
    </row>
    <row r="38" spans="2:22" ht="11.25" customHeight="1" x14ac:dyDescent="0.25">
      <c r="B38" s="2" t="s">
        <v>11</v>
      </c>
      <c r="C38" s="3">
        <f>-V64</f>
        <v>135159.06000000099</v>
      </c>
      <c r="D38" s="3"/>
      <c r="E38" s="3">
        <v>274160.06</v>
      </c>
      <c r="F38" s="3"/>
      <c r="G38" s="3">
        <f>-C38+E38</f>
        <v>139000.99999999901</v>
      </c>
      <c r="H38" s="10">
        <f>+G38/C38</f>
        <v>1.0284253234670173</v>
      </c>
      <c r="I38" s="3"/>
      <c r="Q38" s="1137" t="s">
        <v>979</v>
      </c>
      <c r="R38" s="1137" t="s">
        <v>980</v>
      </c>
      <c r="S38" s="1138">
        <v>200000</v>
      </c>
      <c r="T38" s="1138">
        <v>0</v>
      </c>
      <c r="U38" s="1138">
        <v>0</v>
      </c>
      <c r="V38" s="1138">
        <v>200000</v>
      </c>
    </row>
    <row r="39" spans="2:22" ht="12.25" customHeight="1" x14ac:dyDescent="0.25">
      <c r="B39" s="2" t="s">
        <v>73</v>
      </c>
      <c r="C39" s="3">
        <v>0</v>
      </c>
      <c r="D39" s="3"/>
      <c r="E39" s="3">
        <v>0</v>
      </c>
      <c r="F39" s="3"/>
      <c r="G39" s="3"/>
      <c r="H39" s="10"/>
      <c r="I39" s="3"/>
      <c r="Q39" s="1137" t="s">
        <v>981</v>
      </c>
      <c r="R39" s="1137" t="s">
        <v>982</v>
      </c>
      <c r="S39" s="1138">
        <v>50367680.840000004</v>
      </c>
      <c r="T39" s="1138">
        <v>32097501.68</v>
      </c>
      <c r="U39" s="1138">
        <v>31892969.600000001</v>
      </c>
      <c r="V39" s="1138">
        <v>50572212.920000002</v>
      </c>
    </row>
    <row r="40" spans="2:22" ht="12.25" customHeight="1" x14ac:dyDescent="0.25">
      <c r="B40" s="2"/>
      <c r="C40" s="31">
        <f>SUM(C37:C39)</f>
        <v>812707.06000000099</v>
      </c>
      <c r="D40" s="32"/>
      <c r="E40" s="31">
        <v>951708.06</v>
      </c>
      <c r="F40" s="32"/>
      <c r="G40" s="31">
        <f>SUM(G37:G38)</f>
        <v>139000.99999999901</v>
      </c>
      <c r="H40" s="33">
        <f>+G40/C40</f>
        <v>0.17103456687087085</v>
      </c>
      <c r="I40" s="3"/>
      <c r="Q40" s="1137" t="s">
        <v>983</v>
      </c>
      <c r="R40" s="1137" t="s">
        <v>984</v>
      </c>
      <c r="S40" s="1138">
        <v>50367680.840000004</v>
      </c>
      <c r="T40" s="1138">
        <v>32097501.68</v>
      </c>
      <c r="U40" s="1138">
        <v>31892969.600000001</v>
      </c>
      <c r="V40" s="1138">
        <v>50572212.920000002</v>
      </c>
    </row>
    <row r="41" spans="2:22" ht="12" customHeight="1" x14ac:dyDescent="0.25">
      <c r="B41" s="8" t="s">
        <v>568</v>
      </c>
      <c r="C41" s="3"/>
      <c r="D41" s="3"/>
      <c r="E41" s="3"/>
      <c r="F41" s="3"/>
      <c r="G41" s="3"/>
      <c r="H41" s="10"/>
      <c r="I41" s="3"/>
      <c r="Q41" s="1137" t="s">
        <v>985</v>
      </c>
      <c r="R41" s="1137" t="s">
        <v>986</v>
      </c>
      <c r="S41" s="1138">
        <v>50367680.840000004</v>
      </c>
      <c r="T41" s="1138">
        <v>32097501.68</v>
      </c>
      <c r="U41" s="1138">
        <v>31892969.600000001</v>
      </c>
      <c r="V41" s="1138">
        <v>50572212.920000002</v>
      </c>
    </row>
    <row r="42" spans="2:22" ht="11.25" customHeight="1" x14ac:dyDescent="0.25">
      <c r="B42" s="8" t="s">
        <v>74</v>
      </c>
      <c r="C42" s="3"/>
      <c r="D42" s="3"/>
      <c r="E42" s="3"/>
      <c r="F42" s="3"/>
      <c r="G42" s="3"/>
      <c r="H42" s="10"/>
      <c r="I42" s="3"/>
      <c r="J42" s="1633" t="s">
        <v>962</v>
      </c>
      <c r="K42" s="1634"/>
      <c r="Q42" s="1137" t="s">
        <v>987</v>
      </c>
      <c r="R42" s="1137" t="s">
        <v>988</v>
      </c>
      <c r="S42" s="1138">
        <v>10852427.970000001</v>
      </c>
      <c r="T42" s="1138">
        <v>64462.02</v>
      </c>
      <c r="U42" s="1138">
        <v>0</v>
      </c>
      <c r="V42" s="1138">
        <v>10916889.99</v>
      </c>
    </row>
    <row r="43" spans="2:22" s="145" customFormat="1" ht="11.25" customHeight="1" x14ac:dyDescent="0.25">
      <c r="B43" s="289" t="s">
        <v>75</v>
      </c>
      <c r="C43" s="3">
        <v>0</v>
      </c>
      <c r="D43" s="3"/>
      <c r="E43" s="3">
        <v>0</v>
      </c>
      <c r="F43" s="3"/>
      <c r="G43" s="3"/>
      <c r="H43" s="10"/>
      <c r="I43" s="404"/>
      <c r="J43" s="302" t="s">
        <v>773</v>
      </c>
      <c r="K43" s="638">
        <f>-49920464</f>
        <v>-49920464</v>
      </c>
      <c r="L43"/>
      <c r="M43" s="325">
        <v>31805050</v>
      </c>
      <c r="N43" s="325"/>
      <c r="O43"/>
      <c r="Q43" s="1137" t="s">
        <v>989</v>
      </c>
      <c r="R43" s="1137" t="s">
        <v>990</v>
      </c>
      <c r="S43" s="1138">
        <v>10852427.970000001</v>
      </c>
      <c r="T43" s="1138">
        <v>64462.02</v>
      </c>
      <c r="U43" s="1138">
        <v>0</v>
      </c>
      <c r="V43" s="1138">
        <v>10916889.99</v>
      </c>
    </row>
    <row r="44" spans="2:22" s="145" customFormat="1" ht="11.25" customHeight="1" x14ac:dyDescent="0.25">
      <c r="B44" s="289" t="s">
        <v>58</v>
      </c>
      <c r="C44" s="3">
        <v>8550122</v>
      </c>
      <c r="D44" s="3"/>
      <c r="E44" s="3">
        <v>8550122</v>
      </c>
      <c r="F44" s="3"/>
      <c r="G44" s="3">
        <f>-C44+E44</f>
        <v>0</v>
      </c>
      <c r="H44" s="10" t="s">
        <v>960</v>
      </c>
      <c r="I44" s="404"/>
      <c r="J44" s="639" t="s">
        <v>963</v>
      </c>
      <c r="K44" s="640">
        <v>-893269.33</v>
      </c>
      <c r="L44"/>
      <c r="M44" s="325">
        <v>-248452.74</v>
      </c>
      <c r="N44" s="325"/>
      <c r="O44"/>
      <c r="Q44" s="1137" t="s">
        <v>991</v>
      </c>
      <c r="R44" s="1137" t="s">
        <v>992</v>
      </c>
      <c r="S44" s="1138">
        <v>10852427.970000001</v>
      </c>
      <c r="T44" s="1138">
        <v>64462.02</v>
      </c>
      <c r="U44" s="1138">
        <v>0</v>
      </c>
      <c r="V44" s="1138">
        <v>10916889.99</v>
      </c>
    </row>
    <row r="45" spans="2:22" s="145" customFormat="1" ht="11.25" customHeight="1" x14ac:dyDescent="0.25">
      <c r="B45" s="289" t="s">
        <v>220</v>
      </c>
      <c r="C45" s="3">
        <v>0</v>
      </c>
      <c r="D45" s="3"/>
      <c r="E45" s="3">
        <v>0</v>
      </c>
      <c r="F45" s="3"/>
      <c r="G45" s="3">
        <f>-C45+E45</f>
        <v>0</v>
      </c>
      <c r="H45" s="10" t="s">
        <v>961</v>
      </c>
      <c r="I45" s="404"/>
      <c r="J45" s="641" t="s">
        <v>964</v>
      </c>
      <c r="K45" s="642">
        <f>SUM(K43:K44)</f>
        <v>-50813733.329999998</v>
      </c>
      <c r="L45"/>
      <c r="M45" s="325">
        <v>-8550122</v>
      </c>
      <c r="N45" s="325"/>
      <c r="O45"/>
      <c r="Q45" s="1137" t="s">
        <v>993</v>
      </c>
      <c r="R45" s="1137" t="s">
        <v>994</v>
      </c>
      <c r="S45" s="1138">
        <v>11921091</v>
      </c>
      <c r="T45" s="1138">
        <v>40879740</v>
      </c>
      <c r="U45" s="1138">
        <v>32092523</v>
      </c>
      <c r="V45" s="1138">
        <v>20708308</v>
      </c>
    </row>
    <row r="46" spans="2:22" s="145" customFormat="1" ht="11.25" customHeight="1" x14ac:dyDescent="0.25">
      <c r="B46" s="289" t="s">
        <v>224</v>
      </c>
      <c r="C46" s="3">
        <v>44870844.759999998</v>
      </c>
      <c r="D46" s="3"/>
      <c r="E46" s="3">
        <v>44870844.759999998</v>
      </c>
      <c r="F46" s="3"/>
      <c r="G46" s="3">
        <f>-C46+E46</f>
        <v>0</v>
      </c>
      <c r="H46" s="10"/>
      <c r="I46" s="404"/>
      <c r="J46" s="639" t="s">
        <v>965</v>
      </c>
      <c r="K46" s="643"/>
      <c r="L46"/>
      <c r="M46" s="325">
        <f>SUM(M43:M45)</f>
        <v>23006475.260000002</v>
      </c>
      <c r="N46" s="325">
        <f>+M46+E46</f>
        <v>67877320.019999996</v>
      </c>
      <c r="O46"/>
      <c r="Q46" s="1137" t="s">
        <v>1602</v>
      </c>
      <c r="R46" s="1137" t="s">
        <v>1603</v>
      </c>
      <c r="S46" s="1138">
        <v>3232000</v>
      </c>
      <c r="T46" s="1138">
        <v>3456000</v>
      </c>
      <c r="U46" s="1138">
        <v>0</v>
      </c>
      <c r="V46" s="1138">
        <v>6688000</v>
      </c>
    </row>
    <row r="47" spans="2:22" s="145" customFormat="1" ht="11.25" customHeight="1" x14ac:dyDescent="0.25">
      <c r="B47" s="289" t="s">
        <v>1399</v>
      </c>
      <c r="C47" s="3">
        <f>-V86</f>
        <v>14999996</v>
      </c>
      <c r="D47" s="3"/>
      <c r="E47" s="3">
        <v>7500003</v>
      </c>
      <c r="F47" s="3"/>
      <c r="G47" s="3">
        <f>-C47+E47</f>
        <v>-7499993</v>
      </c>
      <c r="H47" s="10"/>
      <c r="I47" s="404"/>
      <c r="J47" s="302" t="s">
        <v>75</v>
      </c>
      <c r="K47" s="640">
        <v>7425682</v>
      </c>
      <c r="L47"/>
      <c r="M47" s="325"/>
      <c r="N47" s="325"/>
      <c r="O47"/>
      <c r="Q47" s="1137" t="s">
        <v>1604</v>
      </c>
      <c r="R47" s="1137" t="s">
        <v>1605</v>
      </c>
      <c r="S47" s="1138">
        <v>3232000</v>
      </c>
      <c r="T47" s="1138">
        <v>3456000</v>
      </c>
      <c r="U47" s="1138">
        <v>0</v>
      </c>
      <c r="V47" s="1138">
        <v>6688000</v>
      </c>
    </row>
    <row r="48" spans="2:22" ht="11.25" customHeight="1" x14ac:dyDescent="0.25">
      <c r="B48" s="8" t="s">
        <v>569</v>
      </c>
      <c r="C48" s="31">
        <f>SUM(C43:C47)</f>
        <v>68420962.75999999</v>
      </c>
      <c r="D48" s="32"/>
      <c r="E48" s="31">
        <v>60920969.759999998</v>
      </c>
      <c r="F48" s="32"/>
      <c r="G48" s="31">
        <f>SUM(G44:G45)</f>
        <v>0</v>
      </c>
      <c r="H48" s="33">
        <f>+G48/C48</f>
        <v>0</v>
      </c>
      <c r="I48" s="3"/>
      <c r="J48" s="302" t="s">
        <v>58</v>
      </c>
      <c r="K48" s="640">
        <v>8550122</v>
      </c>
      <c r="Q48" s="1137" t="s">
        <v>1606</v>
      </c>
      <c r="R48" s="1137" t="s">
        <v>1607</v>
      </c>
      <c r="S48" s="1138">
        <v>3232000</v>
      </c>
      <c r="T48" s="1138">
        <v>3456000</v>
      </c>
      <c r="U48" s="1138">
        <v>0</v>
      </c>
      <c r="V48" s="1138">
        <v>6688000</v>
      </c>
    </row>
    <row r="49" spans="2:22" ht="9" customHeight="1" x14ac:dyDescent="0.25">
      <c r="B49" s="2"/>
      <c r="C49" s="3"/>
      <c r="D49" s="3"/>
      <c r="E49" s="3"/>
      <c r="F49" s="3"/>
      <c r="G49" s="3"/>
      <c r="H49" s="10"/>
      <c r="I49" s="3"/>
      <c r="J49" s="302" t="s">
        <v>220</v>
      </c>
      <c r="K49" s="640">
        <v>3837291</v>
      </c>
      <c r="Q49" s="1137" t="s">
        <v>995</v>
      </c>
      <c r="R49" s="1137" t="s">
        <v>996</v>
      </c>
      <c r="S49" s="1138">
        <v>8689091</v>
      </c>
      <c r="T49" s="1138">
        <v>37423740</v>
      </c>
      <c r="U49" s="1138">
        <v>32092523</v>
      </c>
      <c r="V49" s="1138">
        <v>14020308</v>
      </c>
    </row>
    <row r="50" spans="2:22" ht="11.25" customHeight="1" x14ac:dyDescent="0.25">
      <c r="B50" s="8" t="s">
        <v>57</v>
      </c>
      <c r="C50" s="3"/>
      <c r="D50" s="3"/>
      <c r="E50" s="3"/>
      <c r="F50" s="3"/>
      <c r="G50" s="3"/>
      <c r="H50" s="10"/>
      <c r="I50" s="3"/>
      <c r="J50" s="302" t="s">
        <v>224</v>
      </c>
      <c r="K50" s="640">
        <v>23006463.5</v>
      </c>
      <c r="Q50" s="1137" t="s">
        <v>997</v>
      </c>
      <c r="R50" s="1137" t="s">
        <v>998</v>
      </c>
      <c r="S50" s="1138">
        <v>8689091</v>
      </c>
      <c r="T50" s="1138">
        <v>37423740</v>
      </c>
      <c r="U50" s="1138">
        <v>32092523</v>
      </c>
      <c r="V50" s="1138">
        <v>14020308</v>
      </c>
    </row>
    <row r="51" spans="2:22" ht="11.25" customHeight="1" x14ac:dyDescent="0.25">
      <c r="B51" s="2" t="s">
        <v>221</v>
      </c>
      <c r="C51" s="3">
        <v>0</v>
      </c>
      <c r="D51" s="3"/>
      <c r="E51" s="3">
        <v>0</v>
      </c>
      <c r="F51" s="3"/>
      <c r="G51" s="3">
        <f>+E51-C51</f>
        <v>0</v>
      </c>
      <c r="H51" s="10">
        <v>0</v>
      </c>
      <c r="I51" s="3"/>
      <c r="J51" s="302" t="s">
        <v>966</v>
      </c>
      <c r="K51" s="640">
        <v>7994163.0700000003</v>
      </c>
      <c r="Q51" s="1137" t="s">
        <v>999</v>
      </c>
      <c r="R51" s="1137" t="s">
        <v>1000</v>
      </c>
      <c r="S51" s="1138">
        <v>8689091</v>
      </c>
      <c r="T51" s="1138">
        <v>37423740</v>
      </c>
      <c r="U51" s="1138">
        <v>31684523</v>
      </c>
      <c r="V51" s="1138">
        <v>14428308</v>
      </c>
    </row>
    <row r="52" spans="2:22" ht="11.25" customHeight="1" x14ac:dyDescent="0.25">
      <c r="B52" s="38" t="s">
        <v>59</v>
      </c>
      <c r="C52" s="40">
        <f>SUM(C51:C51)</f>
        <v>0</v>
      </c>
      <c r="D52" s="40" t="s">
        <v>33</v>
      </c>
      <c r="E52" s="40">
        <v>0</v>
      </c>
      <c r="F52" s="19"/>
      <c r="G52" s="20">
        <f>SUM(G51:G51)</f>
        <v>0</v>
      </c>
      <c r="H52" s="21">
        <v>0</v>
      </c>
      <c r="I52" s="3"/>
      <c r="J52" s="644" t="s">
        <v>967</v>
      </c>
      <c r="K52" s="645">
        <f>SUM(K47:K51)</f>
        <v>50813721.57</v>
      </c>
      <c r="M52" s="325">
        <v>31805050</v>
      </c>
      <c r="N52" s="325">
        <v>32115454.829999998</v>
      </c>
      <c r="Q52" s="1137" t="s">
        <v>1608</v>
      </c>
      <c r="R52" s="1137" t="s">
        <v>1609</v>
      </c>
      <c r="S52" s="1138">
        <v>0</v>
      </c>
      <c r="T52" s="1138">
        <v>0</v>
      </c>
      <c r="U52" s="1138">
        <v>408000</v>
      </c>
      <c r="V52" s="1138">
        <v>-408000</v>
      </c>
    </row>
    <row r="53" spans="2:22" ht="12" customHeight="1" thickBot="1" x14ac:dyDescent="0.3">
      <c r="B53" s="26" t="s">
        <v>6</v>
      </c>
      <c r="C53" s="35">
        <f>+C40+C48+C52</f>
        <v>69233669.819999993</v>
      </c>
      <c r="D53" s="32"/>
      <c r="E53" s="35">
        <v>61872677.82</v>
      </c>
      <c r="F53" s="32"/>
      <c r="G53" s="35">
        <f>+E53-C53</f>
        <v>-7360991.9999999925</v>
      </c>
      <c r="H53" s="37">
        <f>+G53/C53</f>
        <v>-0.10632098542714506</v>
      </c>
      <c r="I53" s="3"/>
      <c r="M53" s="325">
        <v>-8550122</v>
      </c>
      <c r="N53" s="325">
        <v>-8550122</v>
      </c>
      <c r="Q53" s="1137" t="s">
        <v>1006</v>
      </c>
      <c r="R53" s="1137" t="s">
        <v>1007</v>
      </c>
      <c r="S53" s="1138">
        <v>10985284</v>
      </c>
      <c r="T53" s="1138">
        <v>0</v>
      </c>
      <c r="U53" s="1138">
        <v>1443315</v>
      </c>
      <c r="V53" s="1138">
        <v>9541969</v>
      </c>
    </row>
    <row r="54" spans="2:22" ht="8.5" customHeight="1" thickTop="1" x14ac:dyDescent="0.25">
      <c r="B54" s="2"/>
      <c r="C54" s="3"/>
      <c r="D54" s="3"/>
      <c r="E54" s="3"/>
      <c r="F54" s="3"/>
      <c r="G54" s="3"/>
      <c r="H54" s="10"/>
      <c r="I54" s="3"/>
      <c r="J54" s="1633" t="s">
        <v>1401</v>
      </c>
      <c r="K54" s="1634"/>
      <c r="M54" s="325">
        <v>-248452.74</v>
      </c>
      <c r="N54" s="325">
        <v>-23006475.260000002</v>
      </c>
      <c r="Q54" s="1137" t="s">
        <v>1008</v>
      </c>
      <c r="R54" s="1137" t="s">
        <v>1009</v>
      </c>
      <c r="S54" s="1138">
        <v>10985284</v>
      </c>
      <c r="T54" s="1138">
        <v>0</v>
      </c>
      <c r="U54" s="1138">
        <v>1443315</v>
      </c>
      <c r="V54" s="1138">
        <v>9541969</v>
      </c>
    </row>
    <row r="55" spans="2:22" ht="11.25" customHeight="1" x14ac:dyDescent="0.25">
      <c r="B55" s="7" t="s">
        <v>7</v>
      </c>
      <c r="C55" s="3"/>
      <c r="D55" s="3"/>
      <c r="E55" s="3"/>
      <c r="F55" s="3"/>
      <c r="G55" s="3"/>
      <c r="H55" s="10"/>
      <c r="I55" s="3"/>
      <c r="J55" s="302" t="s">
        <v>773</v>
      </c>
      <c r="K55" s="638">
        <f>-49920464</f>
        <v>-49920464</v>
      </c>
      <c r="M55" s="325">
        <f>SUM(M52:M54)</f>
        <v>23006475.260000002</v>
      </c>
      <c r="N55" s="325">
        <f>SUM(N52:N54)</f>
        <v>558857.56999999657</v>
      </c>
      <c r="Q55" s="1137" t="s">
        <v>1010</v>
      </c>
      <c r="R55" s="1137" t="s">
        <v>1011</v>
      </c>
      <c r="S55" s="1138">
        <v>10985284</v>
      </c>
      <c r="T55" s="1138">
        <v>0</v>
      </c>
      <c r="U55" s="1138">
        <v>1443315</v>
      </c>
      <c r="V55" s="1138">
        <v>9541969</v>
      </c>
    </row>
    <row r="56" spans="2:22" ht="11.25" customHeight="1" x14ac:dyDescent="0.25">
      <c r="B56" s="2" t="s">
        <v>12</v>
      </c>
      <c r="C56" s="3">
        <f>-V87</f>
        <v>10648443.880000001</v>
      </c>
      <c r="D56" s="3"/>
      <c r="E56" s="3">
        <v>10351087.880000001</v>
      </c>
      <c r="F56" s="3"/>
      <c r="G56" s="3">
        <f>+E56-C56</f>
        <v>-297356</v>
      </c>
      <c r="H56" s="10">
        <f>+G56/C56</f>
        <v>-2.7924831397993899E-2</v>
      </c>
      <c r="I56" s="3"/>
      <c r="J56" s="639" t="s">
        <v>963</v>
      </c>
      <c r="K56" s="640">
        <v>-893269.33</v>
      </c>
      <c r="M56" s="325">
        <v>-23006373.379999999</v>
      </c>
      <c r="Q56" s="1137" t="s">
        <v>1012</v>
      </c>
      <c r="R56" s="1137" t="s">
        <v>357</v>
      </c>
      <c r="S56" s="1138">
        <v>10985284</v>
      </c>
      <c r="T56" s="1138">
        <v>0</v>
      </c>
      <c r="U56" s="1138">
        <v>1443315</v>
      </c>
      <c r="V56" s="1138">
        <v>9541969</v>
      </c>
    </row>
    <row r="57" spans="2:22" ht="11.25" customHeight="1" x14ac:dyDescent="0.25">
      <c r="B57" s="2" t="s">
        <v>38</v>
      </c>
      <c r="C57" s="3">
        <v>0</v>
      </c>
      <c r="D57" s="3"/>
      <c r="E57" s="3">
        <v>0</v>
      </c>
      <c r="F57" s="3"/>
      <c r="G57" s="3">
        <f>+E57-C57</f>
        <v>0</v>
      </c>
      <c r="H57" s="10" t="s">
        <v>961</v>
      </c>
      <c r="I57" s="3"/>
      <c r="J57" s="641" t="s">
        <v>964</v>
      </c>
      <c r="K57" s="642">
        <f>SUM(K55:K56)</f>
        <v>-50813733.329999998</v>
      </c>
      <c r="M57" s="325">
        <f>+M55+M56</f>
        <v>101.88000000268221</v>
      </c>
      <c r="Q57" s="1137" t="s">
        <v>1013</v>
      </c>
      <c r="R57" s="1137" t="s">
        <v>234</v>
      </c>
      <c r="S57" s="1138">
        <v>-61872677.82</v>
      </c>
      <c r="T57" s="1138">
        <v>808452</v>
      </c>
      <c r="U57" s="1138">
        <v>8169444</v>
      </c>
      <c r="V57" s="1138">
        <v>-69233669.819999993</v>
      </c>
    </row>
    <row r="58" spans="2:22" s="145" customFormat="1" x14ac:dyDescent="0.25">
      <c r="B58" s="289" t="s">
        <v>772</v>
      </c>
      <c r="C58" s="404">
        <f>+'[3]ESTADO DE RESULTADOS'!L68-C59+0.12</f>
        <v>11808814.349999992</v>
      </c>
      <c r="D58" s="404"/>
      <c r="E58" s="404">
        <v>11854266.249999994</v>
      </c>
      <c r="F58" s="404"/>
      <c r="G58" s="404">
        <f>+E58-C58</f>
        <v>45451.900000002235</v>
      </c>
      <c r="H58" s="993">
        <f>+G58/C58</f>
        <v>3.8489808250734558E-3</v>
      </c>
      <c r="I58" s="404"/>
      <c r="J58" s="639" t="s">
        <v>965</v>
      </c>
      <c r="K58" s="643"/>
      <c r="M58" s="994"/>
      <c r="N58" s="994"/>
      <c r="Q58" s="1137" t="s">
        <v>1014</v>
      </c>
      <c r="R58" s="1137" t="s">
        <v>1015</v>
      </c>
      <c r="S58" s="1138">
        <v>-951708.06</v>
      </c>
      <c r="T58" s="1138">
        <v>808452</v>
      </c>
      <c r="U58" s="1138">
        <v>669451</v>
      </c>
      <c r="V58" s="1138">
        <v>-812707.06</v>
      </c>
    </row>
    <row r="59" spans="2:22" s="145" customFormat="1" x14ac:dyDescent="0.25">
      <c r="B59" s="289" t="s">
        <v>1400</v>
      </c>
      <c r="C59" s="404">
        <f>248452.74-0.88</f>
        <v>248451.86</v>
      </c>
      <c r="D59" s="404"/>
      <c r="E59" s="404">
        <v>248451.86</v>
      </c>
      <c r="F59" s="404"/>
      <c r="G59" s="404"/>
      <c r="H59" s="993" t="s">
        <v>961</v>
      </c>
      <c r="I59" s="404"/>
      <c r="J59" s="302" t="s">
        <v>75</v>
      </c>
      <c r="K59" s="640">
        <v>7425682</v>
      </c>
      <c r="M59" s="994"/>
      <c r="N59" s="994"/>
      <c r="Q59" s="1137" t="s">
        <v>1016</v>
      </c>
      <c r="R59" s="1137" t="s">
        <v>1017</v>
      </c>
      <c r="S59" s="1138">
        <v>-677548</v>
      </c>
      <c r="T59" s="1138">
        <v>534452</v>
      </c>
      <c r="U59" s="1138">
        <v>534452</v>
      </c>
      <c r="V59" s="1138">
        <v>-677548</v>
      </c>
    </row>
    <row r="60" spans="2:22" ht="11.25" customHeight="1" x14ac:dyDescent="0.25">
      <c r="B60" s="38" t="s">
        <v>39</v>
      </c>
      <c r="C60" s="31">
        <f>SUM(C56:C59)</f>
        <v>22705710.089999992</v>
      </c>
      <c r="D60" s="31" t="s">
        <v>33</v>
      </c>
      <c r="E60" s="31">
        <v>22453805.989999995</v>
      </c>
      <c r="F60" s="32"/>
      <c r="G60" s="31">
        <f>+E60-C60</f>
        <v>-251904.09999999776</v>
      </c>
      <c r="H60" s="33">
        <f>+G60/C60</f>
        <v>-1.1094306190007284E-2</v>
      </c>
      <c r="I60" s="3"/>
      <c r="J60" s="302" t="s">
        <v>58</v>
      </c>
      <c r="K60" s="640">
        <v>0</v>
      </c>
      <c r="Q60" s="1137" t="s">
        <v>1018</v>
      </c>
      <c r="R60" s="1137" t="s">
        <v>1019</v>
      </c>
      <c r="S60" s="1138">
        <v>-534252</v>
      </c>
      <c r="T60" s="1138">
        <v>534452</v>
      </c>
      <c r="U60" s="1138">
        <v>534452</v>
      </c>
      <c r="V60" s="1138">
        <v>-534252</v>
      </c>
    </row>
    <row r="61" spans="2:22" ht="8.25" customHeight="1" x14ac:dyDescent="0.25">
      <c r="B61" s="2"/>
      <c r="C61" s="3"/>
      <c r="D61" s="3"/>
      <c r="E61" s="3"/>
      <c r="F61" s="3"/>
      <c r="G61" s="3"/>
      <c r="H61" s="10"/>
      <c r="I61" s="3"/>
      <c r="J61" s="302" t="s">
        <v>220</v>
      </c>
      <c r="K61" s="640">
        <v>3837291</v>
      </c>
      <c r="Q61" s="1137" t="s">
        <v>1020</v>
      </c>
      <c r="R61" s="1137" t="s">
        <v>1019</v>
      </c>
      <c r="S61" s="1138">
        <v>-534252</v>
      </c>
      <c r="T61" s="1138">
        <v>534452</v>
      </c>
      <c r="U61" s="1138">
        <v>534452</v>
      </c>
      <c r="V61" s="1138">
        <v>-534252</v>
      </c>
    </row>
    <row r="62" spans="2:22" ht="13.5" customHeight="1" thickBot="1" x14ac:dyDescent="0.3">
      <c r="B62" s="38" t="s">
        <v>8</v>
      </c>
      <c r="C62" s="35">
        <f>+C53+C60</f>
        <v>91939379.909999982</v>
      </c>
      <c r="D62" s="35" t="s">
        <v>33</v>
      </c>
      <c r="E62" s="35">
        <v>84326483.810000002</v>
      </c>
      <c r="F62" s="32"/>
      <c r="G62" s="35">
        <f>+E62-C62</f>
        <v>-7612896.0999999791</v>
      </c>
      <c r="H62" s="36">
        <f>+G62/C62</f>
        <v>-8.2803430993903693E-2</v>
      </c>
      <c r="I62" s="3"/>
      <c r="J62" s="302" t="s">
        <v>224</v>
      </c>
      <c r="K62" s="640">
        <v>0</v>
      </c>
      <c r="M62" s="325">
        <v>31805050</v>
      </c>
      <c r="Q62" s="1137" t="s">
        <v>1021</v>
      </c>
      <c r="R62" s="1137" t="s">
        <v>998</v>
      </c>
      <c r="S62" s="1138">
        <v>-143296</v>
      </c>
      <c r="T62" s="1138">
        <v>0</v>
      </c>
      <c r="U62" s="1138">
        <v>0</v>
      </c>
      <c r="V62" s="1138">
        <v>-143296</v>
      </c>
    </row>
    <row r="63" spans="2:22" ht="9" customHeight="1" thickTop="1" x14ac:dyDescent="0.25">
      <c r="B63" s="2"/>
      <c r="C63" s="3"/>
      <c r="D63" s="3"/>
      <c r="E63" s="3"/>
      <c r="F63" s="3"/>
      <c r="G63" s="3"/>
      <c r="H63" s="10"/>
      <c r="I63" s="3"/>
      <c r="J63" s="302" t="s">
        <v>966</v>
      </c>
      <c r="K63" s="640">
        <v>7994163.0700000003</v>
      </c>
      <c r="M63" s="325">
        <v>-248452.74</v>
      </c>
      <c r="Q63" s="1137" t="s">
        <v>1022</v>
      </c>
      <c r="R63" s="1137" t="s">
        <v>998</v>
      </c>
      <c r="S63" s="1138">
        <v>-143296</v>
      </c>
      <c r="T63" s="1138">
        <v>0</v>
      </c>
      <c r="U63" s="1138">
        <v>0</v>
      </c>
      <c r="V63" s="1138">
        <v>-143296</v>
      </c>
    </row>
    <row r="64" spans="2:22" ht="9.75" customHeight="1" x14ac:dyDescent="0.25">
      <c r="B64" s="7"/>
      <c r="C64" s="3">
        <f>+C32-C62</f>
        <v>0</v>
      </c>
      <c r="D64" s="3"/>
      <c r="E64" s="3">
        <f>+E32-E62</f>
        <v>0</v>
      </c>
      <c r="F64" s="3"/>
      <c r="G64" s="3"/>
      <c r="H64" s="10"/>
      <c r="I64" s="3"/>
      <c r="J64" s="644" t="s">
        <v>967</v>
      </c>
      <c r="K64" s="645">
        <f>SUM(K59:K63)</f>
        <v>19257136.07</v>
      </c>
      <c r="Q64" s="1137" t="s">
        <v>1023</v>
      </c>
      <c r="R64" s="1137" t="s">
        <v>1024</v>
      </c>
      <c r="S64" s="1138">
        <v>-274160.06000000099</v>
      </c>
      <c r="T64" s="1138">
        <v>274000</v>
      </c>
      <c r="U64" s="1138">
        <v>134999</v>
      </c>
      <c r="V64" s="1138">
        <v>-135159.06000000099</v>
      </c>
    </row>
    <row r="65" spans="2:22" ht="9.75" customHeight="1" x14ac:dyDescent="0.25">
      <c r="B65" s="7"/>
      <c r="C65" s="3"/>
      <c r="D65" s="3"/>
      <c r="E65" s="3"/>
      <c r="F65" s="3"/>
      <c r="G65" s="3"/>
      <c r="H65" s="10"/>
      <c r="I65" s="3"/>
      <c r="J65" s="302" t="s">
        <v>1402</v>
      </c>
      <c r="K65" s="860">
        <v>31805050</v>
      </c>
      <c r="Q65" s="1137" t="s">
        <v>1025</v>
      </c>
      <c r="R65" s="1137" t="s">
        <v>1026</v>
      </c>
      <c r="S65" s="1138">
        <v>-135016</v>
      </c>
      <c r="T65" s="1138">
        <v>0</v>
      </c>
      <c r="U65" s="1138">
        <v>18803</v>
      </c>
      <c r="V65" s="1138">
        <v>-153819</v>
      </c>
    </row>
    <row r="66" spans="2:22" ht="9.75" customHeight="1" x14ac:dyDescent="0.25">
      <c r="B66" s="7"/>
      <c r="C66" s="3"/>
      <c r="D66" s="3"/>
      <c r="E66" s="3"/>
      <c r="F66" s="3"/>
      <c r="G66" s="3"/>
      <c r="H66" s="10"/>
      <c r="I66" s="3"/>
      <c r="J66" s="302" t="s">
        <v>1403</v>
      </c>
      <c r="K66" s="860">
        <f>+K64+K65</f>
        <v>51062186.07</v>
      </c>
      <c r="Q66" s="1137" t="s">
        <v>1027</v>
      </c>
      <c r="R66" s="1137" t="s">
        <v>1028</v>
      </c>
      <c r="S66" s="1138">
        <v>-135016</v>
      </c>
      <c r="T66" s="1138">
        <v>0</v>
      </c>
      <c r="U66" s="1138">
        <v>18803</v>
      </c>
      <c r="V66" s="1138">
        <v>-153819</v>
      </c>
    </row>
    <row r="67" spans="2:22" ht="11.25" customHeight="1" x14ac:dyDescent="0.25">
      <c r="B67" s="2" t="s">
        <v>456</v>
      </c>
      <c r="C67" s="3"/>
      <c r="D67" s="3"/>
      <c r="E67" s="3"/>
      <c r="F67" s="3"/>
      <c r="G67" s="3" t="s">
        <v>40</v>
      </c>
      <c r="H67" s="10"/>
      <c r="I67" s="3"/>
      <c r="J67" s="861" t="s">
        <v>1404</v>
      </c>
      <c r="K67" s="862">
        <f>+K57+K66</f>
        <v>248452.74000000209</v>
      </c>
      <c r="Q67" s="1137" t="s">
        <v>1029</v>
      </c>
      <c r="R67" s="1137" t="s">
        <v>1030</v>
      </c>
      <c r="S67" s="1138">
        <v>-838082</v>
      </c>
      <c r="T67" s="1138">
        <v>0</v>
      </c>
      <c r="U67" s="1138">
        <v>116196</v>
      </c>
      <c r="V67" s="1138">
        <v>-954278</v>
      </c>
    </row>
    <row r="68" spans="2:22" x14ac:dyDescent="0.25">
      <c r="B68" s="2" t="s">
        <v>119</v>
      </c>
      <c r="C68" s="2"/>
      <c r="D68" s="2"/>
      <c r="E68" s="2"/>
      <c r="F68" s="2"/>
      <c r="G68" s="1" t="s">
        <v>48</v>
      </c>
      <c r="H68" s="10"/>
      <c r="Q68" s="1137" t="s">
        <v>1031</v>
      </c>
      <c r="R68" s="1137" t="s">
        <v>1032</v>
      </c>
      <c r="S68" s="1138">
        <v>-45588</v>
      </c>
      <c r="T68" s="1138">
        <v>0</v>
      </c>
      <c r="U68" s="1138">
        <v>6492</v>
      </c>
      <c r="V68" s="1138">
        <v>-52080</v>
      </c>
    </row>
    <row r="69" spans="2:22" x14ac:dyDescent="0.25">
      <c r="C69" s="42"/>
      <c r="Q69" s="1137" t="s">
        <v>1033</v>
      </c>
      <c r="R69" s="1137" t="s">
        <v>1034</v>
      </c>
      <c r="S69" s="1138">
        <v>-457874</v>
      </c>
      <c r="T69" s="1138">
        <v>0</v>
      </c>
      <c r="U69" s="1138">
        <v>106634</v>
      </c>
      <c r="V69" s="1138">
        <v>-564508</v>
      </c>
    </row>
    <row r="70" spans="2:22" x14ac:dyDescent="0.25">
      <c r="C70" s="42"/>
      <c r="F70" s="98"/>
      <c r="Q70" s="1137" t="s">
        <v>1035</v>
      </c>
      <c r="R70" s="1137" t="s">
        <v>1036</v>
      </c>
      <c r="S70" s="1138">
        <v>-18420</v>
      </c>
      <c r="T70" s="1138">
        <v>0</v>
      </c>
      <c r="U70" s="1138">
        <v>3070</v>
      </c>
      <c r="V70" s="1138">
        <v>-21490</v>
      </c>
    </row>
    <row r="71" spans="2:22" x14ac:dyDescent="0.25">
      <c r="B71" s="1633" t="s">
        <v>962</v>
      </c>
      <c r="C71" s="1634"/>
      <c r="K71" s="640">
        <v>31805050</v>
      </c>
      <c r="Q71" s="1137" t="s">
        <v>1037</v>
      </c>
      <c r="R71" s="1137" t="s">
        <v>1038</v>
      </c>
      <c r="S71" s="1138">
        <v>-316200</v>
      </c>
      <c r="T71" s="1138">
        <v>0</v>
      </c>
      <c r="U71" s="1138">
        <v>0</v>
      </c>
      <c r="V71" s="1138">
        <v>-316200</v>
      </c>
    </row>
    <row r="72" spans="2:22" x14ac:dyDescent="0.25">
      <c r="B72" s="302" t="s">
        <v>773</v>
      </c>
      <c r="C72" s="638">
        <f>-49920464</f>
        <v>-49920464</v>
      </c>
      <c r="K72" s="640">
        <v>-248452.74</v>
      </c>
      <c r="Q72" s="1137" t="s">
        <v>1039</v>
      </c>
      <c r="R72" s="1137" t="s">
        <v>1040</v>
      </c>
      <c r="S72" s="1138">
        <v>-9817</v>
      </c>
      <c r="T72" s="1138">
        <v>0</v>
      </c>
      <c r="U72" s="1138">
        <v>0</v>
      </c>
      <c r="V72" s="1138">
        <v>-9817</v>
      </c>
    </row>
    <row r="73" spans="2:22" x14ac:dyDescent="0.25">
      <c r="B73" s="639" t="s">
        <v>963</v>
      </c>
      <c r="C73" s="640">
        <v>-893269.33</v>
      </c>
      <c r="K73" s="640">
        <v>-8550122</v>
      </c>
      <c r="Q73" s="1137" t="s">
        <v>1041</v>
      </c>
      <c r="R73" s="1137" t="s">
        <v>1042</v>
      </c>
      <c r="S73" s="1138">
        <v>-9817</v>
      </c>
      <c r="T73" s="1138">
        <v>0</v>
      </c>
      <c r="U73" s="1138">
        <v>0</v>
      </c>
      <c r="V73" s="1138">
        <v>-9817</v>
      </c>
    </row>
    <row r="74" spans="2:22" x14ac:dyDescent="0.25">
      <c r="B74" s="641" t="s">
        <v>964</v>
      </c>
      <c r="C74" s="642">
        <f>SUM(C72:C73)</f>
        <v>-50813733.329999998</v>
      </c>
      <c r="K74" s="640">
        <f>SUM(K71:K73)</f>
        <v>23006475.260000002</v>
      </c>
      <c r="Q74" s="1137" t="s">
        <v>1043</v>
      </c>
      <c r="R74" s="1137" t="s">
        <v>1044</v>
      </c>
      <c r="S74" s="1138">
        <v>708754.93999999901</v>
      </c>
      <c r="T74" s="1138">
        <v>274000</v>
      </c>
      <c r="U74" s="1138">
        <v>0</v>
      </c>
      <c r="V74" s="1138">
        <v>982754.93999999901</v>
      </c>
    </row>
    <row r="75" spans="2:22" x14ac:dyDescent="0.25">
      <c r="B75" s="639" t="s">
        <v>965</v>
      </c>
      <c r="C75" s="643"/>
      <c r="K75" s="640">
        <f>+G46</f>
        <v>0</v>
      </c>
      <c r="Q75" s="1137" t="s">
        <v>1045</v>
      </c>
      <c r="R75" s="1137" t="s">
        <v>1046</v>
      </c>
      <c r="S75" s="1138">
        <v>1.7462298274040199E-10</v>
      </c>
      <c r="T75" s="1138">
        <v>0</v>
      </c>
      <c r="U75" s="1138">
        <v>0</v>
      </c>
      <c r="V75" s="1138">
        <v>1.7462298274040199E-10</v>
      </c>
    </row>
    <row r="76" spans="2:22" x14ac:dyDescent="0.25">
      <c r="B76" s="302" t="s">
        <v>75</v>
      </c>
      <c r="C76" s="640">
        <v>7425682</v>
      </c>
      <c r="K76" s="640">
        <f>SUM(K74:K75)</f>
        <v>23006475.260000002</v>
      </c>
      <c r="Q76" s="1137" t="s">
        <v>1047</v>
      </c>
      <c r="R76" s="1137" t="s">
        <v>1048</v>
      </c>
      <c r="S76" s="1138">
        <v>-273219.18</v>
      </c>
      <c r="T76" s="1138">
        <v>0</v>
      </c>
      <c r="U76" s="1138">
        <v>0</v>
      </c>
      <c r="V76" s="1138">
        <v>-273219.18</v>
      </c>
    </row>
    <row r="77" spans="2:22" x14ac:dyDescent="0.25">
      <c r="B77" s="302" t="s">
        <v>58</v>
      </c>
      <c r="C77" s="640">
        <v>8550122</v>
      </c>
      <c r="Q77" s="1137" t="s">
        <v>1049</v>
      </c>
      <c r="R77" s="1137" t="s">
        <v>1050</v>
      </c>
      <c r="S77" s="1138">
        <v>-163461.18</v>
      </c>
      <c r="T77" s="1138">
        <v>0</v>
      </c>
      <c r="U77" s="1138">
        <v>0</v>
      </c>
      <c r="V77" s="1138">
        <v>-163461.18</v>
      </c>
    </row>
    <row r="78" spans="2:22" x14ac:dyDescent="0.25">
      <c r="B78" s="302" t="s">
        <v>220</v>
      </c>
      <c r="C78" s="640">
        <v>3837291</v>
      </c>
      <c r="Q78" s="1137" t="s">
        <v>1051</v>
      </c>
      <c r="R78" s="1137" t="s">
        <v>1052</v>
      </c>
      <c r="S78" s="1138">
        <v>-85815</v>
      </c>
      <c r="T78" s="1138">
        <v>0</v>
      </c>
      <c r="U78" s="1138">
        <v>0</v>
      </c>
      <c r="V78" s="1138">
        <v>-85815</v>
      </c>
    </row>
    <row r="79" spans="2:22" x14ac:dyDescent="0.25">
      <c r="B79" s="302" t="s">
        <v>224</v>
      </c>
      <c r="C79" s="640">
        <v>23006463.5</v>
      </c>
      <c r="Q79" s="1137" t="s">
        <v>1053</v>
      </c>
      <c r="R79" s="1137" t="s">
        <v>1054</v>
      </c>
      <c r="S79" s="1138">
        <v>-23943</v>
      </c>
      <c r="T79" s="1138">
        <v>0</v>
      </c>
      <c r="U79" s="1138">
        <v>0</v>
      </c>
      <c r="V79" s="1138">
        <v>-23943</v>
      </c>
    </row>
    <row r="80" spans="2:22" x14ac:dyDescent="0.25">
      <c r="B80" s="302" t="s">
        <v>966</v>
      </c>
      <c r="C80" s="640">
        <v>7994163.0700000003</v>
      </c>
      <c r="Q80" s="1137" t="s">
        <v>1055</v>
      </c>
      <c r="R80" s="1137" t="s">
        <v>1056</v>
      </c>
      <c r="S80" s="1138">
        <v>273219.18</v>
      </c>
      <c r="T80" s="1138">
        <v>0</v>
      </c>
      <c r="U80" s="1138">
        <v>0</v>
      </c>
      <c r="V80" s="1138">
        <v>273219.18</v>
      </c>
    </row>
    <row r="81" spans="2:22" x14ac:dyDescent="0.25">
      <c r="B81" s="644" t="s">
        <v>967</v>
      </c>
      <c r="C81" s="645">
        <f>SUM(C76:C80)</f>
        <v>50813721.57</v>
      </c>
      <c r="Q81" s="1137" t="s">
        <v>1057</v>
      </c>
      <c r="R81" s="1137" t="s">
        <v>1058</v>
      </c>
      <c r="S81" s="1138">
        <v>-60920969.759999998</v>
      </c>
      <c r="T81" s="1138">
        <v>0</v>
      </c>
      <c r="U81" s="1138">
        <v>7499993</v>
      </c>
      <c r="V81" s="1138">
        <v>-68420962.760000005</v>
      </c>
    </row>
    <row r="82" spans="2:22" x14ac:dyDescent="0.25">
      <c r="C82" s="325"/>
      <c r="Q82" s="1137" t="s">
        <v>1059</v>
      </c>
      <c r="R82" s="1137" t="s">
        <v>1060</v>
      </c>
      <c r="S82" s="1138">
        <v>-60920969.759999998</v>
      </c>
      <c r="T82" s="1138">
        <v>0</v>
      </c>
      <c r="U82" s="1138">
        <v>7499993</v>
      </c>
      <c r="V82" s="1138">
        <v>-68420962.760000005</v>
      </c>
    </row>
    <row r="83" spans="2:22" x14ac:dyDescent="0.25">
      <c r="C83" s="325"/>
      <c r="Q83" s="1137" t="s">
        <v>1061</v>
      </c>
      <c r="R83" s="1137" t="s">
        <v>1062</v>
      </c>
      <c r="S83" s="1138">
        <v>-60920969.759999998</v>
      </c>
      <c r="T83" s="1138">
        <v>0</v>
      </c>
      <c r="U83" s="1138">
        <v>7499993</v>
      </c>
      <c r="V83" s="1138">
        <v>-68420962.760000005</v>
      </c>
    </row>
    <row r="84" spans="2:22" x14ac:dyDescent="0.25">
      <c r="B84" s="1633" t="s">
        <v>1401</v>
      </c>
      <c r="C84" s="1634"/>
      <c r="Q84" s="1137" t="s">
        <v>1067</v>
      </c>
      <c r="R84" s="1137" t="s">
        <v>1068</v>
      </c>
      <c r="S84" s="1138">
        <v>-8550122</v>
      </c>
      <c r="T84" s="1138">
        <v>0</v>
      </c>
      <c r="U84" s="1138">
        <v>0</v>
      </c>
      <c r="V84" s="1138">
        <v>-8550122</v>
      </c>
    </row>
    <row r="85" spans="2:22" x14ac:dyDescent="0.25">
      <c r="B85" s="302" t="s">
        <v>773</v>
      </c>
      <c r="C85" s="638">
        <f>-49920464</f>
        <v>-49920464</v>
      </c>
      <c r="Q85" s="1137" t="s">
        <v>570</v>
      </c>
      <c r="R85" s="1137" t="s">
        <v>571</v>
      </c>
      <c r="S85" s="1138">
        <v>-44870844.759999998</v>
      </c>
      <c r="T85" s="1138">
        <v>0</v>
      </c>
      <c r="U85" s="1138">
        <v>0</v>
      </c>
      <c r="V85" s="1138">
        <v>-44870844.759999998</v>
      </c>
    </row>
    <row r="86" spans="2:22" x14ac:dyDescent="0.25">
      <c r="B86" s="639" t="s">
        <v>963</v>
      </c>
      <c r="C86" s="640">
        <v>-893269.33</v>
      </c>
      <c r="Q86" s="1137" t="s">
        <v>1610</v>
      </c>
      <c r="R86" s="1137" t="s">
        <v>1611</v>
      </c>
      <c r="S86" s="1138">
        <v>-7500003</v>
      </c>
      <c r="T86" s="1138">
        <v>0</v>
      </c>
      <c r="U86" s="1138">
        <v>7499993</v>
      </c>
      <c r="V86" s="1138">
        <v>-14999996</v>
      </c>
    </row>
    <row r="87" spans="2:22" x14ac:dyDescent="0.25">
      <c r="B87" s="641" t="s">
        <v>964</v>
      </c>
      <c r="C87" s="642">
        <f>SUM(C85:C86)</f>
        <v>-50813733.329999998</v>
      </c>
      <c r="Q87" s="1137" t="s">
        <v>1069</v>
      </c>
      <c r="R87" s="1137" t="s">
        <v>234</v>
      </c>
      <c r="S87" s="1138">
        <v>-10351087.880000001</v>
      </c>
      <c r="T87" s="1138">
        <v>0</v>
      </c>
      <c r="U87" s="1138">
        <v>297356</v>
      </c>
      <c r="V87" s="1138">
        <v>-10648443.880000001</v>
      </c>
    </row>
    <row r="88" spans="2:22" x14ac:dyDescent="0.25">
      <c r="B88" s="639" t="s">
        <v>965</v>
      </c>
      <c r="C88" s="643"/>
      <c r="Q88" s="1137" t="s">
        <v>1070</v>
      </c>
      <c r="R88" s="1137" t="s">
        <v>1071</v>
      </c>
      <c r="S88" s="1138">
        <v>-10351087.880000001</v>
      </c>
      <c r="T88" s="1138">
        <v>0</v>
      </c>
      <c r="U88" s="1138">
        <v>297356</v>
      </c>
      <c r="V88" s="1138">
        <v>-10648443.880000001</v>
      </c>
    </row>
    <row r="89" spans="2:22" x14ac:dyDescent="0.25">
      <c r="B89" s="302" t="s">
        <v>75</v>
      </c>
      <c r="C89" s="640">
        <v>7425682</v>
      </c>
      <c r="Q89" s="1137" t="s">
        <v>1072</v>
      </c>
      <c r="R89" s="1137" t="s">
        <v>1073</v>
      </c>
      <c r="S89" s="1138">
        <v>-10351087.880000001</v>
      </c>
      <c r="T89" s="1138">
        <v>0</v>
      </c>
      <c r="U89" s="1138">
        <v>297356</v>
      </c>
      <c r="V89" s="1138">
        <v>-10648443.880000001</v>
      </c>
    </row>
    <row r="90" spans="2:22" x14ac:dyDescent="0.25">
      <c r="B90" s="302" t="s">
        <v>58</v>
      </c>
      <c r="C90" s="640">
        <v>0</v>
      </c>
      <c r="Q90" s="1137" t="s">
        <v>1074</v>
      </c>
      <c r="R90" s="1137" t="s">
        <v>1075</v>
      </c>
      <c r="S90" s="1138">
        <v>-10351087.880000001</v>
      </c>
      <c r="T90" s="1138">
        <v>0</v>
      </c>
      <c r="U90" s="1138">
        <v>297356</v>
      </c>
      <c r="V90" s="1138">
        <v>-10648443.880000001</v>
      </c>
    </row>
    <row r="91" spans="2:22" x14ac:dyDescent="0.25">
      <c r="B91" s="302" t="s">
        <v>220</v>
      </c>
      <c r="C91" s="640">
        <v>3837291</v>
      </c>
      <c r="Q91" s="1137" t="s">
        <v>1076</v>
      </c>
      <c r="R91" s="1137" t="s">
        <v>1077</v>
      </c>
      <c r="S91" s="1138">
        <v>-10351087.880000001</v>
      </c>
      <c r="T91" s="1138">
        <v>0</v>
      </c>
      <c r="U91" s="1138">
        <v>297356</v>
      </c>
      <c r="V91" s="1138">
        <v>-10648443.880000001</v>
      </c>
    </row>
    <row r="92" spans="2:22" x14ac:dyDescent="0.25">
      <c r="B92" s="302" t="s">
        <v>224</v>
      </c>
      <c r="C92" s="640">
        <v>0</v>
      </c>
      <c r="Q92" s="1137" t="s">
        <v>1078</v>
      </c>
      <c r="R92" s="1137" t="s">
        <v>1079</v>
      </c>
      <c r="S92" s="1138">
        <v>7.4505805969238298E-9</v>
      </c>
      <c r="T92" s="1138">
        <v>0</v>
      </c>
      <c r="U92" s="1138">
        <v>0</v>
      </c>
      <c r="V92" s="1138">
        <v>7.4505805969238298E-9</v>
      </c>
    </row>
    <row r="93" spans="2:22" x14ac:dyDescent="0.25">
      <c r="B93" s="302" t="s">
        <v>966</v>
      </c>
      <c r="C93" s="640">
        <v>7994163.0700000003</v>
      </c>
      <c r="Q93" s="1137" t="s">
        <v>1080</v>
      </c>
      <c r="R93" s="1137" t="s">
        <v>1081</v>
      </c>
      <c r="S93" s="1138">
        <v>7.4505805969238298E-9</v>
      </c>
      <c r="T93" s="1138">
        <v>0</v>
      </c>
      <c r="U93" s="1138">
        <v>0</v>
      </c>
      <c r="V93" s="1138">
        <v>7.4505805969238298E-9</v>
      </c>
    </row>
    <row r="94" spans="2:22" x14ac:dyDescent="0.25">
      <c r="B94" s="644" t="s">
        <v>967</v>
      </c>
      <c r="C94" s="645">
        <f>SUM(C89:C93)</f>
        <v>19257136.07</v>
      </c>
      <c r="Q94" s="1137" t="s">
        <v>1082</v>
      </c>
      <c r="R94" s="1137" t="s">
        <v>1083</v>
      </c>
      <c r="S94" s="1138">
        <v>7.4505805969238298E-9</v>
      </c>
      <c r="T94" s="1138">
        <v>0</v>
      </c>
      <c r="U94" s="1138">
        <v>0</v>
      </c>
      <c r="V94" s="1138">
        <v>7.4505805969238298E-9</v>
      </c>
    </row>
    <row r="95" spans="2:22" x14ac:dyDescent="0.25">
      <c r="B95" s="302" t="s">
        <v>1402</v>
      </c>
      <c r="C95" s="860">
        <v>31805050</v>
      </c>
      <c r="Q95" s="1137" t="s">
        <v>1084</v>
      </c>
      <c r="R95" s="1137" t="s">
        <v>1085</v>
      </c>
      <c r="S95" s="1138">
        <v>7.4505805969238298E-9</v>
      </c>
      <c r="T95" s="1138">
        <v>0</v>
      </c>
      <c r="U95" s="1138">
        <v>0</v>
      </c>
      <c r="V95" s="1138">
        <v>7.4505805969238298E-9</v>
      </c>
    </row>
    <row r="96" spans="2:22" x14ac:dyDescent="0.25">
      <c r="B96" s="302" t="s">
        <v>1403</v>
      </c>
      <c r="C96" s="860">
        <f>+C94+C95</f>
        <v>51062186.07</v>
      </c>
      <c r="Q96" s="1137" t="s">
        <v>1086</v>
      </c>
      <c r="R96" s="1137" t="s">
        <v>1087</v>
      </c>
      <c r="S96" s="1138">
        <v>-9.3132257461547893E-10</v>
      </c>
      <c r="T96" s="1138">
        <v>0</v>
      </c>
      <c r="U96" s="1138">
        <v>0</v>
      </c>
      <c r="V96" s="1138">
        <v>-9.3132257461547893E-10</v>
      </c>
    </row>
    <row r="97" spans="2:22" x14ac:dyDescent="0.25">
      <c r="B97" s="861" t="s">
        <v>1404</v>
      </c>
      <c r="C97" s="862">
        <f>+C87+C96</f>
        <v>248452.74000000209</v>
      </c>
      <c r="Q97" s="1137" t="s">
        <v>1088</v>
      </c>
      <c r="R97" s="1137" t="s">
        <v>1089</v>
      </c>
      <c r="S97" s="1138">
        <v>-9.3132257461547893E-10</v>
      </c>
      <c r="T97" s="1138">
        <v>0</v>
      </c>
      <c r="U97" s="1138">
        <v>0</v>
      </c>
      <c r="V97" s="1138">
        <v>-9.3132257461547893E-10</v>
      </c>
    </row>
    <row r="98" spans="2:22" x14ac:dyDescent="0.25">
      <c r="Q98" s="1137" t="s">
        <v>1090</v>
      </c>
      <c r="R98" s="1137" t="s">
        <v>1091</v>
      </c>
      <c r="S98" s="1138">
        <v>-9.3132257461547893E-10</v>
      </c>
      <c r="T98" s="1138">
        <v>0</v>
      </c>
      <c r="U98" s="1138">
        <v>0</v>
      </c>
      <c r="V98" s="1138">
        <v>-9.3132257461547893E-10</v>
      </c>
    </row>
    <row r="99" spans="2:22" x14ac:dyDescent="0.25">
      <c r="Q99" s="1137" t="s">
        <v>1092</v>
      </c>
      <c r="R99" s="1137" t="s">
        <v>1089</v>
      </c>
      <c r="S99" s="1138">
        <v>-9.3132257461547893E-10</v>
      </c>
      <c r="T99" s="1138">
        <v>0</v>
      </c>
      <c r="U99" s="1138">
        <v>0</v>
      </c>
      <c r="V99" s="1138">
        <v>-9.3132257461547893E-10</v>
      </c>
    </row>
  </sheetData>
  <mergeCells count="8">
    <mergeCell ref="B71:C71"/>
    <mergeCell ref="B84:C84"/>
    <mergeCell ref="B2:H2"/>
    <mergeCell ref="B4:H4"/>
    <mergeCell ref="Q32:V32"/>
    <mergeCell ref="Q33:V33"/>
    <mergeCell ref="J42:K42"/>
    <mergeCell ref="J54:K5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969B7-642C-4E10-B62A-CC9535DAEB3D}">
  <dimension ref="A1:S59"/>
  <sheetViews>
    <sheetView workbookViewId="0">
      <selection activeCell="S59" sqref="S59"/>
    </sheetView>
  </sheetViews>
  <sheetFormatPr baseColWidth="10" defaultRowHeight="12.5" x14ac:dyDescent="0.25"/>
  <cols>
    <col min="1" max="1" width="28.54296875" customWidth="1"/>
    <col min="2" max="2" width="11" hidden="1" customWidth="1"/>
    <col min="3" max="3" width="12.1796875" hidden="1" customWidth="1"/>
    <col min="4" max="4" width="12.08984375" hidden="1" customWidth="1"/>
    <col min="5" max="5" width="11.1796875" hidden="1" customWidth="1"/>
    <col min="6" max="6" width="0" hidden="1" customWidth="1"/>
    <col min="7" max="7" width="12.1796875" hidden="1" customWidth="1"/>
    <col min="8" max="8" width="2.6328125" hidden="1" customWidth="1"/>
    <col min="9" max="9" width="12.08984375" hidden="1" customWidth="1"/>
    <col min="10" max="10" width="2.6328125" customWidth="1"/>
    <col min="11" max="11" width="12" customWidth="1"/>
    <col min="12" max="12" width="2.6328125" customWidth="1"/>
    <col min="13" max="13" width="11.453125" customWidth="1"/>
    <col min="14" max="17" width="10.90625" hidden="1" customWidth="1"/>
    <col min="18" max="19" width="10.90625" customWidth="1"/>
  </cols>
  <sheetData>
    <row r="1" spans="1:17" ht="13" thickTop="1" x14ac:dyDescent="0.25">
      <c r="A1" s="1643" t="s">
        <v>498</v>
      </c>
      <c r="B1" s="1644"/>
      <c r="C1" s="1644"/>
      <c r="D1" s="1644"/>
      <c r="E1" s="1644"/>
      <c r="F1" s="1644"/>
      <c r="G1" s="1644"/>
      <c r="H1" s="1644"/>
      <c r="I1" s="1644"/>
      <c r="J1" s="1644"/>
      <c r="K1" s="1644"/>
      <c r="L1" s="1644"/>
      <c r="M1" s="1645"/>
    </row>
    <row r="2" spans="1:17" ht="13" x14ac:dyDescent="0.3">
      <c r="A2" s="1646" t="s">
        <v>956</v>
      </c>
      <c r="B2" s="1647"/>
      <c r="C2" s="1647"/>
      <c r="D2" s="1647"/>
      <c r="E2" s="1647"/>
      <c r="F2" s="1647"/>
      <c r="G2" s="1647"/>
      <c r="H2" s="1647"/>
      <c r="I2" s="1647"/>
      <c r="J2" s="1647"/>
      <c r="K2" s="1647"/>
      <c r="L2" s="1647"/>
      <c r="M2" s="1648"/>
    </row>
    <row r="3" spans="1:17" ht="13" x14ac:dyDescent="0.3">
      <c r="A3" s="535" t="s">
        <v>899</v>
      </c>
      <c r="B3" s="536"/>
      <c r="M3" s="537"/>
    </row>
    <row r="4" spans="1:17" ht="13" x14ac:dyDescent="0.3">
      <c r="A4" s="538"/>
      <c r="B4" s="539" t="s">
        <v>900</v>
      </c>
      <c r="C4" s="539" t="s">
        <v>901</v>
      </c>
      <c r="D4" s="539" t="s">
        <v>902</v>
      </c>
      <c r="E4" s="540" t="s">
        <v>903</v>
      </c>
      <c r="F4" s="541"/>
      <c r="G4" s="541" t="s">
        <v>904</v>
      </c>
      <c r="H4" s="541"/>
      <c r="I4" s="541" t="s">
        <v>905</v>
      </c>
      <c r="J4" s="541"/>
      <c r="K4" s="541" t="s">
        <v>906</v>
      </c>
      <c r="L4" s="541"/>
      <c r="M4" s="541" t="s">
        <v>907</v>
      </c>
      <c r="N4" s="1027" t="s">
        <v>1491</v>
      </c>
      <c r="O4" s="1027" t="s">
        <v>1492</v>
      </c>
      <c r="P4" s="1027" t="s">
        <v>1493</v>
      </c>
      <c r="Q4" s="1027" t="s">
        <v>1494</v>
      </c>
    </row>
    <row r="5" spans="1:17" ht="13" x14ac:dyDescent="0.3">
      <c r="A5" s="542" t="s">
        <v>908</v>
      </c>
      <c r="B5" s="543">
        <f>'ESFA feb 2025'!E11</f>
        <v>19036449.449999999</v>
      </c>
      <c r="C5" s="543">
        <f>'ESFA feb 2025'!C11</f>
        <v>18027328.149999999</v>
      </c>
      <c r="D5" s="543">
        <f>'ESFA abril 2025'!E11</f>
        <v>16632365.949999999</v>
      </c>
      <c r="E5" s="544">
        <f>'ESFA abril 2025'!C11</f>
        <v>16436253.85</v>
      </c>
      <c r="F5" s="544"/>
      <c r="G5" s="544">
        <f>'ESFA MAY 2025'!C11</f>
        <v>52872060.759999998</v>
      </c>
      <c r="H5" s="544"/>
      <c r="I5" s="544">
        <f>'ESFA JUN 2025'!C11</f>
        <v>48166178.640000001</v>
      </c>
      <c r="J5" s="544"/>
      <c r="K5" s="544">
        <f>'ESFA JUL 2025'!C11</f>
        <v>50975680.840000004</v>
      </c>
      <c r="L5" s="544"/>
      <c r="M5" s="544">
        <f>'ESFA AGOST 2025'!C11</f>
        <v>50772212.920000002</v>
      </c>
    </row>
    <row r="6" spans="1:17" ht="13" hidden="1" x14ac:dyDescent="0.3">
      <c r="A6" s="545"/>
      <c r="B6" s="546"/>
      <c r="C6" s="547"/>
      <c r="D6" s="546"/>
      <c r="E6" s="548"/>
      <c r="F6" s="548"/>
      <c r="G6" s="548"/>
      <c r="H6" s="548"/>
      <c r="I6" s="548"/>
      <c r="J6" s="548"/>
      <c r="K6" s="548"/>
      <c r="L6" s="548"/>
      <c r="M6" s="548"/>
    </row>
    <row r="7" spans="1:17" ht="13" x14ac:dyDescent="0.3">
      <c r="A7" s="549" t="s">
        <v>909</v>
      </c>
      <c r="B7" s="550">
        <f>'ESFA feb 2025'!E16</f>
        <v>8425444.3000000007</v>
      </c>
      <c r="C7" s="551">
        <f>'ESFA feb 2025'!C17</f>
        <v>8477538.3399999999</v>
      </c>
      <c r="D7" s="550">
        <f>'ESFA abril 2025'!E16</f>
        <v>8534559.6999999993</v>
      </c>
      <c r="E7" s="552">
        <f>'ESFA abril 2025'!C15</f>
        <v>8594287.8300000001</v>
      </c>
      <c r="F7" s="552"/>
      <c r="G7" s="552">
        <f>'ESFA MAY 2025'!C15</f>
        <v>8658779.9299999997</v>
      </c>
      <c r="H7" s="552"/>
      <c r="I7" s="552">
        <f>'ESFA JUN 2025'!C15</f>
        <v>10764303.619999999</v>
      </c>
      <c r="J7" s="552"/>
      <c r="K7" s="552">
        <f>'ESFA JUL 2025'!C16</f>
        <v>10852427.970000001</v>
      </c>
      <c r="L7" s="552"/>
      <c r="M7" s="552">
        <f>'ESFA AGOST 2025'!C16</f>
        <v>10916889.99</v>
      </c>
    </row>
    <row r="8" spans="1:17" ht="13" hidden="1" x14ac:dyDescent="0.3">
      <c r="A8" s="545"/>
      <c r="B8" s="546"/>
      <c r="C8" s="547"/>
      <c r="D8" s="546"/>
      <c r="E8" s="548"/>
      <c r="F8" s="548"/>
      <c r="G8" s="548"/>
      <c r="H8" s="548"/>
      <c r="I8" s="548"/>
      <c r="J8" s="548"/>
      <c r="K8" s="548"/>
      <c r="L8" s="548"/>
      <c r="M8" s="548"/>
    </row>
    <row r="9" spans="1:17" ht="13" x14ac:dyDescent="0.3">
      <c r="A9" s="553" t="s">
        <v>910</v>
      </c>
      <c r="B9" s="550">
        <f>'ESFA feb 2025'!E22</f>
        <v>4645234</v>
      </c>
      <c r="C9" s="551">
        <f>'ESFA feb 2025'!C22</f>
        <v>5984340</v>
      </c>
      <c r="D9" s="550">
        <f>'ESFA abril 2025'!E23</f>
        <v>4129452</v>
      </c>
      <c r="E9" s="552">
        <f>'ESFA abril 2025'!C21</f>
        <v>4269712</v>
      </c>
      <c r="F9" s="552"/>
      <c r="G9" s="552">
        <f>'ESFA MAY 2025'!C21</f>
        <v>3942142</v>
      </c>
      <c r="H9" s="552"/>
      <c r="I9" s="552">
        <f>'ESFA JUN 2025'!C21</f>
        <v>11341985</v>
      </c>
      <c r="J9" s="552"/>
      <c r="K9" s="552">
        <f>'ESFA JUL 2025'!C21</f>
        <v>8689091</v>
      </c>
      <c r="L9" s="552"/>
      <c r="M9" s="552">
        <f>'ESFA AGOST 2025'!C21</f>
        <v>14428308</v>
      </c>
    </row>
    <row r="10" spans="1:17" ht="13" hidden="1" x14ac:dyDescent="0.3">
      <c r="A10" s="545"/>
      <c r="B10" s="554"/>
      <c r="C10" s="555"/>
      <c r="D10" s="554"/>
      <c r="E10" s="556"/>
      <c r="F10" s="556"/>
      <c r="G10" s="556"/>
      <c r="H10" s="556"/>
      <c r="I10" s="556"/>
      <c r="J10" s="556"/>
      <c r="K10" s="556"/>
      <c r="L10" s="556"/>
      <c r="M10" s="556"/>
    </row>
    <row r="11" spans="1:17" ht="13" x14ac:dyDescent="0.3">
      <c r="A11" s="557" t="s">
        <v>911</v>
      </c>
      <c r="B11" s="550">
        <v>-503652</v>
      </c>
      <c r="C11" s="551">
        <f>[4]ESFA!E22</f>
        <v>-503652</v>
      </c>
      <c r="D11" s="550">
        <v>0</v>
      </c>
      <c r="E11" s="552">
        <v>0</v>
      </c>
      <c r="F11" s="552"/>
      <c r="G11" s="552"/>
      <c r="H11" s="552"/>
      <c r="I11" s="552"/>
      <c r="J11" s="552"/>
      <c r="K11" s="552">
        <f>'ESFA JUL 2025'!C22</f>
        <v>-408000</v>
      </c>
      <c r="L11" s="552"/>
      <c r="M11" s="552">
        <f>'ESFA AGOST 2025'!C22</f>
        <v>-408000</v>
      </c>
    </row>
    <row r="12" spans="1:17" ht="13" hidden="1" x14ac:dyDescent="0.3">
      <c r="A12" s="557"/>
      <c r="B12" s="550"/>
      <c r="C12" s="551"/>
      <c r="D12" s="550"/>
      <c r="E12" s="552"/>
      <c r="F12" s="552"/>
      <c r="G12" s="552"/>
      <c r="H12" s="552"/>
      <c r="I12" s="552"/>
      <c r="J12" s="552"/>
      <c r="K12" s="552"/>
      <c r="L12" s="552"/>
      <c r="M12" s="552"/>
    </row>
    <row r="13" spans="1:17" ht="13" x14ac:dyDescent="0.3">
      <c r="A13" s="549" t="s">
        <v>1500</v>
      </c>
      <c r="B13" s="550">
        <f>'ESFA feb 2025'!E28</f>
        <v>33310</v>
      </c>
      <c r="C13" s="551">
        <f>'ESFA feb 2025'!C28</f>
        <v>50146</v>
      </c>
      <c r="D13" s="550">
        <f>'ESFA abril 2025'!E27</f>
        <v>38070</v>
      </c>
      <c r="E13" s="552">
        <f>'ESFA abril 2025'!C27</f>
        <v>440118</v>
      </c>
      <c r="F13" s="552"/>
      <c r="G13" s="552">
        <f>'ESFA MAY 2025'!C27</f>
        <v>0</v>
      </c>
      <c r="H13" s="552"/>
      <c r="I13" s="552"/>
      <c r="J13" s="552"/>
      <c r="K13" s="552">
        <f>'ESFA JUL 2025'!C27</f>
        <v>3232000</v>
      </c>
      <c r="L13" s="552"/>
      <c r="M13" s="552">
        <f>'ESFA AGOST 2025'!C27</f>
        <v>6688000</v>
      </c>
    </row>
    <row r="14" spans="1:17" ht="13" hidden="1" x14ac:dyDescent="0.3">
      <c r="A14" s="549"/>
      <c r="B14" s="550"/>
      <c r="C14" s="551"/>
      <c r="D14" s="550"/>
      <c r="E14" s="552"/>
      <c r="F14" s="552"/>
      <c r="G14" s="552"/>
      <c r="H14" s="552"/>
      <c r="I14" s="552"/>
      <c r="J14" s="552"/>
      <c r="K14" s="552"/>
      <c r="L14" s="552"/>
      <c r="M14" s="552"/>
    </row>
    <row r="15" spans="1:17" ht="13" x14ac:dyDescent="0.3">
      <c r="A15" s="549" t="s">
        <v>913</v>
      </c>
      <c r="B15" s="550">
        <f>'ESFA feb 2025'!E31</f>
        <v>1357394</v>
      </c>
      <c r="C15" s="551">
        <f>'ESFA feb 2025'!C31</f>
        <v>452464</v>
      </c>
      <c r="D15" s="550">
        <f>'ESFA abril 2025'!E30</f>
        <v>16844468</v>
      </c>
      <c r="E15" s="552">
        <f>'ESFA abril 2025'!C30</f>
        <v>15358191</v>
      </c>
      <c r="F15" s="552"/>
      <c r="G15" s="552">
        <f>'ESFA MAY 2025'!C30</f>
        <v>13871914</v>
      </c>
      <c r="H15" s="552"/>
      <c r="I15" s="552">
        <f>'ESFA JUN 2025'!C30</f>
        <v>12428599</v>
      </c>
      <c r="J15" s="552"/>
      <c r="K15" s="552">
        <f>'ESFA JUL 2025'!C30</f>
        <v>10985284</v>
      </c>
      <c r="L15" s="552"/>
      <c r="M15" s="552">
        <f>'ESFA AGOST 2025'!C30</f>
        <v>9541969</v>
      </c>
    </row>
    <row r="16" spans="1:17" ht="13" x14ac:dyDescent="0.3">
      <c r="A16" s="549"/>
      <c r="B16" s="550"/>
      <c r="C16" s="551"/>
      <c r="D16" s="550"/>
      <c r="E16" s="552">
        <f ca="1">SUM(E5:E16)</f>
        <v>0</v>
      </c>
      <c r="F16" s="552"/>
      <c r="G16" s="552"/>
      <c r="H16" s="552"/>
      <c r="I16" s="552"/>
      <c r="J16" s="552"/>
      <c r="K16" s="552"/>
      <c r="L16" s="552"/>
      <c r="M16" s="552"/>
    </row>
    <row r="17" spans="1:19" ht="13" hidden="1" x14ac:dyDescent="0.3">
      <c r="A17" s="542" t="s">
        <v>3</v>
      </c>
      <c r="B17" s="558">
        <f>SUM(B5:B15)</f>
        <v>32994179.75</v>
      </c>
      <c r="C17" s="559">
        <f>SUM(C5:C16)</f>
        <v>32488164.489999998</v>
      </c>
      <c r="D17" s="558">
        <f>SUM(D5:D16)</f>
        <v>46178915.649999999</v>
      </c>
      <c r="E17" s="560">
        <f>E5+E7+E9+E13+E15</f>
        <v>45098562.68</v>
      </c>
      <c r="F17" s="560"/>
      <c r="G17" s="560">
        <f>G5+G7+G9+G13+G15</f>
        <v>79344896.689999998</v>
      </c>
      <c r="H17" s="560"/>
      <c r="I17" s="560">
        <f>'ESFA JUN 2025'!C32</f>
        <v>82701066.25999999</v>
      </c>
      <c r="J17" s="560"/>
      <c r="K17" s="560">
        <f>'ESFA JUL 2025'!C32</f>
        <v>84326483.810000002</v>
      </c>
      <c r="L17" s="560"/>
      <c r="M17" s="560">
        <f>++M5+M7+M9+M11</f>
        <v>75709410.909999996</v>
      </c>
    </row>
    <row r="18" spans="1:19" ht="13" hidden="1" x14ac:dyDescent="0.3">
      <c r="A18" s="542"/>
      <c r="B18" s="558"/>
      <c r="C18" s="559"/>
      <c r="D18" s="558"/>
      <c r="E18" s="560"/>
      <c r="F18" s="560"/>
      <c r="G18" s="560"/>
      <c r="H18" s="560"/>
      <c r="I18" s="560"/>
      <c r="J18" s="560"/>
      <c r="K18" s="560"/>
      <c r="L18" s="560"/>
      <c r="M18" s="560"/>
    </row>
    <row r="19" spans="1:19" ht="13" hidden="1" x14ac:dyDescent="0.3">
      <c r="A19" s="542"/>
      <c r="B19" s="558"/>
      <c r="C19" s="559"/>
      <c r="D19" s="558"/>
      <c r="E19" s="560"/>
      <c r="F19" s="560"/>
      <c r="G19" s="560"/>
      <c r="H19" s="560"/>
      <c r="I19" s="560"/>
      <c r="J19" s="560"/>
      <c r="K19" s="560"/>
      <c r="L19" s="560"/>
      <c r="M19" s="560"/>
    </row>
    <row r="20" spans="1:19" ht="13" hidden="1" x14ac:dyDescent="0.3">
      <c r="A20" s="542"/>
      <c r="B20" s="558"/>
      <c r="C20" s="559"/>
      <c r="D20" s="558"/>
      <c r="E20" s="560"/>
      <c r="F20" s="560"/>
      <c r="G20" s="560"/>
      <c r="H20" s="560"/>
      <c r="I20" s="560"/>
      <c r="J20" s="560"/>
      <c r="K20" s="560"/>
      <c r="L20" s="560"/>
      <c r="M20" s="560"/>
    </row>
    <row r="21" spans="1:19" ht="13" x14ac:dyDescent="0.3">
      <c r="A21" s="535" t="s">
        <v>914</v>
      </c>
      <c r="B21" s="546"/>
      <c r="C21" s="547"/>
      <c r="D21" s="546"/>
      <c r="E21" s="548"/>
      <c r="F21" s="548"/>
      <c r="G21" s="548"/>
      <c r="H21" s="548"/>
      <c r="I21" s="548"/>
      <c r="J21" s="548"/>
      <c r="K21" s="548"/>
      <c r="L21" s="548"/>
      <c r="M21" s="548"/>
      <c r="N21" s="561"/>
      <c r="S21" s="561"/>
    </row>
    <row r="22" spans="1:19" ht="13" x14ac:dyDescent="0.3">
      <c r="A22" s="562"/>
      <c r="B22" s="539" t="s">
        <v>900</v>
      </c>
      <c r="C22" s="539" t="s">
        <v>901</v>
      </c>
      <c r="D22" s="539" t="s">
        <v>902</v>
      </c>
      <c r="E22" s="540" t="s">
        <v>903</v>
      </c>
      <c r="F22" s="541"/>
      <c r="G22" s="541" t="s">
        <v>904</v>
      </c>
      <c r="H22" s="541"/>
      <c r="I22" s="541" t="s">
        <v>905</v>
      </c>
      <c r="J22" s="541"/>
      <c r="K22" s="541" t="s">
        <v>906</v>
      </c>
      <c r="L22" s="541"/>
      <c r="M22" s="541" t="s">
        <v>907</v>
      </c>
    </row>
    <row r="23" spans="1:19" ht="13" x14ac:dyDescent="0.3">
      <c r="A23" s="563" t="s">
        <v>1489</v>
      </c>
      <c r="B23" s="550">
        <f>'ESFA feb 2025'!E39</f>
        <v>1029590</v>
      </c>
      <c r="C23" s="551">
        <f>'ESFA feb 2025'!C39</f>
        <v>1444936</v>
      </c>
      <c r="D23" s="550">
        <f>'ESFA abril 2025'!E37</f>
        <v>14432437</v>
      </c>
      <c r="E23" s="552">
        <f>'ESFA abril 2025'!C37</f>
        <v>6714065</v>
      </c>
      <c r="F23" s="552"/>
      <c r="G23" s="552">
        <f>'ESFA MAY 2025'!C37</f>
        <v>534252</v>
      </c>
      <c r="H23" s="552"/>
      <c r="I23" s="552">
        <f>'ESFA JUN 2025'!C37</f>
        <v>727051</v>
      </c>
      <c r="J23" s="552"/>
      <c r="K23" s="552">
        <f>'ESFA JUL 2025'!C37</f>
        <v>677548</v>
      </c>
      <c r="L23" s="552"/>
      <c r="M23" s="552">
        <f>'ESFA AGOST 2025'!C37</f>
        <v>677548</v>
      </c>
    </row>
    <row r="24" spans="1:19" ht="13" hidden="1" x14ac:dyDescent="0.3">
      <c r="A24" s="545"/>
      <c r="B24" s="546"/>
      <c r="C24" s="547"/>
      <c r="D24" s="546"/>
      <c r="E24" s="548"/>
      <c r="F24" s="548"/>
      <c r="G24" s="548"/>
      <c r="H24" s="548"/>
      <c r="I24" s="548"/>
      <c r="J24" s="548"/>
      <c r="K24" s="548"/>
      <c r="L24" s="548"/>
      <c r="M24" s="548"/>
    </row>
    <row r="25" spans="1:19" ht="13" hidden="1" x14ac:dyDescent="0.3">
      <c r="A25" s="545" t="s">
        <v>916</v>
      </c>
      <c r="B25" s="546"/>
      <c r="C25" s="547">
        <v>0</v>
      </c>
      <c r="D25" s="546">
        <v>0</v>
      </c>
      <c r="E25" s="548"/>
      <c r="F25" s="548"/>
      <c r="G25" s="548"/>
      <c r="H25" s="548"/>
      <c r="I25" s="548"/>
      <c r="J25" s="548"/>
      <c r="K25" s="548"/>
      <c r="L25" s="548"/>
      <c r="M25" s="548"/>
    </row>
    <row r="26" spans="1:19" ht="13" hidden="1" x14ac:dyDescent="0.3">
      <c r="A26" s="545"/>
      <c r="B26" s="546"/>
      <c r="C26" s="547"/>
      <c r="D26" s="546"/>
      <c r="E26" s="548"/>
      <c r="F26" s="548"/>
      <c r="G26" s="548"/>
      <c r="H26" s="548"/>
      <c r="I26" s="548"/>
      <c r="J26" s="548"/>
      <c r="K26" s="548"/>
      <c r="L26" s="548"/>
      <c r="M26" s="548"/>
    </row>
    <row r="27" spans="1:19" ht="13" x14ac:dyDescent="0.3">
      <c r="A27" s="545" t="s">
        <v>917</v>
      </c>
      <c r="B27" s="546">
        <f>'ESFA feb 2025'!E40+'ESFA feb 2025'!E41</f>
        <v>374093</v>
      </c>
      <c r="C27" s="546">
        <f>'ESFA feb 2025'!C40+'ESFA feb 2025'!C41</f>
        <v>257751.88</v>
      </c>
      <c r="D27" s="546">
        <f>'ESFA abril 2025'!E38+'ESFA abril 2025'!E39</f>
        <v>138041.38</v>
      </c>
      <c r="E27" s="548">
        <f>'ESFA abril 2025'!C38+'ESFA abril 2025'!C39</f>
        <v>167450.88</v>
      </c>
      <c r="F27" s="548"/>
      <c r="G27" s="548">
        <f>'ESFA MAY 2025'!C38</f>
        <v>102902.06</v>
      </c>
      <c r="H27" s="548"/>
      <c r="I27" s="548">
        <f>'ESFA JUN 2025'!C38</f>
        <v>62996.27</v>
      </c>
      <c r="J27" s="548"/>
      <c r="K27" s="548">
        <f>'ESFA JUL 2025'!C38</f>
        <v>274160.06</v>
      </c>
      <c r="L27" s="548"/>
      <c r="M27" s="548">
        <f>'ESFA AGOST 2025'!C38</f>
        <v>135159.06000000099</v>
      </c>
    </row>
    <row r="28" spans="1:19" ht="13" hidden="1" x14ac:dyDescent="0.3">
      <c r="A28" s="545"/>
      <c r="B28" s="546"/>
      <c r="C28" s="547"/>
      <c r="D28" s="546"/>
      <c r="E28" s="548"/>
      <c r="F28" s="548"/>
      <c r="G28" s="548"/>
      <c r="H28" s="548"/>
      <c r="I28" s="548"/>
      <c r="J28" s="548"/>
      <c r="K28" s="548"/>
      <c r="L28" s="548"/>
      <c r="M28" s="548"/>
    </row>
    <row r="29" spans="1:19" ht="13" hidden="1" x14ac:dyDescent="0.3">
      <c r="A29" s="545" t="s">
        <v>918</v>
      </c>
      <c r="B29" s="546">
        <v>7425682</v>
      </c>
      <c r="C29" s="546">
        <v>7425682</v>
      </c>
      <c r="D29" s="546"/>
      <c r="E29" s="548">
        <f>'ESFA abril 2025'!C43</f>
        <v>0</v>
      </c>
      <c r="F29" s="548"/>
      <c r="G29" s="548"/>
      <c r="H29" s="548"/>
      <c r="I29" s="548"/>
      <c r="J29" s="548"/>
      <c r="K29" s="548"/>
      <c r="L29" s="548"/>
      <c r="M29" s="548"/>
    </row>
    <row r="30" spans="1:19" ht="13" hidden="1" x14ac:dyDescent="0.3">
      <c r="A30" s="545"/>
      <c r="B30" s="546"/>
      <c r="C30" s="547"/>
      <c r="D30" s="546"/>
      <c r="E30" s="548"/>
      <c r="F30" s="548"/>
      <c r="G30" s="548"/>
      <c r="H30" s="548"/>
      <c r="I30" s="548"/>
      <c r="J30" s="548"/>
      <c r="K30" s="548"/>
      <c r="L30" s="548"/>
      <c r="M30" s="548"/>
    </row>
    <row r="31" spans="1:19" ht="13" x14ac:dyDescent="0.3">
      <c r="A31" s="545" t="s">
        <v>919</v>
      </c>
      <c r="B31" s="546">
        <v>8549190</v>
      </c>
      <c r="C31" s="547">
        <v>9715856</v>
      </c>
      <c r="D31" s="546">
        <f>'ESFA abril 2025'!E44</f>
        <v>8550122</v>
      </c>
      <c r="E31" s="548">
        <f>'ESFA abril 2025'!C44</f>
        <v>0</v>
      </c>
      <c r="F31" s="548"/>
      <c r="G31" s="548"/>
      <c r="H31" s="548"/>
      <c r="I31" s="548">
        <f>'ESFA JUL 2025'!E44</f>
        <v>8550122</v>
      </c>
      <c r="J31" s="548"/>
      <c r="K31" s="548">
        <f>'ESFA JUL 2025'!C44</f>
        <v>8550122</v>
      </c>
      <c r="L31" s="548"/>
      <c r="M31" s="548">
        <f>'ESFA AGOST 2025'!C44</f>
        <v>8550122</v>
      </c>
    </row>
    <row r="32" spans="1:19" ht="13" hidden="1" x14ac:dyDescent="0.3">
      <c r="A32" s="545"/>
      <c r="B32" s="546"/>
      <c r="C32" s="547"/>
      <c r="D32" s="546"/>
      <c r="E32" s="548"/>
      <c r="F32" s="548"/>
      <c r="G32" s="548"/>
      <c r="H32" s="548"/>
      <c r="I32" s="548"/>
      <c r="J32" s="548"/>
      <c r="K32" s="548"/>
      <c r="L32" s="548"/>
      <c r="M32" s="548"/>
    </row>
    <row r="33" spans="1:13" ht="13" hidden="1" x14ac:dyDescent="0.3">
      <c r="A33" s="545" t="s">
        <v>1495</v>
      </c>
      <c r="B33" s="546">
        <v>3837291</v>
      </c>
      <c r="C33" s="547">
        <v>3837291</v>
      </c>
      <c r="D33" s="546">
        <v>3837291</v>
      </c>
      <c r="E33" s="548">
        <v>0</v>
      </c>
      <c r="F33" s="548"/>
      <c r="G33" s="548"/>
      <c r="H33" s="548"/>
      <c r="I33" s="548"/>
      <c r="J33" s="548"/>
      <c r="K33" s="548"/>
      <c r="L33" s="548"/>
      <c r="M33" s="548"/>
    </row>
    <row r="34" spans="1:13" ht="13" hidden="1" x14ac:dyDescent="0.3">
      <c r="A34" s="545"/>
      <c r="B34" s="546"/>
      <c r="C34" s="547"/>
      <c r="D34" s="546"/>
      <c r="E34" s="548"/>
      <c r="F34" s="548"/>
      <c r="G34" s="548"/>
      <c r="H34" s="548"/>
      <c r="I34" s="548"/>
      <c r="J34" s="548"/>
      <c r="K34" s="548"/>
      <c r="L34" s="548"/>
      <c r="M34" s="548"/>
    </row>
    <row r="35" spans="1:13" ht="13" x14ac:dyDescent="0.3">
      <c r="A35" s="545" t="s">
        <v>921</v>
      </c>
      <c r="B35" s="564">
        <f>'ESFA feb 2025'!E48</f>
        <v>44870833</v>
      </c>
      <c r="C35" s="565">
        <f>'ESFA feb 2025'!C48</f>
        <v>44870833</v>
      </c>
      <c r="D35" s="564">
        <f>'ESFA abril 2025'!C46</f>
        <v>21864369.5</v>
      </c>
      <c r="E35" s="566">
        <f>'ESFA abril 2025'!E46</f>
        <v>44870833</v>
      </c>
      <c r="F35" s="566"/>
      <c r="G35" s="566">
        <f>'ESFA MAY 2025'!C46</f>
        <v>45463372.880000003</v>
      </c>
      <c r="H35" s="566"/>
      <c r="I35" s="566">
        <f>'ESFA JUL 2025'!E46</f>
        <v>44870844.759999998</v>
      </c>
      <c r="J35" s="566"/>
      <c r="K35" s="566">
        <f>'ESFA JUL 2025'!C46</f>
        <v>44870844.759999998</v>
      </c>
      <c r="L35" s="566"/>
      <c r="M35" s="566">
        <f>'ESFA AGOST 2025'!C46</f>
        <v>44870844.759999998</v>
      </c>
    </row>
    <row r="36" spans="1:13" ht="13" x14ac:dyDescent="0.3">
      <c r="A36" s="545" t="s">
        <v>1405</v>
      </c>
      <c r="B36" s="564"/>
      <c r="C36" s="565"/>
      <c r="D36" s="564"/>
      <c r="E36" s="566"/>
      <c r="F36" s="566"/>
      <c r="G36" s="566">
        <f>'ESFA MAY 2025'!C47</f>
        <v>7500003</v>
      </c>
      <c r="H36" s="566"/>
      <c r="I36" s="566">
        <f>'ESFA JUL 2025'!E47</f>
        <v>7500003</v>
      </c>
      <c r="J36" s="566"/>
      <c r="K36" s="566">
        <f>'ESFA JUL 2025'!C47</f>
        <v>7500003</v>
      </c>
      <c r="L36" s="566"/>
      <c r="M36" s="566">
        <f>'ESFA AGOST 2025'!C47</f>
        <v>14999996</v>
      </c>
    </row>
    <row r="37" spans="1:13" ht="13" x14ac:dyDescent="0.3">
      <c r="A37" s="542" t="s">
        <v>1490</v>
      </c>
      <c r="B37" s="567">
        <f>SUM(B23:B36)</f>
        <v>66086679</v>
      </c>
      <c r="C37" s="568">
        <f>SUM(C23:C36)</f>
        <v>67552349.879999995</v>
      </c>
      <c r="D37" s="567">
        <f>[5]ESFA!E51</f>
        <v>29813541.060000002</v>
      </c>
      <c r="E37" s="569">
        <f>[5]ESFA!C51</f>
        <v>25473876.879999999</v>
      </c>
      <c r="F37" s="569"/>
      <c r="G37" s="569">
        <f>[5]ESFA!E51</f>
        <v>29813541.060000002</v>
      </c>
      <c r="H37" s="569"/>
      <c r="I37" s="569">
        <f>SUM(I23:I36)</f>
        <v>61711017.030000001</v>
      </c>
      <c r="J37" s="569"/>
      <c r="K37" s="569">
        <f>'ESFA JUL 2025'!C53</f>
        <v>61872677.82</v>
      </c>
      <c r="L37" s="569"/>
      <c r="M37" s="569">
        <f>'ESFA AGOST 2025'!C48</f>
        <v>68420962.75999999</v>
      </c>
    </row>
    <row r="39" spans="1:13" ht="13" x14ac:dyDescent="0.3">
      <c r="A39" s="570" t="s">
        <v>922</v>
      </c>
      <c r="B39" s="546"/>
      <c r="C39" s="547"/>
      <c r="D39" s="546"/>
      <c r="E39" s="548"/>
      <c r="F39" s="548"/>
      <c r="G39" s="548"/>
      <c r="H39" s="548"/>
      <c r="I39" s="548"/>
      <c r="J39" s="548"/>
      <c r="K39" s="548"/>
      <c r="L39" s="548"/>
      <c r="M39" s="548"/>
    </row>
    <row r="40" spans="1:13" ht="13" x14ac:dyDescent="0.3">
      <c r="A40" s="571" t="s">
        <v>923</v>
      </c>
      <c r="B40" s="539" t="s">
        <v>900</v>
      </c>
      <c r="C40" s="539" t="s">
        <v>901</v>
      </c>
      <c r="D40" s="539" t="s">
        <v>902</v>
      </c>
      <c r="E40" s="540" t="s">
        <v>903</v>
      </c>
      <c r="F40" s="541"/>
      <c r="G40" s="541" t="s">
        <v>904</v>
      </c>
      <c r="H40" s="541"/>
      <c r="I40" s="541" t="s">
        <v>905</v>
      </c>
      <c r="J40" s="541"/>
      <c r="K40" s="541" t="s">
        <v>906</v>
      </c>
      <c r="L40" s="541"/>
      <c r="M40" s="541" t="s">
        <v>907</v>
      </c>
    </row>
    <row r="41" spans="1:13" ht="13" x14ac:dyDescent="0.3">
      <c r="A41" s="545" t="s">
        <v>924</v>
      </c>
      <c r="B41" s="564">
        <f>'ESFA feb 2025'!C57</f>
        <v>8861215.8800000008</v>
      </c>
      <c r="C41" s="565">
        <f>'ESFA feb 2025'!E57</f>
        <v>8574200.8800000008</v>
      </c>
      <c r="D41" s="564">
        <f>'ESFA abril 2025'!E55</f>
        <v>9148230.0800000001</v>
      </c>
      <c r="E41" s="566">
        <f>'ESFA abril 2025'!C55</f>
        <v>9476606.8800000008</v>
      </c>
      <c r="F41" s="566"/>
      <c r="G41" s="566">
        <f>'ESFA MAY 2025'!C56</f>
        <v>9773964.8800000008</v>
      </c>
      <c r="H41" s="566"/>
      <c r="I41" s="566">
        <f>'ESFA JUN 2025'!C56</f>
        <v>10053729.880000001</v>
      </c>
      <c r="J41" s="566"/>
      <c r="K41" s="566">
        <f>'ESFA JUL 2025'!C56</f>
        <v>10351087.880000001</v>
      </c>
      <c r="L41" s="566"/>
      <c r="M41" s="566">
        <f>'ESFA AGOST 2025'!C56</f>
        <v>10648443.880000001</v>
      </c>
    </row>
    <row r="42" spans="1:13" ht="13" hidden="1" x14ac:dyDescent="0.3">
      <c r="A42" s="545"/>
      <c r="B42" s="564"/>
      <c r="C42" s="565"/>
      <c r="D42" s="564"/>
      <c r="E42" s="566"/>
      <c r="F42" s="566"/>
      <c r="G42" s="566"/>
      <c r="H42" s="566"/>
      <c r="I42" s="566"/>
      <c r="J42" s="566"/>
      <c r="K42" s="566"/>
      <c r="L42" s="566"/>
      <c r="M42" s="566"/>
    </row>
    <row r="43" spans="1:13" ht="13" x14ac:dyDescent="0.3">
      <c r="A43" s="1141" t="s">
        <v>925</v>
      </c>
      <c r="B43" s="546">
        <f>'ESFA feb 2025'!C59</f>
        <v>563544.10999999824</v>
      </c>
      <c r="C43" s="547">
        <f>'ESFA feb 2025'!E59</f>
        <v>56589.37</v>
      </c>
      <c r="D43" s="546">
        <f>'ESFA abril 2025'!E57</f>
        <v>595837.68999999994</v>
      </c>
      <c r="E43" s="548">
        <f>'ESFA abril 2025'!C57</f>
        <v>6876070.4199999999</v>
      </c>
      <c r="F43" s="548"/>
      <c r="G43" s="548">
        <f>'ESFA MAY 2025'!C58</f>
        <v>7171827.1300000064</v>
      </c>
      <c r="H43" s="548"/>
      <c r="I43" s="548">
        <f>'ESFA JUN 2025'!C58</f>
        <v>10687866.610000005</v>
      </c>
      <c r="J43" s="548"/>
      <c r="K43" s="548">
        <f>'ESFA JUL 2025'!C58</f>
        <v>11854266.249999994</v>
      </c>
      <c r="L43" s="548"/>
      <c r="M43" s="548">
        <f>'ESFA AGOST 2025'!C58</f>
        <v>11808814.349999992</v>
      </c>
    </row>
    <row r="44" spans="1:13" ht="13" hidden="1" x14ac:dyDescent="0.3">
      <c r="A44" s="1141"/>
      <c r="B44" s="546"/>
      <c r="C44" s="547"/>
      <c r="D44" s="546"/>
      <c r="E44" s="548"/>
      <c r="F44" s="548"/>
      <c r="G44" s="548"/>
      <c r="H44" s="548"/>
      <c r="I44" s="548"/>
      <c r="J44" s="548"/>
      <c r="K44" s="548"/>
      <c r="L44" s="548"/>
      <c r="M44" s="548"/>
    </row>
    <row r="45" spans="1:13" ht="13" x14ac:dyDescent="0.3">
      <c r="A45" s="1141" t="s">
        <v>1406</v>
      </c>
      <c r="B45" s="573">
        <f>'ESFA feb 2025'!E58</f>
        <v>7100905.5</v>
      </c>
      <c r="C45" s="573">
        <f>'ESFA feb 2025'!C58</f>
        <v>7100905.5</v>
      </c>
      <c r="D45" s="573">
        <f>'ESFA abril 2025'!E58</f>
        <v>-49920464</v>
      </c>
      <c r="E45" s="574">
        <f>'ESFA abril 2025'!C56</f>
        <v>0</v>
      </c>
      <c r="F45" s="574"/>
      <c r="G45" s="574">
        <f>'ESFA MAY 2025'!C59</f>
        <v>248452.74</v>
      </c>
      <c r="H45" s="574"/>
      <c r="I45" s="574">
        <f>'ESFA JUN 2025'!C59</f>
        <v>248452.74</v>
      </c>
      <c r="J45" s="574"/>
      <c r="K45" s="574">
        <f>'ESFA JUL 2025'!C59</f>
        <v>248451.86</v>
      </c>
      <c r="L45" s="574"/>
      <c r="M45" s="574">
        <f>'ESFA AGOST 2025'!C59</f>
        <v>248451.86</v>
      </c>
    </row>
    <row r="46" spans="1:13" ht="13" x14ac:dyDescent="0.3">
      <c r="A46" s="1160" t="s">
        <v>39</v>
      </c>
      <c r="B46" s="1161"/>
      <c r="C46" s="1161"/>
      <c r="D46" s="1161"/>
      <c r="E46" s="1162">
        <f>E41+E43+E45</f>
        <v>16352677.300000001</v>
      </c>
      <c r="F46" s="1162"/>
      <c r="G46" s="1162">
        <f>G41+G43+G45</f>
        <v>17194244.750000004</v>
      </c>
      <c r="H46" s="1162"/>
      <c r="I46" s="1162">
        <f>SUM(I41:I45)</f>
        <v>20990049.230000004</v>
      </c>
      <c r="J46" s="1162"/>
      <c r="K46" s="1163">
        <f>'ESFA JUL 2025'!C60</f>
        <v>22453805.989999995</v>
      </c>
      <c r="L46" s="1163"/>
      <c r="M46" s="1163">
        <f>'ESFA AGOST 2025'!C60</f>
        <v>22705710.089999992</v>
      </c>
    </row>
    <row r="47" spans="1:13" ht="13" x14ac:dyDescent="0.3">
      <c r="A47" s="1142"/>
      <c r="B47" s="1143">
        <f>SUM(B41:B45)</f>
        <v>16525665.489999998</v>
      </c>
      <c r="C47" s="1143">
        <f>SUM(C41:C45)</f>
        <v>15731695.75</v>
      </c>
      <c r="D47" s="1143">
        <f>SUM(D41:D45)</f>
        <v>-40176396.230000004</v>
      </c>
      <c r="E47" s="1142"/>
      <c r="F47" s="1142"/>
      <c r="G47" s="1142"/>
      <c r="H47" s="1142"/>
      <c r="I47" s="1142"/>
      <c r="J47" s="1142"/>
      <c r="K47" s="1142"/>
      <c r="L47" s="1142"/>
      <c r="M47" s="1142"/>
    </row>
    <row r="48" spans="1:13" ht="13" x14ac:dyDescent="0.3">
      <c r="A48" s="1144"/>
      <c r="B48" s="1144"/>
      <c r="C48" s="1144"/>
      <c r="D48" s="1144"/>
      <c r="E48" s="1144"/>
      <c r="F48" s="1144"/>
      <c r="G48" s="1144"/>
      <c r="H48" s="1144"/>
      <c r="I48" s="1144"/>
      <c r="J48" s="1144"/>
      <c r="K48" s="1144"/>
      <c r="L48" s="1144"/>
      <c r="M48" s="1144"/>
    </row>
    <row r="49" spans="1:13" ht="13" x14ac:dyDescent="0.3">
      <c r="A49" s="1144"/>
      <c r="B49" s="1144"/>
      <c r="C49" s="1144"/>
      <c r="D49" s="1144"/>
      <c r="E49" s="1144"/>
      <c r="F49" s="1144"/>
      <c r="G49" s="1144"/>
      <c r="H49" s="1144"/>
      <c r="I49" s="1144"/>
      <c r="J49" s="1144"/>
      <c r="K49" s="1144"/>
      <c r="L49" s="1144"/>
      <c r="M49" s="1144"/>
    </row>
    <row r="50" spans="1:13" ht="13" x14ac:dyDescent="0.3">
      <c r="A50" s="1145"/>
      <c r="B50" s="1145"/>
      <c r="C50" s="1145"/>
      <c r="D50" s="1145"/>
      <c r="E50" s="1146">
        <v>45748</v>
      </c>
      <c r="F50" s="1145"/>
      <c r="G50" s="1146">
        <v>45778</v>
      </c>
      <c r="H50" s="1146"/>
      <c r="I50" s="1147">
        <v>45809</v>
      </c>
      <c r="J50" s="1147"/>
      <c r="K50" s="1147">
        <v>45839</v>
      </c>
      <c r="L50" s="1147"/>
      <c r="M50" s="1147">
        <v>45870</v>
      </c>
    </row>
    <row r="51" spans="1:13" ht="13" x14ac:dyDescent="0.3">
      <c r="A51" s="1148" t="s">
        <v>1501</v>
      </c>
      <c r="B51" s="1148"/>
      <c r="C51" s="1148"/>
      <c r="D51" s="1148"/>
      <c r="E51" s="573">
        <f>E17</f>
        <v>45098562.68</v>
      </c>
      <c r="F51" s="1148"/>
      <c r="G51" s="573">
        <f>G17</f>
        <v>79344896.689999998</v>
      </c>
      <c r="H51" s="573"/>
      <c r="I51" s="573">
        <f>I17</f>
        <v>82701066.25999999</v>
      </c>
      <c r="J51" s="573"/>
      <c r="K51" s="1149">
        <f>K17</f>
        <v>84326483.810000002</v>
      </c>
      <c r="L51" s="1150"/>
      <c r="M51" s="1151">
        <f>'ESFA AGOST 2025'!C32</f>
        <v>91939379.909999996</v>
      </c>
    </row>
    <row r="52" spans="1:13" ht="13" x14ac:dyDescent="0.3">
      <c r="A52" s="1145" t="s">
        <v>1502</v>
      </c>
      <c r="B52" s="1145"/>
      <c r="C52" s="1145"/>
      <c r="D52" s="1145"/>
      <c r="E52" s="1152">
        <f>E37</f>
        <v>25473876.879999999</v>
      </c>
      <c r="F52" s="1145"/>
      <c r="G52" s="1152">
        <f>G37</f>
        <v>29813541.060000002</v>
      </c>
      <c r="H52" s="1152"/>
      <c r="I52" s="1152">
        <f>I37</f>
        <v>61711017.030000001</v>
      </c>
      <c r="J52" s="1152"/>
      <c r="K52" s="1152">
        <f>K37</f>
        <v>61872677.82</v>
      </c>
      <c r="L52" s="1153"/>
      <c r="M52" s="1154">
        <f>'ESFA AGOST 2025'!C53</f>
        <v>69233669.819999993</v>
      </c>
    </row>
    <row r="53" spans="1:13" ht="13" x14ac:dyDescent="0.3">
      <c r="A53" s="1148" t="s">
        <v>1503</v>
      </c>
      <c r="B53" s="1148"/>
      <c r="C53" s="1148"/>
      <c r="D53" s="1148"/>
      <c r="E53" s="573">
        <f>E46</f>
        <v>16352677.300000001</v>
      </c>
      <c r="F53" s="1148"/>
      <c r="G53" s="573">
        <f>G46</f>
        <v>17194244.750000004</v>
      </c>
      <c r="H53" s="573"/>
      <c r="I53" s="1155">
        <f>I46</f>
        <v>20990049.230000004</v>
      </c>
      <c r="J53" s="1155"/>
      <c r="K53" s="1155">
        <f>K46</f>
        <v>22453805.989999995</v>
      </c>
      <c r="L53" s="1156"/>
      <c r="M53" s="1156">
        <f>'ESFA AGOST 2025'!C60</f>
        <v>22705710.089999992</v>
      </c>
    </row>
    <row r="54" spans="1:13" ht="13" x14ac:dyDescent="0.3">
      <c r="A54" s="1144"/>
      <c r="B54" s="1144"/>
      <c r="C54" s="1144"/>
      <c r="D54" s="1144"/>
      <c r="E54" s="1144"/>
      <c r="F54" s="1144"/>
      <c r="G54" s="1144"/>
      <c r="H54" s="1144"/>
      <c r="I54" s="1144"/>
      <c r="J54" s="1144"/>
      <c r="K54" s="1144"/>
      <c r="L54" s="1144"/>
      <c r="M54" s="1144"/>
    </row>
    <row r="55" spans="1:13" ht="13" x14ac:dyDescent="0.3">
      <c r="A55" s="1157" t="s">
        <v>1504</v>
      </c>
      <c r="B55" s="1157"/>
      <c r="C55" s="1157"/>
      <c r="D55" s="1157"/>
      <c r="E55" s="1157"/>
      <c r="F55" s="1157"/>
      <c r="G55" s="1147">
        <v>45778</v>
      </c>
      <c r="H55" s="1147"/>
      <c r="I55" s="1147">
        <v>45809</v>
      </c>
      <c r="J55" s="1147"/>
      <c r="K55" s="1147">
        <v>45839</v>
      </c>
      <c r="L55" s="1147"/>
      <c r="M55" s="1147">
        <v>45870</v>
      </c>
    </row>
    <row r="56" spans="1:13" ht="13" x14ac:dyDescent="0.3">
      <c r="A56" s="1148" t="s">
        <v>1497</v>
      </c>
      <c r="B56" s="1148"/>
      <c r="C56" s="1148"/>
      <c r="D56" s="1148"/>
      <c r="E56" s="1148"/>
      <c r="F56" s="1148"/>
      <c r="G56" s="573">
        <f>G51</f>
        <v>79344896.689999998</v>
      </c>
      <c r="H56" s="573"/>
      <c r="I56" s="573">
        <f>I51</f>
        <v>82701066.25999999</v>
      </c>
      <c r="J56" s="573"/>
      <c r="K56" s="573">
        <f>K51</f>
        <v>84326483.810000002</v>
      </c>
      <c r="L56" s="573"/>
      <c r="M56" s="1155">
        <f>M51</f>
        <v>91939379.909999996</v>
      </c>
    </row>
    <row r="57" spans="1:13" ht="13" x14ac:dyDescent="0.3">
      <c r="A57" s="1145" t="s">
        <v>1498</v>
      </c>
      <c r="B57" s="1145"/>
      <c r="C57" s="1145"/>
      <c r="D57" s="1145"/>
      <c r="E57" s="1145"/>
      <c r="F57" s="1145"/>
      <c r="G57" s="1152">
        <f>G52</f>
        <v>29813541.060000002</v>
      </c>
      <c r="H57" s="1152"/>
      <c r="I57" s="1152">
        <f>I52</f>
        <v>61711017.030000001</v>
      </c>
      <c r="J57" s="1152"/>
      <c r="K57" s="1152">
        <f>K52</f>
        <v>61872677.82</v>
      </c>
      <c r="L57" s="1152"/>
      <c r="M57" s="1158">
        <f>M52</f>
        <v>69233669.819999993</v>
      </c>
    </row>
    <row r="58" spans="1:13" ht="13" x14ac:dyDescent="0.3">
      <c r="A58" s="1148" t="s">
        <v>1496</v>
      </c>
      <c r="B58" s="1148"/>
      <c r="C58" s="1148"/>
      <c r="D58" s="1148"/>
      <c r="E58" s="1148"/>
      <c r="F58" s="1148"/>
      <c r="G58" s="1159">
        <f>G56/G57</f>
        <v>2.6613711041676575</v>
      </c>
      <c r="H58" s="1159"/>
      <c r="I58" s="1159">
        <f>I56/I57</f>
        <v>1.3401345536048441</v>
      </c>
      <c r="J58" s="1159"/>
      <c r="K58" s="1159">
        <f>K56/K57</f>
        <v>1.3629034136088729</v>
      </c>
      <c r="L58" s="1159"/>
      <c r="M58" s="1159">
        <f t="shared" ref="M58" si="0">M56/M57</f>
        <v>1.3279576273947686</v>
      </c>
    </row>
    <row r="59" spans="1:13" ht="13" x14ac:dyDescent="0.3">
      <c r="A59" s="1145" t="s">
        <v>1499</v>
      </c>
      <c r="B59" s="1145"/>
      <c r="C59" s="1145"/>
      <c r="D59" s="1145"/>
      <c r="E59" s="1145"/>
      <c r="F59" s="1145"/>
      <c r="G59" s="1145">
        <v>1</v>
      </c>
      <c r="H59" s="1145"/>
      <c r="I59" s="1145">
        <v>1</v>
      </c>
      <c r="J59" s="1145"/>
      <c r="K59" s="1145">
        <v>1</v>
      </c>
      <c r="L59" s="1145"/>
      <c r="M59" s="1145">
        <v>1</v>
      </c>
    </row>
  </sheetData>
  <mergeCells count="2">
    <mergeCell ref="A1:M1"/>
    <mergeCell ref="A2:M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A4E16-4CE1-4E65-8FB6-C509CAB79749}">
  <dimension ref="B1:O97"/>
  <sheetViews>
    <sheetView topLeftCell="A9" workbookViewId="0">
      <selection activeCell="A23" sqref="A23:XFD27"/>
    </sheetView>
  </sheetViews>
  <sheetFormatPr baseColWidth="10" defaultRowHeight="12.5" x14ac:dyDescent="0.25"/>
  <cols>
    <col min="1" max="1" width="4.453125" customWidth="1"/>
    <col min="2" max="2" width="30.453125" bestFit="1" customWidth="1"/>
    <col min="3" max="3" width="17.26953125" bestFit="1" customWidth="1"/>
    <col min="4" max="4" width="1.81640625" customWidth="1"/>
    <col min="5" max="5" width="15" customWidth="1"/>
    <col min="6" max="6" width="4" customWidth="1"/>
    <col min="7" max="7" width="12.54296875" customWidth="1"/>
    <col min="8" max="8" width="10.81640625" style="16" customWidth="1"/>
    <col min="9" max="9" width="5.54296875" customWidth="1"/>
    <col min="10" max="10" width="37" hidden="1" customWidth="1"/>
    <col min="11" max="11" width="14.453125" hidden="1" customWidth="1"/>
    <col min="12" max="12" width="0" hidden="1" customWidth="1"/>
    <col min="13" max="13" width="13.26953125" style="325" hidden="1" customWidth="1"/>
    <col min="14" max="14" width="16.7265625" style="325" hidden="1" customWidth="1"/>
    <col min="257" max="257" width="4.453125" customWidth="1"/>
    <col min="258" max="258" width="30.453125" bestFit="1" customWidth="1"/>
    <col min="259" max="259" width="17.26953125" bestFit="1" customWidth="1"/>
    <col min="260" max="260" width="1.81640625" customWidth="1"/>
    <col min="261" max="261" width="15" customWidth="1"/>
    <col min="262" max="262" width="4" customWidth="1"/>
    <col min="263" max="263" width="12.54296875" customWidth="1"/>
    <col min="264" max="264" width="10.81640625" customWidth="1"/>
    <col min="265" max="265" width="5.54296875" customWidth="1"/>
    <col min="266" max="270" width="0" hidden="1" customWidth="1"/>
    <col min="513" max="513" width="4.453125" customWidth="1"/>
    <col min="514" max="514" width="30.453125" bestFit="1" customWidth="1"/>
    <col min="515" max="515" width="17.26953125" bestFit="1" customWidth="1"/>
    <col min="516" max="516" width="1.81640625" customWidth="1"/>
    <col min="517" max="517" width="15" customWidth="1"/>
    <col min="518" max="518" width="4" customWidth="1"/>
    <col min="519" max="519" width="12.54296875" customWidth="1"/>
    <col min="520" max="520" width="10.81640625" customWidth="1"/>
    <col min="521" max="521" width="5.54296875" customWidth="1"/>
    <col min="522" max="526" width="0" hidden="1" customWidth="1"/>
    <col min="769" max="769" width="4.453125" customWidth="1"/>
    <col min="770" max="770" width="30.453125" bestFit="1" customWidth="1"/>
    <col min="771" max="771" width="17.26953125" bestFit="1" customWidth="1"/>
    <col min="772" max="772" width="1.81640625" customWidth="1"/>
    <col min="773" max="773" width="15" customWidth="1"/>
    <col min="774" max="774" width="4" customWidth="1"/>
    <col min="775" max="775" width="12.54296875" customWidth="1"/>
    <col min="776" max="776" width="10.81640625" customWidth="1"/>
    <col min="777" max="777" width="5.54296875" customWidth="1"/>
    <col min="778" max="782" width="0" hidden="1" customWidth="1"/>
    <col min="1025" max="1025" width="4.453125" customWidth="1"/>
    <col min="1026" max="1026" width="30.453125" bestFit="1" customWidth="1"/>
    <col min="1027" max="1027" width="17.26953125" bestFit="1" customWidth="1"/>
    <col min="1028" max="1028" width="1.81640625" customWidth="1"/>
    <col min="1029" max="1029" width="15" customWidth="1"/>
    <col min="1030" max="1030" width="4" customWidth="1"/>
    <col min="1031" max="1031" width="12.54296875" customWidth="1"/>
    <col min="1032" max="1032" width="10.81640625" customWidth="1"/>
    <col min="1033" max="1033" width="5.54296875" customWidth="1"/>
    <col min="1034" max="1038" width="0" hidden="1" customWidth="1"/>
    <col min="1281" max="1281" width="4.453125" customWidth="1"/>
    <col min="1282" max="1282" width="30.453125" bestFit="1" customWidth="1"/>
    <col min="1283" max="1283" width="17.26953125" bestFit="1" customWidth="1"/>
    <col min="1284" max="1284" width="1.81640625" customWidth="1"/>
    <col min="1285" max="1285" width="15" customWidth="1"/>
    <col min="1286" max="1286" width="4" customWidth="1"/>
    <col min="1287" max="1287" width="12.54296875" customWidth="1"/>
    <col min="1288" max="1288" width="10.81640625" customWidth="1"/>
    <col min="1289" max="1289" width="5.54296875" customWidth="1"/>
    <col min="1290" max="1294" width="0" hidden="1" customWidth="1"/>
    <col min="1537" max="1537" width="4.453125" customWidth="1"/>
    <col min="1538" max="1538" width="30.453125" bestFit="1" customWidth="1"/>
    <col min="1539" max="1539" width="17.26953125" bestFit="1" customWidth="1"/>
    <col min="1540" max="1540" width="1.81640625" customWidth="1"/>
    <col min="1541" max="1541" width="15" customWidth="1"/>
    <col min="1542" max="1542" width="4" customWidth="1"/>
    <col min="1543" max="1543" width="12.54296875" customWidth="1"/>
    <col min="1544" max="1544" width="10.81640625" customWidth="1"/>
    <col min="1545" max="1545" width="5.54296875" customWidth="1"/>
    <col min="1546" max="1550" width="0" hidden="1" customWidth="1"/>
    <col min="1793" max="1793" width="4.453125" customWidth="1"/>
    <col min="1794" max="1794" width="30.453125" bestFit="1" customWidth="1"/>
    <col min="1795" max="1795" width="17.26953125" bestFit="1" customWidth="1"/>
    <col min="1796" max="1796" width="1.81640625" customWidth="1"/>
    <col min="1797" max="1797" width="15" customWidth="1"/>
    <col min="1798" max="1798" width="4" customWidth="1"/>
    <col min="1799" max="1799" width="12.54296875" customWidth="1"/>
    <col min="1800" max="1800" width="10.81640625" customWidth="1"/>
    <col min="1801" max="1801" width="5.54296875" customWidth="1"/>
    <col min="1802" max="1806" width="0" hidden="1" customWidth="1"/>
    <col min="2049" max="2049" width="4.453125" customWidth="1"/>
    <col min="2050" max="2050" width="30.453125" bestFit="1" customWidth="1"/>
    <col min="2051" max="2051" width="17.26953125" bestFit="1" customWidth="1"/>
    <col min="2052" max="2052" width="1.81640625" customWidth="1"/>
    <col min="2053" max="2053" width="15" customWidth="1"/>
    <col min="2054" max="2054" width="4" customWidth="1"/>
    <col min="2055" max="2055" width="12.54296875" customWidth="1"/>
    <col min="2056" max="2056" width="10.81640625" customWidth="1"/>
    <col min="2057" max="2057" width="5.54296875" customWidth="1"/>
    <col min="2058" max="2062" width="0" hidden="1" customWidth="1"/>
    <col min="2305" max="2305" width="4.453125" customWidth="1"/>
    <col min="2306" max="2306" width="30.453125" bestFit="1" customWidth="1"/>
    <col min="2307" max="2307" width="17.26953125" bestFit="1" customWidth="1"/>
    <col min="2308" max="2308" width="1.81640625" customWidth="1"/>
    <col min="2309" max="2309" width="15" customWidth="1"/>
    <col min="2310" max="2310" width="4" customWidth="1"/>
    <col min="2311" max="2311" width="12.54296875" customWidth="1"/>
    <col min="2312" max="2312" width="10.81640625" customWidth="1"/>
    <col min="2313" max="2313" width="5.54296875" customWidth="1"/>
    <col min="2314" max="2318" width="0" hidden="1" customWidth="1"/>
    <col min="2561" max="2561" width="4.453125" customWidth="1"/>
    <col min="2562" max="2562" width="30.453125" bestFit="1" customWidth="1"/>
    <col min="2563" max="2563" width="17.26953125" bestFit="1" customWidth="1"/>
    <col min="2564" max="2564" width="1.81640625" customWidth="1"/>
    <col min="2565" max="2565" width="15" customWidth="1"/>
    <col min="2566" max="2566" width="4" customWidth="1"/>
    <col min="2567" max="2567" width="12.54296875" customWidth="1"/>
    <col min="2568" max="2568" width="10.81640625" customWidth="1"/>
    <col min="2569" max="2569" width="5.54296875" customWidth="1"/>
    <col min="2570" max="2574" width="0" hidden="1" customWidth="1"/>
    <col min="2817" max="2817" width="4.453125" customWidth="1"/>
    <col min="2818" max="2818" width="30.453125" bestFit="1" customWidth="1"/>
    <col min="2819" max="2819" width="17.26953125" bestFit="1" customWidth="1"/>
    <col min="2820" max="2820" width="1.81640625" customWidth="1"/>
    <col min="2821" max="2821" width="15" customWidth="1"/>
    <col min="2822" max="2822" width="4" customWidth="1"/>
    <col min="2823" max="2823" width="12.54296875" customWidth="1"/>
    <col min="2824" max="2824" width="10.81640625" customWidth="1"/>
    <col min="2825" max="2825" width="5.54296875" customWidth="1"/>
    <col min="2826" max="2830" width="0" hidden="1" customWidth="1"/>
    <col min="3073" max="3073" width="4.453125" customWidth="1"/>
    <col min="3074" max="3074" width="30.453125" bestFit="1" customWidth="1"/>
    <col min="3075" max="3075" width="17.26953125" bestFit="1" customWidth="1"/>
    <col min="3076" max="3076" width="1.81640625" customWidth="1"/>
    <col min="3077" max="3077" width="15" customWidth="1"/>
    <col min="3078" max="3078" width="4" customWidth="1"/>
    <col min="3079" max="3079" width="12.54296875" customWidth="1"/>
    <col min="3080" max="3080" width="10.81640625" customWidth="1"/>
    <col min="3081" max="3081" width="5.54296875" customWidth="1"/>
    <col min="3082" max="3086" width="0" hidden="1" customWidth="1"/>
    <col min="3329" max="3329" width="4.453125" customWidth="1"/>
    <col min="3330" max="3330" width="30.453125" bestFit="1" customWidth="1"/>
    <col min="3331" max="3331" width="17.26953125" bestFit="1" customWidth="1"/>
    <col min="3332" max="3332" width="1.81640625" customWidth="1"/>
    <col min="3333" max="3333" width="15" customWidth="1"/>
    <col min="3334" max="3334" width="4" customWidth="1"/>
    <col min="3335" max="3335" width="12.54296875" customWidth="1"/>
    <col min="3336" max="3336" width="10.81640625" customWidth="1"/>
    <col min="3337" max="3337" width="5.54296875" customWidth="1"/>
    <col min="3338" max="3342" width="0" hidden="1" customWidth="1"/>
    <col min="3585" max="3585" width="4.453125" customWidth="1"/>
    <col min="3586" max="3586" width="30.453125" bestFit="1" customWidth="1"/>
    <col min="3587" max="3587" width="17.26953125" bestFit="1" customWidth="1"/>
    <col min="3588" max="3588" width="1.81640625" customWidth="1"/>
    <col min="3589" max="3589" width="15" customWidth="1"/>
    <col min="3590" max="3590" width="4" customWidth="1"/>
    <col min="3591" max="3591" width="12.54296875" customWidth="1"/>
    <col min="3592" max="3592" width="10.81640625" customWidth="1"/>
    <col min="3593" max="3593" width="5.54296875" customWidth="1"/>
    <col min="3594" max="3598" width="0" hidden="1" customWidth="1"/>
    <col min="3841" max="3841" width="4.453125" customWidth="1"/>
    <col min="3842" max="3842" width="30.453125" bestFit="1" customWidth="1"/>
    <col min="3843" max="3843" width="17.26953125" bestFit="1" customWidth="1"/>
    <col min="3844" max="3844" width="1.81640625" customWidth="1"/>
    <col min="3845" max="3845" width="15" customWidth="1"/>
    <col min="3846" max="3846" width="4" customWidth="1"/>
    <col min="3847" max="3847" width="12.54296875" customWidth="1"/>
    <col min="3848" max="3848" width="10.81640625" customWidth="1"/>
    <col min="3849" max="3849" width="5.54296875" customWidth="1"/>
    <col min="3850" max="3854" width="0" hidden="1" customWidth="1"/>
    <col min="4097" max="4097" width="4.453125" customWidth="1"/>
    <col min="4098" max="4098" width="30.453125" bestFit="1" customWidth="1"/>
    <col min="4099" max="4099" width="17.26953125" bestFit="1" customWidth="1"/>
    <col min="4100" max="4100" width="1.81640625" customWidth="1"/>
    <col min="4101" max="4101" width="15" customWidth="1"/>
    <col min="4102" max="4102" width="4" customWidth="1"/>
    <col min="4103" max="4103" width="12.54296875" customWidth="1"/>
    <col min="4104" max="4104" width="10.81640625" customWidth="1"/>
    <col min="4105" max="4105" width="5.54296875" customWidth="1"/>
    <col min="4106" max="4110" width="0" hidden="1" customWidth="1"/>
    <col min="4353" max="4353" width="4.453125" customWidth="1"/>
    <col min="4354" max="4354" width="30.453125" bestFit="1" customWidth="1"/>
    <col min="4355" max="4355" width="17.26953125" bestFit="1" customWidth="1"/>
    <col min="4356" max="4356" width="1.81640625" customWidth="1"/>
    <col min="4357" max="4357" width="15" customWidth="1"/>
    <col min="4358" max="4358" width="4" customWidth="1"/>
    <col min="4359" max="4359" width="12.54296875" customWidth="1"/>
    <col min="4360" max="4360" width="10.81640625" customWidth="1"/>
    <col min="4361" max="4361" width="5.54296875" customWidth="1"/>
    <col min="4362" max="4366" width="0" hidden="1" customWidth="1"/>
    <col min="4609" max="4609" width="4.453125" customWidth="1"/>
    <col min="4610" max="4610" width="30.453125" bestFit="1" customWidth="1"/>
    <col min="4611" max="4611" width="17.26953125" bestFit="1" customWidth="1"/>
    <col min="4612" max="4612" width="1.81640625" customWidth="1"/>
    <col min="4613" max="4613" width="15" customWidth="1"/>
    <col min="4614" max="4614" width="4" customWidth="1"/>
    <col min="4615" max="4615" width="12.54296875" customWidth="1"/>
    <col min="4616" max="4616" width="10.81640625" customWidth="1"/>
    <col min="4617" max="4617" width="5.54296875" customWidth="1"/>
    <col min="4618" max="4622" width="0" hidden="1" customWidth="1"/>
    <col min="4865" max="4865" width="4.453125" customWidth="1"/>
    <col min="4866" max="4866" width="30.453125" bestFit="1" customWidth="1"/>
    <col min="4867" max="4867" width="17.26953125" bestFit="1" customWidth="1"/>
    <col min="4868" max="4868" width="1.81640625" customWidth="1"/>
    <col min="4869" max="4869" width="15" customWidth="1"/>
    <col min="4870" max="4870" width="4" customWidth="1"/>
    <col min="4871" max="4871" width="12.54296875" customWidth="1"/>
    <col min="4872" max="4872" width="10.81640625" customWidth="1"/>
    <col min="4873" max="4873" width="5.54296875" customWidth="1"/>
    <col min="4874" max="4878" width="0" hidden="1" customWidth="1"/>
    <col min="5121" max="5121" width="4.453125" customWidth="1"/>
    <col min="5122" max="5122" width="30.453125" bestFit="1" customWidth="1"/>
    <col min="5123" max="5123" width="17.26953125" bestFit="1" customWidth="1"/>
    <col min="5124" max="5124" width="1.81640625" customWidth="1"/>
    <col min="5125" max="5125" width="15" customWidth="1"/>
    <col min="5126" max="5126" width="4" customWidth="1"/>
    <col min="5127" max="5127" width="12.54296875" customWidth="1"/>
    <col min="5128" max="5128" width="10.81640625" customWidth="1"/>
    <col min="5129" max="5129" width="5.54296875" customWidth="1"/>
    <col min="5130" max="5134" width="0" hidden="1" customWidth="1"/>
    <col min="5377" max="5377" width="4.453125" customWidth="1"/>
    <col min="5378" max="5378" width="30.453125" bestFit="1" customWidth="1"/>
    <col min="5379" max="5379" width="17.26953125" bestFit="1" customWidth="1"/>
    <col min="5380" max="5380" width="1.81640625" customWidth="1"/>
    <col min="5381" max="5381" width="15" customWidth="1"/>
    <col min="5382" max="5382" width="4" customWidth="1"/>
    <col min="5383" max="5383" width="12.54296875" customWidth="1"/>
    <col min="5384" max="5384" width="10.81640625" customWidth="1"/>
    <col min="5385" max="5385" width="5.54296875" customWidth="1"/>
    <col min="5386" max="5390" width="0" hidden="1" customWidth="1"/>
    <col min="5633" max="5633" width="4.453125" customWidth="1"/>
    <col min="5634" max="5634" width="30.453125" bestFit="1" customWidth="1"/>
    <col min="5635" max="5635" width="17.26953125" bestFit="1" customWidth="1"/>
    <col min="5636" max="5636" width="1.81640625" customWidth="1"/>
    <col min="5637" max="5637" width="15" customWidth="1"/>
    <col min="5638" max="5638" width="4" customWidth="1"/>
    <col min="5639" max="5639" width="12.54296875" customWidth="1"/>
    <col min="5640" max="5640" width="10.81640625" customWidth="1"/>
    <col min="5641" max="5641" width="5.54296875" customWidth="1"/>
    <col min="5642" max="5646" width="0" hidden="1" customWidth="1"/>
    <col min="5889" max="5889" width="4.453125" customWidth="1"/>
    <col min="5890" max="5890" width="30.453125" bestFit="1" customWidth="1"/>
    <col min="5891" max="5891" width="17.26953125" bestFit="1" customWidth="1"/>
    <col min="5892" max="5892" width="1.81640625" customWidth="1"/>
    <col min="5893" max="5893" width="15" customWidth="1"/>
    <col min="5894" max="5894" width="4" customWidth="1"/>
    <col min="5895" max="5895" width="12.54296875" customWidth="1"/>
    <col min="5896" max="5896" width="10.81640625" customWidth="1"/>
    <col min="5897" max="5897" width="5.54296875" customWidth="1"/>
    <col min="5898" max="5902" width="0" hidden="1" customWidth="1"/>
    <col min="6145" max="6145" width="4.453125" customWidth="1"/>
    <col min="6146" max="6146" width="30.453125" bestFit="1" customWidth="1"/>
    <col min="6147" max="6147" width="17.26953125" bestFit="1" customWidth="1"/>
    <col min="6148" max="6148" width="1.81640625" customWidth="1"/>
    <col min="6149" max="6149" width="15" customWidth="1"/>
    <col min="6150" max="6150" width="4" customWidth="1"/>
    <col min="6151" max="6151" width="12.54296875" customWidth="1"/>
    <col min="6152" max="6152" width="10.81640625" customWidth="1"/>
    <col min="6153" max="6153" width="5.54296875" customWidth="1"/>
    <col min="6154" max="6158" width="0" hidden="1" customWidth="1"/>
    <col min="6401" max="6401" width="4.453125" customWidth="1"/>
    <col min="6402" max="6402" width="30.453125" bestFit="1" customWidth="1"/>
    <col min="6403" max="6403" width="17.26953125" bestFit="1" customWidth="1"/>
    <col min="6404" max="6404" width="1.81640625" customWidth="1"/>
    <col min="6405" max="6405" width="15" customWidth="1"/>
    <col min="6406" max="6406" width="4" customWidth="1"/>
    <col min="6407" max="6407" width="12.54296875" customWidth="1"/>
    <col min="6408" max="6408" width="10.81640625" customWidth="1"/>
    <col min="6409" max="6409" width="5.54296875" customWidth="1"/>
    <col min="6410" max="6414" width="0" hidden="1" customWidth="1"/>
    <col min="6657" max="6657" width="4.453125" customWidth="1"/>
    <col min="6658" max="6658" width="30.453125" bestFit="1" customWidth="1"/>
    <col min="6659" max="6659" width="17.26953125" bestFit="1" customWidth="1"/>
    <col min="6660" max="6660" width="1.81640625" customWidth="1"/>
    <col min="6661" max="6661" width="15" customWidth="1"/>
    <col min="6662" max="6662" width="4" customWidth="1"/>
    <col min="6663" max="6663" width="12.54296875" customWidth="1"/>
    <col min="6664" max="6664" width="10.81640625" customWidth="1"/>
    <col min="6665" max="6665" width="5.54296875" customWidth="1"/>
    <col min="6666" max="6670" width="0" hidden="1" customWidth="1"/>
    <col min="6913" max="6913" width="4.453125" customWidth="1"/>
    <col min="6914" max="6914" width="30.453125" bestFit="1" customWidth="1"/>
    <col min="6915" max="6915" width="17.26953125" bestFit="1" customWidth="1"/>
    <col min="6916" max="6916" width="1.81640625" customWidth="1"/>
    <col min="6917" max="6917" width="15" customWidth="1"/>
    <col min="6918" max="6918" width="4" customWidth="1"/>
    <col min="6919" max="6919" width="12.54296875" customWidth="1"/>
    <col min="6920" max="6920" width="10.81640625" customWidth="1"/>
    <col min="6921" max="6921" width="5.54296875" customWidth="1"/>
    <col min="6922" max="6926" width="0" hidden="1" customWidth="1"/>
    <col min="7169" max="7169" width="4.453125" customWidth="1"/>
    <col min="7170" max="7170" width="30.453125" bestFit="1" customWidth="1"/>
    <col min="7171" max="7171" width="17.26953125" bestFit="1" customWidth="1"/>
    <col min="7172" max="7172" width="1.81640625" customWidth="1"/>
    <col min="7173" max="7173" width="15" customWidth="1"/>
    <col min="7174" max="7174" width="4" customWidth="1"/>
    <col min="7175" max="7175" width="12.54296875" customWidth="1"/>
    <col min="7176" max="7176" width="10.81640625" customWidth="1"/>
    <col min="7177" max="7177" width="5.54296875" customWidth="1"/>
    <col min="7178" max="7182" width="0" hidden="1" customWidth="1"/>
    <col min="7425" max="7425" width="4.453125" customWidth="1"/>
    <col min="7426" max="7426" width="30.453125" bestFit="1" customWidth="1"/>
    <col min="7427" max="7427" width="17.26953125" bestFit="1" customWidth="1"/>
    <col min="7428" max="7428" width="1.81640625" customWidth="1"/>
    <col min="7429" max="7429" width="15" customWidth="1"/>
    <col min="7430" max="7430" width="4" customWidth="1"/>
    <col min="7431" max="7431" width="12.54296875" customWidth="1"/>
    <col min="7432" max="7432" width="10.81640625" customWidth="1"/>
    <col min="7433" max="7433" width="5.54296875" customWidth="1"/>
    <col min="7434" max="7438" width="0" hidden="1" customWidth="1"/>
    <col min="7681" max="7681" width="4.453125" customWidth="1"/>
    <col min="7682" max="7682" width="30.453125" bestFit="1" customWidth="1"/>
    <col min="7683" max="7683" width="17.26953125" bestFit="1" customWidth="1"/>
    <col min="7684" max="7684" width="1.81640625" customWidth="1"/>
    <col min="7685" max="7685" width="15" customWidth="1"/>
    <col min="7686" max="7686" width="4" customWidth="1"/>
    <col min="7687" max="7687" width="12.54296875" customWidth="1"/>
    <col min="7688" max="7688" width="10.81640625" customWidth="1"/>
    <col min="7689" max="7689" width="5.54296875" customWidth="1"/>
    <col min="7690" max="7694" width="0" hidden="1" customWidth="1"/>
    <col min="7937" max="7937" width="4.453125" customWidth="1"/>
    <col min="7938" max="7938" width="30.453125" bestFit="1" customWidth="1"/>
    <col min="7939" max="7939" width="17.26953125" bestFit="1" customWidth="1"/>
    <col min="7940" max="7940" width="1.81640625" customWidth="1"/>
    <col min="7941" max="7941" width="15" customWidth="1"/>
    <col min="7942" max="7942" width="4" customWidth="1"/>
    <col min="7943" max="7943" width="12.54296875" customWidth="1"/>
    <col min="7944" max="7944" width="10.81640625" customWidth="1"/>
    <col min="7945" max="7945" width="5.54296875" customWidth="1"/>
    <col min="7946" max="7950" width="0" hidden="1" customWidth="1"/>
    <col min="8193" max="8193" width="4.453125" customWidth="1"/>
    <col min="8194" max="8194" width="30.453125" bestFit="1" customWidth="1"/>
    <col min="8195" max="8195" width="17.26953125" bestFit="1" customWidth="1"/>
    <col min="8196" max="8196" width="1.81640625" customWidth="1"/>
    <col min="8197" max="8197" width="15" customWidth="1"/>
    <col min="8198" max="8198" width="4" customWidth="1"/>
    <col min="8199" max="8199" width="12.54296875" customWidth="1"/>
    <col min="8200" max="8200" width="10.81640625" customWidth="1"/>
    <col min="8201" max="8201" width="5.54296875" customWidth="1"/>
    <col min="8202" max="8206" width="0" hidden="1" customWidth="1"/>
    <col min="8449" max="8449" width="4.453125" customWidth="1"/>
    <col min="8450" max="8450" width="30.453125" bestFit="1" customWidth="1"/>
    <col min="8451" max="8451" width="17.26953125" bestFit="1" customWidth="1"/>
    <col min="8452" max="8452" width="1.81640625" customWidth="1"/>
    <col min="8453" max="8453" width="15" customWidth="1"/>
    <col min="8454" max="8454" width="4" customWidth="1"/>
    <col min="8455" max="8455" width="12.54296875" customWidth="1"/>
    <col min="8456" max="8456" width="10.81640625" customWidth="1"/>
    <col min="8457" max="8457" width="5.54296875" customWidth="1"/>
    <col min="8458" max="8462" width="0" hidden="1" customWidth="1"/>
    <col min="8705" max="8705" width="4.453125" customWidth="1"/>
    <col min="8706" max="8706" width="30.453125" bestFit="1" customWidth="1"/>
    <col min="8707" max="8707" width="17.26953125" bestFit="1" customWidth="1"/>
    <col min="8708" max="8708" width="1.81640625" customWidth="1"/>
    <col min="8709" max="8709" width="15" customWidth="1"/>
    <col min="8710" max="8710" width="4" customWidth="1"/>
    <col min="8711" max="8711" width="12.54296875" customWidth="1"/>
    <col min="8712" max="8712" width="10.81640625" customWidth="1"/>
    <col min="8713" max="8713" width="5.54296875" customWidth="1"/>
    <col min="8714" max="8718" width="0" hidden="1" customWidth="1"/>
    <col min="8961" max="8961" width="4.453125" customWidth="1"/>
    <col min="8962" max="8962" width="30.453125" bestFit="1" customWidth="1"/>
    <col min="8963" max="8963" width="17.26953125" bestFit="1" customWidth="1"/>
    <col min="8964" max="8964" width="1.81640625" customWidth="1"/>
    <col min="8965" max="8965" width="15" customWidth="1"/>
    <col min="8966" max="8966" width="4" customWidth="1"/>
    <col min="8967" max="8967" width="12.54296875" customWidth="1"/>
    <col min="8968" max="8968" width="10.81640625" customWidth="1"/>
    <col min="8969" max="8969" width="5.54296875" customWidth="1"/>
    <col min="8970" max="8974" width="0" hidden="1" customWidth="1"/>
    <col min="9217" max="9217" width="4.453125" customWidth="1"/>
    <col min="9218" max="9218" width="30.453125" bestFit="1" customWidth="1"/>
    <col min="9219" max="9219" width="17.26953125" bestFit="1" customWidth="1"/>
    <col min="9220" max="9220" width="1.81640625" customWidth="1"/>
    <col min="9221" max="9221" width="15" customWidth="1"/>
    <col min="9222" max="9222" width="4" customWidth="1"/>
    <col min="9223" max="9223" width="12.54296875" customWidth="1"/>
    <col min="9224" max="9224" width="10.81640625" customWidth="1"/>
    <col min="9225" max="9225" width="5.54296875" customWidth="1"/>
    <col min="9226" max="9230" width="0" hidden="1" customWidth="1"/>
    <col min="9473" max="9473" width="4.453125" customWidth="1"/>
    <col min="9474" max="9474" width="30.453125" bestFit="1" customWidth="1"/>
    <col min="9475" max="9475" width="17.26953125" bestFit="1" customWidth="1"/>
    <col min="9476" max="9476" width="1.81640625" customWidth="1"/>
    <col min="9477" max="9477" width="15" customWidth="1"/>
    <col min="9478" max="9478" width="4" customWidth="1"/>
    <col min="9479" max="9479" width="12.54296875" customWidth="1"/>
    <col min="9480" max="9480" width="10.81640625" customWidth="1"/>
    <col min="9481" max="9481" width="5.54296875" customWidth="1"/>
    <col min="9482" max="9486" width="0" hidden="1" customWidth="1"/>
    <col min="9729" max="9729" width="4.453125" customWidth="1"/>
    <col min="9730" max="9730" width="30.453125" bestFit="1" customWidth="1"/>
    <col min="9731" max="9731" width="17.26953125" bestFit="1" customWidth="1"/>
    <col min="9732" max="9732" width="1.81640625" customWidth="1"/>
    <col min="9733" max="9733" width="15" customWidth="1"/>
    <col min="9734" max="9734" width="4" customWidth="1"/>
    <col min="9735" max="9735" width="12.54296875" customWidth="1"/>
    <col min="9736" max="9736" width="10.81640625" customWidth="1"/>
    <col min="9737" max="9737" width="5.54296875" customWidth="1"/>
    <col min="9738" max="9742" width="0" hidden="1" customWidth="1"/>
    <col min="9985" max="9985" width="4.453125" customWidth="1"/>
    <col min="9986" max="9986" width="30.453125" bestFit="1" customWidth="1"/>
    <col min="9987" max="9987" width="17.26953125" bestFit="1" customWidth="1"/>
    <col min="9988" max="9988" width="1.81640625" customWidth="1"/>
    <col min="9989" max="9989" width="15" customWidth="1"/>
    <col min="9990" max="9990" width="4" customWidth="1"/>
    <col min="9991" max="9991" width="12.54296875" customWidth="1"/>
    <col min="9992" max="9992" width="10.81640625" customWidth="1"/>
    <col min="9993" max="9993" width="5.54296875" customWidth="1"/>
    <col min="9994" max="9998" width="0" hidden="1" customWidth="1"/>
    <col min="10241" max="10241" width="4.453125" customWidth="1"/>
    <col min="10242" max="10242" width="30.453125" bestFit="1" customWidth="1"/>
    <col min="10243" max="10243" width="17.26953125" bestFit="1" customWidth="1"/>
    <col min="10244" max="10244" width="1.81640625" customWidth="1"/>
    <col min="10245" max="10245" width="15" customWidth="1"/>
    <col min="10246" max="10246" width="4" customWidth="1"/>
    <col min="10247" max="10247" width="12.54296875" customWidth="1"/>
    <col min="10248" max="10248" width="10.81640625" customWidth="1"/>
    <col min="10249" max="10249" width="5.54296875" customWidth="1"/>
    <col min="10250" max="10254" width="0" hidden="1" customWidth="1"/>
    <col min="10497" max="10497" width="4.453125" customWidth="1"/>
    <col min="10498" max="10498" width="30.453125" bestFit="1" customWidth="1"/>
    <col min="10499" max="10499" width="17.26953125" bestFit="1" customWidth="1"/>
    <col min="10500" max="10500" width="1.81640625" customWidth="1"/>
    <col min="10501" max="10501" width="15" customWidth="1"/>
    <col min="10502" max="10502" width="4" customWidth="1"/>
    <col min="10503" max="10503" width="12.54296875" customWidth="1"/>
    <col min="10504" max="10504" width="10.81640625" customWidth="1"/>
    <col min="10505" max="10505" width="5.54296875" customWidth="1"/>
    <col min="10506" max="10510" width="0" hidden="1" customWidth="1"/>
    <col min="10753" max="10753" width="4.453125" customWidth="1"/>
    <col min="10754" max="10754" width="30.453125" bestFit="1" customWidth="1"/>
    <col min="10755" max="10755" width="17.26953125" bestFit="1" customWidth="1"/>
    <col min="10756" max="10756" width="1.81640625" customWidth="1"/>
    <col min="10757" max="10757" width="15" customWidth="1"/>
    <col min="10758" max="10758" width="4" customWidth="1"/>
    <col min="10759" max="10759" width="12.54296875" customWidth="1"/>
    <col min="10760" max="10760" width="10.81640625" customWidth="1"/>
    <col min="10761" max="10761" width="5.54296875" customWidth="1"/>
    <col min="10762" max="10766" width="0" hidden="1" customWidth="1"/>
    <col min="11009" max="11009" width="4.453125" customWidth="1"/>
    <col min="11010" max="11010" width="30.453125" bestFit="1" customWidth="1"/>
    <col min="11011" max="11011" width="17.26953125" bestFit="1" customWidth="1"/>
    <col min="11012" max="11012" width="1.81640625" customWidth="1"/>
    <col min="11013" max="11013" width="15" customWidth="1"/>
    <col min="11014" max="11014" width="4" customWidth="1"/>
    <col min="11015" max="11015" width="12.54296875" customWidth="1"/>
    <col min="11016" max="11016" width="10.81640625" customWidth="1"/>
    <col min="11017" max="11017" width="5.54296875" customWidth="1"/>
    <col min="11018" max="11022" width="0" hidden="1" customWidth="1"/>
    <col min="11265" max="11265" width="4.453125" customWidth="1"/>
    <col min="11266" max="11266" width="30.453125" bestFit="1" customWidth="1"/>
    <col min="11267" max="11267" width="17.26953125" bestFit="1" customWidth="1"/>
    <col min="11268" max="11268" width="1.81640625" customWidth="1"/>
    <col min="11269" max="11269" width="15" customWidth="1"/>
    <col min="11270" max="11270" width="4" customWidth="1"/>
    <col min="11271" max="11271" width="12.54296875" customWidth="1"/>
    <col min="11272" max="11272" width="10.81640625" customWidth="1"/>
    <col min="11273" max="11273" width="5.54296875" customWidth="1"/>
    <col min="11274" max="11278" width="0" hidden="1" customWidth="1"/>
    <col min="11521" max="11521" width="4.453125" customWidth="1"/>
    <col min="11522" max="11522" width="30.453125" bestFit="1" customWidth="1"/>
    <col min="11523" max="11523" width="17.26953125" bestFit="1" customWidth="1"/>
    <col min="11524" max="11524" width="1.81640625" customWidth="1"/>
    <col min="11525" max="11525" width="15" customWidth="1"/>
    <col min="11526" max="11526" width="4" customWidth="1"/>
    <col min="11527" max="11527" width="12.54296875" customWidth="1"/>
    <col min="11528" max="11528" width="10.81640625" customWidth="1"/>
    <col min="11529" max="11529" width="5.54296875" customWidth="1"/>
    <col min="11530" max="11534" width="0" hidden="1" customWidth="1"/>
    <col min="11777" max="11777" width="4.453125" customWidth="1"/>
    <col min="11778" max="11778" width="30.453125" bestFit="1" customWidth="1"/>
    <col min="11779" max="11779" width="17.26953125" bestFit="1" customWidth="1"/>
    <col min="11780" max="11780" width="1.81640625" customWidth="1"/>
    <col min="11781" max="11781" width="15" customWidth="1"/>
    <col min="11782" max="11782" width="4" customWidth="1"/>
    <col min="11783" max="11783" width="12.54296875" customWidth="1"/>
    <col min="11784" max="11784" width="10.81640625" customWidth="1"/>
    <col min="11785" max="11785" width="5.54296875" customWidth="1"/>
    <col min="11786" max="11790" width="0" hidden="1" customWidth="1"/>
    <col min="12033" max="12033" width="4.453125" customWidth="1"/>
    <col min="12034" max="12034" width="30.453125" bestFit="1" customWidth="1"/>
    <col min="12035" max="12035" width="17.26953125" bestFit="1" customWidth="1"/>
    <col min="12036" max="12036" width="1.81640625" customWidth="1"/>
    <col min="12037" max="12037" width="15" customWidth="1"/>
    <col min="12038" max="12038" width="4" customWidth="1"/>
    <col min="12039" max="12039" width="12.54296875" customWidth="1"/>
    <col min="12040" max="12040" width="10.81640625" customWidth="1"/>
    <col min="12041" max="12041" width="5.54296875" customWidth="1"/>
    <col min="12042" max="12046" width="0" hidden="1" customWidth="1"/>
    <col min="12289" max="12289" width="4.453125" customWidth="1"/>
    <col min="12290" max="12290" width="30.453125" bestFit="1" customWidth="1"/>
    <col min="12291" max="12291" width="17.26953125" bestFit="1" customWidth="1"/>
    <col min="12292" max="12292" width="1.81640625" customWidth="1"/>
    <col min="12293" max="12293" width="15" customWidth="1"/>
    <col min="12294" max="12294" width="4" customWidth="1"/>
    <col min="12295" max="12295" width="12.54296875" customWidth="1"/>
    <col min="12296" max="12296" width="10.81640625" customWidth="1"/>
    <col min="12297" max="12297" width="5.54296875" customWidth="1"/>
    <col min="12298" max="12302" width="0" hidden="1" customWidth="1"/>
    <col min="12545" max="12545" width="4.453125" customWidth="1"/>
    <col min="12546" max="12546" width="30.453125" bestFit="1" customWidth="1"/>
    <col min="12547" max="12547" width="17.26953125" bestFit="1" customWidth="1"/>
    <col min="12548" max="12548" width="1.81640625" customWidth="1"/>
    <col min="12549" max="12549" width="15" customWidth="1"/>
    <col min="12550" max="12550" width="4" customWidth="1"/>
    <col min="12551" max="12551" width="12.54296875" customWidth="1"/>
    <col min="12552" max="12552" width="10.81640625" customWidth="1"/>
    <col min="12553" max="12553" width="5.54296875" customWidth="1"/>
    <col min="12554" max="12558" width="0" hidden="1" customWidth="1"/>
    <col min="12801" max="12801" width="4.453125" customWidth="1"/>
    <col min="12802" max="12802" width="30.453125" bestFit="1" customWidth="1"/>
    <col min="12803" max="12803" width="17.26953125" bestFit="1" customWidth="1"/>
    <col min="12804" max="12804" width="1.81640625" customWidth="1"/>
    <col min="12805" max="12805" width="15" customWidth="1"/>
    <col min="12806" max="12806" width="4" customWidth="1"/>
    <col min="12807" max="12807" width="12.54296875" customWidth="1"/>
    <col min="12808" max="12808" width="10.81640625" customWidth="1"/>
    <col min="12809" max="12809" width="5.54296875" customWidth="1"/>
    <col min="12810" max="12814" width="0" hidden="1" customWidth="1"/>
    <col min="13057" max="13057" width="4.453125" customWidth="1"/>
    <col min="13058" max="13058" width="30.453125" bestFit="1" customWidth="1"/>
    <col min="13059" max="13059" width="17.26953125" bestFit="1" customWidth="1"/>
    <col min="13060" max="13060" width="1.81640625" customWidth="1"/>
    <col min="13061" max="13061" width="15" customWidth="1"/>
    <col min="13062" max="13062" width="4" customWidth="1"/>
    <col min="13063" max="13063" width="12.54296875" customWidth="1"/>
    <col min="13064" max="13064" width="10.81640625" customWidth="1"/>
    <col min="13065" max="13065" width="5.54296875" customWidth="1"/>
    <col min="13066" max="13070" width="0" hidden="1" customWidth="1"/>
    <col min="13313" max="13313" width="4.453125" customWidth="1"/>
    <col min="13314" max="13314" width="30.453125" bestFit="1" customWidth="1"/>
    <col min="13315" max="13315" width="17.26953125" bestFit="1" customWidth="1"/>
    <col min="13316" max="13316" width="1.81640625" customWidth="1"/>
    <col min="13317" max="13317" width="15" customWidth="1"/>
    <col min="13318" max="13318" width="4" customWidth="1"/>
    <col min="13319" max="13319" width="12.54296875" customWidth="1"/>
    <col min="13320" max="13320" width="10.81640625" customWidth="1"/>
    <col min="13321" max="13321" width="5.54296875" customWidth="1"/>
    <col min="13322" max="13326" width="0" hidden="1" customWidth="1"/>
    <col min="13569" max="13569" width="4.453125" customWidth="1"/>
    <col min="13570" max="13570" width="30.453125" bestFit="1" customWidth="1"/>
    <col min="13571" max="13571" width="17.26953125" bestFit="1" customWidth="1"/>
    <col min="13572" max="13572" width="1.81640625" customWidth="1"/>
    <col min="13573" max="13573" width="15" customWidth="1"/>
    <col min="13574" max="13574" width="4" customWidth="1"/>
    <col min="13575" max="13575" width="12.54296875" customWidth="1"/>
    <col min="13576" max="13576" width="10.81640625" customWidth="1"/>
    <col min="13577" max="13577" width="5.54296875" customWidth="1"/>
    <col min="13578" max="13582" width="0" hidden="1" customWidth="1"/>
    <col min="13825" max="13825" width="4.453125" customWidth="1"/>
    <col min="13826" max="13826" width="30.453125" bestFit="1" customWidth="1"/>
    <col min="13827" max="13827" width="17.26953125" bestFit="1" customWidth="1"/>
    <col min="13828" max="13828" width="1.81640625" customWidth="1"/>
    <col min="13829" max="13829" width="15" customWidth="1"/>
    <col min="13830" max="13830" width="4" customWidth="1"/>
    <col min="13831" max="13831" width="12.54296875" customWidth="1"/>
    <col min="13832" max="13832" width="10.81640625" customWidth="1"/>
    <col min="13833" max="13833" width="5.54296875" customWidth="1"/>
    <col min="13834" max="13838" width="0" hidden="1" customWidth="1"/>
    <col min="14081" max="14081" width="4.453125" customWidth="1"/>
    <col min="14082" max="14082" width="30.453125" bestFit="1" customWidth="1"/>
    <col min="14083" max="14083" width="17.26953125" bestFit="1" customWidth="1"/>
    <col min="14084" max="14084" width="1.81640625" customWidth="1"/>
    <col min="14085" max="14085" width="15" customWidth="1"/>
    <col min="14086" max="14086" width="4" customWidth="1"/>
    <col min="14087" max="14087" width="12.54296875" customWidth="1"/>
    <col min="14088" max="14088" width="10.81640625" customWidth="1"/>
    <col min="14089" max="14089" width="5.54296875" customWidth="1"/>
    <col min="14090" max="14094" width="0" hidden="1" customWidth="1"/>
    <col min="14337" max="14337" width="4.453125" customWidth="1"/>
    <col min="14338" max="14338" width="30.453125" bestFit="1" customWidth="1"/>
    <col min="14339" max="14339" width="17.26953125" bestFit="1" customWidth="1"/>
    <col min="14340" max="14340" width="1.81640625" customWidth="1"/>
    <col min="14341" max="14341" width="15" customWidth="1"/>
    <col min="14342" max="14342" width="4" customWidth="1"/>
    <col min="14343" max="14343" width="12.54296875" customWidth="1"/>
    <col min="14344" max="14344" width="10.81640625" customWidth="1"/>
    <col min="14345" max="14345" width="5.54296875" customWidth="1"/>
    <col min="14346" max="14350" width="0" hidden="1" customWidth="1"/>
    <col min="14593" max="14593" width="4.453125" customWidth="1"/>
    <col min="14594" max="14594" width="30.453125" bestFit="1" customWidth="1"/>
    <col min="14595" max="14595" width="17.26953125" bestFit="1" customWidth="1"/>
    <col min="14596" max="14596" width="1.81640625" customWidth="1"/>
    <col min="14597" max="14597" width="15" customWidth="1"/>
    <col min="14598" max="14598" width="4" customWidth="1"/>
    <col min="14599" max="14599" width="12.54296875" customWidth="1"/>
    <col min="14600" max="14600" width="10.81640625" customWidth="1"/>
    <col min="14601" max="14601" width="5.54296875" customWidth="1"/>
    <col min="14602" max="14606" width="0" hidden="1" customWidth="1"/>
    <col min="14849" max="14849" width="4.453125" customWidth="1"/>
    <col min="14850" max="14850" width="30.453125" bestFit="1" customWidth="1"/>
    <col min="14851" max="14851" width="17.26953125" bestFit="1" customWidth="1"/>
    <col min="14852" max="14852" width="1.81640625" customWidth="1"/>
    <col min="14853" max="14853" width="15" customWidth="1"/>
    <col min="14854" max="14854" width="4" customWidth="1"/>
    <col min="14855" max="14855" width="12.54296875" customWidth="1"/>
    <col min="14856" max="14856" width="10.81640625" customWidth="1"/>
    <col min="14857" max="14857" width="5.54296875" customWidth="1"/>
    <col min="14858" max="14862" width="0" hidden="1" customWidth="1"/>
    <col min="15105" max="15105" width="4.453125" customWidth="1"/>
    <col min="15106" max="15106" width="30.453125" bestFit="1" customWidth="1"/>
    <col min="15107" max="15107" width="17.26953125" bestFit="1" customWidth="1"/>
    <col min="15108" max="15108" width="1.81640625" customWidth="1"/>
    <col min="15109" max="15109" width="15" customWidth="1"/>
    <col min="15110" max="15110" width="4" customWidth="1"/>
    <col min="15111" max="15111" width="12.54296875" customWidth="1"/>
    <col min="15112" max="15112" width="10.81640625" customWidth="1"/>
    <col min="15113" max="15113" width="5.54296875" customWidth="1"/>
    <col min="15114" max="15118" width="0" hidden="1" customWidth="1"/>
    <col min="15361" max="15361" width="4.453125" customWidth="1"/>
    <col min="15362" max="15362" width="30.453125" bestFit="1" customWidth="1"/>
    <col min="15363" max="15363" width="17.26953125" bestFit="1" customWidth="1"/>
    <col min="15364" max="15364" width="1.81640625" customWidth="1"/>
    <col min="15365" max="15365" width="15" customWidth="1"/>
    <col min="15366" max="15366" width="4" customWidth="1"/>
    <col min="15367" max="15367" width="12.54296875" customWidth="1"/>
    <col min="15368" max="15368" width="10.81640625" customWidth="1"/>
    <col min="15369" max="15369" width="5.54296875" customWidth="1"/>
    <col min="15370" max="15374" width="0" hidden="1" customWidth="1"/>
    <col min="15617" max="15617" width="4.453125" customWidth="1"/>
    <col min="15618" max="15618" width="30.453125" bestFit="1" customWidth="1"/>
    <col min="15619" max="15619" width="17.26953125" bestFit="1" customWidth="1"/>
    <col min="15620" max="15620" width="1.81640625" customWidth="1"/>
    <col min="15621" max="15621" width="15" customWidth="1"/>
    <col min="15622" max="15622" width="4" customWidth="1"/>
    <col min="15623" max="15623" width="12.54296875" customWidth="1"/>
    <col min="15624" max="15624" width="10.81640625" customWidth="1"/>
    <col min="15625" max="15625" width="5.54296875" customWidth="1"/>
    <col min="15626" max="15630" width="0" hidden="1" customWidth="1"/>
    <col min="15873" max="15873" width="4.453125" customWidth="1"/>
    <col min="15874" max="15874" width="30.453125" bestFit="1" customWidth="1"/>
    <col min="15875" max="15875" width="17.26953125" bestFit="1" customWidth="1"/>
    <col min="15876" max="15876" width="1.81640625" customWidth="1"/>
    <col min="15877" max="15877" width="15" customWidth="1"/>
    <col min="15878" max="15878" width="4" customWidth="1"/>
    <col min="15879" max="15879" width="12.54296875" customWidth="1"/>
    <col min="15880" max="15880" width="10.81640625" customWidth="1"/>
    <col min="15881" max="15881" width="5.54296875" customWidth="1"/>
    <col min="15882" max="15886" width="0" hidden="1" customWidth="1"/>
    <col min="16129" max="16129" width="4.453125" customWidth="1"/>
    <col min="16130" max="16130" width="30.453125" bestFit="1" customWidth="1"/>
    <col min="16131" max="16131" width="17.26953125" bestFit="1" customWidth="1"/>
    <col min="16132" max="16132" width="1.81640625" customWidth="1"/>
    <col min="16133" max="16133" width="15" customWidth="1"/>
    <col min="16134" max="16134" width="4" customWidth="1"/>
    <col min="16135" max="16135" width="12.54296875" customWidth="1"/>
    <col min="16136" max="16136" width="10.81640625" customWidth="1"/>
    <col min="16137" max="16137" width="5.54296875" customWidth="1"/>
    <col min="16138" max="16142" width="0" hidden="1" customWidth="1"/>
  </cols>
  <sheetData>
    <row r="1" spans="2:9" ht="6.75" customHeight="1" x14ac:dyDescent="0.25"/>
    <row r="2" spans="2:9" x14ac:dyDescent="0.25">
      <c r="B2" s="1627" t="s">
        <v>218</v>
      </c>
      <c r="C2" s="1627"/>
      <c r="D2" s="1627"/>
      <c r="E2" s="1627"/>
      <c r="F2" s="1627"/>
      <c r="G2" s="1627"/>
      <c r="H2" s="1627"/>
      <c r="I2" s="3"/>
    </row>
    <row r="3" spans="2:9" ht="6" customHeight="1" x14ac:dyDescent="0.25">
      <c r="B3" s="4"/>
      <c r="C3" s="5"/>
      <c r="D3" s="5"/>
      <c r="E3" s="5"/>
      <c r="F3" s="3"/>
      <c r="G3" s="3"/>
      <c r="H3" s="10"/>
      <c r="I3" s="3"/>
    </row>
    <row r="4" spans="2:9" x14ac:dyDescent="0.25">
      <c r="B4" s="1628" t="s">
        <v>1487</v>
      </c>
      <c r="C4" s="1627"/>
      <c r="D4" s="1627"/>
      <c r="E4" s="1627"/>
      <c r="F4" s="1627"/>
      <c r="G4" s="1627"/>
      <c r="H4" s="1627"/>
      <c r="I4" s="3"/>
    </row>
    <row r="5" spans="2:9" ht="9" customHeight="1" x14ac:dyDescent="0.25">
      <c r="B5" s="6"/>
      <c r="C5" s="6"/>
      <c r="D5" s="6"/>
      <c r="E5" s="6"/>
      <c r="F5" s="3"/>
      <c r="G5" s="3"/>
      <c r="H5" s="10"/>
      <c r="I5" s="3"/>
    </row>
    <row r="6" spans="2:9" ht="12.75" customHeight="1" x14ac:dyDescent="0.35">
      <c r="B6" s="7" t="s">
        <v>0</v>
      </c>
      <c r="C6" s="11" t="s">
        <v>1488</v>
      </c>
      <c r="D6" s="11"/>
      <c r="E6" s="11" t="s">
        <v>1482</v>
      </c>
      <c r="F6" s="3"/>
      <c r="G6" s="9" t="s">
        <v>9</v>
      </c>
      <c r="H6" s="15" t="s">
        <v>10</v>
      </c>
      <c r="I6" s="3"/>
    </row>
    <row r="7" spans="2:9" ht="7.5" customHeight="1" x14ac:dyDescent="0.25">
      <c r="B7" s="2"/>
      <c r="C7" s="3"/>
      <c r="D7" s="3"/>
      <c r="E7" s="3"/>
      <c r="F7" s="3"/>
      <c r="G7" s="3"/>
      <c r="H7" s="10"/>
      <c r="I7" s="3"/>
    </row>
    <row r="8" spans="2:9" ht="9.75" customHeight="1" x14ac:dyDescent="0.25">
      <c r="B8" s="8" t="s">
        <v>35</v>
      </c>
      <c r="C8" s="3"/>
      <c r="D8" s="3"/>
      <c r="E8" s="3"/>
      <c r="F8" s="3"/>
      <c r="G8" s="3"/>
      <c r="H8" s="10"/>
      <c r="I8" s="3"/>
    </row>
    <row r="9" spans="2:9" ht="11.25" customHeight="1" x14ac:dyDescent="0.25">
      <c r="B9" s="2" t="s">
        <v>13</v>
      </c>
      <c r="C9" s="3">
        <v>200000</v>
      </c>
      <c r="D9" s="3"/>
      <c r="E9" s="3">
        <v>200000</v>
      </c>
      <c r="F9" s="3"/>
      <c r="G9" s="3">
        <f>-C9+E9</f>
        <v>0</v>
      </c>
      <c r="H9" s="10">
        <f>+G9/C9</f>
        <v>0</v>
      </c>
      <c r="I9" s="3"/>
    </row>
    <row r="10" spans="2:9" ht="11.25" customHeight="1" x14ac:dyDescent="0.25">
      <c r="B10" s="2" t="s">
        <v>60</v>
      </c>
      <c r="C10" s="3">
        <f>408000+50367680.84</f>
        <v>50775680.840000004</v>
      </c>
      <c r="D10" s="3"/>
      <c r="E10" s="3">
        <v>47966178.640000001</v>
      </c>
      <c r="F10" s="3"/>
      <c r="G10" s="3">
        <f>-C10+E10</f>
        <v>-2809502.200000003</v>
      </c>
      <c r="H10" s="10">
        <f>+G10/C10</f>
        <v>-5.5331649985217661E-2</v>
      </c>
      <c r="I10" s="3"/>
    </row>
    <row r="11" spans="2:9" ht="12.25" customHeight="1" x14ac:dyDescent="0.25">
      <c r="B11" s="2"/>
      <c r="C11" s="31">
        <f>SUM(C9:C10)</f>
        <v>50975680.840000004</v>
      </c>
      <c r="D11" s="32"/>
      <c r="E11" s="31">
        <f>SUM(E9:E10)</f>
        <v>48166178.640000001</v>
      </c>
      <c r="F11" s="32"/>
      <c r="G11" s="31">
        <f>SUM(G9:G10)</f>
        <v>-2809502.200000003</v>
      </c>
      <c r="H11" s="33">
        <f>+G11/C11</f>
        <v>-5.5114559603790921E-2</v>
      </c>
      <c r="I11" s="3"/>
    </row>
    <row r="12" spans="2:9" ht="12.25" customHeight="1" x14ac:dyDescent="0.25">
      <c r="B12" s="8" t="s">
        <v>36</v>
      </c>
      <c r="C12" s="3"/>
      <c r="D12" s="3"/>
      <c r="E12" s="3"/>
      <c r="F12" s="3"/>
      <c r="G12" s="3"/>
      <c r="H12" s="10"/>
      <c r="I12" s="3"/>
    </row>
    <row r="13" spans="2:9" ht="12.25" customHeight="1" x14ac:dyDescent="0.25">
      <c r="B13" s="17" t="s">
        <v>32</v>
      </c>
      <c r="C13" s="3"/>
      <c r="D13" s="3"/>
      <c r="E13" s="3"/>
      <c r="F13" s="3"/>
      <c r="G13" s="3"/>
      <c r="H13" s="10"/>
      <c r="I13" s="3"/>
    </row>
    <row r="14" spans="2:9" ht="12.25" customHeight="1" x14ac:dyDescent="0.25">
      <c r="B14" s="17" t="s">
        <v>771</v>
      </c>
      <c r="C14" s="3">
        <v>0</v>
      </c>
      <c r="D14" s="3"/>
      <c r="E14" s="3">
        <v>0</v>
      </c>
      <c r="F14" s="3"/>
      <c r="G14" s="3"/>
      <c r="H14" s="10"/>
      <c r="I14" s="3"/>
    </row>
    <row r="15" spans="2:9" ht="12.25" customHeight="1" x14ac:dyDescent="0.25">
      <c r="B15" s="2" t="s">
        <v>222</v>
      </c>
      <c r="C15" s="3">
        <v>10852427.970000001</v>
      </c>
      <c r="D15" s="3"/>
      <c r="E15" s="3">
        <v>10764303.619999999</v>
      </c>
      <c r="F15" s="3"/>
      <c r="G15" s="3">
        <f>-C15+E15</f>
        <v>-88124.35000000149</v>
      </c>
      <c r="H15" s="10">
        <f>+G15/C15</f>
        <v>-8.1202427920838323E-3</v>
      </c>
      <c r="I15" s="3"/>
    </row>
    <row r="16" spans="2:9" ht="12.25" customHeight="1" x14ac:dyDescent="0.25">
      <c r="B16" s="2"/>
      <c r="C16" s="34">
        <f>SUM(C14:C15)</f>
        <v>10852427.970000001</v>
      </c>
      <c r="D16" s="32"/>
      <c r="E16" s="34">
        <f>SUM(E14:E15)</f>
        <v>10764303.619999999</v>
      </c>
      <c r="F16" s="32"/>
      <c r="G16" s="31">
        <f>-C16+E16</f>
        <v>-88124.35000000149</v>
      </c>
      <c r="H16" s="33">
        <f>+G16/C16</f>
        <v>-8.1202427920838323E-3</v>
      </c>
      <c r="I16" s="3"/>
    </row>
    <row r="17" spans="2:14" ht="6" customHeight="1" x14ac:dyDescent="0.25">
      <c r="B17" s="2"/>
      <c r="C17" s="3"/>
      <c r="D17" s="3"/>
      <c r="E17" s="3"/>
      <c r="F17" s="3"/>
      <c r="G17" s="3"/>
      <c r="H17" s="10"/>
      <c r="I17" s="3"/>
    </row>
    <row r="18" spans="2:14" ht="10.5" customHeight="1" x14ac:dyDescent="0.25">
      <c r="B18" s="8" t="s">
        <v>1</v>
      </c>
      <c r="C18" s="3"/>
      <c r="D18" s="3"/>
      <c r="E18" s="3"/>
      <c r="F18" s="3"/>
      <c r="G18" s="3"/>
      <c r="H18" s="10"/>
      <c r="I18" s="3"/>
    </row>
    <row r="19" spans="2:14" ht="7.5" customHeight="1" x14ac:dyDescent="0.25">
      <c r="B19" s="8"/>
      <c r="C19" s="3"/>
      <c r="D19" s="3"/>
      <c r="E19" s="3"/>
      <c r="F19" s="3"/>
      <c r="G19" s="3"/>
      <c r="H19" s="10"/>
      <c r="I19" s="3"/>
    </row>
    <row r="20" spans="2:14" ht="10.5" customHeight="1" x14ac:dyDescent="0.25">
      <c r="B20" s="17" t="s">
        <v>37</v>
      </c>
      <c r="C20" s="3"/>
      <c r="D20" s="3"/>
      <c r="E20" s="3"/>
      <c r="F20" s="3"/>
      <c r="G20" s="3"/>
      <c r="H20" s="10"/>
      <c r="I20" s="3"/>
    </row>
    <row r="21" spans="2:14" ht="12.25" customHeight="1" x14ac:dyDescent="0.25">
      <c r="B21" s="2" t="s">
        <v>2</v>
      </c>
      <c r="C21" s="3">
        <v>8689091</v>
      </c>
      <c r="D21" s="3"/>
      <c r="E21" s="3">
        <v>11341985</v>
      </c>
      <c r="F21" s="3"/>
      <c r="G21" s="3">
        <f>+E21-C21</f>
        <v>2652894</v>
      </c>
      <c r="H21" s="10">
        <f>+G21/C21</f>
        <v>0.30531317947987885</v>
      </c>
      <c r="I21" s="3"/>
    </row>
    <row r="22" spans="2:14" ht="12.25" customHeight="1" x14ac:dyDescent="0.25">
      <c r="B22" s="2" t="s">
        <v>61</v>
      </c>
      <c r="C22" s="3">
        <v>-408000</v>
      </c>
      <c r="D22" s="3"/>
      <c r="E22" s="3">
        <v>0</v>
      </c>
      <c r="F22" s="3"/>
      <c r="G22" s="3">
        <f>+E22-C22</f>
        <v>408000</v>
      </c>
      <c r="H22" s="10">
        <v>0</v>
      </c>
      <c r="I22" s="3"/>
    </row>
    <row r="23" spans="2:14" ht="12.25" customHeight="1" x14ac:dyDescent="0.25">
      <c r="B23" s="2"/>
      <c r="C23" s="31">
        <f>SUM(C21:C22)</f>
        <v>8281091</v>
      </c>
      <c r="D23" s="32"/>
      <c r="E23" s="31">
        <f>SUM(E21:E22)</f>
        <v>11341985</v>
      </c>
      <c r="F23" s="32"/>
      <c r="G23" s="31">
        <f>SUM(G21:G22)</f>
        <v>3060894</v>
      </c>
      <c r="H23" s="33">
        <f>+G23/C23</f>
        <v>0.36962448546936627</v>
      </c>
      <c r="I23" s="3"/>
    </row>
    <row r="24" spans="2:14" ht="9" customHeight="1" x14ac:dyDescent="0.25">
      <c r="B24" s="2"/>
      <c r="C24" s="3"/>
      <c r="D24" s="3"/>
      <c r="E24" s="3"/>
      <c r="F24" s="3"/>
      <c r="G24" s="3"/>
      <c r="H24" s="10"/>
      <c r="I24" s="3"/>
    </row>
    <row r="25" spans="2:14" ht="10.5" customHeight="1" x14ac:dyDescent="0.25">
      <c r="B25" s="2" t="s">
        <v>44</v>
      </c>
      <c r="C25" s="3">
        <v>0</v>
      </c>
      <c r="D25" s="19"/>
      <c r="E25" s="3">
        <v>0</v>
      </c>
      <c r="F25" s="19"/>
      <c r="G25" s="19">
        <f>+E25-C25</f>
        <v>0</v>
      </c>
      <c r="H25" s="10">
        <v>0</v>
      </c>
      <c r="I25" s="3"/>
    </row>
    <row r="26" spans="2:14" ht="10.5" customHeight="1" x14ac:dyDescent="0.25">
      <c r="B26" s="2" t="s">
        <v>348</v>
      </c>
      <c r="C26" s="3">
        <v>0</v>
      </c>
      <c r="D26" s="19"/>
      <c r="E26" s="3">
        <v>0</v>
      </c>
      <c r="F26" s="19"/>
      <c r="G26" s="19">
        <f>+E26-C26</f>
        <v>0</v>
      </c>
      <c r="H26" s="10" t="s">
        <v>33</v>
      </c>
      <c r="I26" s="3"/>
    </row>
    <row r="27" spans="2:14" ht="10.5" customHeight="1" x14ac:dyDescent="0.25">
      <c r="B27" s="2" t="s">
        <v>500</v>
      </c>
      <c r="C27" s="3">
        <v>3232000</v>
      </c>
      <c r="D27" s="19"/>
      <c r="E27" s="3">
        <v>0</v>
      </c>
      <c r="F27" s="19"/>
      <c r="G27" s="19"/>
      <c r="H27" s="10" t="s">
        <v>33</v>
      </c>
      <c r="I27" s="3"/>
    </row>
    <row r="28" spans="2:14" ht="10.5" customHeight="1" x14ac:dyDescent="0.25">
      <c r="C28" s="3"/>
      <c r="D28" s="19"/>
      <c r="E28" s="3"/>
      <c r="F28" s="19"/>
      <c r="G28" s="19">
        <f>+E28-C28</f>
        <v>0</v>
      </c>
      <c r="H28" s="10" t="s">
        <v>33</v>
      </c>
      <c r="I28" s="3"/>
    </row>
    <row r="29" spans="2:14" s="54" customFormat="1" ht="10.5" customHeight="1" x14ac:dyDescent="0.3">
      <c r="B29" s="8" t="s">
        <v>223</v>
      </c>
      <c r="C29" s="19"/>
      <c r="D29" s="19"/>
      <c r="E29" s="19"/>
      <c r="F29" s="19"/>
      <c r="G29" s="19"/>
      <c r="H29" s="10" t="s">
        <v>33</v>
      </c>
      <c r="I29" s="19"/>
      <c r="M29" s="992"/>
      <c r="N29" s="992"/>
    </row>
    <row r="30" spans="2:14" ht="10.5" customHeight="1" x14ac:dyDescent="0.25">
      <c r="B30" s="8" t="s">
        <v>76</v>
      </c>
      <c r="C30" s="3">
        <v>10985284</v>
      </c>
      <c r="D30" s="19"/>
      <c r="E30" s="3">
        <v>12428599</v>
      </c>
      <c r="F30" s="19"/>
      <c r="G30" s="3">
        <f>+E30-C30</f>
        <v>1443315</v>
      </c>
      <c r="H30" s="10">
        <f>+G30/C30</f>
        <v>0.13138622542667081</v>
      </c>
      <c r="I30" s="3"/>
    </row>
    <row r="31" spans="2:14" ht="10.5" customHeight="1" x14ac:dyDescent="0.25">
      <c r="B31" s="2"/>
      <c r="C31" s="3"/>
      <c r="D31" s="3"/>
      <c r="E31" s="3"/>
      <c r="F31" s="3"/>
      <c r="G31" s="3"/>
      <c r="H31" s="10"/>
      <c r="I31" s="3"/>
    </row>
    <row r="32" spans="2:14" ht="13" thickBot="1" x14ac:dyDescent="0.3">
      <c r="B32" s="26" t="s">
        <v>3</v>
      </c>
      <c r="C32" s="34">
        <f>+C11+C16+C23+C25+C30+C26+C27</f>
        <v>84326483.810000002</v>
      </c>
      <c r="D32" s="34" t="s">
        <v>33</v>
      </c>
      <c r="E32" s="34">
        <f>+E11+E16+E23+E25+E30+E26+E27</f>
        <v>82701066.25999999</v>
      </c>
      <c r="F32" s="34" t="s">
        <v>33</v>
      </c>
      <c r="G32" s="35">
        <f>-C32+E32</f>
        <v>-1625417.5500000119</v>
      </c>
      <c r="H32" s="36">
        <f>+G32/C32</f>
        <v>-1.9275291421640646E-2</v>
      </c>
      <c r="I32" s="3"/>
    </row>
    <row r="33" spans="2:15" ht="9.75" customHeight="1" thickTop="1" x14ac:dyDescent="0.25">
      <c r="B33" s="2"/>
      <c r="C33" s="3"/>
      <c r="D33" s="3"/>
      <c r="E33" s="3"/>
      <c r="F33" s="3"/>
      <c r="G33" s="3"/>
      <c r="H33" s="10"/>
      <c r="I33" s="3"/>
    </row>
    <row r="34" spans="2:15" ht="10.5" customHeight="1" x14ac:dyDescent="0.25">
      <c r="B34" s="7" t="s">
        <v>4</v>
      </c>
      <c r="C34" s="3"/>
      <c r="D34" s="3"/>
      <c r="E34" s="3"/>
      <c r="F34" s="3"/>
      <c r="G34" s="3"/>
      <c r="H34" s="10"/>
      <c r="I34" s="3"/>
    </row>
    <row r="35" spans="2:15" ht="8.5" customHeight="1" x14ac:dyDescent="0.25">
      <c r="B35" s="2"/>
      <c r="C35" s="3"/>
      <c r="D35" s="3"/>
      <c r="E35" s="3"/>
      <c r="F35" s="3"/>
      <c r="G35" s="3"/>
      <c r="H35" s="10"/>
      <c r="I35" s="3"/>
    </row>
    <row r="36" spans="2:15" ht="11.25" customHeight="1" x14ac:dyDescent="0.25">
      <c r="B36" s="8" t="s">
        <v>5</v>
      </c>
      <c r="C36" s="3"/>
      <c r="D36" s="3"/>
      <c r="E36" s="3"/>
      <c r="F36" s="3"/>
      <c r="G36" s="3"/>
      <c r="H36" s="10"/>
      <c r="I36" s="3"/>
    </row>
    <row r="37" spans="2:15" ht="12.25" customHeight="1" x14ac:dyDescent="0.25">
      <c r="B37" s="2" t="s">
        <v>34</v>
      </c>
      <c r="C37" s="3">
        <f>-142800+820348</f>
        <v>677548</v>
      </c>
      <c r="D37" s="3"/>
      <c r="E37" s="3">
        <v>727051</v>
      </c>
      <c r="F37" s="3"/>
      <c r="G37" s="3">
        <f>+E37-C37</f>
        <v>49503</v>
      </c>
      <c r="H37" s="10">
        <f>+G37/C37</f>
        <v>7.3061982324499522E-2</v>
      </c>
      <c r="I37" s="3"/>
    </row>
    <row r="38" spans="2:15" ht="11.25" customHeight="1" x14ac:dyDescent="0.25">
      <c r="B38" s="2" t="s">
        <v>11</v>
      </c>
      <c r="C38" s="3">
        <v>274160.06</v>
      </c>
      <c r="D38" s="3"/>
      <c r="E38" s="3">
        <f>0.21+62996.06</f>
        <v>62996.27</v>
      </c>
      <c r="F38" s="3"/>
      <c r="G38" s="3">
        <f>-C38+E38</f>
        <v>-211163.79</v>
      </c>
      <c r="H38" s="10">
        <f>+G38/C38</f>
        <v>-0.77022083377133788</v>
      </c>
      <c r="I38" s="3"/>
    </row>
    <row r="39" spans="2:15" ht="12.25" customHeight="1" x14ac:dyDescent="0.25">
      <c r="B39" s="2" t="s">
        <v>73</v>
      </c>
      <c r="C39" s="3">
        <v>0</v>
      </c>
      <c r="D39" s="3"/>
      <c r="E39" s="3">
        <v>0</v>
      </c>
      <c r="F39" s="3"/>
      <c r="G39" s="3"/>
      <c r="H39" s="10"/>
      <c r="I39" s="3"/>
    </row>
    <row r="40" spans="2:15" ht="12.25" customHeight="1" x14ac:dyDescent="0.25">
      <c r="B40" s="2"/>
      <c r="C40" s="31">
        <f>SUM(C37:C39)</f>
        <v>951708.06</v>
      </c>
      <c r="D40" s="32"/>
      <c r="E40" s="31">
        <f>SUM(E37:E39)</f>
        <v>790047.27</v>
      </c>
      <c r="F40" s="32"/>
      <c r="G40" s="31">
        <f>SUM(G37:G38)</f>
        <v>-161660.79</v>
      </c>
      <c r="H40" s="33">
        <f>+G40/C40</f>
        <v>-0.16986384459116591</v>
      </c>
      <c r="I40" s="3"/>
    </row>
    <row r="41" spans="2:15" ht="12" customHeight="1" x14ac:dyDescent="0.25">
      <c r="B41" s="8" t="s">
        <v>568</v>
      </c>
      <c r="C41" s="3"/>
      <c r="D41" s="3"/>
      <c r="E41" s="3"/>
      <c r="F41" s="3"/>
      <c r="G41" s="3"/>
      <c r="H41" s="10"/>
      <c r="I41" s="3"/>
    </row>
    <row r="42" spans="2:15" ht="11.25" customHeight="1" x14ac:dyDescent="0.25">
      <c r="B42" s="8" t="s">
        <v>74</v>
      </c>
      <c r="C42" s="3"/>
      <c r="D42" s="3"/>
      <c r="E42" s="3"/>
      <c r="F42" s="3"/>
      <c r="G42" s="3"/>
      <c r="H42" s="10"/>
      <c r="I42" s="3"/>
      <c r="J42" s="1633" t="s">
        <v>962</v>
      </c>
      <c r="K42" s="1634"/>
    </row>
    <row r="43" spans="2:15" s="145" customFormat="1" ht="11.25" customHeight="1" x14ac:dyDescent="0.25">
      <c r="B43" s="289" t="s">
        <v>75</v>
      </c>
      <c r="C43" s="3">
        <v>0</v>
      </c>
      <c r="D43" s="3"/>
      <c r="E43" s="3">
        <v>0</v>
      </c>
      <c r="F43" s="3"/>
      <c r="G43" s="3"/>
      <c r="H43" s="10"/>
      <c r="I43" s="404"/>
      <c r="J43" s="302" t="s">
        <v>773</v>
      </c>
      <c r="K43" s="638">
        <f>-49920464</f>
        <v>-49920464</v>
      </c>
      <c r="L43"/>
      <c r="M43" s="325">
        <v>31805050</v>
      </c>
      <c r="N43" s="325"/>
      <c r="O43"/>
    </row>
    <row r="44" spans="2:15" s="145" customFormat="1" ht="11.25" customHeight="1" x14ac:dyDescent="0.25">
      <c r="B44" s="289" t="s">
        <v>58</v>
      </c>
      <c r="C44" s="3">
        <v>8550122</v>
      </c>
      <c r="D44" s="3"/>
      <c r="E44" s="3">
        <v>8550122</v>
      </c>
      <c r="F44" s="3"/>
      <c r="G44" s="3">
        <f>-C44+E44</f>
        <v>0</v>
      </c>
      <c r="H44" s="10" t="s">
        <v>960</v>
      </c>
      <c r="I44" s="404"/>
      <c r="J44" s="639" t="s">
        <v>963</v>
      </c>
      <c r="K44" s="640">
        <v>-893269.33</v>
      </c>
      <c r="L44"/>
      <c r="M44" s="325">
        <v>-248452.74</v>
      </c>
      <c r="N44" s="325"/>
      <c r="O44"/>
    </row>
    <row r="45" spans="2:15" s="145" customFormat="1" ht="11.25" customHeight="1" x14ac:dyDescent="0.25">
      <c r="B45" s="289" t="s">
        <v>220</v>
      </c>
      <c r="C45" s="3">
        <v>0</v>
      </c>
      <c r="D45" s="3"/>
      <c r="E45" s="3">
        <v>0</v>
      </c>
      <c r="F45" s="3"/>
      <c r="G45" s="3">
        <f>-C45+E45</f>
        <v>0</v>
      </c>
      <c r="H45" s="10" t="s">
        <v>961</v>
      </c>
      <c r="I45" s="404"/>
      <c r="J45" s="641" t="s">
        <v>964</v>
      </c>
      <c r="K45" s="642">
        <f>SUM(K43:K44)</f>
        <v>-50813733.329999998</v>
      </c>
      <c r="L45"/>
      <c r="M45" s="325">
        <v>-8550122</v>
      </c>
      <c r="N45" s="325"/>
      <c r="O45"/>
    </row>
    <row r="46" spans="2:15" s="145" customFormat="1" ht="11.25" customHeight="1" x14ac:dyDescent="0.25">
      <c r="B46" s="289" t="s">
        <v>224</v>
      </c>
      <c r="C46" s="3">
        <v>44870844.759999998</v>
      </c>
      <c r="D46" s="3"/>
      <c r="E46" s="3">
        <v>44870844.759999998</v>
      </c>
      <c r="F46" s="3"/>
      <c r="G46" s="3">
        <f>-C46+E46</f>
        <v>0</v>
      </c>
      <c r="H46" s="10"/>
      <c r="I46" s="404"/>
      <c r="J46" s="639" t="s">
        <v>965</v>
      </c>
      <c r="K46" s="643"/>
      <c r="L46"/>
      <c r="M46" s="325">
        <f>SUM(M43:M45)</f>
        <v>23006475.260000002</v>
      </c>
      <c r="N46" s="325">
        <f>+M46+E46</f>
        <v>67877320.019999996</v>
      </c>
      <c r="O46"/>
    </row>
    <row r="47" spans="2:15" s="145" customFormat="1" ht="11.25" customHeight="1" x14ac:dyDescent="0.25">
      <c r="B47" s="289" t="s">
        <v>1399</v>
      </c>
      <c r="C47" s="3">
        <v>7500003</v>
      </c>
      <c r="D47" s="3"/>
      <c r="E47" s="3">
        <v>7500003</v>
      </c>
      <c r="F47" s="3"/>
      <c r="G47" s="3">
        <f>-C47+E47</f>
        <v>0</v>
      </c>
      <c r="H47" s="10"/>
      <c r="I47" s="404"/>
      <c r="J47" s="302" t="s">
        <v>75</v>
      </c>
      <c r="K47" s="640">
        <v>7425682</v>
      </c>
      <c r="L47"/>
      <c r="M47" s="325"/>
      <c r="N47" s="325"/>
      <c r="O47"/>
    </row>
    <row r="48" spans="2:15" ht="11.25" customHeight="1" x14ac:dyDescent="0.25">
      <c r="B48" s="8" t="s">
        <v>569</v>
      </c>
      <c r="C48" s="31">
        <f>SUM(C43:C47)</f>
        <v>60920969.759999998</v>
      </c>
      <c r="D48" s="32"/>
      <c r="E48" s="31">
        <f>SUM(E43:E47)</f>
        <v>60920969.759999998</v>
      </c>
      <c r="F48" s="32"/>
      <c r="G48" s="31">
        <f>SUM(G44:G45)</f>
        <v>0</v>
      </c>
      <c r="H48" s="33">
        <f>+G48/C48</f>
        <v>0</v>
      </c>
      <c r="I48" s="3"/>
      <c r="J48" s="302" t="s">
        <v>58</v>
      </c>
      <c r="K48" s="640">
        <v>8550122</v>
      </c>
    </row>
    <row r="49" spans="2:14" ht="9" customHeight="1" x14ac:dyDescent="0.25">
      <c r="B49" s="2"/>
      <c r="C49" s="3"/>
      <c r="D49" s="3"/>
      <c r="E49" s="3"/>
      <c r="F49" s="3"/>
      <c r="G49" s="3"/>
      <c r="H49" s="10"/>
      <c r="I49" s="3"/>
      <c r="J49" s="302" t="s">
        <v>220</v>
      </c>
      <c r="K49" s="640">
        <v>3837291</v>
      </c>
    </row>
    <row r="50" spans="2:14" ht="11.25" customHeight="1" x14ac:dyDescent="0.25">
      <c r="B50" s="8" t="s">
        <v>57</v>
      </c>
      <c r="C50" s="3"/>
      <c r="D50" s="3"/>
      <c r="E50" s="3"/>
      <c r="F50" s="3"/>
      <c r="G50" s="3"/>
      <c r="H50" s="10"/>
      <c r="I50" s="3"/>
      <c r="J50" s="302" t="s">
        <v>224</v>
      </c>
      <c r="K50" s="640">
        <v>23006463.5</v>
      </c>
    </row>
    <row r="51" spans="2:14" ht="11.25" customHeight="1" x14ac:dyDescent="0.25">
      <c r="B51" s="2" t="s">
        <v>221</v>
      </c>
      <c r="C51" s="3">
        <v>0</v>
      </c>
      <c r="D51" s="3"/>
      <c r="E51" s="3">
        <v>0</v>
      </c>
      <c r="F51" s="3"/>
      <c r="G51" s="3">
        <f>+E51-C51</f>
        <v>0</v>
      </c>
      <c r="H51" s="10">
        <v>0</v>
      </c>
      <c r="I51" s="3"/>
      <c r="J51" s="302" t="s">
        <v>966</v>
      </c>
      <c r="K51" s="640">
        <v>7994163.0700000003</v>
      </c>
    </row>
    <row r="52" spans="2:14" ht="11.25" customHeight="1" x14ac:dyDescent="0.25">
      <c r="B52" s="38" t="s">
        <v>59</v>
      </c>
      <c r="C52" s="40">
        <f>SUM(C51:C51)</f>
        <v>0</v>
      </c>
      <c r="D52" s="40" t="s">
        <v>33</v>
      </c>
      <c r="E52" s="40">
        <f>SUM(E51:E51)</f>
        <v>0</v>
      </c>
      <c r="F52" s="19"/>
      <c r="G52" s="20">
        <f>SUM(G51:G51)</f>
        <v>0</v>
      </c>
      <c r="H52" s="21">
        <v>0</v>
      </c>
      <c r="I52" s="3"/>
      <c r="J52" s="644" t="s">
        <v>967</v>
      </c>
      <c r="K52" s="645">
        <f>SUM(K47:K51)</f>
        <v>50813721.57</v>
      </c>
      <c r="M52" s="325">
        <v>31805050</v>
      </c>
      <c r="N52" s="325">
        <v>32115454.829999998</v>
      </c>
    </row>
    <row r="53" spans="2:14" ht="12" customHeight="1" thickBot="1" x14ac:dyDescent="0.3">
      <c r="B53" s="26" t="s">
        <v>6</v>
      </c>
      <c r="C53" s="35">
        <f>+C40+C48+C52</f>
        <v>61872677.82</v>
      </c>
      <c r="D53" s="32"/>
      <c r="E53" s="35">
        <f>+E40+E48+E52</f>
        <v>61711017.030000001</v>
      </c>
      <c r="F53" s="32"/>
      <c r="G53" s="35">
        <f>+E53-C53</f>
        <v>-161660.78999999911</v>
      </c>
      <c r="H53" s="37">
        <f>+G53/C53</f>
        <v>-2.6127976951361744E-3</v>
      </c>
      <c r="I53" s="3"/>
      <c r="M53" s="325">
        <v>-8550122</v>
      </c>
      <c r="N53" s="325">
        <v>-8550122</v>
      </c>
    </row>
    <row r="54" spans="2:14" ht="8.5" customHeight="1" thickTop="1" x14ac:dyDescent="0.25">
      <c r="B54" s="2"/>
      <c r="C54" s="3"/>
      <c r="D54" s="3"/>
      <c r="E54" s="3"/>
      <c r="F54" s="3"/>
      <c r="G54" s="3"/>
      <c r="H54" s="10"/>
      <c r="I54" s="3"/>
      <c r="J54" s="1633" t="s">
        <v>1401</v>
      </c>
      <c r="K54" s="1634"/>
      <c r="M54" s="325">
        <v>-248452.74</v>
      </c>
      <c r="N54" s="325">
        <v>-23006475.260000002</v>
      </c>
    </row>
    <row r="55" spans="2:14" ht="11.25" customHeight="1" x14ac:dyDescent="0.25">
      <c r="B55" s="7" t="s">
        <v>7</v>
      </c>
      <c r="C55" s="3"/>
      <c r="D55" s="3"/>
      <c r="E55" s="3"/>
      <c r="F55" s="3"/>
      <c r="G55" s="3"/>
      <c r="H55" s="10"/>
      <c r="I55" s="3"/>
      <c r="J55" s="302" t="s">
        <v>773</v>
      </c>
      <c r="K55" s="638">
        <f>-49920464</f>
        <v>-49920464</v>
      </c>
      <c r="M55" s="325">
        <f>SUM(M52:M54)</f>
        <v>23006475.260000002</v>
      </c>
      <c r="N55" s="325">
        <f>SUM(N52:N54)</f>
        <v>558857.56999999657</v>
      </c>
    </row>
    <row r="56" spans="2:14" ht="11.25" customHeight="1" x14ac:dyDescent="0.25">
      <c r="B56" s="2" t="s">
        <v>12</v>
      </c>
      <c r="C56" s="3">
        <v>10351087.880000001</v>
      </c>
      <c r="D56" s="3"/>
      <c r="E56" s="3">
        <v>10053729.880000001</v>
      </c>
      <c r="F56" s="3"/>
      <c r="G56" s="3">
        <f>+E56-C56</f>
        <v>-297358</v>
      </c>
      <c r="H56" s="10">
        <f>+G56/C56</f>
        <v>-2.8727222051176324E-2</v>
      </c>
      <c r="I56" s="3"/>
      <c r="J56" s="639" t="s">
        <v>963</v>
      </c>
      <c r="K56" s="640">
        <v>-893269.33</v>
      </c>
      <c r="M56" s="325">
        <v>-23006373.379999999</v>
      </c>
    </row>
    <row r="57" spans="2:14" ht="11.25" customHeight="1" x14ac:dyDescent="0.25">
      <c r="B57" s="2" t="s">
        <v>38</v>
      </c>
      <c r="C57" s="3">
        <v>0</v>
      </c>
      <c r="D57" s="3"/>
      <c r="E57" s="3">
        <v>0</v>
      </c>
      <c r="F57" s="3"/>
      <c r="G57" s="3">
        <f>+E57-C57</f>
        <v>0</v>
      </c>
      <c r="H57" s="10" t="s">
        <v>961</v>
      </c>
      <c r="I57" s="3"/>
      <c r="J57" s="641" t="s">
        <v>964</v>
      </c>
      <c r="K57" s="642">
        <f>SUM(K55:K56)</f>
        <v>-50813733.329999998</v>
      </c>
      <c r="M57" s="325">
        <f>+M55+M56</f>
        <v>101.88000000268221</v>
      </c>
    </row>
    <row r="58" spans="2:14" s="145" customFormat="1" x14ac:dyDescent="0.25">
      <c r="B58" s="289" t="s">
        <v>772</v>
      </c>
      <c r="C58" s="404">
        <f>+'[6]ESTADO DE RESULTADOS'!K68-'[6]ESTADO DE RESULTADOS'!Q65</f>
        <v>11854266.249999994</v>
      </c>
      <c r="D58" s="404"/>
      <c r="E58" s="404">
        <v>10687866.609999999</v>
      </c>
      <c r="F58" s="404"/>
      <c r="G58" s="404">
        <f>+E58-C58</f>
        <v>-1166399.639999995</v>
      </c>
      <c r="H58" s="993">
        <f>+G58/C58</f>
        <v>-9.8394925118203372E-2</v>
      </c>
      <c r="I58" s="404"/>
      <c r="J58" s="639" t="s">
        <v>965</v>
      </c>
      <c r="K58" s="643"/>
      <c r="M58" s="994"/>
      <c r="N58" s="994"/>
    </row>
    <row r="59" spans="2:14" s="145" customFormat="1" x14ac:dyDescent="0.25">
      <c r="B59" s="289" t="s">
        <v>1400</v>
      </c>
      <c r="C59" s="404">
        <f>248452.74-0.88</f>
        <v>248451.86</v>
      </c>
      <c r="D59" s="404"/>
      <c r="E59" s="404">
        <v>248452.74</v>
      </c>
      <c r="F59" s="404"/>
      <c r="G59" s="404"/>
      <c r="H59" s="993" t="s">
        <v>961</v>
      </c>
      <c r="I59" s="404"/>
      <c r="J59" s="302" t="s">
        <v>75</v>
      </c>
      <c r="K59" s="640">
        <v>7425682</v>
      </c>
      <c r="M59" s="994"/>
      <c r="N59" s="994"/>
    </row>
    <row r="60" spans="2:14" ht="11.25" customHeight="1" x14ac:dyDescent="0.25">
      <c r="B60" s="38" t="s">
        <v>39</v>
      </c>
      <c r="C60" s="31">
        <f>SUM(C56:C59)</f>
        <v>22453805.989999995</v>
      </c>
      <c r="D60" s="31" t="s">
        <v>33</v>
      </c>
      <c r="E60" s="31">
        <f>SUM(E56:E59)</f>
        <v>20990049.23</v>
      </c>
      <c r="F60" s="32"/>
      <c r="G60" s="31">
        <f>+E60-C60</f>
        <v>-1463756.7599999942</v>
      </c>
      <c r="H60" s="33">
        <f>+G60/C60</f>
        <v>-6.5189694818414815E-2</v>
      </c>
      <c r="I60" s="3"/>
      <c r="J60" s="302" t="s">
        <v>58</v>
      </c>
      <c r="K60" s="640">
        <v>0</v>
      </c>
    </row>
    <row r="61" spans="2:14" ht="8.25" customHeight="1" x14ac:dyDescent="0.25">
      <c r="B61" s="2"/>
      <c r="C61" s="3"/>
      <c r="D61" s="3"/>
      <c r="E61" s="3"/>
      <c r="F61" s="3"/>
      <c r="G61" s="3"/>
      <c r="H61" s="10"/>
      <c r="I61" s="3"/>
      <c r="J61" s="302" t="s">
        <v>220</v>
      </c>
      <c r="K61" s="640">
        <v>3837291</v>
      </c>
    </row>
    <row r="62" spans="2:14" ht="13.5" customHeight="1" thickBot="1" x14ac:dyDescent="0.3">
      <c r="B62" s="38" t="s">
        <v>8</v>
      </c>
      <c r="C62" s="35">
        <f>+C53+C60</f>
        <v>84326483.810000002</v>
      </c>
      <c r="D62" s="35" t="s">
        <v>33</v>
      </c>
      <c r="E62" s="35">
        <f>+E53+E60</f>
        <v>82701066.260000005</v>
      </c>
      <c r="F62" s="32"/>
      <c r="G62" s="35">
        <f>+E62-C62</f>
        <v>-1625417.549999997</v>
      </c>
      <c r="H62" s="36">
        <f>+G62/C62</f>
        <v>-1.9275291421640469E-2</v>
      </c>
      <c r="I62" s="3"/>
      <c r="J62" s="302" t="s">
        <v>224</v>
      </c>
      <c r="K62" s="640">
        <v>0</v>
      </c>
      <c r="M62" s="325">
        <v>31805050</v>
      </c>
    </row>
    <row r="63" spans="2:14" ht="9" customHeight="1" thickTop="1" x14ac:dyDescent="0.25">
      <c r="B63" s="2"/>
      <c r="C63" s="3"/>
      <c r="D63" s="3"/>
      <c r="E63" s="3"/>
      <c r="F63" s="3"/>
      <c r="G63" s="3"/>
      <c r="H63" s="10"/>
      <c r="I63" s="3"/>
      <c r="J63" s="302" t="s">
        <v>966</v>
      </c>
      <c r="K63" s="640">
        <v>7994163.0700000003</v>
      </c>
      <c r="M63" s="325">
        <v>-248452.74</v>
      </c>
    </row>
    <row r="64" spans="2:14" ht="9.75" customHeight="1" x14ac:dyDescent="0.25">
      <c r="B64" s="7"/>
      <c r="C64" s="3">
        <f>+C32-C62</f>
        <v>0</v>
      </c>
      <c r="D64" s="3"/>
      <c r="E64" s="3">
        <f>+E32-E62</f>
        <v>0</v>
      </c>
      <c r="F64" s="3"/>
      <c r="G64" s="3"/>
      <c r="H64" s="10"/>
      <c r="I64" s="3"/>
      <c r="J64" s="644" t="s">
        <v>967</v>
      </c>
      <c r="K64" s="645">
        <f>SUM(K59:K63)</f>
        <v>19257136.07</v>
      </c>
    </row>
    <row r="65" spans="2:11" ht="9.75" customHeight="1" x14ac:dyDescent="0.25">
      <c r="B65" s="7"/>
      <c r="C65" s="3"/>
      <c r="D65" s="3"/>
      <c r="E65" s="3"/>
      <c r="F65" s="3"/>
      <c r="G65" s="3"/>
      <c r="H65" s="10"/>
      <c r="I65" s="3"/>
      <c r="J65" s="302" t="s">
        <v>1402</v>
      </c>
      <c r="K65" s="860">
        <v>31805050</v>
      </c>
    </row>
    <row r="66" spans="2:11" ht="9.75" customHeight="1" x14ac:dyDescent="0.25">
      <c r="B66" s="7"/>
      <c r="C66" s="3"/>
      <c r="D66" s="3"/>
      <c r="E66" s="3"/>
      <c r="F66" s="3"/>
      <c r="G66" s="3"/>
      <c r="H66" s="10"/>
      <c r="I66" s="3"/>
      <c r="J66" s="302" t="s">
        <v>1403</v>
      </c>
      <c r="K66" s="860">
        <f>+K64+K65</f>
        <v>51062186.07</v>
      </c>
    </row>
    <row r="67" spans="2:11" ht="11.25" customHeight="1" x14ac:dyDescent="0.25">
      <c r="B67" s="2" t="s">
        <v>456</v>
      </c>
      <c r="C67" s="3"/>
      <c r="D67" s="3"/>
      <c r="E67" s="3"/>
      <c r="F67" s="3"/>
      <c r="G67" s="3" t="s">
        <v>40</v>
      </c>
      <c r="H67" s="10"/>
      <c r="I67" s="3"/>
      <c r="J67" s="861" t="s">
        <v>1404</v>
      </c>
      <c r="K67" s="862">
        <f>+K57+K66</f>
        <v>248452.74000000209</v>
      </c>
    </row>
    <row r="68" spans="2:11" x14ac:dyDescent="0.25">
      <c r="B68" s="2" t="s">
        <v>119</v>
      </c>
      <c r="C68" s="2"/>
      <c r="D68" s="2"/>
      <c r="E68" s="2"/>
      <c r="F68" s="2"/>
      <c r="G68" s="1" t="s">
        <v>48</v>
      </c>
      <c r="H68" s="10"/>
    </row>
    <row r="69" spans="2:11" x14ac:dyDescent="0.25">
      <c r="C69" s="42">
        <f>+'[6]ESTADO DE RESULTADOS'!K68</f>
        <v>12102718.989999995</v>
      </c>
    </row>
    <row r="70" spans="2:11" x14ac:dyDescent="0.25">
      <c r="C70" s="42">
        <f>+C58-C69</f>
        <v>-248452.74000000022</v>
      </c>
      <c r="F70" s="98"/>
    </row>
    <row r="71" spans="2:11" x14ac:dyDescent="0.25">
      <c r="B71" s="1633" t="s">
        <v>962</v>
      </c>
      <c r="C71" s="1634"/>
      <c r="K71" s="640">
        <v>31805050</v>
      </c>
    </row>
    <row r="72" spans="2:11" x14ac:dyDescent="0.25">
      <c r="B72" s="302" t="s">
        <v>773</v>
      </c>
      <c r="C72" s="638">
        <f>-49920464</f>
        <v>-49920464</v>
      </c>
      <c r="K72" s="640">
        <v>-248452.74</v>
      </c>
    </row>
    <row r="73" spans="2:11" x14ac:dyDescent="0.25">
      <c r="B73" s="639" t="s">
        <v>963</v>
      </c>
      <c r="C73" s="640">
        <v>-893269.33</v>
      </c>
      <c r="K73" s="640">
        <v>-8550122</v>
      </c>
    </row>
    <row r="74" spans="2:11" x14ac:dyDescent="0.25">
      <c r="B74" s="641" t="s">
        <v>964</v>
      </c>
      <c r="C74" s="642">
        <f>SUM(C72:C73)</f>
        <v>-50813733.329999998</v>
      </c>
      <c r="K74" s="640">
        <f>SUM(K71:K73)</f>
        <v>23006475.260000002</v>
      </c>
    </row>
    <row r="75" spans="2:11" x14ac:dyDescent="0.25">
      <c r="B75" s="639" t="s">
        <v>965</v>
      </c>
      <c r="C75" s="643"/>
      <c r="K75" s="640">
        <f>+G46</f>
        <v>0</v>
      </c>
    </row>
    <row r="76" spans="2:11" x14ac:dyDescent="0.25">
      <c r="B76" s="302" t="s">
        <v>75</v>
      </c>
      <c r="C76" s="640">
        <v>7425682</v>
      </c>
      <c r="K76" s="640">
        <f>SUM(K74:K75)</f>
        <v>23006475.260000002</v>
      </c>
    </row>
    <row r="77" spans="2:11" x14ac:dyDescent="0.25">
      <c r="B77" s="302" t="s">
        <v>58</v>
      </c>
      <c r="C77" s="640">
        <v>8550122</v>
      </c>
    </row>
    <row r="78" spans="2:11" x14ac:dyDescent="0.25">
      <c r="B78" s="302" t="s">
        <v>220</v>
      </c>
      <c r="C78" s="640">
        <v>3837291</v>
      </c>
    </row>
    <row r="79" spans="2:11" x14ac:dyDescent="0.25">
      <c r="B79" s="302" t="s">
        <v>224</v>
      </c>
      <c r="C79" s="640">
        <v>23006463.5</v>
      </c>
    </row>
    <row r="80" spans="2:11" x14ac:dyDescent="0.25">
      <c r="B80" s="302" t="s">
        <v>966</v>
      </c>
      <c r="C80" s="640">
        <v>7994163.0700000003</v>
      </c>
    </row>
    <row r="81" spans="2:3" x14ac:dyDescent="0.25">
      <c r="B81" s="644" t="s">
        <v>967</v>
      </c>
      <c r="C81" s="645">
        <f>SUM(C76:C80)</f>
        <v>50813721.57</v>
      </c>
    </row>
    <row r="82" spans="2:3" x14ac:dyDescent="0.25">
      <c r="C82" s="325"/>
    </row>
    <row r="83" spans="2:3" x14ac:dyDescent="0.25">
      <c r="C83" s="325"/>
    </row>
    <row r="84" spans="2:3" x14ac:dyDescent="0.25">
      <c r="B84" s="1633" t="s">
        <v>1401</v>
      </c>
      <c r="C84" s="1634"/>
    </row>
    <row r="85" spans="2:3" x14ac:dyDescent="0.25">
      <c r="B85" s="302" t="s">
        <v>773</v>
      </c>
      <c r="C85" s="638">
        <f>-49920464</f>
        <v>-49920464</v>
      </c>
    </row>
    <row r="86" spans="2:3" x14ac:dyDescent="0.25">
      <c r="B86" s="639" t="s">
        <v>963</v>
      </c>
      <c r="C86" s="640">
        <v>-893269.33</v>
      </c>
    </row>
    <row r="87" spans="2:3" x14ac:dyDescent="0.25">
      <c r="B87" s="641" t="s">
        <v>964</v>
      </c>
      <c r="C87" s="642">
        <f>SUM(C85:C86)</f>
        <v>-50813733.329999998</v>
      </c>
    </row>
    <row r="88" spans="2:3" x14ac:dyDescent="0.25">
      <c r="B88" s="639" t="s">
        <v>965</v>
      </c>
      <c r="C88" s="643"/>
    </row>
    <row r="89" spans="2:3" x14ac:dyDescent="0.25">
      <c r="B89" s="302" t="s">
        <v>75</v>
      </c>
      <c r="C89" s="640">
        <v>7425682</v>
      </c>
    </row>
    <row r="90" spans="2:3" x14ac:dyDescent="0.25">
      <c r="B90" s="302" t="s">
        <v>58</v>
      </c>
      <c r="C90" s="640">
        <v>0</v>
      </c>
    </row>
    <row r="91" spans="2:3" x14ac:dyDescent="0.25">
      <c r="B91" s="302" t="s">
        <v>220</v>
      </c>
      <c r="C91" s="640">
        <v>3837291</v>
      </c>
    </row>
    <row r="92" spans="2:3" x14ac:dyDescent="0.25">
      <c r="B92" s="302" t="s">
        <v>224</v>
      </c>
      <c r="C92" s="640">
        <v>0</v>
      </c>
    </row>
    <row r="93" spans="2:3" x14ac:dyDescent="0.25">
      <c r="B93" s="302" t="s">
        <v>966</v>
      </c>
      <c r="C93" s="640">
        <v>7994163.0700000003</v>
      </c>
    </row>
    <row r="94" spans="2:3" x14ac:dyDescent="0.25">
      <c r="B94" s="644" t="s">
        <v>967</v>
      </c>
      <c r="C94" s="645">
        <f>SUM(C89:C93)</f>
        <v>19257136.07</v>
      </c>
    </row>
    <row r="95" spans="2:3" x14ac:dyDescent="0.25">
      <c r="B95" s="302" t="s">
        <v>1402</v>
      </c>
      <c r="C95" s="860">
        <v>31805050</v>
      </c>
    </row>
    <row r="96" spans="2:3" x14ac:dyDescent="0.25">
      <c r="B96" s="302" t="s">
        <v>1403</v>
      </c>
      <c r="C96" s="860">
        <f>+C94+C95</f>
        <v>51062186.07</v>
      </c>
    </row>
    <row r="97" spans="2:3" x14ac:dyDescent="0.25">
      <c r="B97" s="861" t="s">
        <v>1404</v>
      </c>
      <c r="C97" s="862">
        <f>+C87+C96</f>
        <v>248452.74000000209</v>
      </c>
    </row>
  </sheetData>
  <mergeCells count="6">
    <mergeCell ref="B84:C84"/>
    <mergeCell ref="B2:H2"/>
    <mergeCell ref="B4:H4"/>
    <mergeCell ref="J42:K42"/>
    <mergeCell ref="J54:K54"/>
    <mergeCell ref="B71:C7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82847-61BC-4E2F-B66F-1D6BA4DE3B63}">
  <dimension ref="B1:O97"/>
  <sheetViews>
    <sheetView workbookViewId="0">
      <selection sqref="A1:XFD1048576"/>
    </sheetView>
  </sheetViews>
  <sheetFormatPr baseColWidth="10" defaultRowHeight="12.5" x14ac:dyDescent="0.25"/>
  <cols>
    <col min="1" max="1" width="4.453125" customWidth="1"/>
    <col min="2" max="2" width="30.453125" bestFit="1" customWidth="1"/>
    <col min="3" max="3" width="13.1796875" customWidth="1"/>
    <col min="4" max="4" width="1.81640625" customWidth="1"/>
    <col min="5" max="5" width="15" customWidth="1"/>
    <col min="6" max="6" width="4" customWidth="1"/>
    <col min="7" max="7" width="12.54296875" customWidth="1"/>
    <col min="8" max="8" width="10.81640625" style="16" customWidth="1"/>
    <col min="9" max="9" width="5.54296875" customWidth="1"/>
    <col min="10" max="10" width="37" hidden="1" customWidth="1"/>
    <col min="11" max="11" width="14.453125" hidden="1" customWidth="1"/>
    <col min="12" max="12" width="0" hidden="1" customWidth="1"/>
    <col min="13" max="13" width="13.26953125" style="325" hidden="1" customWidth="1"/>
    <col min="14" max="14" width="16.7265625" style="325" hidden="1" customWidth="1"/>
    <col min="257" max="257" width="4.453125" customWidth="1"/>
    <col min="258" max="258" width="30.453125" bestFit="1" customWidth="1"/>
    <col min="259" max="259" width="13.1796875" customWidth="1"/>
    <col min="260" max="260" width="1.81640625" customWidth="1"/>
    <col min="261" max="261" width="15" customWidth="1"/>
    <col min="262" max="262" width="4" customWidth="1"/>
    <col min="263" max="263" width="12.54296875" customWidth="1"/>
    <col min="264" max="264" width="10.81640625" customWidth="1"/>
    <col min="265" max="265" width="5.54296875" customWidth="1"/>
    <col min="266" max="270" width="0" hidden="1" customWidth="1"/>
    <col min="513" max="513" width="4.453125" customWidth="1"/>
    <col min="514" max="514" width="30.453125" bestFit="1" customWidth="1"/>
    <col min="515" max="515" width="13.1796875" customWidth="1"/>
    <col min="516" max="516" width="1.81640625" customWidth="1"/>
    <col min="517" max="517" width="15" customWidth="1"/>
    <col min="518" max="518" width="4" customWidth="1"/>
    <col min="519" max="519" width="12.54296875" customWidth="1"/>
    <col min="520" max="520" width="10.81640625" customWidth="1"/>
    <col min="521" max="521" width="5.54296875" customWidth="1"/>
    <col min="522" max="526" width="0" hidden="1" customWidth="1"/>
    <col min="769" max="769" width="4.453125" customWidth="1"/>
    <col min="770" max="770" width="30.453125" bestFit="1" customWidth="1"/>
    <col min="771" max="771" width="13.1796875" customWidth="1"/>
    <col min="772" max="772" width="1.81640625" customWidth="1"/>
    <col min="773" max="773" width="15" customWidth="1"/>
    <col min="774" max="774" width="4" customWidth="1"/>
    <col min="775" max="775" width="12.54296875" customWidth="1"/>
    <col min="776" max="776" width="10.81640625" customWidth="1"/>
    <col min="777" max="777" width="5.54296875" customWidth="1"/>
    <col min="778" max="782" width="0" hidden="1" customWidth="1"/>
    <col min="1025" max="1025" width="4.453125" customWidth="1"/>
    <col min="1026" max="1026" width="30.453125" bestFit="1" customWidth="1"/>
    <col min="1027" max="1027" width="13.1796875" customWidth="1"/>
    <col min="1028" max="1028" width="1.81640625" customWidth="1"/>
    <col min="1029" max="1029" width="15" customWidth="1"/>
    <col min="1030" max="1030" width="4" customWidth="1"/>
    <col min="1031" max="1031" width="12.54296875" customWidth="1"/>
    <col min="1032" max="1032" width="10.81640625" customWidth="1"/>
    <col min="1033" max="1033" width="5.54296875" customWidth="1"/>
    <col min="1034" max="1038" width="0" hidden="1" customWidth="1"/>
    <col min="1281" max="1281" width="4.453125" customWidth="1"/>
    <col min="1282" max="1282" width="30.453125" bestFit="1" customWidth="1"/>
    <col min="1283" max="1283" width="13.1796875" customWidth="1"/>
    <col min="1284" max="1284" width="1.81640625" customWidth="1"/>
    <col min="1285" max="1285" width="15" customWidth="1"/>
    <col min="1286" max="1286" width="4" customWidth="1"/>
    <col min="1287" max="1287" width="12.54296875" customWidth="1"/>
    <col min="1288" max="1288" width="10.81640625" customWidth="1"/>
    <col min="1289" max="1289" width="5.54296875" customWidth="1"/>
    <col min="1290" max="1294" width="0" hidden="1" customWidth="1"/>
    <col min="1537" max="1537" width="4.453125" customWidth="1"/>
    <col min="1538" max="1538" width="30.453125" bestFit="1" customWidth="1"/>
    <col min="1539" max="1539" width="13.1796875" customWidth="1"/>
    <col min="1540" max="1540" width="1.81640625" customWidth="1"/>
    <col min="1541" max="1541" width="15" customWidth="1"/>
    <col min="1542" max="1542" width="4" customWidth="1"/>
    <col min="1543" max="1543" width="12.54296875" customWidth="1"/>
    <col min="1544" max="1544" width="10.81640625" customWidth="1"/>
    <col min="1545" max="1545" width="5.54296875" customWidth="1"/>
    <col min="1546" max="1550" width="0" hidden="1" customWidth="1"/>
    <col min="1793" max="1793" width="4.453125" customWidth="1"/>
    <col min="1794" max="1794" width="30.453125" bestFit="1" customWidth="1"/>
    <col min="1795" max="1795" width="13.1796875" customWidth="1"/>
    <col min="1796" max="1796" width="1.81640625" customWidth="1"/>
    <col min="1797" max="1797" width="15" customWidth="1"/>
    <col min="1798" max="1798" width="4" customWidth="1"/>
    <col min="1799" max="1799" width="12.54296875" customWidth="1"/>
    <col min="1800" max="1800" width="10.81640625" customWidth="1"/>
    <col min="1801" max="1801" width="5.54296875" customWidth="1"/>
    <col min="1802" max="1806" width="0" hidden="1" customWidth="1"/>
    <col min="2049" max="2049" width="4.453125" customWidth="1"/>
    <col min="2050" max="2050" width="30.453125" bestFit="1" customWidth="1"/>
    <col min="2051" max="2051" width="13.1796875" customWidth="1"/>
    <col min="2052" max="2052" width="1.81640625" customWidth="1"/>
    <col min="2053" max="2053" width="15" customWidth="1"/>
    <col min="2054" max="2054" width="4" customWidth="1"/>
    <col min="2055" max="2055" width="12.54296875" customWidth="1"/>
    <col min="2056" max="2056" width="10.81640625" customWidth="1"/>
    <col min="2057" max="2057" width="5.54296875" customWidth="1"/>
    <col min="2058" max="2062" width="0" hidden="1" customWidth="1"/>
    <col min="2305" max="2305" width="4.453125" customWidth="1"/>
    <col min="2306" max="2306" width="30.453125" bestFit="1" customWidth="1"/>
    <col min="2307" max="2307" width="13.1796875" customWidth="1"/>
    <col min="2308" max="2308" width="1.81640625" customWidth="1"/>
    <col min="2309" max="2309" width="15" customWidth="1"/>
    <col min="2310" max="2310" width="4" customWidth="1"/>
    <col min="2311" max="2311" width="12.54296875" customWidth="1"/>
    <col min="2312" max="2312" width="10.81640625" customWidth="1"/>
    <col min="2313" max="2313" width="5.54296875" customWidth="1"/>
    <col min="2314" max="2318" width="0" hidden="1" customWidth="1"/>
    <col min="2561" max="2561" width="4.453125" customWidth="1"/>
    <col min="2562" max="2562" width="30.453125" bestFit="1" customWidth="1"/>
    <col min="2563" max="2563" width="13.1796875" customWidth="1"/>
    <col min="2564" max="2564" width="1.81640625" customWidth="1"/>
    <col min="2565" max="2565" width="15" customWidth="1"/>
    <col min="2566" max="2566" width="4" customWidth="1"/>
    <col min="2567" max="2567" width="12.54296875" customWidth="1"/>
    <col min="2568" max="2568" width="10.81640625" customWidth="1"/>
    <col min="2569" max="2569" width="5.54296875" customWidth="1"/>
    <col min="2570" max="2574" width="0" hidden="1" customWidth="1"/>
    <col min="2817" max="2817" width="4.453125" customWidth="1"/>
    <col min="2818" max="2818" width="30.453125" bestFit="1" customWidth="1"/>
    <col min="2819" max="2819" width="13.1796875" customWidth="1"/>
    <col min="2820" max="2820" width="1.81640625" customWidth="1"/>
    <col min="2821" max="2821" width="15" customWidth="1"/>
    <col min="2822" max="2822" width="4" customWidth="1"/>
    <col min="2823" max="2823" width="12.54296875" customWidth="1"/>
    <col min="2824" max="2824" width="10.81640625" customWidth="1"/>
    <col min="2825" max="2825" width="5.54296875" customWidth="1"/>
    <col min="2826" max="2830" width="0" hidden="1" customWidth="1"/>
    <col min="3073" max="3073" width="4.453125" customWidth="1"/>
    <col min="3074" max="3074" width="30.453125" bestFit="1" customWidth="1"/>
    <col min="3075" max="3075" width="13.1796875" customWidth="1"/>
    <col min="3076" max="3076" width="1.81640625" customWidth="1"/>
    <col min="3077" max="3077" width="15" customWidth="1"/>
    <col min="3078" max="3078" width="4" customWidth="1"/>
    <col min="3079" max="3079" width="12.54296875" customWidth="1"/>
    <col min="3080" max="3080" width="10.81640625" customWidth="1"/>
    <col min="3081" max="3081" width="5.54296875" customWidth="1"/>
    <col min="3082" max="3086" width="0" hidden="1" customWidth="1"/>
    <col min="3329" max="3329" width="4.453125" customWidth="1"/>
    <col min="3330" max="3330" width="30.453125" bestFit="1" customWidth="1"/>
    <col min="3331" max="3331" width="13.1796875" customWidth="1"/>
    <col min="3332" max="3332" width="1.81640625" customWidth="1"/>
    <col min="3333" max="3333" width="15" customWidth="1"/>
    <col min="3334" max="3334" width="4" customWidth="1"/>
    <col min="3335" max="3335" width="12.54296875" customWidth="1"/>
    <col min="3336" max="3336" width="10.81640625" customWidth="1"/>
    <col min="3337" max="3337" width="5.54296875" customWidth="1"/>
    <col min="3338" max="3342" width="0" hidden="1" customWidth="1"/>
    <col min="3585" max="3585" width="4.453125" customWidth="1"/>
    <col min="3586" max="3586" width="30.453125" bestFit="1" customWidth="1"/>
    <col min="3587" max="3587" width="13.1796875" customWidth="1"/>
    <col min="3588" max="3588" width="1.81640625" customWidth="1"/>
    <col min="3589" max="3589" width="15" customWidth="1"/>
    <col min="3590" max="3590" width="4" customWidth="1"/>
    <col min="3591" max="3591" width="12.54296875" customWidth="1"/>
    <col min="3592" max="3592" width="10.81640625" customWidth="1"/>
    <col min="3593" max="3593" width="5.54296875" customWidth="1"/>
    <col min="3594" max="3598" width="0" hidden="1" customWidth="1"/>
    <col min="3841" max="3841" width="4.453125" customWidth="1"/>
    <col min="3842" max="3842" width="30.453125" bestFit="1" customWidth="1"/>
    <col min="3843" max="3843" width="13.1796875" customWidth="1"/>
    <col min="3844" max="3844" width="1.81640625" customWidth="1"/>
    <col min="3845" max="3845" width="15" customWidth="1"/>
    <col min="3846" max="3846" width="4" customWidth="1"/>
    <col min="3847" max="3847" width="12.54296875" customWidth="1"/>
    <col min="3848" max="3848" width="10.81640625" customWidth="1"/>
    <col min="3849" max="3849" width="5.54296875" customWidth="1"/>
    <col min="3850" max="3854" width="0" hidden="1" customWidth="1"/>
    <col min="4097" max="4097" width="4.453125" customWidth="1"/>
    <col min="4098" max="4098" width="30.453125" bestFit="1" customWidth="1"/>
    <col min="4099" max="4099" width="13.1796875" customWidth="1"/>
    <col min="4100" max="4100" width="1.81640625" customWidth="1"/>
    <col min="4101" max="4101" width="15" customWidth="1"/>
    <col min="4102" max="4102" width="4" customWidth="1"/>
    <col min="4103" max="4103" width="12.54296875" customWidth="1"/>
    <col min="4104" max="4104" width="10.81640625" customWidth="1"/>
    <col min="4105" max="4105" width="5.54296875" customWidth="1"/>
    <col min="4106" max="4110" width="0" hidden="1" customWidth="1"/>
    <col min="4353" max="4353" width="4.453125" customWidth="1"/>
    <col min="4354" max="4354" width="30.453125" bestFit="1" customWidth="1"/>
    <col min="4355" max="4355" width="13.1796875" customWidth="1"/>
    <col min="4356" max="4356" width="1.81640625" customWidth="1"/>
    <col min="4357" max="4357" width="15" customWidth="1"/>
    <col min="4358" max="4358" width="4" customWidth="1"/>
    <col min="4359" max="4359" width="12.54296875" customWidth="1"/>
    <col min="4360" max="4360" width="10.81640625" customWidth="1"/>
    <col min="4361" max="4361" width="5.54296875" customWidth="1"/>
    <col min="4362" max="4366" width="0" hidden="1" customWidth="1"/>
    <col min="4609" max="4609" width="4.453125" customWidth="1"/>
    <col min="4610" max="4610" width="30.453125" bestFit="1" customWidth="1"/>
    <col min="4611" max="4611" width="13.1796875" customWidth="1"/>
    <col min="4612" max="4612" width="1.81640625" customWidth="1"/>
    <col min="4613" max="4613" width="15" customWidth="1"/>
    <col min="4614" max="4614" width="4" customWidth="1"/>
    <col min="4615" max="4615" width="12.54296875" customWidth="1"/>
    <col min="4616" max="4616" width="10.81640625" customWidth="1"/>
    <col min="4617" max="4617" width="5.54296875" customWidth="1"/>
    <col min="4618" max="4622" width="0" hidden="1" customWidth="1"/>
    <col min="4865" max="4865" width="4.453125" customWidth="1"/>
    <col min="4866" max="4866" width="30.453125" bestFit="1" customWidth="1"/>
    <col min="4867" max="4867" width="13.1796875" customWidth="1"/>
    <col min="4868" max="4868" width="1.81640625" customWidth="1"/>
    <col min="4869" max="4869" width="15" customWidth="1"/>
    <col min="4870" max="4870" width="4" customWidth="1"/>
    <col min="4871" max="4871" width="12.54296875" customWidth="1"/>
    <col min="4872" max="4872" width="10.81640625" customWidth="1"/>
    <col min="4873" max="4873" width="5.54296875" customWidth="1"/>
    <col min="4874" max="4878" width="0" hidden="1" customWidth="1"/>
    <col min="5121" max="5121" width="4.453125" customWidth="1"/>
    <col min="5122" max="5122" width="30.453125" bestFit="1" customWidth="1"/>
    <col min="5123" max="5123" width="13.1796875" customWidth="1"/>
    <col min="5124" max="5124" width="1.81640625" customWidth="1"/>
    <col min="5125" max="5125" width="15" customWidth="1"/>
    <col min="5126" max="5126" width="4" customWidth="1"/>
    <col min="5127" max="5127" width="12.54296875" customWidth="1"/>
    <col min="5128" max="5128" width="10.81640625" customWidth="1"/>
    <col min="5129" max="5129" width="5.54296875" customWidth="1"/>
    <col min="5130" max="5134" width="0" hidden="1" customWidth="1"/>
    <col min="5377" max="5377" width="4.453125" customWidth="1"/>
    <col min="5378" max="5378" width="30.453125" bestFit="1" customWidth="1"/>
    <col min="5379" max="5379" width="13.1796875" customWidth="1"/>
    <col min="5380" max="5380" width="1.81640625" customWidth="1"/>
    <col min="5381" max="5381" width="15" customWidth="1"/>
    <col min="5382" max="5382" width="4" customWidth="1"/>
    <col min="5383" max="5383" width="12.54296875" customWidth="1"/>
    <col min="5384" max="5384" width="10.81640625" customWidth="1"/>
    <col min="5385" max="5385" width="5.54296875" customWidth="1"/>
    <col min="5386" max="5390" width="0" hidden="1" customWidth="1"/>
    <col min="5633" max="5633" width="4.453125" customWidth="1"/>
    <col min="5634" max="5634" width="30.453125" bestFit="1" customWidth="1"/>
    <col min="5635" max="5635" width="13.1796875" customWidth="1"/>
    <col min="5636" max="5636" width="1.81640625" customWidth="1"/>
    <col min="5637" max="5637" width="15" customWidth="1"/>
    <col min="5638" max="5638" width="4" customWidth="1"/>
    <col min="5639" max="5639" width="12.54296875" customWidth="1"/>
    <col min="5640" max="5640" width="10.81640625" customWidth="1"/>
    <col min="5641" max="5641" width="5.54296875" customWidth="1"/>
    <col min="5642" max="5646" width="0" hidden="1" customWidth="1"/>
    <col min="5889" max="5889" width="4.453125" customWidth="1"/>
    <col min="5890" max="5890" width="30.453125" bestFit="1" customWidth="1"/>
    <col min="5891" max="5891" width="13.1796875" customWidth="1"/>
    <col min="5892" max="5892" width="1.81640625" customWidth="1"/>
    <col min="5893" max="5893" width="15" customWidth="1"/>
    <col min="5894" max="5894" width="4" customWidth="1"/>
    <col min="5895" max="5895" width="12.54296875" customWidth="1"/>
    <col min="5896" max="5896" width="10.81640625" customWidth="1"/>
    <col min="5897" max="5897" width="5.54296875" customWidth="1"/>
    <col min="5898" max="5902" width="0" hidden="1" customWidth="1"/>
    <col min="6145" max="6145" width="4.453125" customWidth="1"/>
    <col min="6146" max="6146" width="30.453125" bestFit="1" customWidth="1"/>
    <col min="6147" max="6147" width="13.1796875" customWidth="1"/>
    <col min="6148" max="6148" width="1.81640625" customWidth="1"/>
    <col min="6149" max="6149" width="15" customWidth="1"/>
    <col min="6150" max="6150" width="4" customWidth="1"/>
    <col min="6151" max="6151" width="12.54296875" customWidth="1"/>
    <col min="6152" max="6152" width="10.81640625" customWidth="1"/>
    <col min="6153" max="6153" width="5.54296875" customWidth="1"/>
    <col min="6154" max="6158" width="0" hidden="1" customWidth="1"/>
    <col min="6401" max="6401" width="4.453125" customWidth="1"/>
    <col min="6402" max="6402" width="30.453125" bestFit="1" customWidth="1"/>
    <col min="6403" max="6403" width="13.1796875" customWidth="1"/>
    <col min="6404" max="6404" width="1.81640625" customWidth="1"/>
    <col min="6405" max="6405" width="15" customWidth="1"/>
    <col min="6406" max="6406" width="4" customWidth="1"/>
    <col min="6407" max="6407" width="12.54296875" customWidth="1"/>
    <col min="6408" max="6408" width="10.81640625" customWidth="1"/>
    <col min="6409" max="6409" width="5.54296875" customWidth="1"/>
    <col min="6410" max="6414" width="0" hidden="1" customWidth="1"/>
    <col min="6657" max="6657" width="4.453125" customWidth="1"/>
    <col min="6658" max="6658" width="30.453125" bestFit="1" customWidth="1"/>
    <col min="6659" max="6659" width="13.1796875" customWidth="1"/>
    <col min="6660" max="6660" width="1.81640625" customWidth="1"/>
    <col min="6661" max="6661" width="15" customWidth="1"/>
    <col min="6662" max="6662" width="4" customWidth="1"/>
    <col min="6663" max="6663" width="12.54296875" customWidth="1"/>
    <col min="6664" max="6664" width="10.81640625" customWidth="1"/>
    <col min="6665" max="6665" width="5.54296875" customWidth="1"/>
    <col min="6666" max="6670" width="0" hidden="1" customWidth="1"/>
    <col min="6913" max="6913" width="4.453125" customWidth="1"/>
    <col min="6914" max="6914" width="30.453125" bestFit="1" customWidth="1"/>
    <col min="6915" max="6915" width="13.1796875" customWidth="1"/>
    <col min="6916" max="6916" width="1.81640625" customWidth="1"/>
    <col min="6917" max="6917" width="15" customWidth="1"/>
    <col min="6918" max="6918" width="4" customWidth="1"/>
    <col min="6919" max="6919" width="12.54296875" customWidth="1"/>
    <col min="6920" max="6920" width="10.81640625" customWidth="1"/>
    <col min="6921" max="6921" width="5.54296875" customWidth="1"/>
    <col min="6922" max="6926" width="0" hidden="1" customWidth="1"/>
    <col min="7169" max="7169" width="4.453125" customWidth="1"/>
    <col min="7170" max="7170" width="30.453125" bestFit="1" customWidth="1"/>
    <col min="7171" max="7171" width="13.1796875" customWidth="1"/>
    <col min="7172" max="7172" width="1.81640625" customWidth="1"/>
    <col min="7173" max="7173" width="15" customWidth="1"/>
    <col min="7174" max="7174" width="4" customWidth="1"/>
    <col min="7175" max="7175" width="12.54296875" customWidth="1"/>
    <col min="7176" max="7176" width="10.81640625" customWidth="1"/>
    <col min="7177" max="7177" width="5.54296875" customWidth="1"/>
    <col min="7178" max="7182" width="0" hidden="1" customWidth="1"/>
    <col min="7425" max="7425" width="4.453125" customWidth="1"/>
    <col min="7426" max="7426" width="30.453125" bestFit="1" customWidth="1"/>
    <col min="7427" max="7427" width="13.1796875" customWidth="1"/>
    <col min="7428" max="7428" width="1.81640625" customWidth="1"/>
    <col min="7429" max="7429" width="15" customWidth="1"/>
    <col min="7430" max="7430" width="4" customWidth="1"/>
    <col min="7431" max="7431" width="12.54296875" customWidth="1"/>
    <col min="7432" max="7432" width="10.81640625" customWidth="1"/>
    <col min="7433" max="7433" width="5.54296875" customWidth="1"/>
    <col min="7434" max="7438" width="0" hidden="1" customWidth="1"/>
    <col min="7681" max="7681" width="4.453125" customWidth="1"/>
    <col min="7682" max="7682" width="30.453125" bestFit="1" customWidth="1"/>
    <col min="7683" max="7683" width="13.1796875" customWidth="1"/>
    <col min="7684" max="7684" width="1.81640625" customWidth="1"/>
    <col min="7685" max="7685" width="15" customWidth="1"/>
    <col min="7686" max="7686" width="4" customWidth="1"/>
    <col min="7687" max="7687" width="12.54296875" customWidth="1"/>
    <col min="7688" max="7688" width="10.81640625" customWidth="1"/>
    <col min="7689" max="7689" width="5.54296875" customWidth="1"/>
    <col min="7690" max="7694" width="0" hidden="1" customWidth="1"/>
    <col min="7937" max="7937" width="4.453125" customWidth="1"/>
    <col min="7938" max="7938" width="30.453125" bestFit="1" customWidth="1"/>
    <col min="7939" max="7939" width="13.1796875" customWidth="1"/>
    <col min="7940" max="7940" width="1.81640625" customWidth="1"/>
    <col min="7941" max="7941" width="15" customWidth="1"/>
    <col min="7942" max="7942" width="4" customWidth="1"/>
    <col min="7943" max="7943" width="12.54296875" customWidth="1"/>
    <col min="7944" max="7944" width="10.81640625" customWidth="1"/>
    <col min="7945" max="7945" width="5.54296875" customWidth="1"/>
    <col min="7946" max="7950" width="0" hidden="1" customWidth="1"/>
    <col min="8193" max="8193" width="4.453125" customWidth="1"/>
    <col min="8194" max="8194" width="30.453125" bestFit="1" customWidth="1"/>
    <col min="8195" max="8195" width="13.1796875" customWidth="1"/>
    <col min="8196" max="8196" width="1.81640625" customWidth="1"/>
    <col min="8197" max="8197" width="15" customWidth="1"/>
    <col min="8198" max="8198" width="4" customWidth="1"/>
    <col min="8199" max="8199" width="12.54296875" customWidth="1"/>
    <col min="8200" max="8200" width="10.81640625" customWidth="1"/>
    <col min="8201" max="8201" width="5.54296875" customWidth="1"/>
    <col min="8202" max="8206" width="0" hidden="1" customWidth="1"/>
    <col min="8449" max="8449" width="4.453125" customWidth="1"/>
    <col min="8450" max="8450" width="30.453125" bestFit="1" customWidth="1"/>
    <col min="8451" max="8451" width="13.1796875" customWidth="1"/>
    <col min="8452" max="8452" width="1.81640625" customWidth="1"/>
    <col min="8453" max="8453" width="15" customWidth="1"/>
    <col min="8454" max="8454" width="4" customWidth="1"/>
    <col min="8455" max="8455" width="12.54296875" customWidth="1"/>
    <col min="8456" max="8456" width="10.81640625" customWidth="1"/>
    <col min="8457" max="8457" width="5.54296875" customWidth="1"/>
    <col min="8458" max="8462" width="0" hidden="1" customWidth="1"/>
    <col min="8705" max="8705" width="4.453125" customWidth="1"/>
    <col min="8706" max="8706" width="30.453125" bestFit="1" customWidth="1"/>
    <col min="8707" max="8707" width="13.1796875" customWidth="1"/>
    <col min="8708" max="8708" width="1.81640625" customWidth="1"/>
    <col min="8709" max="8709" width="15" customWidth="1"/>
    <col min="8710" max="8710" width="4" customWidth="1"/>
    <col min="8711" max="8711" width="12.54296875" customWidth="1"/>
    <col min="8712" max="8712" width="10.81640625" customWidth="1"/>
    <col min="8713" max="8713" width="5.54296875" customWidth="1"/>
    <col min="8714" max="8718" width="0" hidden="1" customWidth="1"/>
    <col min="8961" max="8961" width="4.453125" customWidth="1"/>
    <col min="8962" max="8962" width="30.453125" bestFit="1" customWidth="1"/>
    <col min="8963" max="8963" width="13.1796875" customWidth="1"/>
    <col min="8964" max="8964" width="1.81640625" customWidth="1"/>
    <col min="8965" max="8965" width="15" customWidth="1"/>
    <col min="8966" max="8966" width="4" customWidth="1"/>
    <col min="8967" max="8967" width="12.54296875" customWidth="1"/>
    <col min="8968" max="8968" width="10.81640625" customWidth="1"/>
    <col min="8969" max="8969" width="5.54296875" customWidth="1"/>
    <col min="8970" max="8974" width="0" hidden="1" customWidth="1"/>
    <col min="9217" max="9217" width="4.453125" customWidth="1"/>
    <col min="9218" max="9218" width="30.453125" bestFit="1" customWidth="1"/>
    <col min="9219" max="9219" width="13.1796875" customWidth="1"/>
    <col min="9220" max="9220" width="1.81640625" customWidth="1"/>
    <col min="9221" max="9221" width="15" customWidth="1"/>
    <col min="9222" max="9222" width="4" customWidth="1"/>
    <col min="9223" max="9223" width="12.54296875" customWidth="1"/>
    <col min="9224" max="9224" width="10.81640625" customWidth="1"/>
    <col min="9225" max="9225" width="5.54296875" customWidth="1"/>
    <col min="9226" max="9230" width="0" hidden="1" customWidth="1"/>
    <col min="9473" max="9473" width="4.453125" customWidth="1"/>
    <col min="9474" max="9474" width="30.453125" bestFit="1" customWidth="1"/>
    <col min="9475" max="9475" width="13.1796875" customWidth="1"/>
    <col min="9476" max="9476" width="1.81640625" customWidth="1"/>
    <col min="9477" max="9477" width="15" customWidth="1"/>
    <col min="9478" max="9478" width="4" customWidth="1"/>
    <col min="9479" max="9479" width="12.54296875" customWidth="1"/>
    <col min="9480" max="9480" width="10.81640625" customWidth="1"/>
    <col min="9481" max="9481" width="5.54296875" customWidth="1"/>
    <col min="9482" max="9486" width="0" hidden="1" customWidth="1"/>
    <col min="9729" max="9729" width="4.453125" customWidth="1"/>
    <col min="9730" max="9730" width="30.453125" bestFit="1" customWidth="1"/>
    <col min="9731" max="9731" width="13.1796875" customWidth="1"/>
    <col min="9732" max="9732" width="1.81640625" customWidth="1"/>
    <col min="9733" max="9733" width="15" customWidth="1"/>
    <col min="9734" max="9734" width="4" customWidth="1"/>
    <col min="9735" max="9735" width="12.54296875" customWidth="1"/>
    <col min="9736" max="9736" width="10.81640625" customWidth="1"/>
    <col min="9737" max="9737" width="5.54296875" customWidth="1"/>
    <col min="9738" max="9742" width="0" hidden="1" customWidth="1"/>
    <col min="9985" max="9985" width="4.453125" customWidth="1"/>
    <col min="9986" max="9986" width="30.453125" bestFit="1" customWidth="1"/>
    <col min="9987" max="9987" width="13.1796875" customWidth="1"/>
    <col min="9988" max="9988" width="1.81640625" customWidth="1"/>
    <col min="9989" max="9989" width="15" customWidth="1"/>
    <col min="9990" max="9990" width="4" customWidth="1"/>
    <col min="9991" max="9991" width="12.54296875" customWidth="1"/>
    <col min="9992" max="9992" width="10.81640625" customWidth="1"/>
    <col min="9993" max="9993" width="5.54296875" customWidth="1"/>
    <col min="9994" max="9998" width="0" hidden="1" customWidth="1"/>
    <col min="10241" max="10241" width="4.453125" customWidth="1"/>
    <col min="10242" max="10242" width="30.453125" bestFit="1" customWidth="1"/>
    <col min="10243" max="10243" width="13.1796875" customWidth="1"/>
    <col min="10244" max="10244" width="1.81640625" customWidth="1"/>
    <col min="10245" max="10245" width="15" customWidth="1"/>
    <col min="10246" max="10246" width="4" customWidth="1"/>
    <col min="10247" max="10247" width="12.54296875" customWidth="1"/>
    <col min="10248" max="10248" width="10.81640625" customWidth="1"/>
    <col min="10249" max="10249" width="5.54296875" customWidth="1"/>
    <col min="10250" max="10254" width="0" hidden="1" customWidth="1"/>
    <col min="10497" max="10497" width="4.453125" customWidth="1"/>
    <col min="10498" max="10498" width="30.453125" bestFit="1" customWidth="1"/>
    <col min="10499" max="10499" width="13.1796875" customWidth="1"/>
    <col min="10500" max="10500" width="1.81640625" customWidth="1"/>
    <col min="10501" max="10501" width="15" customWidth="1"/>
    <col min="10502" max="10502" width="4" customWidth="1"/>
    <col min="10503" max="10503" width="12.54296875" customWidth="1"/>
    <col min="10504" max="10504" width="10.81640625" customWidth="1"/>
    <col min="10505" max="10505" width="5.54296875" customWidth="1"/>
    <col min="10506" max="10510" width="0" hidden="1" customWidth="1"/>
    <col min="10753" max="10753" width="4.453125" customWidth="1"/>
    <col min="10754" max="10754" width="30.453125" bestFit="1" customWidth="1"/>
    <col min="10755" max="10755" width="13.1796875" customWidth="1"/>
    <col min="10756" max="10756" width="1.81640625" customWidth="1"/>
    <col min="10757" max="10757" width="15" customWidth="1"/>
    <col min="10758" max="10758" width="4" customWidth="1"/>
    <col min="10759" max="10759" width="12.54296875" customWidth="1"/>
    <col min="10760" max="10760" width="10.81640625" customWidth="1"/>
    <col min="10761" max="10761" width="5.54296875" customWidth="1"/>
    <col min="10762" max="10766" width="0" hidden="1" customWidth="1"/>
    <col min="11009" max="11009" width="4.453125" customWidth="1"/>
    <col min="11010" max="11010" width="30.453125" bestFit="1" customWidth="1"/>
    <col min="11011" max="11011" width="13.1796875" customWidth="1"/>
    <col min="11012" max="11012" width="1.81640625" customWidth="1"/>
    <col min="11013" max="11013" width="15" customWidth="1"/>
    <col min="11014" max="11014" width="4" customWidth="1"/>
    <col min="11015" max="11015" width="12.54296875" customWidth="1"/>
    <col min="11016" max="11016" width="10.81640625" customWidth="1"/>
    <col min="11017" max="11017" width="5.54296875" customWidth="1"/>
    <col min="11018" max="11022" width="0" hidden="1" customWidth="1"/>
    <col min="11265" max="11265" width="4.453125" customWidth="1"/>
    <col min="11266" max="11266" width="30.453125" bestFit="1" customWidth="1"/>
    <col min="11267" max="11267" width="13.1796875" customWidth="1"/>
    <col min="11268" max="11268" width="1.81640625" customWidth="1"/>
    <col min="11269" max="11269" width="15" customWidth="1"/>
    <col min="11270" max="11270" width="4" customWidth="1"/>
    <col min="11271" max="11271" width="12.54296875" customWidth="1"/>
    <col min="11272" max="11272" width="10.81640625" customWidth="1"/>
    <col min="11273" max="11273" width="5.54296875" customWidth="1"/>
    <col min="11274" max="11278" width="0" hidden="1" customWidth="1"/>
    <col min="11521" max="11521" width="4.453125" customWidth="1"/>
    <col min="11522" max="11522" width="30.453125" bestFit="1" customWidth="1"/>
    <col min="11523" max="11523" width="13.1796875" customWidth="1"/>
    <col min="11524" max="11524" width="1.81640625" customWidth="1"/>
    <col min="11525" max="11525" width="15" customWidth="1"/>
    <col min="11526" max="11526" width="4" customWidth="1"/>
    <col min="11527" max="11527" width="12.54296875" customWidth="1"/>
    <col min="11528" max="11528" width="10.81640625" customWidth="1"/>
    <col min="11529" max="11529" width="5.54296875" customWidth="1"/>
    <col min="11530" max="11534" width="0" hidden="1" customWidth="1"/>
    <col min="11777" max="11777" width="4.453125" customWidth="1"/>
    <col min="11778" max="11778" width="30.453125" bestFit="1" customWidth="1"/>
    <col min="11779" max="11779" width="13.1796875" customWidth="1"/>
    <col min="11780" max="11780" width="1.81640625" customWidth="1"/>
    <col min="11781" max="11781" width="15" customWidth="1"/>
    <col min="11782" max="11782" width="4" customWidth="1"/>
    <col min="11783" max="11783" width="12.54296875" customWidth="1"/>
    <col min="11784" max="11784" width="10.81640625" customWidth="1"/>
    <col min="11785" max="11785" width="5.54296875" customWidth="1"/>
    <col min="11786" max="11790" width="0" hidden="1" customWidth="1"/>
    <col min="12033" max="12033" width="4.453125" customWidth="1"/>
    <col min="12034" max="12034" width="30.453125" bestFit="1" customWidth="1"/>
    <col min="12035" max="12035" width="13.1796875" customWidth="1"/>
    <col min="12036" max="12036" width="1.81640625" customWidth="1"/>
    <col min="12037" max="12037" width="15" customWidth="1"/>
    <col min="12038" max="12038" width="4" customWidth="1"/>
    <col min="12039" max="12039" width="12.54296875" customWidth="1"/>
    <col min="12040" max="12040" width="10.81640625" customWidth="1"/>
    <col min="12041" max="12041" width="5.54296875" customWidth="1"/>
    <col min="12042" max="12046" width="0" hidden="1" customWidth="1"/>
    <col min="12289" max="12289" width="4.453125" customWidth="1"/>
    <col min="12290" max="12290" width="30.453125" bestFit="1" customWidth="1"/>
    <col min="12291" max="12291" width="13.1796875" customWidth="1"/>
    <col min="12292" max="12292" width="1.81640625" customWidth="1"/>
    <col min="12293" max="12293" width="15" customWidth="1"/>
    <col min="12294" max="12294" width="4" customWidth="1"/>
    <col min="12295" max="12295" width="12.54296875" customWidth="1"/>
    <col min="12296" max="12296" width="10.81640625" customWidth="1"/>
    <col min="12297" max="12297" width="5.54296875" customWidth="1"/>
    <col min="12298" max="12302" width="0" hidden="1" customWidth="1"/>
    <col min="12545" max="12545" width="4.453125" customWidth="1"/>
    <col min="12546" max="12546" width="30.453125" bestFit="1" customWidth="1"/>
    <col min="12547" max="12547" width="13.1796875" customWidth="1"/>
    <col min="12548" max="12548" width="1.81640625" customWidth="1"/>
    <col min="12549" max="12549" width="15" customWidth="1"/>
    <col min="12550" max="12550" width="4" customWidth="1"/>
    <col min="12551" max="12551" width="12.54296875" customWidth="1"/>
    <col min="12552" max="12552" width="10.81640625" customWidth="1"/>
    <col min="12553" max="12553" width="5.54296875" customWidth="1"/>
    <col min="12554" max="12558" width="0" hidden="1" customWidth="1"/>
    <col min="12801" max="12801" width="4.453125" customWidth="1"/>
    <col min="12802" max="12802" width="30.453125" bestFit="1" customWidth="1"/>
    <col min="12803" max="12803" width="13.1796875" customWidth="1"/>
    <col min="12804" max="12804" width="1.81640625" customWidth="1"/>
    <col min="12805" max="12805" width="15" customWidth="1"/>
    <col min="12806" max="12806" width="4" customWidth="1"/>
    <col min="12807" max="12807" width="12.54296875" customWidth="1"/>
    <col min="12808" max="12808" width="10.81640625" customWidth="1"/>
    <col min="12809" max="12809" width="5.54296875" customWidth="1"/>
    <col min="12810" max="12814" width="0" hidden="1" customWidth="1"/>
    <col min="13057" max="13057" width="4.453125" customWidth="1"/>
    <col min="13058" max="13058" width="30.453125" bestFit="1" customWidth="1"/>
    <col min="13059" max="13059" width="13.1796875" customWidth="1"/>
    <col min="13060" max="13060" width="1.81640625" customWidth="1"/>
    <col min="13061" max="13061" width="15" customWidth="1"/>
    <col min="13062" max="13062" width="4" customWidth="1"/>
    <col min="13063" max="13063" width="12.54296875" customWidth="1"/>
    <col min="13064" max="13064" width="10.81640625" customWidth="1"/>
    <col min="13065" max="13065" width="5.54296875" customWidth="1"/>
    <col min="13066" max="13070" width="0" hidden="1" customWidth="1"/>
    <col min="13313" max="13313" width="4.453125" customWidth="1"/>
    <col min="13314" max="13314" width="30.453125" bestFit="1" customWidth="1"/>
    <col min="13315" max="13315" width="13.1796875" customWidth="1"/>
    <col min="13316" max="13316" width="1.81640625" customWidth="1"/>
    <col min="13317" max="13317" width="15" customWidth="1"/>
    <col min="13318" max="13318" width="4" customWidth="1"/>
    <col min="13319" max="13319" width="12.54296875" customWidth="1"/>
    <col min="13320" max="13320" width="10.81640625" customWidth="1"/>
    <col min="13321" max="13321" width="5.54296875" customWidth="1"/>
    <col min="13322" max="13326" width="0" hidden="1" customWidth="1"/>
    <col min="13569" max="13569" width="4.453125" customWidth="1"/>
    <col min="13570" max="13570" width="30.453125" bestFit="1" customWidth="1"/>
    <col min="13571" max="13571" width="13.1796875" customWidth="1"/>
    <col min="13572" max="13572" width="1.81640625" customWidth="1"/>
    <col min="13573" max="13573" width="15" customWidth="1"/>
    <col min="13574" max="13574" width="4" customWidth="1"/>
    <col min="13575" max="13575" width="12.54296875" customWidth="1"/>
    <col min="13576" max="13576" width="10.81640625" customWidth="1"/>
    <col min="13577" max="13577" width="5.54296875" customWidth="1"/>
    <col min="13578" max="13582" width="0" hidden="1" customWidth="1"/>
    <col min="13825" max="13825" width="4.453125" customWidth="1"/>
    <col min="13826" max="13826" width="30.453125" bestFit="1" customWidth="1"/>
    <col min="13827" max="13827" width="13.1796875" customWidth="1"/>
    <col min="13828" max="13828" width="1.81640625" customWidth="1"/>
    <col min="13829" max="13829" width="15" customWidth="1"/>
    <col min="13830" max="13830" width="4" customWidth="1"/>
    <col min="13831" max="13831" width="12.54296875" customWidth="1"/>
    <col min="13832" max="13832" width="10.81640625" customWidth="1"/>
    <col min="13833" max="13833" width="5.54296875" customWidth="1"/>
    <col min="13834" max="13838" width="0" hidden="1" customWidth="1"/>
    <col min="14081" max="14081" width="4.453125" customWidth="1"/>
    <col min="14082" max="14082" width="30.453125" bestFit="1" customWidth="1"/>
    <col min="14083" max="14083" width="13.1796875" customWidth="1"/>
    <col min="14084" max="14084" width="1.81640625" customWidth="1"/>
    <col min="14085" max="14085" width="15" customWidth="1"/>
    <col min="14086" max="14086" width="4" customWidth="1"/>
    <col min="14087" max="14087" width="12.54296875" customWidth="1"/>
    <col min="14088" max="14088" width="10.81640625" customWidth="1"/>
    <col min="14089" max="14089" width="5.54296875" customWidth="1"/>
    <col min="14090" max="14094" width="0" hidden="1" customWidth="1"/>
    <col min="14337" max="14337" width="4.453125" customWidth="1"/>
    <col min="14338" max="14338" width="30.453125" bestFit="1" customWidth="1"/>
    <col min="14339" max="14339" width="13.1796875" customWidth="1"/>
    <col min="14340" max="14340" width="1.81640625" customWidth="1"/>
    <col min="14341" max="14341" width="15" customWidth="1"/>
    <col min="14342" max="14342" width="4" customWidth="1"/>
    <col min="14343" max="14343" width="12.54296875" customWidth="1"/>
    <col min="14344" max="14344" width="10.81640625" customWidth="1"/>
    <col min="14345" max="14345" width="5.54296875" customWidth="1"/>
    <col min="14346" max="14350" width="0" hidden="1" customWidth="1"/>
    <col min="14593" max="14593" width="4.453125" customWidth="1"/>
    <col min="14594" max="14594" width="30.453125" bestFit="1" customWidth="1"/>
    <col min="14595" max="14595" width="13.1796875" customWidth="1"/>
    <col min="14596" max="14596" width="1.81640625" customWidth="1"/>
    <col min="14597" max="14597" width="15" customWidth="1"/>
    <col min="14598" max="14598" width="4" customWidth="1"/>
    <col min="14599" max="14599" width="12.54296875" customWidth="1"/>
    <col min="14600" max="14600" width="10.81640625" customWidth="1"/>
    <col min="14601" max="14601" width="5.54296875" customWidth="1"/>
    <col min="14602" max="14606" width="0" hidden="1" customWidth="1"/>
    <col min="14849" max="14849" width="4.453125" customWidth="1"/>
    <col min="14850" max="14850" width="30.453125" bestFit="1" customWidth="1"/>
    <col min="14851" max="14851" width="13.1796875" customWidth="1"/>
    <col min="14852" max="14852" width="1.81640625" customWidth="1"/>
    <col min="14853" max="14853" width="15" customWidth="1"/>
    <col min="14854" max="14854" width="4" customWidth="1"/>
    <col min="14855" max="14855" width="12.54296875" customWidth="1"/>
    <col min="14856" max="14856" width="10.81640625" customWidth="1"/>
    <col min="14857" max="14857" width="5.54296875" customWidth="1"/>
    <col min="14858" max="14862" width="0" hidden="1" customWidth="1"/>
    <col min="15105" max="15105" width="4.453125" customWidth="1"/>
    <col min="15106" max="15106" width="30.453125" bestFit="1" customWidth="1"/>
    <col min="15107" max="15107" width="13.1796875" customWidth="1"/>
    <col min="15108" max="15108" width="1.81640625" customWidth="1"/>
    <col min="15109" max="15109" width="15" customWidth="1"/>
    <col min="15110" max="15110" width="4" customWidth="1"/>
    <col min="15111" max="15111" width="12.54296875" customWidth="1"/>
    <col min="15112" max="15112" width="10.81640625" customWidth="1"/>
    <col min="15113" max="15113" width="5.54296875" customWidth="1"/>
    <col min="15114" max="15118" width="0" hidden="1" customWidth="1"/>
    <col min="15361" max="15361" width="4.453125" customWidth="1"/>
    <col min="15362" max="15362" width="30.453125" bestFit="1" customWidth="1"/>
    <col min="15363" max="15363" width="13.1796875" customWidth="1"/>
    <col min="15364" max="15364" width="1.81640625" customWidth="1"/>
    <col min="15365" max="15365" width="15" customWidth="1"/>
    <col min="15366" max="15366" width="4" customWidth="1"/>
    <col min="15367" max="15367" width="12.54296875" customWidth="1"/>
    <col min="15368" max="15368" width="10.81640625" customWidth="1"/>
    <col min="15369" max="15369" width="5.54296875" customWidth="1"/>
    <col min="15370" max="15374" width="0" hidden="1" customWidth="1"/>
    <col min="15617" max="15617" width="4.453125" customWidth="1"/>
    <col min="15618" max="15618" width="30.453125" bestFit="1" customWidth="1"/>
    <col min="15619" max="15619" width="13.1796875" customWidth="1"/>
    <col min="15620" max="15620" width="1.81640625" customWidth="1"/>
    <col min="15621" max="15621" width="15" customWidth="1"/>
    <col min="15622" max="15622" width="4" customWidth="1"/>
    <col min="15623" max="15623" width="12.54296875" customWidth="1"/>
    <col min="15624" max="15624" width="10.81640625" customWidth="1"/>
    <col min="15625" max="15625" width="5.54296875" customWidth="1"/>
    <col min="15626" max="15630" width="0" hidden="1" customWidth="1"/>
    <col min="15873" max="15873" width="4.453125" customWidth="1"/>
    <col min="15874" max="15874" width="30.453125" bestFit="1" customWidth="1"/>
    <col min="15875" max="15875" width="13.1796875" customWidth="1"/>
    <col min="15876" max="15876" width="1.81640625" customWidth="1"/>
    <col min="15877" max="15877" width="15" customWidth="1"/>
    <col min="15878" max="15878" width="4" customWidth="1"/>
    <col min="15879" max="15879" width="12.54296875" customWidth="1"/>
    <col min="15880" max="15880" width="10.81640625" customWidth="1"/>
    <col min="15881" max="15881" width="5.54296875" customWidth="1"/>
    <col min="15882" max="15886" width="0" hidden="1" customWidth="1"/>
    <col min="16129" max="16129" width="4.453125" customWidth="1"/>
    <col min="16130" max="16130" width="30.453125" bestFit="1" customWidth="1"/>
    <col min="16131" max="16131" width="13.1796875" customWidth="1"/>
    <col min="16132" max="16132" width="1.81640625" customWidth="1"/>
    <col min="16133" max="16133" width="15" customWidth="1"/>
    <col min="16134" max="16134" width="4" customWidth="1"/>
    <col min="16135" max="16135" width="12.54296875" customWidth="1"/>
    <col min="16136" max="16136" width="10.81640625" customWidth="1"/>
    <col min="16137" max="16137" width="5.54296875" customWidth="1"/>
    <col min="16138" max="16142" width="0" hidden="1" customWidth="1"/>
  </cols>
  <sheetData>
    <row r="1" spans="2:9" ht="6.75" customHeight="1" x14ac:dyDescent="0.25"/>
    <row r="2" spans="2:9" x14ac:dyDescent="0.25">
      <c r="B2" s="1627" t="s">
        <v>218</v>
      </c>
      <c r="C2" s="1627"/>
      <c r="D2" s="1627"/>
      <c r="E2" s="1627"/>
      <c r="F2" s="1627"/>
      <c r="G2" s="1627"/>
      <c r="H2" s="1627"/>
      <c r="I2" s="3"/>
    </row>
    <row r="3" spans="2:9" ht="6" customHeight="1" x14ac:dyDescent="0.25">
      <c r="B3" s="4"/>
      <c r="C3" s="5"/>
      <c r="D3" s="5"/>
      <c r="E3" s="5"/>
      <c r="F3" s="3"/>
      <c r="G3" s="3"/>
      <c r="H3" s="10"/>
      <c r="I3" s="3"/>
    </row>
    <row r="4" spans="2:9" x14ac:dyDescent="0.25">
      <c r="B4" s="1628" t="s">
        <v>1481</v>
      </c>
      <c r="C4" s="1627"/>
      <c r="D4" s="1627"/>
      <c r="E4" s="1627"/>
      <c r="F4" s="1627"/>
      <c r="G4" s="1627"/>
      <c r="H4" s="1627"/>
      <c r="I4" s="3"/>
    </row>
    <row r="5" spans="2:9" ht="9" customHeight="1" x14ac:dyDescent="0.25">
      <c r="B5" s="6"/>
      <c r="C5" s="6"/>
      <c r="D5" s="6"/>
      <c r="E5" s="6"/>
      <c r="F5" s="3"/>
      <c r="G5" s="3"/>
      <c r="H5" s="10"/>
      <c r="I5" s="3"/>
    </row>
    <row r="6" spans="2:9" ht="12.75" customHeight="1" x14ac:dyDescent="0.35">
      <c r="B6" s="7" t="s">
        <v>0</v>
      </c>
      <c r="C6" s="11" t="s">
        <v>1482</v>
      </c>
      <c r="D6" s="11"/>
      <c r="E6" s="11" t="s">
        <v>1398</v>
      </c>
      <c r="F6" s="3"/>
      <c r="G6" s="9" t="s">
        <v>9</v>
      </c>
      <c r="H6" s="15" t="s">
        <v>10</v>
      </c>
      <c r="I6" s="3"/>
    </row>
    <row r="7" spans="2:9" ht="7.5" customHeight="1" x14ac:dyDescent="0.25">
      <c r="B7" s="2"/>
      <c r="C7" s="3"/>
      <c r="D7" s="3"/>
      <c r="E7" s="3"/>
      <c r="F7" s="3"/>
      <c r="G7" s="3"/>
      <c r="H7" s="10"/>
      <c r="I7" s="3"/>
    </row>
    <row r="8" spans="2:9" ht="9.75" customHeight="1" x14ac:dyDescent="0.25">
      <c r="B8" s="8" t="s">
        <v>35</v>
      </c>
      <c r="C8" s="3"/>
      <c r="D8" s="3"/>
      <c r="E8" s="3"/>
      <c r="F8" s="3"/>
      <c r="G8" s="3"/>
      <c r="H8" s="10"/>
      <c r="I8" s="3"/>
    </row>
    <row r="9" spans="2:9" ht="11.25" customHeight="1" x14ac:dyDescent="0.25">
      <c r="B9" s="2" t="s">
        <v>13</v>
      </c>
      <c r="C9" s="3">
        <v>200000</v>
      </c>
      <c r="D9" s="3"/>
      <c r="E9" s="3">
        <v>200000</v>
      </c>
      <c r="F9" s="3"/>
      <c r="G9" s="3">
        <f>-C9+E9</f>
        <v>0</v>
      </c>
      <c r="H9" s="10">
        <f>+G9/C9</f>
        <v>0</v>
      </c>
      <c r="I9" s="3"/>
    </row>
    <row r="10" spans="2:9" ht="11.25" customHeight="1" x14ac:dyDescent="0.25">
      <c r="B10" s="2" t="s">
        <v>60</v>
      </c>
      <c r="C10" s="3">
        <v>47966178.640000001</v>
      </c>
      <c r="D10" s="3"/>
      <c r="E10" s="3">
        <v>52672060.759999998</v>
      </c>
      <c r="F10" s="3"/>
      <c r="G10" s="3">
        <f>-C10+E10</f>
        <v>4705882.1199999973</v>
      </c>
      <c r="H10" s="10">
        <f>+G10/C10</f>
        <v>9.8108339113670062E-2</v>
      </c>
      <c r="I10" s="3"/>
    </row>
    <row r="11" spans="2:9" ht="12.25" customHeight="1" x14ac:dyDescent="0.25">
      <c r="B11" s="2"/>
      <c r="C11" s="31">
        <f>SUM(C9:C10)</f>
        <v>48166178.640000001</v>
      </c>
      <c r="D11" s="32"/>
      <c r="E11" s="31">
        <f>SUM(E9:E10)</f>
        <v>52872060.759999998</v>
      </c>
      <c r="F11" s="32"/>
      <c r="G11" s="31">
        <f>SUM(G9:G10)</f>
        <v>4705882.1199999973</v>
      </c>
      <c r="H11" s="33">
        <f>+G11/C11</f>
        <v>9.7700964719919847E-2</v>
      </c>
      <c r="I11" s="3"/>
    </row>
    <row r="12" spans="2:9" ht="12.25" customHeight="1" x14ac:dyDescent="0.25">
      <c r="B12" s="8" t="s">
        <v>36</v>
      </c>
      <c r="C12" s="3"/>
      <c r="D12" s="3"/>
      <c r="E12" s="3"/>
      <c r="F12" s="3"/>
      <c r="G12" s="3"/>
      <c r="H12" s="10"/>
      <c r="I12" s="3"/>
    </row>
    <row r="13" spans="2:9" ht="12.25" customHeight="1" x14ac:dyDescent="0.25">
      <c r="B13" s="17" t="s">
        <v>32</v>
      </c>
      <c r="C13" s="3"/>
      <c r="D13" s="3"/>
      <c r="E13" s="3"/>
      <c r="F13" s="3"/>
      <c r="G13" s="3"/>
      <c r="H13" s="10"/>
      <c r="I13" s="3"/>
    </row>
    <row r="14" spans="2:9" ht="12.25" customHeight="1" x14ac:dyDescent="0.25">
      <c r="B14" s="17" t="s">
        <v>771</v>
      </c>
      <c r="C14" s="3">
        <v>0</v>
      </c>
      <c r="D14" s="3"/>
      <c r="E14" s="3">
        <v>0</v>
      </c>
      <c r="F14" s="3"/>
      <c r="G14" s="3"/>
      <c r="H14" s="10"/>
      <c r="I14" s="3"/>
    </row>
    <row r="15" spans="2:9" ht="12.25" customHeight="1" x14ac:dyDescent="0.25">
      <c r="B15" s="2" t="s">
        <v>222</v>
      </c>
      <c r="C15" s="3">
        <v>10764303.619999999</v>
      </c>
      <c r="D15" s="3"/>
      <c r="E15" s="3">
        <v>8658779.9299999997</v>
      </c>
      <c r="F15" s="3"/>
      <c r="G15" s="3">
        <f>-C15+E15</f>
        <v>-2105523.6899999995</v>
      </c>
      <c r="H15" s="10">
        <f>+G15/C15</f>
        <v>-0.19560240627995215</v>
      </c>
      <c r="I15" s="3"/>
    </row>
    <row r="16" spans="2:9" ht="12.25" customHeight="1" x14ac:dyDescent="0.25">
      <c r="B16" s="2"/>
      <c r="C16" s="34">
        <f>SUM(C14:C15)</f>
        <v>10764303.619999999</v>
      </c>
      <c r="D16" s="32"/>
      <c r="E16" s="34">
        <f>SUM(E14:E15)</f>
        <v>8658779.9299999997</v>
      </c>
      <c r="F16" s="32"/>
      <c r="G16" s="31">
        <f>-C16+E16</f>
        <v>-2105523.6899999995</v>
      </c>
      <c r="H16" s="33">
        <f>+G16/C16</f>
        <v>-0.19560240627995215</v>
      </c>
      <c r="I16" s="3"/>
    </row>
    <row r="17" spans="2:14" ht="6" customHeight="1" x14ac:dyDescent="0.25">
      <c r="B17" s="2"/>
      <c r="C17" s="3"/>
      <c r="D17" s="3"/>
      <c r="E17" s="3"/>
      <c r="F17" s="3"/>
      <c r="G17" s="3"/>
      <c r="H17" s="10"/>
      <c r="I17" s="3"/>
    </row>
    <row r="18" spans="2:14" ht="10.5" customHeight="1" x14ac:dyDescent="0.25">
      <c r="B18" s="8" t="s">
        <v>1</v>
      </c>
      <c r="C18" s="3"/>
      <c r="D18" s="3"/>
      <c r="E18" s="3"/>
      <c r="F18" s="3"/>
      <c r="G18" s="3"/>
      <c r="H18" s="10"/>
      <c r="I18" s="3"/>
    </row>
    <row r="19" spans="2:14" ht="7.5" customHeight="1" x14ac:dyDescent="0.25">
      <c r="B19" s="8"/>
      <c r="C19" s="3"/>
      <c r="D19" s="3"/>
      <c r="E19" s="3"/>
      <c r="F19" s="3"/>
      <c r="G19" s="3"/>
      <c r="H19" s="10"/>
      <c r="I19" s="3"/>
    </row>
    <row r="20" spans="2:14" ht="10.5" customHeight="1" x14ac:dyDescent="0.25">
      <c r="B20" s="17" t="s">
        <v>37</v>
      </c>
      <c r="C20" s="3"/>
      <c r="D20" s="3"/>
      <c r="E20" s="3"/>
      <c r="F20" s="3"/>
      <c r="G20" s="3"/>
      <c r="H20" s="10"/>
      <c r="I20" s="3"/>
    </row>
    <row r="21" spans="2:14" ht="12.25" customHeight="1" x14ac:dyDescent="0.25">
      <c r="B21" s="2" t="s">
        <v>2</v>
      </c>
      <c r="C21" s="3">
        <v>11341985</v>
      </c>
      <c r="D21" s="3"/>
      <c r="E21" s="3">
        <v>3942142</v>
      </c>
      <c r="F21" s="3"/>
      <c r="G21" s="3">
        <f>+E21-C21</f>
        <v>-7399843</v>
      </c>
      <c r="H21" s="10">
        <f>+G21/C21</f>
        <v>-0.65242927053774102</v>
      </c>
      <c r="I21" s="3"/>
    </row>
    <row r="22" spans="2:14" ht="12.25" customHeight="1" x14ac:dyDescent="0.25">
      <c r="B22" s="2" t="s">
        <v>61</v>
      </c>
      <c r="C22" s="3">
        <v>0</v>
      </c>
      <c r="D22" s="3"/>
      <c r="E22" s="3">
        <v>0</v>
      </c>
      <c r="F22" s="3"/>
      <c r="G22" s="3">
        <f>+E22-C22</f>
        <v>0</v>
      </c>
      <c r="H22" s="10">
        <v>0</v>
      </c>
      <c r="I22" s="3"/>
    </row>
    <row r="23" spans="2:14" ht="12.25" customHeight="1" x14ac:dyDescent="0.25">
      <c r="B23" s="2"/>
      <c r="C23" s="31">
        <f>SUM(C21:C22)</f>
        <v>11341985</v>
      </c>
      <c r="D23" s="32"/>
      <c r="E23" s="31">
        <f>SUM(E21:E22)</f>
        <v>3942142</v>
      </c>
      <c r="F23" s="32"/>
      <c r="G23" s="31">
        <f>SUM(G21:G22)</f>
        <v>-7399843</v>
      </c>
      <c r="H23" s="33">
        <f>+G23/C23</f>
        <v>-0.65242927053774102</v>
      </c>
      <c r="I23" s="3"/>
    </row>
    <row r="24" spans="2:14" ht="9" customHeight="1" x14ac:dyDescent="0.25">
      <c r="B24" s="2"/>
      <c r="C24" s="3"/>
      <c r="D24" s="3"/>
      <c r="E24" s="3"/>
      <c r="F24" s="3"/>
      <c r="G24" s="3"/>
      <c r="H24" s="10"/>
      <c r="I24" s="3"/>
    </row>
    <row r="25" spans="2:14" ht="10.5" hidden="1" customHeight="1" x14ac:dyDescent="0.25">
      <c r="B25" s="2" t="s">
        <v>44</v>
      </c>
      <c r="C25" s="3">
        <v>0</v>
      </c>
      <c r="D25" s="19"/>
      <c r="E25" s="3">
        <v>0</v>
      </c>
      <c r="F25" s="19"/>
      <c r="G25" s="19">
        <f>+E25-C25</f>
        <v>0</v>
      </c>
      <c r="H25" s="10">
        <v>0</v>
      </c>
      <c r="I25" s="3"/>
    </row>
    <row r="26" spans="2:14" ht="10.5" hidden="1" customHeight="1" x14ac:dyDescent="0.25">
      <c r="B26" s="2" t="s">
        <v>348</v>
      </c>
      <c r="C26" s="3">
        <v>0</v>
      </c>
      <c r="D26" s="19"/>
      <c r="E26" s="3">
        <v>0</v>
      </c>
      <c r="F26" s="19"/>
      <c r="G26" s="19">
        <f>+E26-C26</f>
        <v>0</v>
      </c>
      <c r="H26" s="10" t="s">
        <v>33</v>
      </c>
      <c r="I26" s="3"/>
    </row>
    <row r="27" spans="2:14" ht="10.5" customHeight="1" x14ac:dyDescent="0.25">
      <c r="B27" s="2" t="s">
        <v>500</v>
      </c>
      <c r="C27" s="3">
        <v>0</v>
      </c>
      <c r="D27" s="19"/>
      <c r="E27" s="3">
        <v>0</v>
      </c>
      <c r="F27" s="19"/>
      <c r="G27" s="19"/>
      <c r="H27" s="10" t="s">
        <v>33</v>
      </c>
      <c r="I27" s="3"/>
    </row>
    <row r="28" spans="2:14" ht="10.5" customHeight="1" x14ac:dyDescent="0.25">
      <c r="C28" s="3"/>
      <c r="D28" s="19"/>
      <c r="E28" s="3"/>
      <c r="F28" s="19"/>
      <c r="G28" s="19">
        <f>+E28-C28</f>
        <v>0</v>
      </c>
      <c r="H28" s="10" t="s">
        <v>33</v>
      </c>
      <c r="I28" s="3"/>
    </row>
    <row r="29" spans="2:14" s="54" customFormat="1" ht="10.5" customHeight="1" x14ac:dyDescent="0.3">
      <c r="B29" s="8" t="s">
        <v>223</v>
      </c>
      <c r="C29" s="19"/>
      <c r="D29" s="19"/>
      <c r="E29" s="19"/>
      <c r="F29" s="19"/>
      <c r="G29" s="19"/>
      <c r="H29" s="10" t="s">
        <v>33</v>
      </c>
      <c r="I29" s="19"/>
      <c r="M29" s="992"/>
      <c r="N29" s="992"/>
    </row>
    <row r="30" spans="2:14" ht="10.5" customHeight="1" x14ac:dyDescent="0.25">
      <c r="B30" s="8" t="s">
        <v>76</v>
      </c>
      <c r="C30" s="3">
        <v>12428599</v>
      </c>
      <c r="D30" s="19"/>
      <c r="E30" s="3">
        <v>13871914</v>
      </c>
      <c r="F30" s="19"/>
      <c r="G30" s="3">
        <f>+E30-C30</f>
        <v>1443315</v>
      </c>
      <c r="H30" s="10">
        <f>+G30/C30</f>
        <v>0.11612853548497301</v>
      </c>
      <c r="I30" s="3"/>
    </row>
    <row r="31" spans="2:14" ht="10.5" customHeight="1" x14ac:dyDescent="0.25">
      <c r="B31" s="2"/>
      <c r="C31" s="3"/>
      <c r="D31" s="3"/>
      <c r="E31" s="3"/>
      <c r="F31" s="3"/>
      <c r="G31" s="3"/>
      <c r="H31" s="10"/>
      <c r="I31" s="3"/>
    </row>
    <row r="32" spans="2:14" ht="13" thickBot="1" x14ac:dyDescent="0.3">
      <c r="B32" s="26" t="s">
        <v>3</v>
      </c>
      <c r="C32" s="34">
        <f>+C11+C16+C23+C25+C30+C26+C27</f>
        <v>82701066.25999999</v>
      </c>
      <c r="D32" s="34" t="s">
        <v>33</v>
      </c>
      <c r="E32" s="34">
        <f>+E11+E16+E23+E25+E30+E26+E27</f>
        <v>79344896.689999998</v>
      </c>
      <c r="F32" s="34" t="s">
        <v>33</v>
      </c>
      <c r="G32" s="35">
        <f>-C32+E32</f>
        <v>-3356169.5699999928</v>
      </c>
      <c r="H32" s="36">
        <f>+G32/C32</f>
        <v>-4.0581938320464805E-2</v>
      </c>
      <c r="I32" s="3"/>
    </row>
    <row r="33" spans="2:15" ht="9.75" customHeight="1" thickTop="1" x14ac:dyDescent="0.25">
      <c r="B33" s="2"/>
      <c r="C33" s="3"/>
      <c r="D33" s="3"/>
      <c r="E33" s="3"/>
      <c r="F33" s="3"/>
      <c r="G33" s="3"/>
      <c r="H33" s="10"/>
      <c r="I33" s="3"/>
    </row>
    <row r="34" spans="2:15" ht="10.5" customHeight="1" x14ac:dyDescent="0.25">
      <c r="B34" s="7" t="s">
        <v>4</v>
      </c>
      <c r="C34" s="3"/>
      <c r="D34" s="3"/>
      <c r="E34" s="3"/>
      <c r="F34" s="3"/>
      <c r="G34" s="3"/>
      <c r="H34" s="10"/>
      <c r="I34" s="3"/>
    </row>
    <row r="35" spans="2:15" ht="8.5" customHeight="1" x14ac:dyDescent="0.25">
      <c r="B35" s="2"/>
      <c r="C35" s="3"/>
      <c r="D35" s="3"/>
      <c r="E35" s="3"/>
      <c r="F35" s="3"/>
      <c r="G35" s="3"/>
      <c r="H35" s="10"/>
      <c r="I35" s="3"/>
    </row>
    <row r="36" spans="2:15" ht="11.25" customHeight="1" x14ac:dyDescent="0.25">
      <c r="B36" s="8" t="s">
        <v>5</v>
      </c>
      <c r="C36" s="3"/>
      <c r="D36" s="3"/>
      <c r="E36" s="3"/>
      <c r="F36" s="3"/>
      <c r="G36" s="3"/>
      <c r="H36" s="10"/>
      <c r="I36" s="3"/>
    </row>
    <row r="37" spans="2:15" ht="12.25" customHeight="1" x14ac:dyDescent="0.25">
      <c r="B37" s="2" t="s">
        <v>34</v>
      </c>
      <c r="C37" s="3">
        <v>727051</v>
      </c>
      <c r="D37" s="3"/>
      <c r="E37" s="3">
        <v>534252</v>
      </c>
      <c r="F37" s="3"/>
      <c r="G37" s="3">
        <f>+E37-C37</f>
        <v>-192799</v>
      </c>
      <c r="H37" s="10">
        <f>+G37/C37</f>
        <v>-0.26517947159140143</v>
      </c>
      <c r="I37" s="3"/>
    </row>
    <row r="38" spans="2:15" ht="11.25" customHeight="1" x14ac:dyDescent="0.25">
      <c r="B38" s="2" t="s">
        <v>11</v>
      </c>
      <c r="C38" s="3">
        <f>0.21+62996.06</f>
        <v>62996.27</v>
      </c>
      <c r="D38" s="3"/>
      <c r="E38" s="3">
        <f>-0.09+102902.06</f>
        <v>102901.97</v>
      </c>
      <c r="F38" s="3"/>
      <c r="G38" s="3">
        <f>-C38+E38</f>
        <v>39905.700000000004</v>
      </c>
      <c r="H38" s="10">
        <f>+G38/C38</f>
        <v>0.63346131445560194</v>
      </c>
      <c r="I38" s="3"/>
    </row>
    <row r="39" spans="2:15" ht="12.25" customHeight="1" x14ac:dyDescent="0.25">
      <c r="B39" s="2" t="s">
        <v>73</v>
      </c>
      <c r="C39" s="3">
        <v>0</v>
      </c>
      <c r="D39" s="3"/>
      <c r="E39" s="3">
        <v>0</v>
      </c>
      <c r="F39" s="3"/>
      <c r="G39" s="3"/>
      <c r="H39" s="10"/>
      <c r="I39" s="3"/>
    </row>
    <row r="40" spans="2:15" ht="12.25" customHeight="1" x14ac:dyDescent="0.25">
      <c r="B40" s="2"/>
      <c r="C40" s="31">
        <f>SUM(C37:C39)</f>
        <v>790047.27</v>
      </c>
      <c r="D40" s="32"/>
      <c r="E40" s="31">
        <f>SUM(E37:E39)</f>
        <v>637153.97</v>
      </c>
      <c r="F40" s="32"/>
      <c r="G40" s="31">
        <f>SUM(G37:G38)</f>
        <v>-152893.29999999999</v>
      </c>
      <c r="H40" s="33">
        <f>+G40/C40</f>
        <v>-0.19352424317598108</v>
      </c>
      <c r="I40" s="3"/>
    </row>
    <row r="41" spans="2:15" ht="12" customHeight="1" x14ac:dyDescent="0.25">
      <c r="B41" s="8" t="s">
        <v>568</v>
      </c>
      <c r="C41" s="3"/>
      <c r="D41" s="3"/>
      <c r="E41" s="3"/>
      <c r="F41" s="3"/>
      <c r="G41" s="3"/>
      <c r="H41" s="10"/>
      <c r="I41" s="3"/>
    </row>
    <row r="42" spans="2:15" ht="11.25" customHeight="1" x14ac:dyDescent="0.25">
      <c r="B42" s="8" t="s">
        <v>74</v>
      </c>
      <c r="C42" s="3"/>
      <c r="D42" s="3"/>
      <c r="E42" s="3"/>
      <c r="F42" s="3"/>
      <c r="G42" s="3"/>
      <c r="H42" s="10"/>
      <c r="I42" s="3"/>
      <c r="J42" s="1633" t="s">
        <v>962</v>
      </c>
      <c r="K42" s="1634"/>
    </row>
    <row r="43" spans="2:15" s="145" customFormat="1" ht="11.25" customHeight="1" x14ac:dyDescent="0.25">
      <c r="B43" s="289" t="s">
        <v>75</v>
      </c>
      <c r="C43" s="3">
        <v>0</v>
      </c>
      <c r="D43" s="3"/>
      <c r="E43" s="3">
        <v>0</v>
      </c>
      <c r="F43" s="3"/>
      <c r="G43" s="3"/>
      <c r="H43" s="10"/>
      <c r="I43" s="404"/>
      <c r="J43" s="302" t="s">
        <v>773</v>
      </c>
      <c r="K43" s="638">
        <f>-49920464</f>
        <v>-49920464</v>
      </c>
      <c r="L43"/>
      <c r="M43" s="325">
        <v>31805050</v>
      </c>
      <c r="N43" s="325"/>
      <c r="O43"/>
    </row>
    <row r="44" spans="2:15" s="145" customFormat="1" ht="11.25" customHeight="1" x14ac:dyDescent="0.25">
      <c r="B44" s="289" t="s">
        <v>58</v>
      </c>
      <c r="C44" s="3">
        <v>8550122</v>
      </c>
      <c r="D44" s="3"/>
      <c r="E44" s="3">
        <v>8550122</v>
      </c>
      <c r="F44" s="3"/>
      <c r="G44" s="3">
        <f>-C44+E44</f>
        <v>0</v>
      </c>
      <c r="H44" s="10" t="s">
        <v>960</v>
      </c>
      <c r="I44" s="404"/>
      <c r="J44" s="639" t="s">
        <v>963</v>
      </c>
      <c r="K44" s="640">
        <v>-893269.33</v>
      </c>
      <c r="L44"/>
      <c r="M44" s="325">
        <v>-248452.74</v>
      </c>
      <c r="N44" s="325"/>
      <c r="O44"/>
    </row>
    <row r="45" spans="2:15" s="145" customFormat="1" ht="11.25" customHeight="1" x14ac:dyDescent="0.25">
      <c r="B45" s="289" t="s">
        <v>220</v>
      </c>
      <c r="C45" s="3">
        <v>0</v>
      </c>
      <c r="D45" s="3"/>
      <c r="E45" s="3">
        <v>0</v>
      </c>
      <c r="F45" s="3"/>
      <c r="G45" s="3">
        <f>-C45+E45</f>
        <v>0</v>
      </c>
      <c r="H45" s="10" t="s">
        <v>961</v>
      </c>
      <c r="I45" s="404"/>
      <c r="J45" s="641" t="s">
        <v>964</v>
      </c>
      <c r="K45" s="642">
        <f>SUM(K43:K44)</f>
        <v>-50813733.329999998</v>
      </c>
      <c r="L45"/>
      <c r="M45" s="325">
        <v>-8550122</v>
      </c>
      <c r="N45" s="325"/>
      <c r="O45"/>
    </row>
    <row r="46" spans="2:15" s="145" customFormat="1" ht="11.25" customHeight="1" x14ac:dyDescent="0.25">
      <c r="B46" s="289" t="s">
        <v>224</v>
      </c>
      <c r="C46" s="3">
        <v>44870844.759999998</v>
      </c>
      <c r="D46" s="3"/>
      <c r="E46" s="3">
        <v>45463372.880000003</v>
      </c>
      <c r="F46" s="3"/>
      <c r="G46" s="3">
        <f>-C46+E46</f>
        <v>592528.12000000477</v>
      </c>
      <c r="H46" s="10"/>
      <c r="I46" s="404"/>
      <c r="J46" s="639" t="s">
        <v>965</v>
      </c>
      <c r="K46" s="643"/>
      <c r="L46"/>
      <c r="M46" s="325">
        <f>SUM(M43:M45)</f>
        <v>23006475.260000002</v>
      </c>
      <c r="N46" s="325">
        <f>+M46+E46</f>
        <v>68469848.140000001</v>
      </c>
      <c r="O46"/>
    </row>
    <row r="47" spans="2:15" s="145" customFormat="1" ht="11.25" customHeight="1" x14ac:dyDescent="0.25">
      <c r="B47" s="289" t="s">
        <v>1399</v>
      </c>
      <c r="C47" s="3">
        <v>7500003</v>
      </c>
      <c r="D47" s="3"/>
      <c r="E47" s="3">
        <v>7500003</v>
      </c>
      <c r="F47" s="3"/>
      <c r="G47" s="3">
        <f>-C47+E47</f>
        <v>0</v>
      </c>
      <c r="H47" s="10"/>
      <c r="I47" s="404"/>
      <c r="J47" s="302" t="s">
        <v>75</v>
      </c>
      <c r="K47" s="640">
        <v>7425682</v>
      </c>
      <c r="L47"/>
      <c r="M47" s="325"/>
      <c r="N47" s="325"/>
      <c r="O47"/>
    </row>
    <row r="48" spans="2:15" ht="11.25" customHeight="1" x14ac:dyDescent="0.25">
      <c r="B48" s="8" t="s">
        <v>569</v>
      </c>
      <c r="C48" s="31">
        <f>SUM(C43:C47)</f>
        <v>60920969.759999998</v>
      </c>
      <c r="D48" s="32"/>
      <c r="E48" s="31">
        <f>SUM(E43:E47)</f>
        <v>61513497.880000003</v>
      </c>
      <c r="F48" s="32"/>
      <c r="G48" s="31">
        <f>SUM(G44:G45)</f>
        <v>0</v>
      </c>
      <c r="H48" s="33">
        <f>+G48/C48</f>
        <v>0</v>
      </c>
      <c r="I48" s="3"/>
      <c r="J48" s="302" t="s">
        <v>58</v>
      </c>
      <c r="K48" s="640">
        <v>8550122</v>
      </c>
    </row>
    <row r="49" spans="2:14" ht="9" customHeight="1" x14ac:dyDescent="0.25">
      <c r="B49" s="2"/>
      <c r="C49" s="3"/>
      <c r="D49" s="3"/>
      <c r="E49" s="3"/>
      <c r="F49" s="3"/>
      <c r="G49" s="3"/>
      <c r="H49" s="10"/>
      <c r="I49" s="3"/>
      <c r="J49" s="302" t="s">
        <v>220</v>
      </c>
      <c r="K49" s="640">
        <v>3837291</v>
      </c>
    </row>
    <row r="50" spans="2:14" ht="11.25" customHeight="1" x14ac:dyDescent="0.25">
      <c r="B50" s="8" t="s">
        <v>57</v>
      </c>
      <c r="C50" s="3"/>
      <c r="D50" s="3"/>
      <c r="E50" s="3"/>
      <c r="F50" s="3"/>
      <c r="G50" s="3"/>
      <c r="H50" s="10"/>
      <c r="I50" s="3"/>
      <c r="J50" s="302" t="s">
        <v>224</v>
      </c>
      <c r="K50" s="640">
        <v>23006463.5</v>
      </c>
    </row>
    <row r="51" spans="2:14" ht="11.25" customHeight="1" x14ac:dyDescent="0.25">
      <c r="B51" s="2" t="s">
        <v>221</v>
      </c>
      <c r="C51" s="3">
        <v>0</v>
      </c>
      <c r="D51" s="3"/>
      <c r="E51" s="3">
        <v>0</v>
      </c>
      <c r="F51" s="3"/>
      <c r="G51" s="3">
        <f>+E51-C51</f>
        <v>0</v>
      </c>
      <c r="H51" s="10">
        <v>0</v>
      </c>
      <c r="I51" s="3"/>
      <c r="J51" s="302" t="s">
        <v>966</v>
      </c>
      <c r="K51" s="640">
        <v>7994163.0700000003</v>
      </c>
    </row>
    <row r="52" spans="2:14" ht="11.25" customHeight="1" x14ac:dyDescent="0.25">
      <c r="B52" s="38" t="s">
        <v>59</v>
      </c>
      <c r="C52" s="40">
        <f>SUM(C51:C51)</f>
        <v>0</v>
      </c>
      <c r="D52" s="40" t="s">
        <v>33</v>
      </c>
      <c r="E52" s="40">
        <f>SUM(E51:E51)</f>
        <v>0</v>
      </c>
      <c r="F52" s="19"/>
      <c r="G52" s="20">
        <f>SUM(G51:G51)</f>
        <v>0</v>
      </c>
      <c r="H52" s="21">
        <v>0</v>
      </c>
      <c r="I52" s="3"/>
      <c r="J52" s="644" t="s">
        <v>967</v>
      </c>
      <c r="K52" s="645">
        <f>SUM(K47:K51)</f>
        <v>50813721.57</v>
      </c>
      <c r="M52" s="325">
        <v>31805050</v>
      </c>
      <c r="N52" s="325">
        <v>32115454.829999998</v>
      </c>
    </row>
    <row r="53" spans="2:14" ht="12" customHeight="1" thickBot="1" x14ac:dyDescent="0.3">
      <c r="B53" s="26" t="s">
        <v>6</v>
      </c>
      <c r="C53" s="35">
        <f>+C40+C48+C52</f>
        <v>61711017.030000001</v>
      </c>
      <c r="D53" s="32"/>
      <c r="E53" s="35">
        <f>+E40+E48+E52</f>
        <v>62150651.850000001</v>
      </c>
      <c r="F53" s="32"/>
      <c r="G53" s="35">
        <f>+E53-C53</f>
        <v>439634.8200000003</v>
      </c>
      <c r="H53" s="37">
        <f>+G53/C53</f>
        <v>7.1240896870372042E-3</v>
      </c>
      <c r="I53" s="3"/>
      <c r="M53" s="325">
        <v>-8550122</v>
      </c>
      <c r="N53" s="325">
        <v>-8550122</v>
      </c>
    </row>
    <row r="54" spans="2:14" ht="8.5" customHeight="1" thickTop="1" x14ac:dyDescent="0.25">
      <c r="B54" s="2"/>
      <c r="C54" s="3"/>
      <c r="D54" s="3"/>
      <c r="E54" s="3"/>
      <c r="F54" s="3"/>
      <c r="G54" s="3"/>
      <c r="H54" s="10"/>
      <c r="I54" s="3"/>
      <c r="J54" s="1633" t="s">
        <v>1401</v>
      </c>
      <c r="K54" s="1634"/>
      <c r="M54" s="325">
        <v>-248452.74</v>
      </c>
      <c r="N54" s="325">
        <v>-23006475.260000002</v>
      </c>
    </row>
    <row r="55" spans="2:14" ht="11.25" customHeight="1" x14ac:dyDescent="0.25">
      <c r="B55" s="7" t="s">
        <v>7</v>
      </c>
      <c r="C55" s="3"/>
      <c r="D55" s="3"/>
      <c r="E55" s="3"/>
      <c r="F55" s="3"/>
      <c r="G55" s="3"/>
      <c r="H55" s="10"/>
      <c r="I55" s="3"/>
      <c r="J55" s="302" t="s">
        <v>773</v>
      </c>
      <c r="K55" s="638">
        <f>-49920464</f>
        <v>-49920464</v>
      </c>
      <c r="M55" s="325">
        <f>SUM(M52:M54)</f>
        <v>23006475.260000002</v>
      </c>
      <c r="N55" s="325">
        <f>SUM(N52:N54)</f>
        <v>558857.56999999657</v>
      </c>
    </row>
    <row r="56" spans="2:14" ht="11.25" customHeight="1" x14ac:dyDescent="0.25">
      <c r="B56" s="2" t="s">
        <v>12</v>
      </c>
      <c r="C56" s="3">
        <v>10053729.880000001</v>
      </c>
      <c r="D56" s="3"/>
      <c r="E56" s="3">
        <v>9773964.8800000008</v>
      </c>
      <c r="F56" s="3"/>
      <c r="G56" s="3">
        <f>+E56-C56</f>
        <v>-279765</v>
      </c>
      <c r="H56" s="10">
        <f>+G56/C56</f>
        <v>-2.7826985938476396E-2</v>
      </c>
      <c r="I56" s="3"/>
      <c r="J56" s="639" t="s">
        <v>963</v>
      </c>
      <c r="K56" s="640">
        <v>-893269.33</v>
      </c>
      <c r="M56" s="325">
        <v>-23006373.379999999</v>
      </c>
    </row>
    <row r="57" spans="2:14" ht="11.25" customHeight="1" x14ac:dyDescent="0.25">
      <c r="B57" s="2" t="s">
        <v>38</v>
      </c>
      <c r="C57" s="3">
        <v>0</v>
      </c>
      <c r="D57" s="3"/>
      <c r="E57" s="3">
        <v>0</v>
      </c>
      <c r="F57" s="3"/>
      <c r="G57" s="3">
        <f>+E57-C57</f>
        <v>0</v>
      </c>
      <c r="H57" s="10" t="s">
        <v>961</v>
      </c>
      <c r="I57" s="3"/>
      <c r="J57" s="641" t="s">
        <v>964</v>
      </c>
      <c r="K57" s="642">
        <f>SUM(K55:K56)</f>
        <v>-50813733.329999998</v>
      </c>
      <c r="M57" s="325">
        <f>+M55+M56</f>
        <v>101.88000000268221</v>
      </c>
    </row>
    <row r="58" spans="2:14" s="145" customFormat="1" x14ac:dyDescent="0.25">
      <c r="B58" s="289" t="s">
        <v>772</v>
      </c>
      <c r="C58" s="404">
        <f>+'[7]ESTADO DE RESULTADOS'!Q66-0.88</f>
        <v>10687866.610000005</v>
      </c>
      <c r="D58" s="404"/>
      <c r="E58" s="637">
        <f>+'[8]ESTADO DE RESULTADOS'!T65</f>
        <v>7171827.2175000198</v>
      </c>
      <c r="F58" s="404"/>
      <c r="G58" s="404">
        <f>+E58-C58</f>
        <v>-3516039.3924999852</v>
      </c>
      <c r="H58" s="993">
        <f>+G58/C58</f>
        <v>-0.32897485726573672</v>
      </c>
      <c r="I58" s="404"/>
      <c r="J58" s="639" t="s">
        <v>965</v>
      </c>
      <c r="K58" s="643"/>
      <c r="M58" s="994"/>
      <c r="N58" s="994"/>
    </row>
    <row r="59" spans="2:14" s="145" customFormat="1" x14ac:dyDescent="0.25">
      <c r="B59" s="289" t="s">
        <v>1400</v>
      </c>
      <c r="C59" s="404">
        <v>248452.74</v>
      </c>
      <c r="D59" s="404"/>
      <c r="E59" s="637">
        <v>248452.74</v>
      </c>
      <c r="F59" s="404"/>
      <c r="G59" s="404"/>
      <c r="H59" s="993" t="s">
        <v>961</v>
      </c>
      <c r="I59" s="404"/>
      <c r="J59" s="302" t="s">
        <v>75</v>
      </c>
      <c r="K59" s="640">
        <v>7425682</v>
      </c>
      <c r="M59" s="994"/>
      <c r="N59" s="994"/>
    </row>
    <row r="60" spans="2:14" ht="11.25" customHeight="1" x14ac:dyDescent="0.25">
      <c r="B60" s="38" t="s">
        <v>39</v>
      </c>
      <c r="C60" s="31">
        <f>SUM(C56:C59)</f>
        <v>20990049.230000004</v>
      </c>
      <c r="D60" s="31" t="s">
        <v>33</v>
      </c>
      <c r="E60" s="31">
        <f>SUM(E56:E59)</f>
        <v>17194244.837500017</v>
      </c>
      <c r="F60" s="32"/>
      <c r="G60" s="31">
        <f>+E60-C60</f>
        <v>-3795804.392499987</v>
      </c>
      <c r="H60" s="33">
        <f>+G60/C60</f>
        <v>-0.18083827964895088</v>
      </c>
      <c r="I60" s="3"/>
      <c r="J60" s="302" t="s">
        <v>58</v>
      </c>
      <c r="K60" s="640">
        <v>0</v>
      </c>
    </row>
    <row r="61" spans="2:14" ht="8.25" customHeight="1" x14ac:dyDescent="0.25">
      <c r="B61" s="2"/>
      <c r="C61" s="3"/>
      <c r="D61" s="3"/>
      <c r="E61" s="3"/>
      <c r="F61" s="3"/>
      <c r="G61" s="3"/>
      <c r="H61" s="10"/>
      <c r="I61" s="3"/>
      <c r="J61" s="302" t="s">
        <v>220</v>
      </c>
      <c r="K61" s="640">
        <v>3837291</v>
      </c>
    </row>
    <row r="62" spans="2:14" ht="13.5" customHeight="1" thickBot="1" x14ac:dyDescent="0.3">
      <c r="B62" s="38" t="s">
        <v>8</v>
      </c>
      <c r="C62" s="35">
        <f>+C53+C60</f>
        <v>82701066.260000005</v>
      </c>
      <c r="D62" s="35" t="s">
        <v>33</v>
      </c>
      <c r="E62" s="35">
        <f>+E53+E60</f>
        <v>79344896.687500015</v>
      </c>
      <c r="F62" s="32"/>
      <c r="G62" s="35">
        <f>+E62-C62</f>
        <v>-3356169.5724999905</v>
      </c>
      <c r="H62" s="36">
        <f>+G62/C62</f>
        <v>-4.0581938350694131E-2</v>
      </c>
      <c r="I62" s="3"/>
      <c r="J62" s="302" t="s">
        <v>224</v>
      </c>
      <c r="K62" s="640">
        <v>0</v>
      </c>
      <c r="M62" s="325">
        <v>31805050</v>
      </c>
    </row>
    <row r="63" spans="2:14" ht="9" customHeight="1" thickTop="1" x14ac:dyDescent="0.25">
      <c r="B63" s="2"/>
      <c r="C63" s="3"/>
      <c r="D63" s="3"/>
      <c r="E63" s="3"/>
      <c r="F63" s="3"/>
      <c r="G63" s="3"/>
      <c r="H63" s="10"/>
      <c r="I63" s="3"/>
      <c r="J63" s="302" t="s">
        <v>966</v>
      </c>
      <c r="K63" s="640">
        <v>7994163.0700000003</v>
      </c>
      <c r="M63" s="325">
        <v>-248452.74</v>
      </c>
    </row>
    <row r="64" spans="2:14" ht="9.75" customHeight="1" x14ac:dyDescent="0.25">
      <c r="B64" s="7"/>
      <c r="C64" s="3">
        <f>+C32-C62</f>
        <v>0</v>
      </c>
      <c r="D64" s="3"/>
      <c r="E64" s="3">
        <f>+E32-E62</f>
        <v>2.4999827146530151E-3</v>
      </c>
      <c r="F64" s="3"/>
      <c r="G64" s="3"/>
      <c r="H64" s="10"/>
      <c r="I64" s="3"/>
      <c r="J64" s="644" t="s">
        <v>967</v>
      </c>
      <c r="K64" s="645">
        <f>SUM(K59:K63)</f>
        <v>19257136.07</v>
      </c>
    </row>
    <row r="65" spans="2:11" ht="9.75" customHeight="1" x14ac:dyDescent="0.25">
      <c r="B65" s="7"/>
      <c r="C65" s="3"/>
      <c r="D65" s="3"/>
      <c r="E65" s="3"/>
      <c r="F65" s="3"/>
      <c r="G65" s="3"/>
      <c r="H65" s="10"/>
      <c r="I65" s="3"/>
      <c r="J65" s="302" t="s">
        <v>1402</v>
      </c>
      <c r="K65" s="860">
        <v>31805050</v>
      </c>
    </row>
    <row r="66" spans="2:11" ht="9.75" customHeight="1" x14ac:dyDescent="0.25">
      <c r="B66" s="7"/>
      <c r="C66" s="3"/>
      <c r="D66" s="3"/>
      <c r="E66" s="3"/>
      <c r="F66" s="3"/>
      <c r="G66" s="3"/>
      <c r="H66" s="10"/>
      <c r="I66" s="3"/>
      <c r="J66" s="302" t="s">
        <v>1403</v>
      </c>
      <c r="K66" s="860">
        <f>+K64+K65</f>
        <v>51062186.07</v>
      </c>
    </row>
    <row r="67" spans="2:11" ht="11.25" customHeight="1" x14ac:dyDescent="0.25">
      <c r="B67" s="2" t="s">
        <v>456</v>
      </c>
      <c r="C67" s="3"/>
      <c r="D67" s="3"/>
      <c r="E67" s="3"/>
      <c r="F67" s="3"/>
      <c r="G67" s="3" t="s">
        <v>40</v>
      </c>
      <c r="H67" s="10"/>
      <c r="I67" s="3"/>
      <c r="J67" s="861" t="s">
        <v>1404</v>
      </c>
      <c r="K67" s="862">
        <f>+K57+K66</f>
        <v>248452.74000000209</v>
      </c>
    </row>
    <row r="68" spans="2:11" x14ac:dyDescent="0.25">
      <c r="B68" s="2" t="s">
        <v>119</v>
      </c>
      <c r="C68" s="2"/>
      <c r="D68" s="2"/>
      <c r="E68" s="2"/>
      <c r="F68" s="2"/>
      <c r="G68" s="1" t="s">
        <v>48</v>
      </c>
      <c r="H68" s="10"/>
    </row>
    <row r="69" spans="2:11" x14ac:dyDescent="0.25">
      <c r="C69" s="42"/>
    </row>
    <row r="70" spans="2:11" x14ac:dyDescent="0.25">
      <c r="F70" s="98"/>
    </row>
    <row r="71" spans="2:11" x14ac:dyDescent="0.25">
      <c r="B71" s="1633" t="s">
        <v>962</v>
      </c>
      <c r="C71" s="1634"/>
      <c r="K71" s="640">
        <v>31805050</v>
      </c>
    </row>
    <row r="72" spans="2:11" x14ac:dyDescent="0.25">
      <c r="B72" s="302" t="s">
        <v>773</v>
      </c>
      <c r="C72" s="638">
        <f>-49920464</f>
        <v>-49920464</v>
      </c>
      <c r="K72" s="640">
        <v>-248452.74</v>
      </c>
    </row>
    <row r="73" spans="2:11" x14ac:dyDescent="0.25">
      <c r="B73" s="639" t="s">
        <v>963</v>
      </c>
      <c r="C73" s="640">
        <v>-893269.33</v>
      </c>
      <c r="K73" s="640">
        <v>-8550122</v>
      </c>
    </row>
    <row r="74" spans="2:11" x14ac:dyDescent="0.25">
      <c r="B74" s="641" t="s">
        <v>964</v>
      </c>
      <c r="C74" s="642">
        <f>SUM(C72:C73)</f>
        <v>-50813733.329999998</v>
      </c>
      <c r="K74" s="640">
        <f>SUM(K71:K73)</f>
        <v>23006475.260000002</v>
      </c>
    </row>
    <row r="75" spans="2:11" x14ac:dyDescent="0.25">
      <c r="B75" s="639" t="s">
        <v>965</v>
      </c>
      <c r="C75" s="643"/>
      <c r="K75" s="640">
        <f>+G46</f>
        <v>592528.12000000477</v>
      </c>
    </row>
    <row r="76" spans="2:11" x14ac:dyDescent="0.25">
      <c r="B76" s="302" t="s">
        <v>75</v>
      </c>
      <c r="C76" s="640">
        <v>7425682</v>
      </c>
      <c r="K76" s="640">
        <f>SUM(K74:K75)</f>
        <v>23599003.380000006</v>
      </c>
    </row>
    <row r="77" spans="2:11" x14ac:dyDescent="0.25">
      <c r="B77" s="302" t="s">
        <v>58</v>
      </c>
      <c r="C77" s="640">
        <v>8550122</v>
      </c>
    </row>
    <row r="78" spans="2:11" x14ac:dyDescent="0.25">
      <c r="B78" s="302" t="s">
        <v>220</v>
      </c>
      <c r="C78" s="640">
        <v>3837291</v>
      </c>
    </row>
    <row r="79" spans="2:11" x14ac:dyDescent="0.25">
      <c r="B79" s="302" t="s">
        <v>224</v>
      </c>
      <c r="C79" s="640">
        <v>23006463.5</v>
      </c>
    </row>
    <row r="80" spans="2:11" x14ac:dyDescent="0.25">
      <c r="B80" s="302" t="s">
        <v>966</v>
      </c>
      <c r="C80" s="640">
        <v>7994163.0700000003</v>
      </c>
    </row>
    <row r="81" spans="2:3" x14ac:dyDescent="0.25">
      <c r="B81" s="644" t="s">
        <v>967</v>
      </c>
      <c r="C81" s="645">
        <f>SUM(C76:C80)</f>
        <v>50813721.57</v>
      </c>
    </row>
    <row r="82" spans="2:3" x14ac:dyDescent="0.25">
      <c r="C82" s="325"/>
    </row>
    <row r="83" spans="2:3" x14ac:dyDescent="0.25">
      <c r="C83" s="325"/>
    </row>
    <row r="84" spans="2:3" x14ac:dyDescent="0.25">
      <c r="B84" s="1633" t="s">
        <v>1401</v>
      </c>
      <c r="C84" s="1634"/>
    </row>
    <row r="85" spans="2:3" x14ac:dyDescent="0.25">
      <c r="B85" s="302" t="s">
        <v>773</v>
      </c>
      <c r="C85" s="638">
        <f>-49920464</f>
        <v>-49920464</v>
      </c>
    </row>
    <row r="86" spans="2:3" x14ac:dyDescent="0.25">
      <c r="B86" s="639" t="s">
        <v>963</v>
      </c>
      <c r="C86" s="640">
        <v>-893269.33</v>
      </c>
    </row>
    <row r="87" spans="2:3" x14ac:dyDescent="0.25">
      <c r="B87" s="641" t="s">
        <v>964</v>
      </c>
      <c r="C87" s="642">
        <f>SUM(C85:C86)</f>
        <v>-50813733.329999998</v>
      </c>
    </row>
    <row r="88" spans="2:3" x14ac:dyDescent="0.25">
      <c r="B88" s="639" t="s">
        <v>965</v>
      </c>
      <c r="C88" s="643"/>
    </row>
    <row r="89" spans="2:3" x14ac:dyDescent="0.25">
      <c r="B89" s="302" t="s">
        <v>75</v>
      </c>
      <c r="C89" s="640">
        <v>7425682</v>
      </c>
    </row>
    <row r="90" spans="2:3" x14ac:dyDescent="0.25">
      <c r="B90" s="302" t="s">
        <v>58</v>
      </c>
      <c r="C90" s="640">
        <v>0</v>
      </c>
    </row>
    <row r="91" spans="2:3" x14ac:dyDescent="0.25">
      <c r="B91" s="302" t="s">
        <v>220</v>
      </c>
      <c r="C91" s="640">
        <v>3837291</v>
      </c>
    </row>
    <row r="92" spans="2:3" x14ac:dyDescent="0.25">
      <c r="B92" s="302" t="s">
        <v>224</v>
      </c>
      <c r="C92" s="640">
        <v>0</v>
      </c>
    </row>
    <row r="93" spans="2:3" x14ac:dyDescent="0.25">
      <c r="B93" s="302" t="s">
        <v>966</v>
      </c>
      <c r="C93" s="640">
        <v>7994163.0700000003</v>
      </c>
    </row>
    <row r="94" spans="2:3" x14ac:dyDescent="0.25">
      <c r="B94" s="644" t="s">
        <v>967</v>
      </c>
      <c r="C94" s="645">
        <f>SUM(C89:C93)</f>
        <v>19257136.07</v>
      </c>
    </row>
    <row r="95" spans="2:3" x14ac:dyDescent="0.25">
      <c r="B95" s="302" t="s">
        <v>1402</v>
      </c>
      <c r="C95" s="860">
        <v>31805050</v>
      </c>
    </row>
    <row r="96" spans="2:3" x14ac:dyDescent="0.25">
      <c r="B96" s="302" t="s">
        <v>1403</v>
      </c>
      <c r="C96" s="860">
        <f>+C94+C95</f>
        <v>51062186.07</v>
      </c>
    </row>
    <row r="97" spans="2:3" x14ac:dyDescent="0.25">
      <c r="B97" s="861" t="s">
        <v>1404</v>
      </c>
      <c r="C97" s="862">
        <f>+C87+C96</f>
        <v>248452.74000000209</v>
      </c>
    </row>
  </sheetData>
  <mergeCells count="6">
    <mergeCell ref="B84:C84"/>
    <mergeCell ref="B2:H2"/>
    <mergeCell ref="B4:H4"/>
    <mergeCell ref="J42:K42"/>
    <mergeCell ref="J54:K54"/>
    <mergeCell ref="B71:C7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79AAA-B3E3-430D-93A2-910C9BFD8FA4}">
  <dimension ref="A1:R53"/>
  <sheetViews>
    <sheetView workbookViewId="0">
      <selection sqref="A1:XFD1048576"/>
    </sheetView>
  </sheetViews>
  <sheetFormatPr baseColWidth="10" defaultRowHeight="12.5" x14ac:dyDescent="0.25"/>
  <cols>
    <col min="1" max="1" width="34.54296875" customWidth="1"/>
    <col min="2" max="2" width="11" hidden="1" customWidth="1"/>
    <col min="3" max="3" width="12.1796875" hidden="1" customWidth="1"/>
    <col min="4" max="4" width="12.08984375" hidden="1" customWidth="1"/>
    <col min="5" max="5" width="11.1796875" hidden="1" customWidth="1"/>
    <col min="6" max="6" width="0" hidden="1" customWidth="1"/>
    <col min="7" max="8" width="12.1796875" customWidth="1"/>
    <col min="9" max="9" width="12.08984375" customWidth="1"/>
    <col min="10" max="10" width="12.08984375" hidden="1" customWidth="1"/>
    <col min="11" max="11" width="10.90625" hidden="1" customWidth="1"/>
    <col min="12" max="12" width="11.453125" hidden="1" customWidth="1"/>
    <col min="16" max="17" width="10.90625" hidden="1" customWidth="1"/>
    <col min="18" max="18" width="0" hidden="1" customWidth="1"/>
  </cols>
  <sheetData>
    <row r="1" spans="1:12" ht="13" thickTop="1" x14ac:dyDescent="0.25">
      <c r="A1" s="1643" t="s">
        <v>498</v>
      </c>
      <c r="B1" s="1644"/>
      <c r="C1" s="1644"/>
      <c r="D1" s="1644"/>
      <c r="E1" s="1644"/>
      <c r="F1" s="1644"/>
      <c r="G1" s="1644"/>
      <c r="H1" s="1644"/>
      <c r="I1" s="1644"/>
      <c r="J1" s="1644"/>
      <c r="K1" s="1644"/>
      <c r="L1" s="1645"/>
    </row>
    <row r="2" spans="1:12" ht="13" x14ac:dyDescent="0.3">
      <c r="A2" s="1646" t="s">
        <v>956</v>
      </c>
      <c r="B2" s="1647"/>
      <c r="C2" s="1647"/>
      <c r="D2" s="1647"/>
      <c r="E2" s="1647"/>
      <c r="F2" s="1647"/>
      <c r="G2" s="1647"/>
      <c r="H2" s="1647"/>
      <c r="I2" s="1647"/>
      <c r="J2" s="1647"/>
      <c r="K2" s="1647"/>
      <c r="L2" s="1648"/>
    </row>
    <row r="3" spans="1:12" ht="13" x14ac:dyDescent="0.3">
      <c r="A3" s="535" t="s">
        <v>899</v>
      </c>
      <c r="B3" s="536"/>
      <c r="L3" s="537"/>
    </row>
    <row r="4" spans="1:12" ht="13" x14ac:dyDescent="0.3">
      <c r="A4" s="538"/>
      <c r="B4" s="539" t="s">
        <v>900</v>
      </c>
      <c r="C4" s="539" t="s">
        <v>901</v>
      </c>
      <c r="D4" s="539" t="s">
        <v>902</v>
      </c>
      <c r="E4" s="540" t="s">
        <v>903</v>
      </c>
      <c r="F4" s="541"/>
      <c r="G4" s="541" t="s">
        <v>904</v>
      </c>
      <c r="H4" s="541"/>
      <c r="I4" s="541" t="s">
        <v>905</v>
      </c>
      <c r="J4" s="541"/>
      <c r="K4" s="541" t="s">
        <v>906</v>
      </c>
      <c r="L4" s="541" t="s">
        <v>907</v>
      </c>
    </row>
    <row r="5" spans="1:12" ht="13" x14ac:dyDescent="0.3">
      <c r="A5" s="542" t="s">
        <v>908</v>
      </c>
      <c r="B5" s="543">
        <f>'ESFA feb 2025'!E11</f>
        <v>19036449.449999999</v>
      </c>
      <c r="C5" s="543">
        <f>'ESFA feb 2025'!C11</f>
        <v>18027328.149999999</v>
      </c>
      <c r="D5" s="543">
        <f>'ESFA abril 2025'!E11</f>
        <v>16632365.949999999</v>
      </c>
      <c r="E5" s="544">
        <f>'ESFA abril 2025'!C11</f>
        <v>16436253.85</v>
      </c>
      <c r="F5" s="544"/>
      <c r="G5" s="544">
        <f>'ESFA MAY 2025'!C11</f>
        <v>52872060.759999998</v>
      </c>
      <c r="H5" s="544"/>
      <c r="I5" s="544">
        <f>'ESFA JUN 2025'!C11</f>
        <v>48166178.640000001</v>
      </c>
      <c r="J5" s="544"/>
      <c r="K5" s="544"/>
      <c r="L5" s="544"/>
    </row>
    <row r="6" spans="1:12" ht="13" hidden="1" x14ac:dyDescent="0.3">
      <c r="A6" s="545"/>
      <c r="B6" s="546"/>
      <c r="C6" s="547"/>
      <c r="D6" s="546"/>
      <c r="E6" s="548"/>
      <c r="F6" s="548"/>
      <c r="G6" s="548"/>
      <c r="H6" s="548"/>
      <c r="I6" s="548"/>
      <c r="J6" s="548"/>
      <c r="K6" s="548"/>
      <c r="L6" s="548"/>
    </row>
    <row r="7" spans="1:12" ht="13" x14ac:dyDescent="0.3">
      <c r="A7" s="549" t="s">
        <v>909</v>
      </c>
      <c r="B7" s="550">
        <f>'ESFA feb 2025'!E16</f>
        <v>8425444.3000000007</v>
      </c>
      <c r="C7" s="551">
        <f>'ESFA feb 2025'!C17</f>
        <v>8477538.3399999999</v>
      </c>
      <c r="D7" s="550">
        <f>'ESFA abril 2025'!E16</f>
        <v>8534559.6999999993</v>
      </c>
      <c r="E7" s="552">
        <f>'ESFA abril 2025'!C15</f>
        <v>8594287.8300000001</v>
      </c>
      <c r="F7" s="552"/>
      <c r="G7" s="552">
        <f>'ESFA MAY 2025'!C15</f>
        <v>8658779.9299999997</v>
      </c>
      <c r="H7" s="552"/>
      <c r="I7" s="552">
        <f>'ESFA JUN 2025'!C15</f>
        <v>10764303.619999999</v>
      </c>
      <c r="J7" s="552"/>
      <c r="K7" s="552"/>
      <c r="L7" s="552"/>
    </row>
    <row r="8" spans="1:12" ht="13" hidden="1" x14ac:dyDescent="0.3">
      <c r="A8" s="545"/>
      <c r="B8" s="546"/>
      <c r="C8" s="547"/>
      <c r="D8" s="546"/>
      <c r="E8" s="548"/>
      <c r="F8" s="548"/>
      <c r="G8" s="548"/>
      <c r="H8" s="548"/>
      <c r="I8" s="548"/>
      <c r="J8" s="548"/>
      <c r="K8" s="548"/>
      <c r="L8" s="548"/>
    </row>
    <row r="9" spans="1:12" ht="13" x14ac:dyDescent="0.3">
      <c r="A9" s="553" t="s">
        <v>910</v>
      </c>
      <c r="B9" s="550">
        <f>'ESFA feb 2025'!E22</f>
        <v>4645234</v>
      </c>
      <c r="C9" s="551">
        <f>'ESFA feb 2025'!C22</f>
        <v>5984340</v>
      </c>
      <c r="D9" s="550">
        <f>'ESFA abril 2025'!E23</f>
        <v>4129452</v>
      </c>
      <c r="E9" s="552">
        <f>'ESFA abril 2025'!C21</f>
        <v>4269712</v>
      </c>
      <c r="F9" s="552"/>
      <c r="G9" s="552">
        <f>'ESFA MAY 2025'!C21</f>
        <v>3942142</v>
      </c>
      <c r="H9" s="552"/>
      <c r="I9" s="552">
        <f>'ESFA JUN 2025'!C21</f>
        <v>11341985</v>
      </c>
      <c r="J9" s="552"/>
      <c r="K9" s="552"/>
      <c r="L9" s="552"/>
    </row>
    <row r="10" spans="1:12" ht="13" hidden="1" x14ac:dyDescent="0.3">
      <c r="A10" s="545"/>
      <c r="B10" s="554"/>
      <c r="C10" s="555"/>
      <c r="D10" s="554"/>
      <c r="E10" s="556"/>
      <c r="F10" s="556"/>
      <c r="G10" s="556"/>
      <c r="H10" s="556"/>
      <c r="I10" s="556"/>
      <c r="J10" s="556"/>
      <c r="K10" s="556"/>
      <c r="L10" s="556"/>
    </row>
    <row r="11" spans="1:12" ht="13" hidden="1" x14ac:dyDescent="0.3">
      <c r="A11" s="557" t="s">
        <v>911</v>
      </c>
      <c r="B11" s="550">
        <v>-503652</v>
      </c>
      <c r="C11" s="551">
        <f>[4]ESFA!E22</f>
        <v>-503652</v>
      </c>
      <c r="D11" s="550">
        <v>0</v>
      </c>
      <c r="E11" s="552">
        <v>0</v>
      </c>
      <c r="F11" s="552"/>
      <c r="G11" s="552"/>
      <c r="H11" s="552"/>
      <c r="I11" s="552"/>
      <c r="J11" s="552"/>
      <c r="K11" s="552"/>
      <c r="L11" s="552"/>
    </row>
    <row r="12" spans="1:12" ht="13" hidden="1" x14ac:dyDescent="0.3">
      <c r="A12" s="557"/>
      <c r="B12" s="550"/>
      <c r="C12" s="551"/>
      <c r="D12" s="550"/>
      <c r="E12" s="552"/>
      <c r="F12" s="552"/>
      <c r="G12" s="552"/>
      <c r="H12" s="552"/>
      <c r="I12" s="552"/>
      <c r="J12" s="552"/>
      <c r="K12" s="552"/>
      <c r="L12" s="552"/>
    </row>
    <row r="13" spans="1:12" ht="13" hidden="1" x14ac:dyDescent="0.3">
      <c r="A13" s="549" t="s">
        <v>912</v>
      </c>
      <c r="B13" s="550">
        <f>'ESFA feb 2025'!E28</f>
        <v>33310</v>
      </c>
      <c r="C13" s="551">
        <f>'ESFA feb 2025'!C28</f>
        <v>50146</v>
      </c>
      <c r="D13" s="550">
        <f>'ESFA abril 2025'!E27</f>
        <v>38070</v>
      </c>
      <c r="E13" s="552">
        <f>'ESFA abril 2025'!C27</f>
        <v>440118</v>
      </c>
      <c r="F13" s="552"/>
      <c r="G13" s="552">
        <f>'ESFA MAY 2025'!C27</f>
        <v>0</v>
      </c>
      <c r="H13" s="552"/>
      <c r="I13" s="552"/>
      <c r="J13" s="552"/>
      <c r="K13" s="552"/>
      <c r="L13" s="552"/>
    </row>
    <row r="14" spans="1:12" ht="13" hidden="1" x14ac:dyDescent="0.3">
      <c r="A14" s="549"/>
      <c r="B14" s="550"/>
      <c r="C14" s="551"/>
      <c r="D14" s="550"/>
      <c r="E14" s="552"/>
      <c r="F14" s="552"/>
      <c r="G14" s="552"/>
      <c r="H14" s="552"/>
      <c r="I14" s="552"/>
      <c r="J14" s="552"/>
      <c r="K14" s="552"/>
      <c r="L14" s="552"/>
    </row>
    <row r="15" spans="1:12" ht="13" x14ac:dyDescent="0.3">
      <c r="A15" s="549" t="s">
        <v>913</v>
      </c>
      <c r="B15" s="550">
        <f>'ESFA feb 2025'!E31</f>
        <v>1357394</v>
      </c>
      <c r="C15" s="551">
        <f>'ESFA feb 2025'!C31</f>
        <v>452464</v>
      </c>
      <c r="D15" s="550">
        <f>'ESFA abril 2025'!E30</f>
        <v>16844468</v>
      </c>
      <c r="E15" s="552">
        <f>'ESFA abril 2025'!C30</f>
        <v>15358191</v>
      </c>
      <c r="F15" s="552"/>
      <c r="G15" s="552">
        <f>'ESFA MAY 2025'!C30</f>
        <v>13871914</v>
      </c>
      <c r="H15" s="552"/>
      <c r="I15" s="552">
        <f>'ESFA JUN 2025'!C30</f>
        <v>12428599</v>
      </c>
      <c r="J15" s="552"/>
      <c r="K15" s="552"/>
      <c r="L15" s="552"/>
    </row>
    <row r="16" spans="1:12" ht="13" x14ac:dyDescent="0.3">
      <c r="A16" s="549"/>
      <c r="B16" s="550"/>
      <c r="C16" s="551"/>
      <c r="D16" s="550"/>
      <c r="E16" s="552">
        <f ca="1">SUM(E5:E16)</f>
        <v>0</v>
      </c>
      <c r="F16" s="552"/>
      <c r="G16" s="552"/>
      <c r="H16" s="552"/>
      <c r="I16" s="552"/>
      <c r="J16" s="552"/>
      <c r="K16" s="552"/>
      <c r="L16" s="552"/>
    </row>
    <row r="17" spans="1:18" ht="13" x14ac:dyDescent="0.3">
      <c r="A17" s="542" t="s">
        <v>3</v>
      </c>
      <c r="B17" s="558">
        <f>SUM(B5:B15)</f>
        <v>32994179.75</v>
      </c>
      <c r="C17" s="559">
        <f>SUM(C5:C16)</f>
        <v>32488164.489999998</v>
      </c>
      <c r="D17" s="558">
        <f>SUM(D5:D16)</f>
        <v>46178915.649999999</v>
      </c>
      <c r="E17" s="560">
        <f>E5+E7+E9+E13+E15</f>
        <v>45098562.68</v>
      </c>
      <c r="F17" s="560"/>
      <c r="G17" s="560">
        <f>G5+G7+G9+G13+G15</f>
        <v>79344896.689999998</v>
      </c>
      <c r="H17" s="560"/>
      <c r="I17" s="560">
        <f>'ESFA JUN 2025'!C32</f>
        <v>82701066.25999999</v>
      </c>
      <c r="J17" s="560"/>
      <c r="K17" s="560"/>
      <c r="L17" s="560">
        <f>++L5+L7+L9+L11</f>
        <v>0</v>
      </c>
    </row>
    <row r="18" spans="1:18" ht="13" x14ac:dyDescent="0.3">
      <c r="A18" s="542"/>
      <c r="B18" s="558"/>
      <c r="C18" s="559"/>
      <c r="D18" s="558"/>
      <c r="E18" s="560"/>
      <c r="F18" s="560"/>
      <c r="G18" s="560"/>
      <c r="H18" s="560"/>
      <c r="I18" s="560"/>
      <c r="J18" s="560"/>
      <c r="K18" s="560"/>
      <c r="L18" s="560"/>
    </row>
    <row r="19" spans="1:18" ht="13" x14ac:dyDescent="0.3">
      <c r="A19" s="542"/>
      <c r="B19" s="558"/>
      <c r="C19" s="559"/>
      <c r="D19" s="558"/>
      <c r="E19" s="560"/>
      <c r="F19" s="560"/>
      <c r="G19" s="560"/>
      <c r="H19" s="560"/>
      <c r="I19" s="560"/>
      <c r="J19" s="560"/>
      <c r="K19" s="560"/>
      <c r="L19" s="560"/>
    </row>
    <row r="20" spans="1:18" ht="13" x14ac:dyDescent="0.3">
      <c r="A20" s="542"/>
      <c r="B20" s="558"/>
      <c r="C20" s="559"/>
      <c r="D20" s="558"/>
      <c r="E20" s="560"/>
      <c r="F20" s="560"/>
      <c r="G20" s="560"/>
      <c r="H20" s="560"/>
      <c r="I20" s="560"/>
      <c r="J20" s="560"/>
      <c r="K20" s="560"/>
      <c r="L20" s="560"/>
    </row>
    <row r="21" spans="1:18" ht="13" x14ac:dyDescent="0.3">
      <c r="A21" s="535" t="s">
        <v>914</v>
      </c>
      <c r="B21" s="546"/>
      <c r="C21" s="547"/>
      <c r="D21" s="546"/>
      <c r="E21" s="548"/>
      <c r="F21" s="548"/>
      <c r="G21" s="548"/>
      <c r="H21" s="548"/>
      <c r="I21" s="548"/>
      <c r="J21" s="548"/>
      <c r="K21" s="548"/>
      <c r="L21" s="548"/>
      <c r="M21" s="561"/>
      <c r="R21" s="561"/>
    </row>
    <row r="22" spans="1:18" ht="13" x14ac:dyDescent="0.3">
      <c r="A22" s="562"/>
      <c r="B22" s="539" t="s">
        <v>900</v>
      </c>
      <c r="C22" s="539" t="s">
        <v>901</v>
      </c>
      <c r="D22" s="539" t="s">
        <v>902</v>
      </c>
      <c r="E22" s="540" t="s">
        <v>903</v>
      </c>
      <c r="F22" s="541"/>
      <c r="G22" s="541" t="s">
        <v>904</v>
      </c>
      <c r="H22" s="541"/>
      <c r="I22" s="541" t="s">
        <v>905</v>
      </c>
      <c r="J22" s="541"/>
      <c r="K22" s="541" t="s">
        <v>906</v>
      </c>
      <c r="L22" s="541" t="s">
        <v>907</v>
      </c>
    </row>
    <row r="23" spans="1:18" ht="13" x14ac:dyDescent="0.3">
      <c r="A23" s="563" t="s">
        <v>915</v>
      </c>
      <c r="B23" s="550">
        <f>'ESFA feb 2025'!E39</f>
        <v>1029590</v>
      </c>
      <c r="C23" s="551">
        <f>'ESFA feb 2025'!C39</f>
        <v>1444936</v>
      </c>
      <c r="D23" s="550">
        <f>'ESFA abril 2025'!E37</f>
        <v>14432437</v>
      </c>
      <c r="E23" s="552">
        <f>'ESFA abril 2025'!C37</f>
        <v>6714065</v>
      </c>
      <c r="F23" s="552"/>
      <c r="G23" s="552">
        <f>'ESFA MAY 2025'!C37</f>
        <v>534252</v>
      </c>
      <c r="H23" s="552"/>
      <c r="I23" s="552">
        <f>'ESFA JUN 2025'!C37</f>
        <v>727051</v>
      </c>
      <c r="J23" s="552"/>
      <c r="K23" s="552"/>
      <c r="L23" s="552"/>
    </row>
    <row r="24" spans="1:18" ht="13" hidden="1" x14ac:dyDescent="0.3">
      <c r="A24" s="545"/>
      <c r="B24" s="546"/>
      <c r="C24" s="547"/>
      <c r="D24" s="546"/>
      <c r="E24" s="548"/>
      <c r="F24" s="548"/>
      <c r="G24" s="548"/>
      <c r="H24" s="548"/>
      <c r="I24" s="548"/>
      <c r="J24" s="548"/>
      <c r="K24" s="548"/>
      <c r="L24" s="548"/>
    </row>
    <row r="25" spans="1:18" ht="13" hidden="1" x14ac:dyDescent="0.3">
      <c r="A25" s="545" t="s">
        <v>916</v>
      </c>
      <c r="B25" s="546"/>
      <c r="C25" s="547">
        <v>0</v>
      </c>
      <c r="D25" s="546">
        <v>0</v>
      </c>
      <c r="E25" s="548"/>
      <c r="F25" s="548"/>
      <c r="G25" s="548"/>
      <c r="H25" s="548"/>
      <c r="I25" s="548"/>
      <c r="J25" s="548"/>
      <c r="K25" s="548"/>
      <c r="L25" s="548"/>
    </row>
    <row r="26" spans="1:18" ht="13" hidden="1" x14ac:dyDescent="0.3">
      <c r="A26" s="545"/>
      <c r="B26" s="546"/>
      <c r="C26" s="547"/>
      <c r="D26" s="546"/>
      <c r="E26" s="548"/>
      <c r="F26" s="548"/>
      <c r="G26" s="548"/>
      <c r="H26" s="548"/>
      <c r="I26" s="548"/>
      <c r="J26" s="548"/>
      <c r="K26" s="548"/>
      <c r="L26" s="548"/>
    </row>
    <row r="27" spans="1:18" ht="13" x14ac:dyDescent="0.3">
      <c r="A27" s="545" t="s">
        <v>917</v>
      </c>
      <c r="B27" s="546">
        <f>'ESFA feb 2025'!E40+'ESFA feb 2025'!E41</f>
        <v>374093</v>
      </c>
      <c r="C27" s="546">
        <f>'ESFA feb 2025'!C40+'ESFA feb 2025'!C41</f>
        <v>257751.88</v>
      </c>
      <c r="D27" s="546">
        <f>'ESFA abril 2025'!E38+'ESFA abril 2025'!E39</f>
        <v>138041.38</v>
      </c>
      <c r="E27" s="548">
        <f>'ESFA abril 2025'!C38+'ESFA abril 2025'!C39</f>
        <v>167450.88</v>
      </c>
      <c r="F27" s="548"/>
      <c r="G27" s="548">
        <f>'ESFA MAY 2025'!C38</f>
        <v>102902.06</v>
      </c>
      <c r="H27" s="548"/>
      <c r="I27" s="548">
        <f>'ESFA JUN 2025'!C38</f>
        <v>62996.27</v>
      </c>
      <c r="J27" s="548"/>
      <c r="K27" s="548"/>
      <c r="L27" s="548"/>
    </row>
    <row r="28" spans="1:18" ht="13" hidden="1" x14ac:dyDescent="0.3">
      <c r="A28" s="545"/>
      <c r="B28" s="546"/>
      <c r="C28" s="547"/>
      <c r="D28" s="546"/>
      <c r="E28" s="548"/>
      <c r="F28" s="548"/>
      <c r="G28" s="548"/>
      <c r="H28" s="548"/>
      <c r="I28" s="548"/>
      <c r="J28" s="548"/>
      <c r="K28" s="548"/>
      <c r="L28" s="548"/>
    </row>
    <row r="29" spans="1:18" ht="13" hidden="1" x14ac:dyDescent="0.3">
      <c r="A29" s="545" t="s">
        <v>918</v>
      </c>
      <c r="B29" s="546">
        <v>7425682</v>
      </c>
      <c r="C29" s="546">
        <v>7425682</v>
      </c>
      <c r="D29" s="546"/>
      <c r="E29" s="548">
        <f>'ESFA abril 2025'!C43</f>
        <v>0</v>
      </c>
      <c r="F29" s="548"/>
      <c r="G29" s="548"/>
      <c r="H29" s="548"/>
      <c r="I29" s="548"/>
      <c r="J29" s="548"/>
      <c r="K29" s="548"/>
      <c r="L29" s="548"/>
    </row>
    <row r="30" spans="1:18" ht="13" hidden="1" x14ac:dyDescent="0.3">
      <c r="A30" s="545"/>
      <c r="B30" s="546"/>
      <c r="C30" s="547"/>
      <c r="D30" s="546"/>
      <c r="E30" s="548"/>
      <c r="F30" s="548"/>
      <c r="G30" s="548"/>
      <c r="H30" s="548"/>
      <c r="I30" s="548"/>
      <c r="J30" s="548"/>
      <c r="K30" s="548"/>
      <c r="L30" s="548"/>
    </row>
    <row r="31" spans="1:18" ht="13" hidden="1" x14ac:dyDescent="0.3">
      <c r="A31" s="545" t="s">
        <v>919</v>
      </c>
      <c r="B31" s="546">
        <v>8549190</v>
      </c>
      <c r="C31" s="547">
        <v>9715856</v>
      </c>
      <c r="D31" s="546">
        <f>'ESFA abril 2025'!E44</f>
        <v>8550122</v>
      </c>
      <c r="E31" s="548">
        <f>'ESFA abril 2025'!C44</f>
        <v>0</v>
      </c>
      <c r="F31" s="548"/>
      <c r="G31" s="548"/>
      <c r="H31" s="548"/>
      <c r="I31" s="548"/>
      <c r="J31" s="548"/>
      <c r="K31" s="548"/>
      <c r="L31" s="548"/>
    </row>
    <row r="32" spans="1:18" ht="13" hidden="1" x14ac:dyDescent="0.3">
      <c r="A32" s="545"/>
      <c r="B32" s="546"/>
      <c r="C32" s="547"/>
      <c r="D32" s="546"/>
      <c r="E32" s="548"/>
      <c r="F32" s="548"/>
      <c r="G32" s="548"/>
      <c r="H32" s="548"/>
      <c r="I32" s="548"/>
      <c r="J32" s="548"/>
      <c r="K32" s="548"/>
      <c r="L32" s="548"/>
    </row>
    <row r="33" spans="1:12" ht="13" hidden="1" x14ac:dyDescent="0.3">
      <c r="A33" s="545" t="s">
        <v>920</v>
      </c>
      <c r="B33" s="546">
        <v>3837291</v>
      </c>
      <c r="C33" s="547">
        <v>3837291</v>
      </c>
      <c r="D33" s="546">
        <v>3837291</v>
      </c>
      <c r="E33" s="548">
        <v>0</v>
      </c>
      <c r="F33" s="548"/>
      <c r="G33" s="548"/>
      <c r="H33" s="548"/>
      <c r="I33" s="548"/>
      <c r="J33" s="548"/>
      <c r="K33" s="548"/>
      <c r="L33" s="548"/>
    </row>
    <row r="34" spans="1:12" ht="13" hidden="1" x14ac:dyDescent="0.3">
      <c r="A34" s="545"/>
      <c r="B34" s="546"/>
      <c r="C34" s="547"/>
      <c r="D34" s="546"/>
      <c r="E34" s="548"/>
      <c r="F34" s="548"/>
      <c r="G34" s="548"/>
      <c r="H34" s="548"/>
      <c r="I34" s="548"/>
      <c r="J34" s="548"/>
      <c r="K34" s="548"/>
      <c r="L34" s="548"/>
    </row>
    <row r="35" spans="1:12" ht="13" x14ac:dyDescent="0.3">
      <c r="A35" s="545" t="s">
        <v>921</v>
      </c>
      <c r="B35" s="564">
        <f>'ESFA feb 2025'!E48</f>
        <v>44870833</v>
      </c>
      <c r="C35" s="565">
        <f>'ESFA feb 2025'!C48</f>
        <v>44870833</v>
      </c>
      <c r="D35" s="564">
        <f>'ESFA abril 2025'!C46</f>
        <v>21864369.5</v>
      </c>
      <c r="E35" s="566">
        <f>'ESFA abril 2025'!E46</f>
        <v>44870833</v>
      </c>
      <c r="F35" s="566"/>
      <c r="G35" s="566">
        <f>'ESFA MAY 2025'!C46</f>
        <v>45463372.880000003</v>
      </c>
      <c r="H35" s="566"/>
      <c r="I35" s="566">
        <f>'ESFA JUN 2025'!C46</f>
        <v>44870844.759999998</v>
      </c>
      <c r="J35" s="566"/>
      <c r="K35" s="566"/>
      <c r="L35" s="566"/>
    </row>
    <row r="36" spans="1:12" ht="13" x14ac:dyDescent="0.3">
      <c r="A36" s="545" t="s">
        <v>1405</v>
      </c>
      <c r="B36" s="564"/>
      <c r="C36" s="565"/>
      <c r="D36" s="564"/>
      <c r="E36" s="566"/>
      <c r="F36" s="566"/>
      <c r="G36" s="566">
        <f>'ESFA MAY 2025'!C47</f>
        <v>7500003</v>
      </c>
      <c r="H36" s="566"/>
      <c r="I36" s="566">
        <f>'ESFA JUN 2025'!C47</f>
        <v>7500003</v>
      </c>
      <c r="J36" s="566"/>
      <c r="K36" s="566"/>
      <c r="L36" s="566"/>
    </row>
    <row r="37" spans="1:12" ht="13" x14ac:dyDescent="0.3">
      <c r="A37" s="542"/>
      <c r="B37" s="567">
        <f>SUM(B23:B36)</f>
        <v>66086679</v>
      </c>
      <c r="C37" s="568">
        <f>SUM(C23:C36)</f>
        <v>67552349.879999995</v>
      </c>
      <c r="D37" s="567">
        <f>[5]ESFA!E51</f>
        <v>29813541.060000002</v>
      </c>
      <c r="E37" s="569">
        <f>[5]ESFA!C51</f>
        <v>25473876.879999999</v>
      </c>
      <c r="F37" s="569"/>
      <c r="G37" s="569">
        <f>[5]ESFA!E51</f>
        <v>29813541.060000002</v>
      </c>
      <c r="H37" s="569"/>
      <c r="I37" s="569">
        <f>SUM(I23:I36)</f>
        <v>53160895.030000001</v>
      </c>
      <c r="J37" s="569"/>
      <c r="K37" s="569"/>
      <c r="L37" s="569"/>
    </row>
    <row r="39" spans="1:12" ht="13" x14ac:dyDescent="0.3">
      <c r="A39" s="570" t="s">
        <v>922</v>
      </c>
      <c r="B39" s="546"/>
      <c r="C39" s="547"/>
      <c r="D39" s="546"/>
      <c r="E39" s="548"/>
      <c r="F39" s="548"/>
      <c r="G39" s="548"/>
      <c r="H39" s="548"/>
      <c r="I39" s="548"/>
      <c r="J39" s="548"/>
      <c r="K39" s="548"/>
      <c r="L39" s="548"/>
    </row>
    <row r="40" spans="1:12" ht="13" x14ac:dyDescent="0.3">
      <c r="A40" s="571" t="s">
        <v>923</v>
      </c>
      <c r="B40" s="539" t="s">
        <v>900</v>
      </c>
      <c r="C40" s="539" t="s">
        <v>901</v>
      </c>
      <c r="D40" s="539" t="s">
        <v>902</v>
      </c>
      <c r="E40" s="540" t="s">
        <v>903</v>
      </c>
      <c r="F40" s="541"/>
      <c r="G40" s="541" t="s">
        <v>904</v>
      </c>
      <c r="H40" s="541"/>
      <c r="I40" s="541" t="s">
        <v>905</v>
      </c>
      <c r="J40" s="541"/>
      <c r="K40" s="541" t="s">
        <v>906</v>
      </c>
      <c r="L40" s="541" t="s">
        <v>907</v>
      </c>
    </row>
    <row r="41" spans="1:12" ht="13" x14ac:dyDescent="0.3">
      <c r="A41" s="545" t="s">
        <v>924</v>
      </c>
      <c r="B41" s="564">
        <f>'ESFA feb 2025'!C57</f>
        <v>8861215.8800000008</v>
      </c>
      <c r="C41" s="565">
        <f>'ESFA feb 2025'!E57</f>
        <v>8574200.8800000008</v>
      </c>
      <c r="D41" s="564">
        <f>'ESFA abril 2025'!E55</f>
        <v>9148230.0800000001</v>
      </c>
      <c r="E41" s="566">
        <f>'ESFA abril 2025'!C55</f>
        <v>9476606.8800000008</v>
      </c>
      <c r="F41" s="566"/>
      <c r="G41" s="566">
        <f>'ESFA MAY 2025'!C56</f>
        <v>9773964.8800000008</v>
      </c>
      <c r="H41" s="566"/>
      <c r="I41" s="566">
        <f>'ESFA JUN 2025'!C56</f>
        <v>10053729.880000001</v>
      </c>
      <c r="J41" s="566"/>
      <c r="K41" s="566"/>
      <c r="L41" s="566"/>
    </row>
    <row r="42" spans="1:12" ht="13" hidden="1" x14ac:dyDescent="0.3">
      <c r="A42" s="545"/>
      <c r="B42" s="564"/>
      <c r="C42" s="565"/>
      <c r="D42" s="564"/>
      <c r="E42" s="566"/>
      <c r="F42" s="566"/>
      <c r="G42" s="566"/>
      <c r="H42" s="566"/>
      <c r="I42" s="566"/>
      <c r="J42" s="566"/>
      <c r="K42" s="566"/>
      <c r="L42" s="566"/>
    </row>
    <row r="43" spans="1:12" ht="13" x14ac:dyDescent="0.3">
      <c r="A43" s="572" t="s">
        <v>925</v>
      </c>
      <c r="B43" s="546">
        <f>'ESFA feb 2025'!C59</f>
        <v>563544.10999999824</v>
      </c>
      <c r="C43" s="547">
        <f>'ESFA feb 2025'!E59</f>
        <v>56589.37</v>
      </c>
      <c r="D43" s="546">
        <f>'ESFA abril 2025'!E57</f>
        <v>595837.68999999994</v>
      </c>
      <c r="E43" s="548">
        <f>'ESFA abril 2025'!C57</f>
        <v>6876070.4199999999</v>
      </c>
      <c r="F43" s="548"/>
      <c r="G43" s="548">
        <f>'ESFA MAY 2025'!C58</f>
        <v>7171827.1300000064</v>
      </c>
      <c r="H43" s="548"/>
      <c r="I43" s="548">
        <f>'ESFA JUN 2025'!C58</f>
        <v>10687866.610000005</v>
      </c>
      <c r="J43" s="548"/>
      <c r="K43" s="548"/>
      <c r="L43" s="548"/>
    </row>
    <row r="44" spans="1:12" ht="13" hidden="1" x14ac:dyDescent="0.3">
      <c r="A44" s="572"/>
      <c r="B44" s="546"/>
      <c r="C44" s="547"/>
      <c r="D44" s="546"/>
      <c r="E44" s="548"/>
      <c r="F44" s="548"/>
      <c r="G44" s="548"/>
      <c r="H44" s="548"/>
      <c r="I44" s="548"/>
      <c r="J44" s="548"/>
      <c r="K44" s="548"/>
      <c r="L44" s="548"/>
    </row>
    <row r="45" spans="1:12" ht="13" x14ac:dyDescent="0.3">
      <c r="A45" s="572" t="s">
        <v>1406</v>
      </c>
      <c r="B45" s="573">
        <f>'ESFA feb 2025'!E58</f>
        <v>7100905.5</v>
      </c>
      <c r="C45" s="573">
        <f>'ESFA feb 2025'!C58</f>
        <v>7100905.5</v>
      </c>
      <c r="D45" s="573">
        <f>'ESFA abril 2025'!E58</f>
        <v>-49920464</v>
      </c>
      <c r="E45" s="574">
        <f>'ESFA abril 2025'!C56</f>
        <v>0</v>
      </c>
      <c r="F45" s="574"/>
      <c r="G45" s="574">
        <f>'ESFA MAY 2025'!C59</f>
        <v>248452.74</v>
      </c>
      <c r="H45" s="574"/>
      <c r="I45" s="574">
        <f>'ESFA JUN 2025'!C59</f>
        <v>248452.74</v>
      </c>
      <c r="J45" s="574"/>
      <c r="K45" s="574"/>
      <c r="L45" s="574"/>
    </row>
    <row r="46" spans="1:12" x14ac:dyDescent="0.25">
      <c r="E46" s="561">
        <f>E41+E43+E45</f>
        <v>16352677.300000001</v>
      </c>
      <c r="F46" s="561"/>
      <c r="G46" s="561">
        <f>G41+G43+G45</f>
        <v>17194244.750000004</v>
      </c>
      <c r="H46" s="561"/>
      <c r="I46" s="561">
        <f>SUM(I41:I45)</f>
        <v>20990049.230000004</v>
      </c>
      <c r="J46" s="561"/>
    </row>
    <row r="47" spans="1:12" x14ac:dyDescent="0.25">
      <c r="A47" s="575"/>
      <c r="B47" s="576">
        <f>SUM(B41:B45)</f>
        <v>16525665.489999998</v>
      </c>
      <c r="C47" s="576">
        <f>SUM(C41:C45)</f>
        <v>15731695.75</v>
      </c>
      <c r="D47" s="576">
        <f>SUM(D41:D45)</f>
        <v>-40176396.230000004</v>
      </c>
      <c r="E47" s="575"/>
      <c r="F47" s="575"/>
      <c r="G47" s="575"/>
      <c r="H47" s="575"/>
      <c r="I47" s="575"/>
      <c r="J47" s="575"/>
      <c r="K47" s="575"/>
      <c r="L47" s="575"/>
    </row>
    <row r="50" spans="1:10" x14ac:dyDescent="0.25">
      <c r="E50" s="926">
        <v>45748</v>
      </c>
      <c r="G50" s="926">
        <v>45778</v>
      </c>
      <c r="H50" s="926"/>
      <c r="I50" s="926">
        <v>45809</v>
      </c>
      <c r="J50" s="926"/>
    </row>
    <row r="51" spans="1:10" x14ac:dyDescent="0.25">
      <c r="A51" s="1" t="s">
        <v>0</v>
      </c>
      <c r="E51" s="561">
        <f>E17</f>
        <v>45098562.68</v>
      </c>
      <c r="G51" s="561">
        <f>G17</f>
        <v>79344896.689999998</v>
      </c>
      <c r="H51" s="561"/>
      <c r="I51" s="561">
        <f>I17</f>
        <v>82701066.25999999</v>
      </c>
      <c r="J51" s="561"/>
    </row>
    <row r="52" spans="1:10" x14ac:dyDescent="0.25">
      <c r="A52" s="1" t="s">
        <v>4</v>
      </c>
      <c r="E52" s="561">
        <f>E37</f>
        <v>25473876.879999999</v>
      </c>
      <c r="G52" s="561">
        <f>G37</f>
        <v>29813541.060000002</v>
      </c>
      <c r="H52" s="561"/>
      <c r="I52" s="561">
        <f>I37</f>
        <v>53160895.030000001</v>
      </c>
      <c r="J52" s="561"/>
    </row>
    <row r="53" spans="1:10" x14ac:dyDescent="0.25">
      <c r="A53" s="1" t="s">
        <v>7</v>
      </c>
      <c r="E53" s="561">
        <f>E46</f>
        <v>16352677.300000001</v>
      </c>
      <c r="G53" s="561">
        <f>G46</f>
        <v>17194244.750000004</v>
      </c>
      <c r="H53" s="561"/>
      <c r="I53" s="42">
        <f>I46</f>
        <v>20990049.230000004</v>
      </c>
      <c r="J53" s="42"/>
    </row>
  </sheetData>
  <mergeCells count="2">
    <mergeCell ref="A1:L1"/>
    <mergeCell ref="A2:L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808D8-8575-45E1-A439-F7558C07CFA3}">
  <dimension ref="A1:V101"/>
  <sheetViews>
    <sheetView workbookViewId="0">
      <selection activeCell="E5" sqref="E5:J68"/>
    </sheetView>
  </sheetViews>
  <sheetFormatPr baseColWidth="10" defaultRowHeight="12.5" x14ac:dyDescent="0.25"/>
  <cols>
    <col min="1" max="1" width="3.54296875" customWidth="1"/>
    <col min="2" max="2" width="37.453125" customWidth="1"/>
    <col min="3" max="3" width="19.54296875" style="352" customWidth="1"/>
    <col min="4" max="4" width="12" style="352" customWidth="1"/>
    <col min="5" max="5" width="10" style="352" customWidth="1"/>
    <col min="6" max="6" width="12.54296875" style="352" customWidth="1"/>
    <col min="7" max="7" width="13.453125" style="352" customWidth="1"/>
    <col min="8" max="8" width="12" style="352" customWidth="1"/>
    <col min="9" max="9" width="12.1796875" style="352" customWidth="1"/>
    <col min="10" max="10" width="11.7265625" style="352" customWidth="1"/>
    <col min="11" max="13" width="15.7265625" style="352" hidden="1" customWidth="1"/>
    <col min="14" max="14" width="15.7265625" style="388" hidden="1" customWidth="1"/>
    <col min="15" max="16" width="15.7265625" style="352" hidden="1" customWidth="1"/>
    <col min="17" max="17" width="15.7265625" style="352" customWidth="1"/>
    <col min="18" max="18" width="12.54296875" style="352" customWidth="1"/>
    <col min="19" max="19" width="15.453125" style="389" hidden="1" customWidth="1"/>
    <col min="20" max="20" width="12.81640625" customWidth="1"/>
    <col min="257" max="257" width="3.54296875" customWidth="1"/>
    <col min="258" max="258" width="37.453125" customWidth="1"/>
    <col min="259" max="259" width="19.54296875" customWidth="1"/>
    <col min="260" max="260" width="12" customWidth="1"/>
    <col min="261" max="261" width="10" customWidth="1"/>
    <col min="262" max="262" width="12.54296875" customWidth="1"/>
    <col min="263" max="263" width="13.453125" customWidth="1"/>
    <col min="264" max="264" width="12" customWidth="1"/>
    <col min="265" max="265" width="12.1796875" customWidth="1"/>
    <col min="266" max="266" width="11.7265625" customWidth="1"/>
    <col min="267" max="272" width="0" hidden="1" customWidth="1"/>
    <col min="273" max="273" width="15.7265625" customWidth="1"/>
    <col min="274" max="274" width="12.54296875" customWidth="1"/>
    <col min="275" max="275" width="0" hidden="1" customWidth="1"/>
    <col min="276" max="276" width="12.81640625" customWidth="1"/>
    <col min="513" max="513" width="3.54296875" customWidth="1"/>
    <col min="514" max="514" width="37.453125" customWidth="1"/>
    <col min="515" max="515" width="19.54296875" customWidth="1"/>
    <col min="516" max="516" width="12" customWidth="1"/>
    <col min="517" max="517" width="10" customWidth="1"/>
    <col min="518" max="518" width="12.54296875" customWidth="1"/>
    <col min="519" max="519" width="13.453125" customWidth="1"/>
    <col min="520" max="520" width="12" customWidth="1"/>
    <col min="521" max="521" width="12.1796875" customWidth="1"/>
    <col min="522" max="522" width="11.7265625" customWidth="1"/>
    <col min="523" max="528" width="0" hidden="1" customWidth="1"/>
    <col min="529" max="529" width="15.7265625" customWidth="1"/>
    <col min="530" max="530" width="12.54296875" customWidth="1"/>
    <col min="531" max="531" width="0" hidden="1" customWidth="1"/>
    <col min="532" max="532" width="12.81640625" customWidth="1"/>
    <col min="769" max="769" width="3.54296875" customWidth="1"/>
    <col min="770" max="770" width="37.453125" customWidth="1"/>
    <col min="771" max="771" width="19.54296875" customWidth="1"/>
    <col min="772" max="772" width="12" customWidth="1"/>
    <col min="773" max="773" width="10" customWidth="1"/>
    <col min="774" max="774" width="12.54296875" customWidth="1"/>
    <col min="775" max="775" width="13.453125" customWidth="1"/>
    <col min="776" max="776" width="12" customWidth="1"/>
    <col min="777" max="777" width="12.1796875" customWidth="1"/>
    <col min="778" max="778" width="11.7265625" customWidth="1"/>
    <col min="779" max="784" width="0" hidden="1" customWidth="1"/>
    <col min="785" max="785" width="15.7265625" customWidth="1"/>
    <col min="786" max="786" width="12.54296875" customWidth="1"/>
    <col min="787" max="787" width="0" hidden="1" customWidth="1"/>
    <col min="788" max="788" width="12.81640625" customWidth="1"/>
    <col min="1025" max="1025" width="3.54296875" customWidth="1"/>
    <col min="1026" max="1026" width="37.453125" customWidth="1"/>
    <col min="1027" max="1027" width="19.54296875" customWidth="1"/>
    <col min="1028" max="1028" width="12" customWidth="1"/>
    <col min="1029" max="1029" width="10" customWidth="1"/>
    <col min="1030" max="1030" width="12.54296875" customWidth="1"/>
    <col min="1031" max="1031" width="13.453125" customWidth="1"/>
    <col min="1032" max="1032" width="12" customWidth="1"/>
    <col min="1033" max="1033" width="12.1796875" customWidth="1"/>
    <col min="1034" max="1034" width="11.7265625" customWidth="1"/>
    <col min="1035" max="1040" width="0" hidden="1" customWidth="1"/>
    <col min="1041" max="1041" width="15.7265625" customWidth="1"/>
    <col min="1042" max="1042" width="12.54296875" customWidth="1"/>
    <col min="1043" max="1043" width="0" hidden="1" customWidth="1"/>
    <col min="1044" max="1044" width="12.81640625" customWidth="1"/>
    <col min="1281" max="1281" width="3.54296875" customWidth="1"/>
    <col min="1282" max="1282" width="37.453125" customWidth="1"/>
    <col min="1283" max="1283" width="19.54296875" customWidth="1"/>
    <col min="1284" max="1284" width="12" customWidth="1"/>
    <col min="1285" max="1285" width="10" customWidth="1"/>
    <col min="1286" max="1286" width="12.54296875" customWidth="1"/>
    <col min="1287" max="1287" width="13.453125" customWidth="1"/>
    <col min="1288" max="1288" width="12" customWidth="1"/>
    <col min="1289" max="1289" width="12.1796875" customWidth="1"/>
    <col min="1290" max="1290" width="11.7265625" customWidth="1"/>
    <col min="1291" max="1296" width="0" hidden="1" customWidth="1"/>
    <col min="1297" max="1297" width="15.7265625" customWidth="1"/>
    <col min="1298" max="1298" width="12.54296875" customWidth="1"/>
    <col min="1299" max="1299" width="0" hidden="1" customWidth="1"/>
    <col min="1300" max="1300" width="12.81640625" customWidth="1"/>
    <col min="1537" max="1537" width="3.54296875" customWidth="1"/>
    <col min="1538" max="1538" width="37.453125" customWidth="1"/>
    <col min="1539" max="1539" width="19.54296875" customWidth="1"/>
    <col min="1540" max="1540" width="12" customWidth="1"/>
    <col min="1541" max="1541" width="10" customWidth="1"/>
    <col min="1542" max="1542" width="12.54296875" customWidth="1"/>
    <col min="1543" max="1543" width="13.453125" customWidth="1"/>
    <col min="1544" max="1544" width="12" customWidth="1"/>
    <col min="1545" max="1545" width="12.1796875" customWidth="1"/>
    <col min="1546" max="1546" width="11.7265625" customWidth="1"/>
    <col min="1547" max="1552" width="0" hidden="1" customWidth="1"/>
    <col min="1553" max="1553" width="15.7265625" customWidth="1"/>
    <col min="1554" max="1554" width="12.54296875" customWidth="1"/>
    <col min="1555" max="1555" width="0" hidden="1" customWidth="1"/>
    <col min="1556" max="1556" width="12.81640625" customWidth="1"/>
    <col min="1793" max="1793" width="3.54296875" customWidth="1"/>
    <col min="1794" max="1794" width="37.453125" customWidth="1"/>
    <col min="1795" max="1795" width="19.54296875" customWidth="1"/>
    <col min="1796" max="1796" width="12" customWidth="1"/>
    <col min="1797" max="1797" width="10" customWidth="1"/>
    <col min="1798" max="1798" width="12.54296875" customWidth="1"/>
    <col min="1799" max="1799" width="13.453125" customWidth="1"/>
    <col min="1800" max="1800" width="12" customWidth="1"/>
    <col min="1801" max="1801" width="12.1796875" customWidth="1"/>
    <col min="1802" max="1802" width="11.7265625" customWidth="1"/>
    <col min="1803" max="1808" width="0" hidden="1" customWidth="1"/>
    <col min="1809" max="1809" width="15.7265625" customWidth="1"/>
    <col min="1810" max="1810" width="12.54296875" customWidth="1"/>
    <col min="1811" max="1811" width="0" hidden="1" customWidth="1"/>
    <col min="1812" max="1812" width="12.81640625" customWidth="1"/>
    <col min="2049" max="2049" width="3.54296875" customWidth="1"/>
    <col min="2050" max="2050" width="37.453125" customWidth="1"/>
    <col min="2051" max="2051" width="19.54296875" customWidth="1"/>
    <col min="2052" max="2052" width="12" customWidth="1"/>
    <col min="2053" max="2053" width="10" customWidth="1"/>
    <col min="2054" max="2054" width="12.54296875" customWidth="1"/>
    <col min="2055" max="2055" width="13.453125" customWidth="1"/>
    <col min="2056" max="2056" width="12" customWidth="1"/>
    <col min="2057" max="2057" width="12.1796875" customWidth="1"/>
    <col min="2058" max="2058" width="11.7265625" customWidth="1"/>
    <col min="2059" max="2064" width="0" hidden="1" customWidth="1"/>
    <col min="2065" max="2065" width="15.7265625" customWidth="1"/>
    <col min="2066" max="2066" width="12.54296875" customWidth="1"/>
    <col min="2067" max="2067" width="0" hidden="1" customWidth="1"/>
    <col min="2068" max="2068" width="12.81640625" customWidth="1"/>
    <col min="2305" max="2305" width="3.54296875" customWidth="1"/>
    <col min="2306" max="2306" width="37.453125" customWidth="1"/>
    <col min="2307" max="2307" width="19.54296875" customWidth="1"/>
    <col min="2308" max="2308" width="12" customWidth="1"/>
    <col min="2309" max="2309" width="10" customWidth="1"/>
    <col min="2310" max="2310" width="12.54296875" customWidth="1"/>
    <col min="2311" max="2311" width="13.453125" customWidth="1"/>
    <col min="2312" max="2312" width="12" customWidth="1"/>
    <col min="2313" max="2313" width="12.1796875" customWidth="1"/>
    <col min="2314" max="2314" width="11.7265625" customWidth="1"/>
    <col min="2315" max="2320" width="0" hidden="1" customWidth="1"/>
    <col min="2321" max="2321" width="15.7265625" customWidth="1"/>
    <col min="2322" max="2322" width="12.54296875" customWidth="1"/>
    <col min="2323" max="2323" width="0" hidden="1" customWidth="1"/>
    <col min="2324" max="2324" width="12.81640625" customWidth="1"/>
    <col min="2561" max="2561" width="3.54296875" customWidth="1"/>
    <col min="2562" max="2562" width="37.453125" customWidth="1"/>
    <col min="2563" max="2563" width="19.54296875" customWidth="1"/>
    <col min="2564" max="2564" width="12" customWidth="1"/>
    <col min="2565" max="2565" width="10" customWidth="1"/>
    <col min="2566" max="2566" width="12.54296875" customWidth="1"/>
    <col min="2567" max="2567" width="13.453125" customWidth="1"/>
    <col min="2568" max="2568" width="12" customWidth="1"/>
    <col min="2569" max="2569" width="12.1796875" customWidth="1"/>
    <col min="2570" max="2570" width="11.7265625" customWidth="1"/>
    <col min="2571" max="2576" width="0" hidden="1" customWidth="1"/>
    <col min="2577" max="2577" width="15.7265625" customWidth="1"/>
    <col min="2578" max="2578" width="12.54296875" customWidth="1"/>
    <col min="2579" max="2579" width="0" hidden="1" customWidth="1"/>
    <col min="2580" max="2580" width="12.81640625" customWidth="1"/>
    <col min="2817" max="2817" width="3.54296875" customWidth="1"/>
    <col min="2818" max="2818" width="37.453125" customWidth="1"/>
    <col min="2819" max="2819" width="19.54296875" customWidth="1"/>
    <col min="2820" max="2820" width="12" customWidth="1"/>
    <col min="2821" max="2821" width="10" customWidth="1"/>
    <col min="2822" max="2822" width="12.54296875" customWidth="1"/>
    <col min="2823" max="2823" width="13.453125" customWidth="1"/>
    <col min="2824" max="2824" width="12" customWidth="1"/>
    <col min="2825" max="2825" width="12.1796875" customWidth="1"/>
    <col min="2826" max="2826" width="11.7265625" customWidth="1"/>
    <col min="2827" max="2832" width="0" hidden="1" customWidth="1"/>
    <col min="2833" max="2833" width="15.7265625" customWidth="1"/>
    <col min="2834" max="2834" width="12.54296875" customWidth="1"/>
    <col min="2835" max="2835" width="0" hidden="1" customWidth="1"/>
    <col min="2836" max="2836" width="12.81640625" customWidth="1"/>
    <col min="3073" max="3073" width="3.54296875" customWidth="1"/>
    <col min="3074" max="3074" width="37.453125" customWidth="1"/>
    <col min="3075" max="3075" width="19.54296875" customWidth="1"/>
    <col min="3076" max="3076" width="12" customWidth="1"/>
    <col min="3077" max="3077" width="10" customWidth="1"/>
    <col min="3078" max="3078" width="12.54296875" customWidth="1"/>
    <col min="3079" max="3079" width="13.453125" customWidth="1"/>
    <col min="3080" max="3080" width="12" customWidth="1"/>
    <col min="3081" max="3081" width="12.1796875" customWidth="1"/>
    <col min="3082" max="3082" width="11.7265625" customWidth="1"/>
    <col min="3083" max="3088" width="0" hidden="1" customWidth="1"/>
    <col min="3089" max="3089" width="15.7265625" customWidth="1"/>
    <col min="3090" max="3090" width="12.54296875" customWidth="1"/>
    <col min="3091" max="3091" width="0" hidden="1" customWidth="1"/>
    <col min="3092" max="3092" width="12.81640625" customWidth="1"/>
    <col min="3329" max="3329" width="3.54296875" customWidth="1"/>
    <col min="3330" max="3330" width="37.453125" customWidth="1"/>
    <col min="3331" max="3331" width="19.54296875" customWidth="1"/>
    <col min="3332" max="3332" width="12" customWidth="1"/>
    <col min="3333" max="3333" width="10" customWidth="1"/>
    <col min="3334" max="3334" width="12.54296875" customWidth="1"/>
    <col min="3335" max="3335" width="13.453125" customWidth="1"/>
    <col min="3336" max="3336" width="12" customWidth="1"/>
    <col min="3337" max="3337" width="12.1796875" customWidth="1"/>
    <col min="3338" max="3338" width="11.7265625" customWidth="1"/>
    <col min="3339" max="3344" width="0" hidden="1" customWidth="1"/>
    <col min="3345" max="3345" width="15.7265625" customWidth="1"/>
    <col min="3346" max="3346" width="12.54296875" customWidth="1"/>
    <col min="3347" max="3347" width="0" hidden="1" customWidth="1"/>
    <col min="3348" max="3348" width="12.81640625" customWidth="1"/>
    <col min="3585" max="3585" width="3.54296875" customWidth="1"/>
    <col min="3586" max="3586" width="37.453125" customWidth="1"/>
    <col min="3587" max="3587" width="19.54296875" customWidth="1"/>
    <col min="3588" max="3588" width="12" customWidth="1"/>
    <col min="3589" max="3589" width="10" customWidth="1"/>
    <col min="3590" max="3590" width="12.54296875" customWidth="1"/>
    <col min="3591" max="3591" width="13.453125" customWidth="1"/>
    <col min="3592" max="3592" width="12" customWidth="1"/>
    <col min="3593" max="3593" width="12.1796875" customWidth="1"/>
    <col min="3594" max="3594" width="11.7265625" customWidth="1"/>
    <col min="3595" max="3600" width="0" hidden="1" customWidth="1"/>
    <col min="3601" max="3601" width="15.7265625" customWidth="1"/>
    <col min="3602" max="3602" width="12.54296875" customWidth="1"/>
    <col min="3603" max="3603" width="0" hidden="1" customWidth="1"/>
    <col min="3604" max="3604" width="12.81640625" customWidth="1"/>
    <col min="3841" max="3841" width="3.54296875" customWidth="1"/>
    <col min="3842" max="3842" width="37.453125" customWidth="1"/>
    <col min="3843" max="3843" width="19.54296875" customWidth="1"/>
    <col min="3844" max="3844" width="12" customWidth="1"/>
    <col min="3845" max="3845" width="10" customWidth="1"/>
    <col min="3846" max="3846" width="12.54296875" customWidth="1"/>
    <col min="3847" max="3847" width="13.453125" customWidth="1"/>
    <col min="3848" max="3848" width="12" customWidth="1"/>
    <col min="3849" max="3849" width="12.1796875" customWidth="1"/>
    <col min="3850" max="3850" width="11.7265625" customWidth="1"/>
    <col min="3851" max="3856" width="0" hidden="1" customWidth="1"/>
    <col min="3857" max="3857" width="15.7265625" customWidth="1"/>
    <col min="3858" max="3858" width="12.54296875" customWidth="1"/>
    <col min="3859" max="3859" width="0" hidden="1" customWidth="1"/>
    <col min="3860" max="3860" width="12.81640625" customWidth="1"/>
    <col min="4097" max="4097" width="3.54296875" customWidth="1"/>
    <col min="4098" max="4098" width="37.453125" customWidth="1"/>
    <col min="4099" max="4099" width="19.54296875" customWidth="1"/>
    <col min="4100" max="4100" width="12" customWidth="1"/>
    <col min="4101" max="4101" width="10" customWidth="1"/>
    <col min="4102" max="4102" width="12.54296875" customWidth="1"/>
    <col min="4103" max="4103" width="13.453125" customWidth="1"/>
    <col min="4104" max="4104" width="12" customWidth="1"/>
    <col min="4105" max="4105" width="12.1796875" customWidth="1"/>
    <col min="4106" max="4106" width="11.7265625" customWidth="1"/>
    <col min="4107" max="4112" width="0" hidden="1" customWidth="1"/>
    <col min="4113" max="4113" width="15.7265625" customWidth="1"/>
    <col min="4114" max="4114" width="12.54296875" customWidth="1"/>
    <col min="4115" max="4115" width="0" hidden="1" customWidth="1"/>
    <col min="4116" max="4116" width="12.81640625" customWidth="1"/>
    <col min="4353" max="4353" width="3.54296875" customWidth="1"/>
    <col min="4354" max="4354" width="37.453125" customWidth="1"/>
    <col min="4355" max="4355" width="19.54296875" customWidth="1"/>
    <col min="4356" max="4356" width="12" customWidth="1"/>
    <col min="4357" max="4357" width="10" customWidth="1"/>
    <col min="4358" max="4358" width="12.54296875" customWidth="1"/>
    <col min="4359" max="4359" width="13.453125" customWidth="1"/>
    <col min="4360" max="4360" width="12" customWidth="1"/>
    <col min="4361" max="4361" width="12.1796875" customWidth="1"/>
    <col min="4362" max="4362" width="11.7265625" customWidth="1"/>
    <col min="4363" max="4368" width="0" hidden="1" customWidth="1"/>
    <col min="4369" max="4369" width="15.7265625" customWidth="1"/>
    <col min="4370" max="4370" width="12.54296875" customWidth="1"/>
    <col min="4371" max="4371" width="0" hidden="1" customWidth="1"/>
    <col min="4372" max="4372" width="12.81640625" customWidth="1"/>
    <col min="4609" max="4609" width="3.54296875" customWidth="1"/>
    <col min="4610" max="4610" width="37.453125" customWidth="1"/>
    <col min="4611" max="4611" width="19.54296875" customWidth="1"/>
    <col min="4612" max="4612" width="12" customWidth="1"/>
    <col min="4613" max="4613" width="10" customWidth="1"/>
    <col min="4614" max="4614" width="12.54296875" customWidth="1"/>
    <col min="4615" max="4615" width="13.453125" customWidth="1"/>
    <col min="4616" max="4616" width="12" customWidth="1"/>
    <col min="4617" max="4617" width="12.1796875" customWidth="1"/>
    <col min="4618" max="4618" width="11.7265625" customWidth="1"/>
    <col min="4619" max="4624" width="0" hidden="1" customWidth="1"/>
    <col min="4625" max="4625" width="15.7265625" customWidth="1"/>
    <col min="4626" max="4626" width="12.54296875" customWidth="1"/>
    <col min="4627" max="4627" width="0" hidden="1" customWidth="1"/>
    <col min="4628" max="4628" width="12.81640625" customWidth="1"/>
    <col min="4865" max="4865" width="3.54296875" customWidth="1"/>
    <col min="4866" max="4866" width="37.453125" customWidth="1"/>
    <col min="4867" max="4867" width="19.54296875" customWidth="1"/>
    <col min="4868" max="4868" width="12" customWidth="1"/>
    <col min="4869" max="4869" width="10" customWidth="1"/>
    <col min="4870" max="4870" width="12.54296875" customWidth="1"/>
    <col min="4871" max="4871" width="13.453125" customWidth="1"/>
    <col min="4872" max="4872" width="12" customWidth="1"/>
    <col min="4873" max="4873" width="12.1796875" customWidth="1"/>
    <col min="4874" max="4874" width="11.7265625" customWidth="1"/>
    <col min="4875" max="4880" width="0" hidden="1" customWidth="1"/>
    <col min="4881" max="4881" width="15.7265625" customWidth="1"/>
    <col min="4882" max="4882" width="12.54296875" customWidth="1"/>
    <col min="4883" max="4883" width="0" hidden="1" customWidth="1"/>
    <col min="4884" max="4884" width="12.81640625" customWidth="1"/>
    <col min="5121" max="5121" width="3.54296875" customWidth="1"/>
    <col min="5122" max="5122" width="37.453125" customWidth="1"/>
    <col min="5123" max="5123" width="19.54296875" customWidth="1"/>
    <col min="5124" max="5124" width="12" customWidth="1"/>
    <col min="5125" max="5125" width="10" customWidth="1"/>
    <col min="5126" max="5126" width="12.54296875" customWidth="1"/>
    <col min="5127" max="5127" width="13.453125" customWidth="1"/>
    <col min="5128" max="5128" width="12" customWidth="1"/>
    <col min="5129" max="5129" width="12.1796875" customWidth="1"/>
    <col min="5130" max="5130" width="11.7265625" customWidth="1"/>
    <col min="5131" max="5136" width="0" hidden="1" customWidth="1"/>
    <col min="5137" max="5137" width="15.7265625" customWidth="1"/>
    <col min="5138" max="5138" width="12.54296875" customWidth="1"/>
    <col min="5139" max="5139" width="0" hidden="1" customWidth="1"/>
    <col min="5140" max="5140" width="12.81640625" customWidth="1"/>
    <col min="5377" max="5377" width="3.54296875" customWidth="1"/>
    <col min="5378" max="5378" width="37.453125" customWidth="1"/>
    <col min="5379" max="5379" width="19.54296875" customWidth="1"/>
    <col min="5380" max="5380" width="12" customWidth="1"/>
    <col min="5381" max="5381" width="10" customWidth="1"/>
    <col min="5382" max="5382" width="12.54296875" customWidth="1"/>
    <col min="5383" max="5383" width="13.453125" customWidth="1"/>
    <col min="5384" max="5384" width="12" customWidth="1"/>
    <col min="5385" max="5385" width="12.1796875" customWidth="1"/>
    <col min="5386" max="5386" width="11.7265625" customWidth="1"/>
    <col min="5387" max="5392" width="0" hidden="1" customWidth="1"/>
    <col min="5393" max="5393" width="15.7265625" customWidth="1"/>
    <col min="5394" max="5394" width="12.54296875" customWidth="1"/>
    <col min="5395" max="5395" width="0" hidden="1" customWidth="1"/>
    <col min="5396" max="5396" width="12.81640625" customWidth="1"/>
    <col min="5633" max="5633" width="3.54296875" customWidth="1"/>
    <col min="5634" max="5634" width="37.453125" customWidth="1"/>
    <col min="5635" max="5635" width="19.54296875" customWidth="1"/>
    <col min="5636" max="5636" width="12" customWidth="1"/>
    <col min="5637" max="5637" width="10" customWidth="1"/>
    <col min="5638" max="5638" width="12.54296875" customWidth="1"/>
    <col min="5639" max="5639" width="13.453125" customWidth="1"/>
    <col min="5640" max="5640" width="12" customWidth="1"/>
    <col min="5641" max="5641" width="12.1796875" customWidth="1"/>
    <col min="5642" max="5642" width="11.7265625" customWidth="1"/>
    <col min="5643" max="5648" width="0" hidden="1" customWidth="1"/>
    <col min="5649" max="5649" width="15.7265625" customWidth="1"/>
    <col min="5650" max="5650" width="12.54296875" customWidth="1"/>
    <col min="5651" max="5651" width="0" hidden="1" customWidth="1"/>
    <col min="5652" max="5652" width="12.81640625" customWidth="1"/>
    <col min="5889" max="5889" width="3.54296875" customWidth="1"/>
    <col min="5890" max="5890" width="37.453125" customWidth="1"/>
    <col min="5891" max="5891" width="19.54296875" customWidth="1"/>
    <col min="5892" max="5892" width="12" customWidth="1"/>
    <col min="5893" max="5893" width="10" customWidth="1"/>
    <col min="5894" max="5894" width="12.54296875" customWidth="1"/>
    <col min="5895" max="5895" width="13.453125" customWidth="1"/>
    <col min="5896" max="5896" width="12" customWidth="1"/>
    <col min="5897" max="5897" width="12.1796875" customWidth="1"/>
    <col min="5898" max="5898" width="11.7265625" customWidth="1"/>
    <col min="5899" max="5904" width="0" hidden="1" customWidth="1"/>
    <col min="5905" max="5905" width="15.7265625" customWidth="1"/>
    <col min="5906" max="5906" width="12.54296875" customWidth="1"/>
    <col min="5907" max="5907" width="0" hidden="1" customWidth="1"/>
    <col min="5908" max="5908" width="12.81640625" customWidth="1"/>
    <col min="6145" max="6145" width="3.54296875" customWidth="1"/>
    <col min="6146" max="6146" width="37.453125" customWidth="1"/>
    <col min="6147" max="6147" width="19.54296875" customWidth="1"/>
    <col min="6148" max="6148" width="12" customWidth="1"/>
    <col min="6149" max="6149" width="10" customWidth="1"/>
    <col min="6150" max="6150" width="12.54296875" customWidth="1"/>
    <col min="6151" max="6151" width="13.453125" customWidth="1"/>
    <col min="6152" max="6152" width="12" customWidth="1"/>
    <col min="6153" max="6153" width="12.1796875" customWidth="1"/>
    <col min="6154" max="6154" width="11.7265625" customWidth="1"/>
    <col min="6155" max="6160" width="0" hidden="1" customWidth="1"/>
    <col min="6161" max="6161" width="15.7265625" customWidth="1"/>
    <col min="6162" max="6162" width="12.54296875" customWidth="1"/>
    <col min="6163" max="6163" width="0" hidden="1" customWidth="1"/>
    <col min="6164" max="6164" width="12.81640625" customWidth="1"/>
    <col min="6401" max="6401" width="3.54296875" customWidth="1"/>
    <col min="6402" max="6402" width="37.453125" customWidth="1"/>
    <col min="6403" max="6403" width="19.54296875" customWidth="1"/>
    <col min="6404" max="6404" width="12" customWidth="1"/>
    <col min="6405" max="6405" width="10" customWidth="1"/>
    <col min="6406" max="6406" width="12.54296875" customWidth="1"/>
    <col min="6407" max="6407" width="13.453125" customWidth="1"/>
    <col min="6408" max="6408" width="12" customWidth="1"/>
    <col min="6409" max="6409" width="12.1796875" customWidth="1"/>
    <col min="6410" max="6410" width="11.7265625" customWidth="1"/>
    <col min="6411" max="6416" width="0" hidden="1" customWidth="1"/>
    <col min="6417" max="6417" width="15.7265625" customWidth="1"/>
    <col min="6418" max="6418" width="12.54296875" customWidth="1"/>
    <col min="6419" max="6419" width="0" hidden="1" customWidth="1"/>
    <col min="6420" max="6420" width="12.81640625" customWidth="1"/>
    <col min="6657" max="6657" width="3.54296875" customWidth="1"/>
    <col min="6658" max="6658" width="37.453125" customWidth="1"/>
    <col min="6659" max="6659" width="19.54296875" customWidth="1"/>
    <col min="6660" max="6660" width="12" customWidth="1"/>
    <col min="6661" max="6661" width="10" customWidth="1"/>
    <col min="6662" max="6662" width="12.54296875" customWidth="1"/>
    <col min="6663" max="6663" width="13.453125" customWidth="1"/>
    <col min="6664" max="6664" width="12" customWidth="1"/>
    <col min="6665" max="6665" width="12.1796875" customWidth="1"/>
    <col min="6666" max="6666" width="11.7265625" customWidth="1"/>
    <col min="6667" max="6672" width="0" hidden="1" customWidth="1"/>
    <col min="6673" max="6673" width="15.7265625" customWidth="1"/>
    <col min="6674" max="6674" width="12.54296875" customWidth="1"/>
    <col min="6675" max="6675" width="0" hidden="1" customWidth="1"/>
    <col min="6676" max="6676" width="12.81640625" customWidth="1"/>
    <col min="6913" max="6913" width="3.54296875" customWidth="1"/>
    <col min="6914" max="6914" width="37.453125" customWidth="1"/>
    <col min="6915" max="6915" width="19.54296875" customWidth="1"/>
    <col min="6916" max="6916" width="12" customWidth="1"/>
    <col min="6917" max="6917" width="10" customWidth="1"/>
    <col min="6918" max="6918" width="12.54296875" customWidth="1"/>
    <col min="6919" max="6919" width="13.453125" customWidth="1"/>
    <col min="6920" max="6920" width="12" customWidth="1"/>
    <col min="6921" max="6921" width="12.1796875" customWidth="1"/>
    <col min="6922" max="6922" width="11.7265625" customWidth="1"/>
    <col min="6923" max="6928" width="0" hidden="1" customWidth="1"/>
    <col min="6929" max="6929" width="15.7265625" customWidth="1"/>
    <col min="6930" max="6930" width="12.54296875" customWidth="1"/>
    <col min="6931" max="6931" width="0" hidden="1" customWidth="1"/>
    <col min="6932" max="6932" width="12.81640625" customWidth="1"/>
    <col min="7169" max="7169" width="3.54296875" customWidth="1"/>
    <col min="7170" max="7170" width="37.453125" customWidth="1"/>
    <col min="7171" max="7171" width="19.54296875" customWidth="1"/>
    <col min="7172" max="7172" width="12" customWidth="1"/>
    <col min="7173" max="7173" width="10" customWidth="1"/>
    <col min="7174" max="7174" width="12.54296875" customWidth="1"/>
    <col min="7175" max="7175" width="13.453125" customWidth="1"/>
    <col min="7176" max="7176" width="12" customWidth="1"/>
    <col min="7177" max="7177" width="12.1796875" customWidth="1"/>
    <col min="7178" max="7178" width="11.7265625" customWidth="1"/>
    <col min="7179" max="7184" width="0" hidden="1" customWidth="1"/>
    <col min="7185" max="7185" width="15.7265625" customWidth="1"/>
    <col min="7186" max="7186" width="12.54296875" customWidth="1"/>
    <col min="7187" max="7187" width="0" hidden="1" customWidth="1"/>
    <col min="7188" max="7188" width="12.81640625" customWidth="1"/>
    <col min="7425" max="7425" width="3.54296875" customWidth="1"/>
    <col min="7426" max="7426" width="37.453125" customWidth="1"/>
    <col min="7427" max="7427" width="19.54296875" customWidth="1"/>
    <col min="7428" max="7428" width="12" customWidth="1"/>
    <col min="7429" max="7429" width="10" customWidth="1"/>
    <col min="7430" max="7430" width="12.54296875" customWidth="1"/>
    <col min="7431" max="7431" width="13.453125" customWidth="1"/>
    <col min="7432" max="7432" width="12" customWidth="1"/>
    <col min="7433" max="7433" width="12.1796875" customWidth="1"/>
    <col min="7434" max="7434" width="11.7265625" customWidth="1"/>
    <col min="7435" max="7440" width="0" hidden="1" customWidth="1"/>
    <col min="7441" max="7441" width="15.7265625" customWidth="1"/>
    <col min="7442" max="7442" width="12.54296875" customWidth="1"/>
    <col min="7443" max="7443" width="0" hidden="1" customWidth="1"/>
    <col min="7444" max="7444" width="12.81640625" customWidth="1"/>
    <col min="7681" max="7681" width="3.54296875" customWidth="1"/>
    <col min="7682" max="7682" width="37.453125" customWidth="1"/>
    <col min="7683" max="7683" width="19.54296875" customWidth="1"/>
    <col min="7684" max="7684" width="12" customWidth="1"/>
    <col min="7685" max="7685" width="10" customWidth="1"/>
    <col min="7686" max="7686" width="12.54296875" customWidth="1"/>
    <col min="7687" max="7687" width="13.453125" customWidth="1"/>
    <col min="7688" max="7688" width="12" customWidth="1"/>
    <col min="7689" max="7689" width="12.1796875" customWidth="1"/>
    <col min="7690" max="7690" width="11.7265625" customWidth="1"/>
    <col min="7691" max="7696" width="0" hidden="1" customWidth="1"/>
    <col min="7697" max="7697" width="15.7265625" customWidth="1"/>
    <col min="7698" max="7698" width="12.54296875" customWidth="1"/>
    <col min="7699" max="7699" width="0" hidden="1" customWidth="1"/>
    <col min="7700" max="7700" width="12.81640625" customWidth="1"/>
    <col min="7937" max="7937" width="3.54296875" customWidth="1"/>
    <col min="7938" max="7938" width="37.453125" customWidth="1"/>
    <col min="7939" max="7939" width="19.54296875" customWidth="1"/>
    <col min="7940" max="7940" width="12" customWidth="1"/>
    <col min="7941" max="7941" width="10" customWidth="1"/>
    <col min="7942" max="7942" width="12.54296875" customWidth="1"/>
    <col min="7943" max="7943" width="13.453125" customWidth="1"/>
    <col min="7944" max="7944" width="12" customWidth="1"/>
    <col min="7945" max="7945" width="12.1796875" customWidth="1"/>
    <col min="7946" max="7946" width="11.7265625" customWidth="1"/>
    <col min="7947" max="7952" width="0" hidden="1" customWidth="1"/>
    <col min="7953" max="7953" width="15.7265625" customWidth="1"/>
    <col min="7954" max="7954" width="12.54296875" customWidth="1"/>
    <col min="7955" max="7955" width="0" hidden="1" customWidth="1"/>
    <col min="7956" max="7956" width="12.81640625" customWidth="1"/>
    <col min="8193" max="8193" width="3.54296875" customWidth="1"/>
    <col min="8194" max="8194" width="37.453125" customWidth="1"/>
    <col min="8195" max="8195" width="19.54296875" customWidth="1"/>
    <col min="8196" max="8196" width="12" customWidth="1"/>
    <col min="8197" max="8197" width="10" customWidth="1"/>
    <col min="8198" max="8198" width="12.54296875" customWidth="1"/>
    <col min="8199" max="8199" width="13.453125" customWidth="1"/>
    <col min="8200" max="8200" width="12" customWidth="1"/>
    <col min="8201" max="8201" width="12.1796875" customWidth="1"/>
    <col min="8202" max="8202" width="11.7265625" customWidth="1"/>
    <col min="8203" max="8208" width="0" hidden="1" customWidth="1"/>
    <col min="8209" max="8209" width="15.7265625" customWidth="1"/>
    <col min="8210" max="8210" width="12.54296875" customWidth="1"/>
    <col min="8211" max="8211" width="0" hidden="1" customWidth="1"/>
    <col min="8212" max="8212" width="12.81640625" customWidth="1"/>
    <col min="8449" max="8449" width="3.54296875" customWidth="1"/>
    <col min="8450" max="8450" width="37.453125" customWidth="1"/>
    <col min="8451" max="8451" width="19.54296875" customWidth="1"/>
    <col min="8452" max="8452" width="12" customWidth="1"/>
    <col min="8453" max="8453" width="10" customWidth="1"/>
    <col min="8454" max="8454" width="12.54296875" customWidth="1"/>
    <col min="8455" max="8455" width="13.453125" customWidth="1"/>
    <col min="8456" max="8456" width="12" customWidth="1"/>
    <col min="8457" max="8457" width="12.1796875" customWidth="1"/>
    <col min="8458" max="8458" width="11.7265625" customWidth="1"/>
    <col min="8459" max="8464" width="0" hidden="1" customWidth="1"/>
    <col min="8465" max="8465" width="15.7265625" customWidth="1"/>
    <col min="8466" max="8466" width="12.54296875" customWidth="1"/>
    <col min="8467" max="8467" width="0" hidden="1" customWidth="1"/>
    <col min="8468" max="8468" width="12.81640625" customWidth="1"/>
    <col min="8705" max="8705" width="3.54296875" customWidth="1"/>
    <col min="8706" max="8706" width="37.453125" customWidth="1"/>
    <col min="8707" max="8707" width="19.54296875" customWidth="1"/>
    <col min="8708" max="8708" width="12" customWidth="1"/>
    <col min="8709" max="8709" width="10" customWidth="1"/>
    <col min="8710" max="8710" width="12.54296875" customWidth="1"/>
    <col min="8711" max="8711" width="13.453125" customWidth="1"/>
    <col min="8712" max="8712" width="12" customWidth="1"/>
    <col min="8713" max="8713" width="12.1796875" customWidth="1"/>
    <col min="8714" max="8714" width="11.7265625" customWidth="1"/>
    <col min="8715" max="8720" width="0" hidden="1" customWidth="1"/>
    <col min="8721" max="8721" width="15.7265625" customWidth="1"/>
    <col min="8722" max="8722" width="12.54296875" customWidth="1"/>
    <col min="8723" max="8723" width="0" hidden="1" customWidth="1"/>
    <col min="8724" max="8724" width="12.81640625" customWidth="1"/>
    <col min="8961" max="8961" width="3.54296875" customWidth="1"/>
    <col min="8962" max="8962" width="37.453125" customWidth="1"/>
    <col min="8963" max="8963" width="19.54296875" customWidth="1"/>
    <col min="8964" max="8964" width="12" customWidth="1"/>
    <col min="8965" max="8965" width="10" customWidth="1"/>
    <col min="8966" max="8966" width="12.54296875" customWidth="1"/>
    <col min="8967" max="8967" width="13.453125" customWidth="1"/>
    <col min="8968" max="8968" width="12" customWidth="1"/>
    <col min="8969" max="8969" width="12.1796875" customWidth="1"/>
    <col min="8970" max="8970" width="11.7265625" customWidth="1"/>
    <col min="8971" max="8976" width="0" hidden="1" customWidth="1"/>
    <col min="8977" max="8977" width="15.7265625" customWidth="1"/>
    <col min="8978" max="8978" width="12.54296875" customWidth="1"/>
    <col min="8979" max="8979" width="0" hidden="1" customWidth="1"/>
    <col min="8980" max="8980" width="12.81640625" customWidth="1"/>
    <col min="9217" max="9217" width="3.54296875" customWidth="1"/>
    <col min="9218" max="9218" width="37.453125" customWidth="1"/>
    <col min="9219" max="9219" width="19.54296875" customWidth="1"/>
    <col min="9220" max="9220" width="12" customWidth="1"/>
    <col min="9221" max="9221" width="10" customWidth="1"/>
    <col min="9222" max="9222" width="12.54296875" customWidth="1"/>
    <col min="9223" max="9223" width="13.453125" customWidth="1"/>
    <col min="9224" max="9224" width="12" customWidth="1"/>
    <col min="9225" max="9225" width="12.1796875" customWidth="1"/>
    <col min="9226" max="9226" width="11.7265625" customWidth="1"/>
    <col min="9227" max="9232" width="0" hidden="1" customWidth="1"/>
    <col min="9233" max="9233" width="15.7265625" customWidth="1"/>
    <col min="9234" max="9234" width="12.54296875" customWidth="1"/>
    <col min="9235" max="9235" width="0" hidden="1" customWidth="1"/>
    <col min="9236" max="9236" width="12.81640625" customWidth="1"/>
    <col min="9473" max="9473" width="3.54296875" customWidth="1"/>
    <col min="9474" max="9474" width="37.453125" customWidth="1"/>
    <col min="9475" max="9475" width="19.54296875" customWidth="1"/>
    <col min="9476" max="9476" width="12" customWidth="1"/>
    <col min="9477" max="9477" width="10" customWidth="1"/>
    <col min="9478" max="9478" width="12.54296875" customWidth="1"/>
    <col min="9479" max="9479" width="13.453125" customWidth="1"/>
    <col min="9480" max="9480" width="12" customWidth="1"/>
    <col min="9481" max="9481" width="12.1796875" customWidth="1"/>
    <col min="9482" max="9482" width="11.7265625" customWidth="1"/>
    <col min="9483" max="9488" width="0" hidden="1" customWidth="1"/>
    <col min="9489" max="9489" width="15.7265625" customWidth="1"/>
    <col min="9490" max="9490" width="12.54296875" customWidth="1"/>
    <col min="9491" max="9491" width="0" hidden="1" customWidth="1"/>
    <col min="9492" max="9492" width="12.81640625" customWidth="1"/>
    <col min="9729" max="9729" width="3.54296875" customWidth="1"/>
    <col min="9730" max="9730" width="37.453125" customWidth="1"/>
    <col min="9731" max="9731" width="19.54296875" customWidth="1"/>
    <col min="9732" max="9732" width="12" customWidth="1"/>
    <col min="9733" max="9733" width="10" customWidth="1"/>
    <col min="9734" max="9734" width="12.54296875" customWidth="1"/>
    <col min="9735" max="9735" width="13.453125" customWidth="1"/>
    <col min="9736" max="9736" width="12" customWidth="1"/>
    <col min="9737" max="9737" width="12.1796875" customWidth="1"/>
    <col min="9738" max="9738" width="11.7265625" customWidth="1"/>
    <col min="9739" max="9744" width="0" hidden="1" customWidth="1"/>
    <col min="9745" max="9745" width="15.7265625" customWidth="1"/>
    <col min="9746" max="9746" width="12.54296875" customWidth="1"/>
    <col min="9747" max="9747" width="0" hidden="1" customWidth="1"/>
    <col min="9748" max="9748" width="12.81640625" customWidth="1"/>
    <col min="9985" max="9985" width="3.54296875" customWidth="1"/>
    <col min="9986" max="9986" width="37.453125" customWidth="1"/>
    <col min="9987" max="9987" width="19.54296875" customWidth="1"/>
    <col min="9988" max="9988" width="12" customWidth="1"/>
    <col min="9989" max="9989" width="10" customWidth="1"/>
    <col min="9990" max="9990" width="12.54296875" customWidth="1"/>
    <col min="9991" max="9991" width="13.453125" customWidth="1"/>
    <col min="9992" max="9992" width="12" customWidth="1"/>
    <col min="9993" max="9993" width="12.1796875" customWidth="1"/>
    <col min="9994" max="9994" width="11.7265625" customWidth="1"/>
    <col min="9995" max="10000" width="0" hidden="1" customWidth="1"/>
    <col min="10001" max="10001" width="15.7265625" customWidth="1"/>
    <col min="10002" max="10002" width="12.54296875" customWidth="1"/>
    <col min="10003" max="10003" width="0" hidden="1" customWidth="1"/>
    <col min="10004" max="10004" width="12.81640625" customWidth="1"/>
    <col min="10241" max="10241" width="3.54296875" customWidth="1"/>
    <col min="10242" max="10242" width="37.453125" customWidth="1"/>
    <col min="10243" max="10243" width="19.54296875" customWidth="1"/>
    <col min="10244" max="10244" width="12" customWidth="1"/>
    <col min="10245" max="10245" width="10" customWidth="1"/>
    <col min="10246" max="10246" width="12.54296875" customWidth="1"/>
    <col min="10247" max="10247" width="13.453125" customWidth="1"/>
    <col min="10248" max="10248" width="12" customWidth="1"/>
    <col min="10249" max="10249" width="12.1796875" customWidth="1"/>
    <col min="10250" max="10250" width="11.7265625" customWidth="1"/>
    <col min="10251" max="10256" width="0" hidden="1" customWidth="1"/>
    <col min="10257" max="10257" width="15.7265625" customWidth="1"/>
    <col min="10258" max="10258" width="12.54296875" customWidth="1"/>
    <col min="10259" max="10259" width="0" hidden="1" customWidth="1"/>
    <col min="10260" max="10260" width="12.81640625" customWidth="1"/>
    <col min="10497" max="10497" width="3.54296875" customWidth="1"/>
    <col min="10498" max="10498" width="37.453125" customWidth="1"/>
    <col min="10499" max="10499" width="19.54296875" customWidth="1"/>
    <col min="10500" max="10500" width="12" customWidth="1"/>
    <col min="10501" max="10501" width="10" customWidth="1"/>
    <col min="10502" max="10502" width="12.54296875" customWidth="1"/>
    <col min="10503" max="10503" width="13.453125" customWidth="1"/>
    <col min="10504" max="10504" width="12" customWidth="1"/>
    <col min="10505" max="10505" width="12.1796875" customWidth="1"/>
    <col min="10506" max="10506" width="11.7265625" customWidth="1"/>
    <col min="10507" max="10512" width="0" hidden="1" customWidth="1"/>
    <col min="10513" max="10513" width="15.7265625" customWidth="1"/>
    <col min="10514" max="10514" width="12.54296875" customWidth="1"/>
    <col min="10515" max="10515" width="0" hidden="1" customWidth="1"/>
    <col min="10516" max="10516" width="12.81640625" customWidth="1"/>
    <col min="10753" max="10753" width="3.54296875" customWidth="1"/>
    <col min="10754" max="10754" width="37.453125" customWidth="1"/>
    <col min="10755" max="10755" width="19.54296875" customWidth="1"/>
    <col min="10756" max="10756" width="12" customWidth="1"/>
    <col min="10757" max="10757" width="10" customWidth="1"/>
    <col min="10758" max="10758" width="12.54296875" customWidth="1"/>
    <col min="10759" max="10759" width="13.453125" customWidth="1"/>
    <col min="10760" max="10760" width="12" customWidth="1"/>
    <col min="10761" max="10761" width="12.1796875" customWidth="1"/>
    <col min="10762" max="10762" width="11.7265625" customWidth="1"/>
    <col min="10763" max="10768" width="0" hidden="1" customWidth="1"/>
    <col min="10769" max="10769" width="15.7265625" customWidth="1"/>
    <col min="10770" max="10770" width="12.54296875" customWidth="1"/>
    <col min="10771" max="10771" width="0" hidden="1" customWidth="1"/>
    <col min="10772" max="10772" width="12.81640625" customWidth="1"/>
    <col min="11009" max="11009" width="3.54296875" customWidth="1"/>
    <col min="11010" max="11010" width="37.453125" customWidth="1"/>
    <col min="11011" max="11011" width="19.54296875" customWidth="1"/>
    <col min="11012" max="11012" width="12" customWidth="1"/>
    <col min="11013" max="11013" width="10" customWidth="1"/>
    <col min="11014" max="11014" width="12.54296875" customWidth="1"/>
    <col min="11015" max="11015" width="13.453125" customWidth="1"/>
    <col min="11016" max="11016" width="12" customWidth="1"/>
    <col min="11017" max="11017" width="12.1796875" customWidth="1"/>
    <col min="11018" max="11018" width="11.7265625" customWidth="1"/>
    <col min="11019" max="11024" width="0" hidden="1" customWidth="1"/>
    <col min="11025" max="11025" width="15.7265625" customWidth="1"/>
    <col min="11026" max="11026" width="12.54296875" customWidth="1"/>
    <col min="11027" max="11027" width="0" hidden="1" customWidth="1"/>
    <col min="11028" max="11028" width="12.81640625" customWidth="1"/>
    <col min="11265" max="11265" width="3.54296875" customWidth="1"/>
    <col min="11266" max="11266" width="37.453125" customWidth="1"/>
    <col min="11267" max="11267" width="19.54296875" customWidth="1"/>
    <col min="11268" max="11268" width="12" customWidth="1"/>
    <col min="11269" max="11269" width="10" customWidth="1"/>
    <col min="11270" max="11270" width="12.54296875" customWidth="1"/>
    <col min="11271" max="11271" width="13.453125" customWidth="1"/>
    <col min="11272" max="11272" width="12" customWidth="1"/>
    <col min="11273" max="11273" width="12.1796875" customWidth="1"/>
    <col min="11274" max="11274" width="11.7265625" customWidth="1"/>
    <col min="11275" max="11280" width="0" hidden="1" customWidth="1"/>
    <col min="11281" max="11281" width="15.7265625" customWidth="1"/>
    <col min="11282" max="11282" width="12.54296875" customWidth="1"/>
    <col min="11283" max="11283" width="0" hidden="1" customWidth="1"/>
    <col min="11284" max="11284" width="12.81640625" customWidth="1"/>
    <col min="11521" max="11521" width="3.54296875" customWidth="1"/>
    <col min="11522" max="11522" width="37.453125" customWidth="1"/>
    <col min="11523" max="11523" width="19.54296875" customWidth="1"/>
    <col min="11524" max="11524" width="12" customWidth="1"/>
    <col min="11525" max="11525" width="10" customWidth="1"/>
    <col min="11526" max="11526" width="12.54296875" customWidth="1"/>
    <col min="11527" max="11527" width="13.453125" customWidth="1"/>
    <col min="11528" max="11528" width="12" customWidth="1"/>
    <col min="11529" max="11529" width="12.1796875" customWidth="1"/>
    <col min="11530" max="11530" width="11.7265625" customWidth="1"/>
    <col min="11531" max="11536" width="0" hidden="1" customWidth="1"/>
    <col min="11537" max="11537" width="15.7265625" customWidth="1"/>
    <col min="11538" max="11538" width="12.54296875" customWidth="1"/>
    <col min="11539" max="11539" width="0" hidden="1" customWidth="1"/>
    <col min="11540" max="11540" width="12.81640625" customWidth="1"/>
    <col min="11777" max="11777" width="3.54296875" customWidth="1"/>
    <col min="11778" max="11778" width="37.453125" customWidth="1"/>
    <col min="11779" max="11779" width="19.54296875" customWidth="1"/>
    <col min="11780" max="11780" width="12" customWidth="1"/>
    <col min="11781" max="11781" width="10" customWidth="1"/>
    <col min="11782" max="11782" width="12.54296875" customWidth="1"/>
    <col min="11783" max="11783" width="13.453125" customWidth="1"/>
    <col min="11784" max="11784" width="12" customWidth="1"/>
    <col min="11785" max="11785" width="12.1796875" customWidth="1"/>
    <col min="11786" max="11786" width="11.7265625" customWidth="1"/>
    <col min="11787" max="11792" width="0" hidden="1" customWidth="1"/>
    <col min="11793" max="11793" width="15.7265625" customWidth="1"/>
    <col min="11794" max="11794" width="12.54296875" customWidth="1"/>
    <col min="11795" max="11795" width="0" hidden="1" customWidth="1"/>
    <col min="11796" max="11796" width="12.81640625" customWidth="1"/>
    <col min="12033" max="12033" width="3.54296875" customWidth="1"/>
    <col min="12034" max="12034" width="37.453125" customWidth="1"/>
    <col min="12035" max="12035" width="19.54296875" customWidth="1"/>
    <col min="12036" max="12036" width="12" customWidth="1"/>
    <col min="12037" max="12037" width="10" customWidth="1"/>
    <col min="12038" max="12038" width="12.54296875" customWidth="1"/>
    <col min="12039" max="12039" width="13.453125" customWidth="1"/>
    <col min="12040" max="12040" width="12" customWidth="1"/>
    <col min="12041" max="12041" width="12.1796875" customWidth="1"/>
    <col min="12042" max="12042" width="11.7265625" customWidth="1"/>
    <col min="12043" max="12048" width="0" hidden="1" customWidth="1"/>
    <col min="12049" max="12049" width="15.7265625" customWidth="1"/>
    <col min="12050" max="12050" width="12.54296875" customWidth="1"/>
    <col min="12051" max="12051" width="0" hidden="1" customWidth="1"/>
    <col min="12052" max="12052" width="12.81640625" customWidth="1"/>
    <col min="12289" max="12289" width="3.54296875" customWidth="1"/>
    <col min="12290" max="12290" width="37.453125" customWidth="1"/>
    <col min="12291" max="12291" width="19.54296875" customWidth="1"/>
    <col min="12292" max="12292" width="12" customWidth="1"/>
    <col min="12293" max="12293" width="10" customWidth="1"/>
    <col min="12294" max="12294" width="12.54296875" customWidth="1"/>
    <col min="12295" max="12295" width="13.453125" customWidth="1"/>
    <col min="12296" max="12296" width="12" customWidth="1"/>
    <col min="12297" max="12297" width="12.1796875" customWidth="1"/>
    <col min="12298" max="12298" width="11.7265625" customWidth="1"/>
    <col min="12299" max="12304" width="0" hidden="1" customWidth="1"/>
    <col min="12305" max="12305" width="15.7265625" customWidth="1"/>
    <col min="12306" max="12306" width="12.54296875" customWidth="1"/>
    <col min="12307" max="12307" width="0" hidden="1" customWidth="1"/>
    <col min="12308" max="12308" width="12.81640625" customWidth="1"/>
    <col min="12545" max="12545" width="3.54296875" customWidth="1"/>
    <col min="12546" max="12546" width="37.453125" customWidth="1"/>
    <col min="12547" max="12547" width="19.54296875" customWidth="1"/>
    <col min="12548" max="12548" width="12" customWidth="1"/>
    <col min="12549" max="12549" width="10" customWidth="1"/>
    <col min="12550" max="12550" width="12.54296875" customWidth="1"/>
    <col min="12551" max="12551" width="13.453125" customWidth="1"/>
    <col min="12552" max="12552" width="12" customWidth="1"/>
    <col min="12553" max="12553" width="12.1796875" customWidth="1"/>
    <col min="12554" max="12554" width="11.7265625" customWidth="1"/>
    <col min="12555" max="12560" width="0" hidden="1" customWidth="1"/>
    <col min="12561" max="12561" width="15.7265625" customWidth="1"/>
    <col min="12562" max="12562" width="12.54296875" customWidth="1"/>
    <col min="12563" max="12563" width="0" hidden="1" customWidth="1"/>
    <col min="12564" max="12564" width="12.81640625" customWidth="1"/>
    <col min="12801" max="12801" width="3.54296875" customWidth="1"/>
    <col min="12802" max="12802" width="37.453125" customWidth="1"/>
    <col min="12803" max="12803" width="19.54296875" customWidth="1"/>
    <col min="12804" max="12804" width="12" customWidth="1"/>
    <col min="12805" max="12805" width="10" customWidth="1"/>
    <col min="12806" max="12806" width="12.54296875" customWidth="1"/>
    <col min="12807" max="12807" width="13.453125" customWidth="1"/>
    <col min="12808" max="12808" width="12" customWidth="1"/>
    <col min="12809" max="12809" width="12.1796875" customWidth="1"/>
    <col min="12810" max="12810" width="11.7265625" customWidth="1"/>
    <col min="12811" max="12816" width="0" hidden="1" customWidth="1"/>
    <col min="12817" max="12817" width="15.7265625" customWidth="1"/>
    <col min="12818" max="12818" width="12.54296875" customWidth="1"/>
    <col min="12819" max="12819" width="0" hidden="1" customWidth="1"/>
    <col min="12820" max="12820" width="12.81640625" customWidth="1"/>
    <col min="13057" max="13057" width="3.54296875" customWidth="1"/>
    <col min="13058" max="13058" width="37.453125" customWidth="1"/>
    <col min="13059" max="13059" width="19.54296875" customWidth="1"/>
    <col min="13060" max="13060" width="12" customWidth="1"/>
    <col min="13061" max="13061" width="10" customWidth="1"/>
    <col min="13062" max="13062" width="12.54296875" customWidth="1"/>
    <col min="13063" max="13063" width="13.453125" customWidth="1"/>
    <col min="13064" max="13064" width="12" customWidth="1"/>
    <col min="13065" max="13065" width="12.1796875" customWidth="1"/>
    <col min="13066" max="13066" width="11.7265625" customWidth="1"/>
    <col min="13067" max="13072" width="0" hidden="1" customWidth="1"/>
    <col min="13073" max="13073" width="15.7265625" customWidth="1"/>
    <col min="13074" max="13074" width="12.54296875" customWidth="1"/>
    <col min="13075" max="13075" width="0" hidden="1" customWidth="1"/>
    <col min="13076" max="13076" width="12.81640625" customWidth="1"/>
    <col min="13313" max="13313" width="3.54296875" customWidth="1"/>
    <col min="13314" max="13314" width="37.453125" customWidth="1"/>
    <col min="13315" max="13315" width="19.54296875" customWidth="1"/>
    <col min="13316" max="13316" width="12" customWidth="1"/>
    <col min="13317" max="13317" width="10" customWidth="1"/>
    <col min="13318" max="13318" width="12.54296875" customWidth="1"/>
    <col min="13319" max="13319" width="13.453125" customWidth="1"/>
    <col min="13320" max="13320" width="12" customWidth="1"/>
    <col min="13321" max="13321" width="12.1796875" customWidth="1"/>
    <col min="13322" max="13322" width="11.7265625" customWidth="1"/>
    <col min="13323" max="13328" width="0" hidden="1" customWidth="1"/>
    <col min="13329" max="13329" width="15.7265625" customWidth="1"/>
    <col min="13330" max="13330" width="12.54296875" customWidth="1"/>
    <col min="13331" max="13331" width="0" hidden="1" customWidth="1"/>
    <col min="13332" max="13332" width="12.81640625" customWidth="1"/>
    <col min="13569" max="13569" width="3.54296875" customWidth="1"/>
    <col min="13570" max="13570" width="37.453125" customWidth="1"/>
    <col min="13571" max="13571" width="19.54296875" customWidth="1"/>
    <col min="13572" max="13572" width="12" customWidth="1"/>
    <col min="13573" max="13573" width="10" customWidth="1"/>
    <col min="13574" max="13574" width="12.54296875" customWidth="1"/>
    <col min="13575" max="13575" width="13.453125" customWidth="1"/>
    <col min="13576" max="13576" width="12" customWidth="1"/>
    <col min="13577" max="13577" width="12.1796875" customWidth="1"/>
    <col min="13578" max="13578" width="11.7265625" customWidth="1"/>
    <col min="13579" max="13584" width="0" hidden="1" customWidth="1"/>
    <col min="13585" max="13585" width="15.7265625" customWidth="1"/>
    <col min="13586" max="13586" width="12.54296875" customWidth="1"/>
    <col min="13587" max="13587" width="0" hidden="1" customWidth="1"/>
    <col min="13588" max="13588" width="12.81640625" customWidth="1"/>
    <col min="13825" max="13825" width="3.54296875" customWidth="1"/>
    <col min="13826" max="13826" width="37.453125" customWidth="1"/>
    <col min="13827" max="13827" width="19.54296875" customWidth="1"/>
    <col min="13828" max="13828" width="12" customWidth="1"/>
    <col min="13829" max="13829" width="10" customWidth="1"/>
    <col min="13830" max="13830" width="12.54296875" customWidth="1"/>
    <col min="13831" max="13831" width="13.453125" customWidth="1"/>
    <col min="13832" max="13832" width="12" customWidth="1"/>
    <col min="13833" max="13833" width="12.1796875" customWidth="1"/>
    <col min="13834" max="13834" width="11.7265625" customWidth="1"/>
    <col min="13835" max="13840" width="0" hidden="1" customWidth="1"/>
    <col min="13841" max="13841" width="15.7265625" customWidth="1"/>
    <col min="13842" max="13842" width="12.54296875" customWidth="1"/>
    <col min="13843" max="13843" width="0" hidden="1" customWidth="1"/>
    <col min="13844" max="13844" width="12.81640625" customWidth="1"/>
    <col min="14081" max="14081" width="3.54296875" customWidth="1"/>
    <col min="14082" max="14082" width="37.453125" customWidth="1"/>
    <col min="14083" max="14083" width="19.54296875" customWidth="1"/>
    <col min="14084" max="14084" width="12" customWidth="1"/>
    <col min="14085" max="14085" width="10" customWidth="1"/>
    <col min="14086" max="14086" width="12.54296875" customWidth="1"/>
    <col min="14087" max="14087" width="13.453125" customWidth="1"/>
    <col min="14088" max="14088" width="12" customWidth="1"/>
    <col min="14089" max="14089" width="12.1796875" customWidth="1"/>
    <col min="14090" max="14090" width="11.7265625" customWidth="1"/>
    <col min="14091" max="14096" width="0" hidden="1" customWidth="1"/>
    <col min="14097" max="14097" width="15.7265625" customWidth="1"/>
    <col min="14098" max="14098" width="12.54296875" customWidth="1"/>
    <col min="14099" max="14099" width="0" hidden="1" customWidth="1"/>
    <col min="14100" max="14100" width="12.81640625" customWidth="1"/>
    <col min="14337" max="14337" width="3.54296875" customWidth="1"/>
    <col min="14338" max="14338" width="37.453125" customWidth="1"/>
    <col min="14339" max="14339" width="19.54296875" customWidth="1"/>
    <col min="14340" max="14340" width="12" customWidth="1"/>
    <col min="14341" max="14341" width="10" customWidth="1"/>
    <col min="14342" max="14342" width="12.54296875" customWidth="1"/>
    <col min="14343" max="14343" width="13.453125" customWidth="1"/>
    <col min="14344" max="14344" width="12" customWidth="1"/>
    <col min="14345" max="14345" width="12.1796875" customWidth="1"/>
    <col min="14346" max="14346" width="11.7265625" customWidth="1"/>
    <col min="14347" max="14352" width="0" hidden="1" customWidth="1"/>
    <col min="14353" max="14353" width="15.7265625" customWidth="1"/>
    <col min="14354" max="14354" width="12.54296875" customWidth="1"/>
    <col min="14355" max="14355" width="0" hidden="1" customWidth="1"/>
    <col min="14356" max="14356" width="12.81640625" customWidth="1"/>
    <col min="14593" max="14593" width="3.54296875" customWidth="1"/>
    <col min="14594" max="14594" width="37.453125" customWidth="1"/>
    <col min="14595" max="14595" width="19.54296875" customWidth="1"/>
    <col min="14596" max="14596" width="12" customWidth="1"/>
    <col min="14597" max="14597" width="10" customWidth="1"/>
    <col min="14598" max="14598" width="12.54296875" customWidth="1"/>
    <col min="14599" max="14599" width="13.453125" customWidth="1"/>
    <col min="14600" max="14600" width="12" customWidth="1"/>
    <col min="14601" max="14601" width="12.1796875" customWidth="1"/>
    <col min="14602" max="14602" width="11.7265625" customWidth="1"/>
    <col min="14603" max="14608" width="0" hidden="1" customWidth="1"/>
    <col min="14609" max="14609" width="15.7265625" customWidth="1"/>
    <col min="14610" max="14610" width="12.54296875" customWidth="1"/>
    <col min="14611" max="14611" width="0" hidden="1" customWidth="1"/>
    <col min="14612" max="14612" width="12.81640625" customWidth="1"/>
    <col min="14849" max="14849" width="3.54296875" customWidth="1"/>
    <col min="14850" max="14850" width="37.453125" customWidth="1"/>
    <col min="14851" max="14851" width="19.54296875" customWidth="1"/>
    <col min="14852" max="14852" width="12" customWidth="1"/>
    <col min="14853" max="14853" width="10" customWidth="1"/>
    <col min="14854" max="14854" width="12.54296875" customWidth="1"/>
    <col min="14855" max="14855" width="13.453125" customWidth="1"/>
    <col min="14856" max="14856" width="12" customWidth="1"/>
    <col min="14857" max="14857" width="12.1796875" customWidth="1"/>
    <col min="14858" max="14858" width="11.7265625" customWidth="1"/>
    <col min="14859" max="14864" width="0" hidden="1" customWidth="1"/>
    <col min="14865" max="14865" width="15.7265625" customWidth="1"/>
    <col min="14866" max="14866" width="12.54296875" customWidth="1"/>
    <col min="14867" max="14867" width="0" hidden="1" customWidth="1"/>
    <col min="14868" max="14868" width="12.81640625" customWidth="1"/>
    <col min="15105" max="15105" width="3.54296875" customWidth="1"/>
    <col min="15106" max="15106" width="37.453125" customWidth="1"/>
    <col min="15107" max="15107" width="19.54296875" customWidth="1"/>
    <col min="15108" max="15108" width="12" customWidth="1"/>
    <col min="15109" max="15109" width="10" customWidth="1"/>
    <col min="15110" max="15110" width="12.54296875" customWidth="1"/>
    <col min="15111" max="15111" width="13.453125" customWidth="1"/>
    <col min="15112" max="15112" width="12" customWidth="1"/>
    <col min="15113" max="15113" width="12.1796875" customWidth="1"/>
    <col min="15114" max="15114" width="11.7265625" customWidth="1"/>
    <col min="15115" max="15120" width="0" hidden="1" customWidth="1"/>
    <col min="15121" max="15121" width="15.7265625" customWidth="1"/>
    <col min="15122" max="15122" width="12.54296875" customWidth="1"/>
    <col min="15123" max="15123" width="0" hidden="1" customWidth="1"/>
    <col min="15124" max="15124" width="12.81640625" customWidth="1"/>
    <col min="15361" max="15361" width="3.54296875" customWidth="1"/>
    <col min="15362" max="15362" width="37.453125" customWidth="1"/>
    <col min="15363" max="15363" width="19.54296875" customWidth="1"/>
    <col min="15364" max="15364" width="12" customWidth="1"/>
    <col min="15365" max="15365" width="10" customWidth="1"/>
    <col min="15366" max="15366" width="12.54296875" customWidth="1"/>
    <col min="15367" max="15367" width="13.453125" customWidth="1"/>
    <col min="15368" max="15368" width="12" customWidth="1"/>
    <col min="15369" max="15369" width="12.1796875" customWidth="1"/>
    <col min="15370" max="15370" width="11.7265625" customWidth="1"/>
    <col min="15371" max="15376" width="0" hidden="1" customWidth="1"/>
    <col min="15377" max="15377" width="15.7265625" customWidth="1"/>
    <col min="15378" max="15378" width="12.54296875" customWidth="1"/>
    <col min="15379" max="15379" width="0" hidden="1" customWidth="1"/>
    <col min="15380" max="15380" width="12.81640625" customWidth="1"/>
    <col min="15617" max="15617" width="3.54296875" customWidth="1"/>
    <col min="15618" max="15618" width="37.453125" customWidth="1"/>
    <col min="15619" max="15619" width="19.54296875" customWidth="1"/>
    <col min="15620" max="15620" width="12" customWidth="1"/>
    <col min="15621" max="15621" width="10" customWidth="1"/>
    <col min="15622" max="15622" width="12.54296875" customWidth="1"/>
    <col min="15623" max="15623" width="13.453125" customWidth="1"/>
    <col min="15624" max="15624" width="12" customWidth="1"/>
    <col min="15625" max="15625" width="12.1796875" customWidth="1"/>
    <col min="15626" max="15626" width="11.7265625" customWidth="1"/>
    <col min="15627" max="15632" width="0" hidden="1" customWidth="1"/>
    <col min="15633" max="15633" width="15.7265625" customWidth="1"/>
    <col min="15634" max="15634" width="12.54296875" customWidth="1"/>
    <col min="15635" max="15635" width="0" hidden="1" customWidth="1"/>
    <col min="15636" max="15636" width="12.81640625" customWidth="1"/>
    <col min="15873" max="15873" width="3.54296875" customWidth="1"/>
    <col min="15874" max="15874" width="37.453125" customWidth="1"/>
    <col min="15875" max="15875" width="19.54296875" customWidth="1"/>
    <col min="15876" max="15876" width="12" customWidth="1"/>
    <col min="15877" max="15877" width="10" customWidth="1"/>
    <col min="15878" max="15878" width="12.54296875" customWidth="1"/>
    <col min="15879" max="15879" width="13.453125" customWidth="1"/>
    <col min="15880" max="15880" width="12" customWidth="1"/>
    <col min="15881" max="15881" width="12.1796875" customWidth="1"/>
    <col min="15882" max="15882" width="11.7265625" customWidth="1"/>
    <col min="15883" max="15888" width="0" hidden="1" customWidth="1"/>
    <col min="15889" max="15889" width="15.7265625" customWidth="1"/>
    <col min="15890" max="15890" width="12.54296875" customWidth="1"/>
    <col min="15891" max="15891" width="0" hidden="1" customWidth="1"/>
    <col min="15892" max="15892" width="12.81640625" customWidth="1"/>
    <col min="16129" max="16129" width="3.54296875" customWidth="1"/>
    <col min="16130" max="16130" width="37.453125" customWidth="1"/>
    <col min="16131" max="16131" width="19.54296875" customWidth="1"/>
    <col min="16132" max="16132" width="12" customWidth="1"/>
    <col min="16133" max="16133" width="10" customWidth="1"/>
    <col min="16134" max="16134" width="12.54296875" customWidth="1"/>
    <col min="16135" max="16135" width="13.453125" customWidth="1"/>
    <col min="16136" max="16136" width="12" customWidth="1"/>
    <col min="16137" max="16137" width="12.1796875" customWidth="1"/>
    <col min="16138" max="16138" width="11.7265625" customWidth="1"/>
    <col min="16139" max="16144" width="0" hidden="1" customWidth="1"/>
    <col min="16145" max="16145" width="15.7265625" customWidth="1"/>
    <col min="16146" max="16146" width="12.54296875" customWidth="1"/>
    <col min="16147" max="16147" width="0" hidden="1" customWidth="1"/>
    <col min="16148" max="16148" width="12.81640625" customWidth="1"/>
  </cols>
  <sheetData>
    <row r="1" spans="1:20" x14ac:dyDescent="0.25">
      <c r="B1" s="1649" t="s">
        <v>218</v>
      </c>
      <c r="C1" s="1650"/>
      <c r="D1" s="1650"/>
      <c r="E1" s="1650"/>
      <c r="F1" s="1650"/>
      <c r="G1" s="1650"/>
      <c r="H1" s="1650"/>
      <c r="I1" s="1650"/>
      <c r="J1" s="1650"/>
      <c r="K1" s="1650"/>
      <c r="L1" s="1650"/>
      <c r="M1" s="1650"/>
      <c r="N1" s="1650"/>
      <c r="O1" s="1650"/>
      <c r="P1" s="1650"/>
      <c r="Q1" s="1650"/>
      <c r="R1" s="1650"/>
      <c r="S1" s="1651"/>
    </row>
    <row r="2" spans="1:20" ht="9" customHeight="1" x14ac:dyDescent="0.25">
      <c r="B2" s="104"/>
      <c r="S2" s="354"/>
    </row>
    <row r="3" spans="1:20" x14ac:dyDescent="0.25">
      <c r="B3" s="1652" t="s">
        <v>1484</v>
      </c>
      <c r="C3" s="1653"/>
      <c r="D3" s="1653"/>
      <c r="E3" s="1653"/>
      <c r="F3" s="1653"/>
      <c r="G3" s="1653"/>
      <c r="H3" s="1653"/>
      <c r="I3" s="1653"/>
      <c r="J3" s="1653"/>
      <c r="K3" s="1653"/>
      <c r="L3" s="1653"/>
      <c r="M3" s="1653"/>
      <c r="N3" s="1653"/>
      <c r="O3" s="1653"/>
      <c r="P3" s="1653"/>
      <c r="Q3" s="1653"/>
      <c r="R3" s="1653"/>
      <c r="S3" s="1654"/>
    </row>
    <row r="4" spans="1:20" x14ac:dyDescent="0.25">
      <c r="B4" s="105"/>
      <c r="C4" s="650"/>
      <c r="D4" s="650"/>
      <c r="E4" s="650"/>
      <c r="F4" s="650"/>
      <c r="G4" s="650"/>
      <c r="H4" s="650"/>
      <c r="I4" s="650"/>
      <c r="J4" s="650"/>
      <c r="K4" s="650"/>
      <c r="L4" s="650"/>
      <c r="M4" s="650"/>
      <c r="N4" s="651"/>
      <c r="O4" s="650"/>
      <c r="P4" s="650"/>
      <c r="Q4" s="650"/>
      <c r="R4" s="650"/>
      <c r="S4" s="355"/>
    </row>
    <row r="5" spans="1:20" ht="23.25" customHeight="1" x14ac:dyDescent="0.3">
      <c r="A5">
        <v>1</v>
      </c>
      <c r="B5" s="13">
        <v>6</v>
      </c>
      <c r="C5" s="357" t="s">
        <v>1408</v>
      </c>
      <c r="D5" s="357" t="s">
        <v>1221</v>
      </c>
      <c r="E5" s="357" t="s">
        <v>14</v>
      </c>
      <c r="F5" s="357" t="s">
        <v>15</v>
      </c>
      <c r="G5" s="357" t="s">
        <v>1222</v>
      </c>
      <c r="H5" s="996" t="s">
        <v>16</v>
      </c>
      <c r="I5" s="357" t="s">
        <v>17</v>
      </c>
      <c r="J5" s="997" t="s">
        <v>18</v>
      </c>
      <c r="K5" s="357" t="s">
        <v>19</v>
      </c>
      <c r="L5" s="357" t="s">
        <v>20</v>
      </c>
      <c r="M5" s="357" t="s">
        <v>21</v>
      </c>
      <c r="N5" s="357" t="s">
        <v>22</v>
      </c>
      <c r="O5" s="357" t="s">
        <v>23</v>
      </c>
      <c r="P5" s="996" t="s">
        <v>24</v>
      </c>
      <c r="Q5" s="998" t="s">
        <v>26</v>
      </c>
      <c r="R5" s="357" t="s">
        <v>25</v>
      </c>
      <c r="S5" s="653" t="s">
        <v>46</v>
      </c>
      <c r="T5" s="654" t="s">
        <v>1223</v>
      </c>
    </row>
    <row r="6" spans="1:20" x14ac:dyDescent="0.25">
      <c r="B6" s="53" t="s">
        <v>45</v>
      </c>
      <c r="C6" s="362">
        <v>353308839</v>
      </c>
      <c r="D6" s="362">
        <f>+C6/12</f>
        <v>29442403.25</v>
      </c>
      <c r="E6" s="362">
        <f>-287015+28701567</f>
        <v>28414552</v>
      </c>
      <c r="F6" s="362">
        <v>28414552</v>
      </c>
      <c r="G6" s="362">
        <v>28414552</v>
      </c>
      <c r="H6" s="999">
        <f>+H8-H7</f>
        <v>32509259</v>
      </c>
      <c r="I6" s="362">
        <f>29735584-I7</f>
        <v>29438226</v>
      </c>
      <c r="J6" s="867">
        <f>+J8-J7</f>
        <v>29438226</v>
      </c>
      <c r="K6" s="362"/>
      <c r="L6" s="362"/>
      <c r="M6" s="362"/>
      <c r="N6" s="362"/>
      <c r="O6" s="362"/>
      <c r="P6" s="999"/>
      <c r="Q6" s="867">
        <f>SUM(E6:P6)</f>
        <v>176629367</v>
      </c>
      <c r="R6" s="362">
        <f>+D6*$B$5</f>
        <v>176654419.5</v>
      </c>
      <c r="S6" s="655">
        <f>+R6-Q6</f>
        <v>25052.5</v>
      </c>
      <c r="T6" s="656">
        <f>+R6-Q6</f>
        <v>25052.5</v>
      </c>
    </row>
    <row r="7" spans="1:20" x14ac:dyDescent="0.25">
      <c r="B7" s="13" t="s">
        <v>120</v>
      </c>
      <c r="C7" s="364">
        <v>3533088</v>
      </c>
      <c r="D7" s="362">
        <f>+C7/12</f>
        <v>294424</v>
      </c>
      <c r="E7" s="364">
        <v>287015</v>
      </c>
      <c r="F7" s="364">
        <v>287015</v>
      </c>
      <c r="G7" s="364">
        <v>287015</v>
      </c>
      <c r="H7" s="1000">
        <v>328376</v>
      </c>
      <c r="I7" s="364">
        <v>297358</v>
      </c>
      <c r="J7" s="361">
        <v>297358</v>
      </c>
      <c r="K7" s="364"/>
      <c r="L7" s="364"/>
      <c r="M7" s="364"/>
      <c r="N7" s="364"/>
      <c r="O7" s="364"/>
      <c r="P7" s="1000"/>
      <c r="Q7" s="361">
        <f>SUM(E7:P7)</f>
        <v>1784137</v>
      </c>
      <c r="R7" s="364">
        <f>+D7*$B$5</f>
        <v>1766544</v>
      </c>
      <c r="S7" s="655">
        <f>+R7-Q7</f>
        <v>-17593</v>
      </c>
      <c r="T7" s="656">
        <f>+R7-Q7</f>
        <v>-17593</v>
      </c>
    </row>
    <row r="8" spans="1:20" ht="14" x14ac:dyDescent="0.3">
      <c r="B8" s="864" t="s">
        <v>125</v>
      </c>
      <c r="C8" s="865">
        <f>+C6+C7</f>
        <v>356841927</v>
      </c>
      <c r="D8" s="865">
        <f t="shared" ref="D8:K8" si="0">SUM(D6:D7)</f>
        <v>29736827.25</v>
      </c>
      <c r="E8" s="865">
        <f t="shared" si="0"/>
        <v>28701567</v>
      </c>
      <c r="F8" s="865">
        <f t="shared" si="0"/>
        <v>28701567</v>
      </c>
      <c r="G8" s="865">
        <f t="shared" si="0"/>
        <v>28701567</v>
      </c>
      <c r="H8" s="1001">
        <v>32837635</v>
      </c>
      <c r="I8" s="907">
        <f>+I6+I7</f>
        <v>29735584</v>
      </c>
      <c r="J8" s="865">
        <v>29735584</v>
      </c>
      <c r="K8" s="865">
        <f t="shared" si="0"/>
        <v>0</v>
      </c>
      <c r="L8" s="865">
        <v>27282827</v>
      </c>
      <c r="M8" s="865">
        <f>SUM(M6:M7)</f>
        <v>0</v>
      </c>
      <c r="N8" s="865">
        <f>SUM(N6:N7)</f>
        <v>0</v>
      </c>
      <c r="O8" s="865">
        <f>SUM(O6:O7)</f>
        <v>0</v>
      </c>
      <c r="P8" s="1001">
        <f>SUM(P6:P7)</f>
        <v>0</v>
      </c>
      <c r="Q8" s="865">
        <f>SUM(Q6:Q7)</f>
        <v>178413504</v>
      </c>
      <c r="R8" s="907">
        <f>+D8*$B$5</f>
        <v>178420963.5</v>
      </c>
      <c r="S8" s="868">
        <f>+R8-Q8</f>
        <v>7459.5</v>
      </c>
      <c r="T8" s="504">
        <f>+R8-Q8</f>
        <v>7459.5</v>
      </c>
    </row>
    <row r="9" spans="1:20" ht="15.5" x14ac:dyDescent="0.25">
      <c r="B9" s="59" t="s">
        <v>77</v>
      </c>
      <c r="C9" s="366"/>
      <c r="D9" s="431" t="s">
        <v>33</v>
      </c>
      <c r="E9" s="431" t="s">
        <v>33</v>
      </c>
      <c r="F9" s="367"/>
      <c r="G9" s="367"/>
      <c r="H9" s="1002"/>
      <c r="I9" s="367"/>
      <c r="J9" s="1003"/>
      <c r="K9" s="367"/>
      <c r="L9" s="367"/>
      <c r="M9" s="367"/>
      <c r="N9" s="367"/>
      <c r="O9" s="367"/>
      <c r="P9" s="1002"/>
      <c r="Q9" s="1003"/>
      <c r="R9" s="367" t="s">
        <v>33</v>
      </c>
      <c r="S9" s="655"/>
      <c r="T9" s="657" t="s">
        <v>33</v>
      </c>
    </row>
    <row r="10" spans="1:20" ht="16.5" customHeight="1" x14ac:dyDescent="0.25">
      <c r="B10" s="60" t="s">
        <v>78</v>
      </c>
      <c r="C10" s="368"/>
      <c r="D10" s="369"/>
      <c r="E10" s="369"/>
      <c r="F10" s="371"/>
      <c r="G10" s="371"/>
      <c r="H10" s="1004"/>
      <c r="I10" s="371"/>
      <c r="J10" s="1005"/>
      <c r="K10" s="371"/>
      <c r="L10" s="371"/>
      <c r="M10" s="371"/>
      <c r="N10" s="371"/>
      <c r="O10" s="371"/>
      <c r="P10" s="1004"/>
      <c r="Q10" s="1005"/>
      <c r="R10" s="371" t="s">
        <v>33</v>
      </c>
      <c r="S10" s="658"/>
      <c r="T10" s="657" t="s">
        <v>33</v>
      </c>
    </row>
    <row r="11" spans="1:20" x14ac:dyDescent="0.25">
      <c r="B11" s="61" t="s">
        <v>79</v>
      </c>
      <c r="C11" s="659">
        <v>33199438.319999997</v>
      </c>
      <c r="D11" s="432">
        <f>+C11/12</f>
        <v>2766619.86</v>
      </c>
      <c r="E11" s="432">
        <v>2766619</v>
      </c>
      <c r="F11" s="374">
        <v>2766619</v>
      </c>
      <c r="G11" s="374">
        <v>2766619</v>
      </c>
      <c r="H11" s="1006">
        <v>2766619</v>
      </c>
      <c r="I11" s="374">
        <v>2827988</v>
      </c>
      <c r="J11" s="1007">
        <v>2766620</v>
      </c>
      <c r="K11" s="374"/>
      <c r="L11" s="374"/>
      <c r="M11" s="374"/>
      <c r="N11" s="374"/>
      <c r="O11" s="374"/>
      <c r="P11" s="1006"/>
      <c r="Q11" s="1007">
        <f t="shared" ref="Q11:Q18" si="1">SUM(E11:P11)</f>
        <v>16661084</v>
      </c>
      <c r="R11" s="374">
        <f t="shared" ref="R11:R19" si="2">+D11*$B$5</f>
        <v>16599719.16</v>
      </c>
      <c r="S11" s="655">
        <f t="shared" ref="S11:S18" si="3">+R11-Q11</f>
        <v>-61364.839999999851</v>
      </c>
      <c r="T11" s="656">
        <f t="shared" ref="T11:T19" si="4">+R11-Q11</f>
        <v>-61364.839999999851</v>
      </c>
    </row>
    <row r="12" spans="1:20" x14ac:dyDescent="0.25">
      <c r="B12" s="62" t="s">
        <v>80</v>
      </c>
      <c r="C12" s="660">
        <v>1260000</v>
      </c>
      <c r="D12" s="433">
        <f t="shared" ref="D12:D35" si="5">+C12/12</f>
        <v>105000</v>
      </c>
      <c r="E12" s="433">
        <v>143550</v>
      </c>
      <c r="F12" s="364">
        <v>235199</v>
      </c>
      <c r="G12" s="364">
        <v>220474</v>
      </c>
      <c r="H12" s="1000">
        <v>175110</v>
      </c>
      <c r="I12" s="364">
        <v>120400</v>
      </c>
      <c r="J12" s="361">
        <v>95350</v>
      </c>
      <c r="K12" s="364"/>
      <c r="L12" s="364"/>
      <c r="M12" s="364"/>
      <c r="N12" s="364"/>
      <c r="O12" s="364"/>
      <c r="P12" s="1000"/>
      <c r="Q12" s="361">
        <f t="shared" si="1"/>
        <v>990083</v>
      </c>
      <c r="R12" s="364">
        <f t="shared" si="2"/>
        <v>630000</v>
      </c>
      <c r="S12" s="655">
        <f t="shared" si="3"/>
        <v>-360083</v>
      </c>
      <c r="T12" s="656">
        <f t="shared" si="4"/>
        <v>-360083</v>
      </c>
    </row>
    <row r="13" spans="1:20" x14ac:dyDescent="0.25">
      <c r="B13" s="61" t="s">
        <v>81</v>
      </c>
      <c r="C13" s="659">
        <v>10500000</v>
      </c>
      <c r="D13" s="432">
        <f t="shared" si="5"/>
        <v>875000</v>
      </c>
      <c r="E13" s="432">
        <v>1581421</v>
      </c>
      <c r="F13" s="374">
        <v>0</v>
      </c>
      <c r="G13" s="374">
        <f>196100+277737+50000</f>
        <v>523837</v>
      </c>
      <c r="H13" s="1006">
        <v>338825</v>
      </c>
      <c r="I13" s="374">
        <f>-111750+278850</f>
        <v>167100</v>
      </c>
      <c r="J13" s="1007">
        <v>1050763</v>
      </c>
      <c r="K13" s="374"/>
      <c r="L13" s="374"/>
      <c r="M13" s="374"/>
      <c r="N13" s="374"/>
      <c r="O13" s="374"/>
      <c r="P13" s="1006"/>
      <c r="Q13" s="1007">
        <f t="shared" si="1"/>
        <v>3661946</v>
      </c>
      <c r="R13" s="374">
        <f t="shared" si="2"/>
        <v>5250000</v>
      </c>
      <c r="S13" s="655">
        <f t="shared" si="3"/>
        <v>1588054</v>
      </c>
      <c r="T13" s="656">
        <f t="shared" si="4"/>
        <v>1588054</v>
      </c>
    </row>
    <row r="14" spans="1:20" x14ac:dyDescent="0.25">
      <c r="B14" s="62" t="s">
        <v>82</v>
      </c>
      <c r="C14" s="660">
        <v>1800000</v>
      </c>
      <c r="D14" s="433">
        <f t="shared" si="5"/>
        <v>150000</v>
      </c>
      <c r="E14" s="433">
        <v>229300</v>
      </c>
      <c r="F14" s="364">
        <v>104000</v>
      </c>
      <c r="G14" s="364">
        <v>366738</v>
      </c>
      <c r="H14" s="1000"/>
      <c r="I14" s="364">
        <v>6000</v>
      </c>
      <c r="J14" s="361">
        <v>122000</v>
      </c>
      <c r="K14" s="364"/>
      <c r="L14" s="364"/>
      <c r="M14" s="364"/>
      <c r="N14" s="364"/>
      <c r="O14" s="364"/>
      <c r="P14" s="1000"/>
      <c r="Q14" s="361">
        <f t="shared" si="1"/>
        <v>828038</v>
      </c>
      <c r="R14" s="364">
        <f t="shared" si="2"/>
        <v>900000</v>
      </c>
      <c r="S14" s="655">
        <f t="shared" si="3"/>
        <v>71962</v>
      </c>
      <c r="T14" s="656">
        <f t="shared" si="4"/>
        <v>71962</v>
      </c>
    </row>
    <row r="15" spans="1:20" x14ac:dyDescent="0.25">
      <c r="B15" s="61" t="s">
        <v>83</v>
      </c>
      <c r="C15" s="659">
        <v>11900000</v>
      </c>
      <c r="D15" s="432">
        <f t="shared" si="5"/>
        <v>991666.66666666663</v>
      </c>
      <c r="E15" s="432">
        <v>823302</v>
      </c>
      <c r="F15" s="374">
        <v>1301779</v>
      </c>
      <c r="G15" s="374">
        <v>611281</v>
      </c>
      <c r="H15" s="1006">
        <v>203409</v>
      </c>
      <c r="I15" s="374">
        <v>984464</v>
      </c>
      <c r="J15" s="1007">
        <v>203409</v>
      </c>
      <c r="K15" s="374"/>
      <c r="L15" s="374"/>
      <c r="M15" s="374"/>
      <c r="N15" s="374"/>
      <c r="O15" s="374"/>
      <c r="P15" s="1006"/>
      <c r="Q15" s="1007">
        <f t="shared" si="1"/>
        <v>4127644</v>
      </c>
      <c r="R15" s="374">
        <f t="shared" si="2"/>
        <v>5950000</v>
      </c>
      <c r="S15" s="655">
        <f t="shared" si="3"/>
        <v>1822356</v>
      </c>
      <c r="T15" s="656">
        <f t="shared" si="4"/>
        <v>1822356</v>
      </c>
    </row>
    <row r="16" spans="1:20" x14ac:dyDescent="0.25">
      <c r="B16" s="62" t="s">
        <v>84</v>
      </c>
      <c r="C16" s="660">
        <v>590000</v>
      </c>
      <c r="D16" s="433">
        <f t="shared" si="5"/>
        <v>49166.666666666664</v>
      </c>
      <c r="E16" s="433">
        <v>0</v>
      </c>
      <c r="F16" s="364">
        <v>140000</v>
      </c>
      <c r="G16" s="364">
        <v>0</v>
      </c>
      <c r="H16" s="1000"/>
      <c r="I16" s="364"/>
      <c r="J16" s="361"/>
      <c r="K16" s="364"/>
      <c r="L16" s="364"/>
      <c r="M16" s="364"/>
      <c r="N16" s="364"/>
      <c r="O16" s="364"/>
      <c r="P16" s="1000"/>
      <c r="Q16" s="361">
        <f t="shared" si="1"/>
        <v>140000</v>
      </c>
      <c r="R16" s="364">
        <f t="shared" si="2"/>
        <v>295000</v>
      </c>
      <c r="S16" s="655">
        <f t="shared" si="3"/>
        <v>155000</v>
      </c>
      <c r="T16" s="656">
        <f t="shared" si="4"/>
        <v>155000</v>
      </c>
    </row>
    <row r="17" spans="1:22" x14ac:dyDescent="0.25">
      <c r="B17" s="61" t="s">
        <v>85</v>
      </c>
      <c r="C17" s="659">
        <v>2429980</v>
      </c>
      <c r="D17" s="432">
        <f t="shared" si="5"/>
        <v>202498.33333333334</v>
      </c>
      <c r="E17" s="432">
        <v>246330</v>
      </c>
      <c r="F17" s="374">
        <v>0</v>
      </c>
      <c r="G17" s="374">
        <v>749700</v>
      </c>
      <c r="H17" s="1006"/>
      <c r="I17" s="374">
        <v>246330</v>
      </c>
      <c r="J17" s="1007">
        <v>0</v>
      </c>
      <c r="K17" s="374"/>
      <c r="L17" s="374"/>
      <c r="M17" s="374"/>
      <c r="N17" s="374"/>
      <c r="O17" s="374"/>
      <c r="P17" s="1006"/>
      <c r="Q17" s="1007">
        <f t="shared" si="1"/>
        <v>1242360</v>
      </c>
      <c r="R17" s="374">
        <f t="shared" si="2"/>
        <v>1214990</v>
      </c>
      <c r="S17" s="655">
        <f t="shared" si="3"/>
        <v>-27370</v>
      </c>
      <c r="T17" s="656">
        <f t="shared" si="4"/>
        <v>-27370</v>
      </c>
    </row>
    <row r="18" spans="1:22" x14ac:dyDescent="0.25">
      <c r="A18" s="145"/>
      <c r="B18" s="869" t="s">
        <v>269</v>
      </c>
      <c r="C18" s="370">
        <v>0</v>
      </c>
      <c r="D18" s="870">
        <f>+C18/12</f>
        <v>0</v>
      </c>
      <c r="E18" s="369">
        <v>0</v>
      </c>
      <c r="F18" s="370">
        <v>350000</v>
      </c>
      <c r="G18" s="370"/>
      <c r="H18" s="1008"/>
      <c r="I18" s="370"/>
      <c r="J18" s="870"/>
      <c r="K18" s="370"/>
      <c r="L18" s="370"/>
      <c r="M18" s="370"/>
      <c r="N18" s="370"/>
      <c r="O18" s="370"/>
      <c r="P18" s="1008"/>
      <c r="Q18" s="870">
        <f t="shared" si="1"/>
        <v>350000</v>
      </c>
      <c r="R18" s="370">
        <f t="shared" si="2"/>
        <v>0</v>
      </c>
      <c r="S18" s="658">
        <f t="shared" si="3"/>
        <v>-350000</v>
      </c>
      <c r="T18" s="871">
        <f t="shared" si="4"/>
        <v>-350000</v>
      </c>
    </row>
    <row r="19" spans="1:22" s="54" customFormat="1" ht="13" x14ac:dyDescent="0.3">
      <c r="B19" s="63" t="s">
        <v>86</v>
      </c>
      <c r="C19" s="378">
        <f>SUM(C11:C18)</f>
        <v>61679418.319999993</v>
      </c>
      <c r="D19" s="378">
        <f t="shared" ref="D19:I19" si="6">SUM(D11:D18)</f>
        <v>5139951.5266666664</v>
      </c>
      <c r="E19" s="378">
        <f t="shared" si="6"/>
        <v>5790522</v>
      </c>
      <c r="F19" s="378">
        <f t="shared" si="6"/>
        <v>4897597</v>
      </c>
      <c r="G19" s="378">
        <f t="shared" si="6"/>
        <v>5238649</v>
      </c>
      <c r="H19" s="1009">
        <f t="shared" si="6"/>
        <v>3483963</v>
      </c>
      <c r="I19" s="378">
        <f t="shared" si="6"/>
        <v>4352282</v>
      </c>
      <c r="J19" s="1010">
        <f t="shared" ref="J19:P19" si="7">SUM(J11:J17)</f>
        <v>4238142</v>
      </c>
      <c r="K19" s="378">
        <f t="shared" si="7"/>
        <v>0</v>
      </c>
      <c r="L19" s="378">
        <f t="shared" si="7"/>
        <v>0</v>
      </c>
      <c r="M19" s="378">
        <f t="shared" si="7"/>
        <v>0</v>
      </c>
      <c r="N19" s="378">
        <f t="shared" si="7"/>
        <v>0</v>
      </c>
      <c r="O19" s="378">
        <f t="shared" si="7"/>
        <v>0</v>
      </c>
      <c r="P19" s="1009">
        <f t="shared" si="7"/>
        <v>0</v>
      </c>
      <c r="Q19" s="670">
        <f>SUM(Q11:Q18)</f>
        <v>28001155</v>
      </c>
      <c r="R19" s="378">
        <f t="shared" si="2"/>
        <v>30839709.159999996</v>
      </c>
      <c r="S19" s="406">
        <f>SUM(S11:S17)</f>
        <v>3188554.16</v>
      </c>
      <c r="T19" s="661">
        <f t="shared" si="4"/>
        <v>2838554.1599999964</v>
      </c>
    </row>
    <row r="20" spans="1:22" x14ac:dyDescent="0.25">
      <c r="B20" s="872" t="s">
        <v>87</v>
      </c>
      <c r="C20" s="370"/>
      <c r="D20" s="369">
        <f t="shared" si="5"/>
        <v>0</v>
      </c>
      <c r="E20" s="369"/>
      <c r="F20" s="370"/>
      <c r="G20" s="370"/>
      <c r="H20" s="1008"/>
      <c r="I20" s="370"/>
      <c r="J20" s="870"/>
      <c r="K20" s="370"/>
      <c r="L20" s="370"/>
      <c r="M20" s="370"/>
      <c r="N20" s="370"/>
      <c r="O20" s="370"/>
      <c r="P20" s="1008"/>
      <c r="Q20" s="870"/>
      <c r="R20" s="370" t="s">
        <v>33</v>
      </c>
      <c r="S20" s="655"/>
      <c r="T20" s="657" t="s">
        <v>33</v>
      </c>
    </row>
    <row r="21" spans="1:22" x14ac:dyDescent="0.25">
      <c r="B21" s="64" t="s">
        <v>88</v>
      </c>
      <c r="C21" s="369">
        <v>158830392.15000004</v>
      </c>
      <c r="D21" s="369">
        <f t="shared" si="5"/>
        <v>13235866.012500003</v>
      </c>
      <c r="E21" s="369">
        <v>13136493</v>
      </c>
      <c r="F21" s="370">
        <v>13136493</v>
      </c>
      <c r="G21" s="370">
        <v>13136494</v>
      </c>
      <c r="H21" s="1008">
        <v>13136494</v>
      </c>
      <c r="I21" s="370">
        <v>13136494</v>
      </c>
      <c r="J21" s="870">
        <v>13136493</v>
      </c>
      <c r="K21" s="370"/>
      <c r="L21" s="370"/>
      <c r="M21" s="370"/>
      <c r="N21" s="370"/>
      <c r="O21" s="370"/>
      <c r="P21" s="1008"/>
      <c r="Q21" s="870">
        <f t="shared" ref="Q21:Q29" si="8">SUM(E21:P21)</f>
        <v>78818961</v>
      </c>
      <c r="R21" s="370">
        <f t="shared" ref="R21:R30" si="9">+D21*$B$5</f>
        <v>79415196.075000018</v>
      </c>
      <c r="S21" s="655">
        <f>+R21-Q21</f>
        <v>596235.07500001788</v>
      </c>
      <c r="T21" s="656">
        <f t="shared" ref="T21:T30" si="10">+R21-Q21</f>
        <v>596235.07500001788</v>
      </c>
    </row>
    <row r="22" spans="1:22" x14ac:dyDescent="0.25">
      <c r="B22" s="873" t="s">
        <v>1224</v>
      </c>
      <c r="C22" s="874">
        <f>1751531+2225540</f>
        <v>3977071</v>
      </c>
      <c r="D22" s="874">
        <f t="shared" si="5"/>
        <v>331422.58333333331</v>
      </c>
      <c r="E22" s="874"/>
      <c r="F22" s="875">
        <v>1751531</v>
      </c>
      <c r="G22" s="875"/>
      <c r="H22" s="874"/>
      <c r="I22" s="875"/>
      <c r="J22" s="874"/>
      <c r="K22" s="874"/>
      <c r="L22" s="874"/>
      <c r="M22" s="874"/>
      <c r="N22" s="874"/>
      <c r="O22" s="874"/>
      <c r="P22" s="874"/>
      <c r="Q22" s="874">
        <f t="shared" si="8"/>
        <v>1751531</v>
      </c>
      <c r="R22" s="875">
        <f t="shared" si="9"/>
        <v>1988535.5</v>
      </c>
      <c r="S22" s="655"/>
      <c r="T22" s="656">
        <f t="shared" si="10"/>
        <v>237004.5</v>
      </c>
    </row>
    <row r="23" spans="1:22" x14ac:dyDescent="0.25">
      <c r="A23" s="442"/>
      <c r="B23" s="64" t="s">
        <v>89</v>
      </c>
      <c r="C23" s="369">
        <v>17577558</v>
      </c>
      <c r="D23" s="369">
        <f t="shared" si="5"/>
        <v>1464796.5</v>
      </c>
      <c r="E23" s="369">
        <v>1357394</v>
      </c>
      <c r="F23" s="370">
        <v>904930</v>
      </c>
      <c r="G23" s="370">
        <v>1443315</v>
      </c>
      <c r="H23" s="369">
        <v>1486277</v>
      </c>
      <c r="I23" s="370">
        <v>1486277</v>
      </c>
      <c r="J23" s="369">
        <v>1443315</v>
      </c>
      <c r="K23" s="369"/>
      <c r="L23" s="369"/>
      <c r="M23" s="369"/>
      <c r="N23" s="369"/>
      <c r="O23" s="369"/>
      <c r="P23" s="369"/>
      <c r="Q23" s="369">
        <f t="shared" si="8"/>
        <v>8121508</v>
      </c>
      <c r="R23" s="370">
        <f t="shared" si="9"/>
        <v>8788779</v>
      </c>
      <c r="S23" s="655">
        <f>+R23-Q23</f>
        <v>667271</v>
      </c>
      <c r="T23" s="656">
        <f t="shared" si="10"/>
        <v>667271</v>
      </c>
    </row>
    <row r="24" spans="1:22" x14ac:dyDescent="0.25">
      <c r="B24" s="876" t="s">
        <v>90</v>
      </c>
      <c r="C24" s="874">
        <v>1341006.24</v>
      </c>
      <c r="D24" s="874">
        <f t="shared" si="5"/>
        <v>111750.52</v>
      </c>
      <c r="E24" s="874">
        <v>640110</v>
      </c>
      <c r="F24" s="875">
        <v>111750</v>
      </c>
      <c r="G24" s="875">
        <v>111750</v>
      </c>
      <c r="H24" s="874">
        <v>111750</v>
      </c>
      <c r="I24" s="875">
        <v>111750</v>
      </c>
      <c r="J24" s="874">
        <v>111750</v>
      </c>
      <c r="K24" s="874"/>
      <c r="L24" s="874"/>
      <c r="M24" s="874"/>
      <c r="N24" s="874"/>
      <c r="O24" s="874"/>
      <c r="P24" s="874"/>
      <c r="Q24" s="874">
        <f t="shared" si="8"/>
        <v>1198860</v>
      </c>
      <c r="R24" s="875">
        <f t="shared" si="9"/>
        <v>670503.12</v>
      </c>
      <c r="S24" s="655">
        <f>+R24-Q24</f>
        <v>-528356.88</v>
      </c>
      <c r="T24" s="656">
        <f t="shared" si="10"/>
        <v>-528356.88</v>
      </c>
    </row>
    <row r="25" spans="1:22" s="145" customFormat="1" x14ac:dyDescent="0.25">
      <c r="B25" s="869" t="s">
        <v>1225</v>
      </c>
      <c r="C25" s="369">
        <v>1950000</v>
      </c>
      <c r="D25" s="369">
        <f t="shared" si="5"/>
        <v>162500</v>
      </c>
      <c r="E25" s="369">
        <v>0</v>
      </c>
      <c r="F25" s="370">
        <v>0</v>
      </c>
      <c r="G25" s="370">
        <v>0</v>
      </c>
      <c r="H25" s="369"/>
      <c r="I25" s="370">
        <v>555730</v>
      </c>
      <c r="J25" s="369">
        <v>142800</v>
      </c>
      <c r="K25" s="369"/>
      <c r="L25" s="369"/>
      <c r="M25" s="369"/>
      <c r="N25" s="369"/>
      <c r="O25" s="369"/>
      <c r="P25" s="369"/>
      <c r="Q25" s="369">
        <f t="shared" si="8"/>
        <v>698530</v>
      </c>
      <c r="R25" s="370">
        <f t="shared" si="9"/>
        <v>975000</v>
      </c>
      <c r="S25" s="658"/>
      <c r="T25" s="656">
        <f t="shared" si="10"/>
        <v>276470</v>
      </c>
    </row>
    <row r="26" spans="1:22" x14ac:dyDescent="0.25">
      <c r="B26" s="876" t="s">
        <v>91</v>
      </c>
      <c r="C26" s="874">
        <v>1910000</v>
      </c>
      <c r="D26" s="874">
        <f t="shared" si="5"/>
        <v>159166.66666666666</v>
      </c>
      <c r="E26" s="874">
        <v>0</v>
      </c>
      <c r="F26" s="875">
        <v>0</v>
      </c>
      <c r="G26" s="875">
        <v>288000</v>
      </c>
      <c r="H26" s="1011">
        <v>50000</v>
      </c>
      <c r="I26" s="875">
        <v>305387</v>
      </c>
      <c r="J26" s="1012"/>
      <c r="K26" s="875"/>
      <c r="L26" s="875"/>
      <c r="M26" s="875"/>
      <c r="N26" s="875"/>
      <c r="O26" s="875"/>
      <c r="P26" s="1011"/>
      <c r="Q26" s="1012">
        <f t="shared" si="8"/>
        <v>643387</v>
      </c>
      <c r="R26" s="875">
        <f t="shared" si="9"/>
        <v>955000</v>
      </c>
      <c r="S26" s="655">
        <f>+R26-Q26</f>
        <v>311613</v>
      </c>
      <c r="T26" s="656">
        <f t="shared" si="10"/>
        <v>311613</v>
      </c>
    </row>
    <row r="27" spans="1:22" x14ac:dyDescent="0.25">
      <c r="B27" s="64" t="s">
        <v>92</v>
      </c>
      <c r="C27" s="369">
        <v>372000</v>
      </c>
      <c r="D27" s="369">
        <f t="shared" si="5"/>
        <v>31000</v>
      </c>
      <c r="E27" s="369">
        <v>0</v>
      </c>
      <c r="F27" s="370">
        <v>0</v>
      </c>
      <c r="G27" s="370">
        <v>0</v>
      </c>
      <c r="H27" s="1008"/>
      <c r="I27" s="370"/>
      <c r="J27" s="870"/>
      <c r="K27" s="370"/>
      <c r="L27" s="370"/>
      <c r="M27" s="370"/>
      <c r="N27" s="370"/>
      <c r="O27" s="370"/>
      <c r="P27" s="1008"/>
      <c r="Q27" s="870">
        <f t="shared" si="8"/>
        <v>0</v>
      </c>
      <c r="R27" s="370">
        <f t="shared" si="9"/>
        <v>186000</v>
      </c>
      <c r="S27" s="655" t="e">
        <f>+#REF!-#REF!</f>
        <v>#REF!</v>
      </c>
      <c r="T27" s="656">
        <f t="shared" si="10"/>
        <v>186000</v>
      </c>
    </row>
    <row r="28" spans="1:22" x14ac:dyDescent="0.25">
      <c r="B28" s="876" t="s">
        <v>93</v>
      </c>
      <c r="C28" s="874">
        <v>740000</v>
      </c>
      <c r="D28" s="874">
        <f t="shared" si="5"/>
        <v>61666.666666666664</v>
      </c>
      <c r="E28" s="874"/>
      <c r="F28" s="875">
        <v>138500</v>
      </c>
      <c r="G28" s="875">
        <v>0</v>
      </c>
      <c r="H28" s="1011"/>
      <c r="I28" s="875"/>
      <c r="J28" s="1012"/>
      <c r="K28" s="875"/>
      <c r="L28" s="875"/>
      <c r="M28" s="875"/>
      <c r="N28" s="875"/>
      <c r="O28" s="875"/>
      <c r="P28" s="1011"/>
      <c r="Q28" s="1012">
        <f t="shared" si="8"/>
        <v>138500</v>
      </c>
      <c r="R28" s="875">
        <f t="shared" si="9"/>
        <v>370000</v>
      </c>
      <c r="S28" s="655">
        <f>+R28-Q28</f>
        <v>231500</v>
      </c>
      <c r="T28" s="656">
        <f t="shared" si="10"/>
        <v>231500</v>
      </c>
      <c r="V28" s="42"/>
    </row>
    <row r="29" spans="1:22" x14ac:dyDescent="0.25">
      <c r="A29" s="442"/>
      <c r="B29" s="64" t="s">
        <v>126</v>
      </c>
      <c r="C29" s="369">
        <v>3533088</v>
      </c>
      <c r="D29" s="369">
        <f t="shared" si="5"/>
        <v>294424</v>
      </c>
      <c r="E29" s="369">
        <f>+E7</f>
        <v>287015</v>
      </c>
      <c r="F29" s="370">
        <v>287015</v>
      </c>
      <c r="G29" s="370">
        <v>287015</v>
      </c>
      <c r="H29" s="1008">
        <v>328376</v>
      </c>
      <c r="I29" s="370">
        <f>-14659+297358</f>
        <v>282699</v>
      </c>
      <c r="J29" s="870">
        <f>11725+282699</f>
        <v>294424</v>
      </c>
      <c r="K29" s="370"/>
      <c r="L29" s="370"/>
      <c r="M29" s="370"/>
      <c r="N29" s="370"/>
      <c r="O29" s="370"/>
      <c r="P29" s="1008"/>
      <c r="Q29" s="870">
        <f t="shared" si="8"/>
        <v>1766544</v>
      </c>
      <c r="R29" s="370">
        <f t="shared" si="9"/>
        <v>1766544</v>
      </c>
      <c r="S29" s="655">
        <f>+R29-Q29</f>
        <v>0</v>
      </c>
      <c r="T29" s="656">
        <f t="shared" si="10"/>
        <v>0</v>
      </c>
      <c r="V29" s="42"/>
    </row>
    <row r="30" spans="1:22" ht="13" x14ac:dyDescent="0.3">
      <c r="B30" s="878" t="s">
        <v>94</v>
      </c>
      <c r="C30" s="879">
        <f>SUM(C21:C29)</f>
        <v>190231115.39000005</v>
      </c>
      <c r="D30" s="879">
        <f t="shared" si="5"/>
        <v>15852592.94916667</v>
      </c>
      <c r="E30" s="879">
        <f t="shared" ref="E30:P30" si="11">SUM(E21:E29)</f>
        <v>15421012</v>
      </c>
      <c r="F30" s="879">
        <f t="shared" si="11"/>
        <v>16330219</v>
      </c>
      <c r="G30" s="879">
        <f t="shared" si="11"/>
        <v>15266574</v>
      </c>
      <c r="H30" s="879">
        <f>SUM(H21:H29)</f>
        <v>15112897</v>
      </c>
      <c r="I30" s="1013">
        <f>SUM(I21:I29)</f>
        <v>15878337</v>
      </c>
      <c r="J30" s="879">
        <f t="shared" si="11"/>
        <v>15128782</v>
      </c>
      <c r="K30" s="879">
        <f t="shared" si="11"/>
        <v>0</v>
      </c>
      <c r="L30" s="879">
        <f t="shared" si="11"/>
        <v>0</v>
      </c>
      <c r="M30" s="879">
        <f t="shared" si="11"/>
        <v>0</v>
      </c>
      <c r="N30" s="879">
        <f t="shared" si="11"/>
        <v>0</v>
      </c>
      <c r="O30" s="879">
        <f t="shared" si="11"/>
        <v>0</v>
      </c>
      <c r="P30" s="879">
        <f t="shared" si="11"/>
        <v>0</v>
      </c>
      <c r="Q30" s="879">
        <f>SUM(Q21:Q29)</f>
        <v>93137821</v>
      </c>
      <c r="R30" s="1013">
        <f t="shared" si="9"/>
        <v>95115557.695000023</v>
      </c>
      <c r="S30" s="882" t="e">
        <f>SUM(S21:S29)</f>
        <v>#REF!</v>
      </c>
      <c r="T30" s="661">
        <f t="shared" si="10"/>
        <v>1977736.6950000226</v>
      </c>
      <c r="V30" s="42"/>
    </row>
    <row r="31" spans="1:22" x14ac:dyDescent="0.25">
      <c r="B31" s="65" t="s">
        <v>95</v>
      </c>
      <c r="C31" s="370"/>
      <c r="D31" s="369">
        <f t="shared" si="5"/>
        <v>0</v>
      </c>
      <c r="E31" s="369"/>
      <c r="F31" s="370" t="s">
        <v>33</v>
      </c>
      <c r="G31" s="370"/>
      <c r="H31" s="1008"/>
      <c r="I31" s="370"/>
      <c r="J31" s="870"/>
      <c r="K31" s="370"/>
      <c r="L31" s="370"/>
      <c r="M31" s="370"/>
      <c r="N31" s="370"/>
      <c r="O31" s="370"/>
      <c r="P31" s="1008"/>
      <c r="Q31" s="870" t="s">
        <v>33</v>
      </c>
      <c r="R31" s="370" t="s">
        <v>33</v>
      </c>
      <c r="S31" s="658" t="s">
        <v>33</v>
      </c>
      <c r="T31" s="657" t="s">
        <v>33</v>
      </c>
    </row>
    <row r="32" spans="1:22" x14ac:dyDescent="0.25">
      <c r="B32" s="62" t="s">
        <v>759</v>
      </c>
      <c r="C32" s="376">
        <v>0</v>
      </c>
      <c r="D32" s="433">
        <f t="shared" si="5"/>
        <v>0</v>
      </c>
      <c r="E32" s="433">
        <f>+D32/12</f>
        <v>0</v>
      </c>
      <c r="F32" s="364">
        <v>0</v>
      </c>
      <c r="G32" s="364">
        <v>0</v>
      </c>
      <c r="H32" s="1000">
        <v>0</v>
      </c>
      <c r="I32" s="364">
        <v>0</v>
      </c>
      <c r="J32" s="361">
        <v>179214</v>
      </c>
      <c r="K32" s="364">
        <v>0</v>
      </c>
      <c r="L32" s="364"/>
      <c r="M32" s="364"/>
      <c r="N32" s="364"/>
      <c r="O32" s="364"/>
      <c r="P32" s="1000"/>
      <c r="Q32" s="361">
        <f>SUM(E32:P32)</f>
        <v>179214</v>
      </c>
      <c r="R32" s="364">
        <f>+D32*$B$5</f>
        <v>0</v>
      </c>
      <c r="S32" s="658">
        <f>+R32-Q32</f>
        <v>-179214</v>
      </c>
      <c r="T32" s="656">
        <f>+R32-Q32</f>
        <v>-179214</v>
      </c>
    </row>
    <row r="33" spans="2:22" x14ac:dyDescent="0.25">
      <c r="B33" s="62" t="s">
        <v>96</v>
      </c>
      <c r="C33" s="376">
        <v>0</v>
      </c>
      <c r="D33" s="433">
        <f t="shared" si="5"/>
        <v>0</v>
      </c>
      <c r="E33" s="433">
        <f>+D33/12</f>
        <v>0</v>
      </c>
      <c r="F33" s="364">
        <v>0</v>
      </c>
      <c r="G33" s="364">
        <f>46000+17700+274950</f>
        <v>338650</v>
      </c>
      <c r="H33" s="1000">
        <v>0</v>
      </c>
      <c r="I33" s="364">
        <v>176715</v>
      </c>
      <c r="J33" s="361">
        <v>0</v>
      </c>
      <c r="K33" s="364">
        <v>0</v>
      </c>
      <c r="L33" s="364">
        <v>0</v>
      </c>
      <c r="M33" s="364">
        <v>0</v>
      </c>
      <c r="N33" s="364">
        <v>0</v>
      </c>
      <c r="O33" s="364">
        <v>0</v>
      </c>
      <c r="P33" s="1000">
        <v>0</v>
      </c>
      <c r="Q33" s="361">
        <f>SUM(E33:P33)</f>
        <v>515365</v>
      </c>
      <c r="R33" s="364">
        <f>+D33*$B$5</f>
        <v>0</v>
      </c>
      <c r="S33" s="658">
        <f>+R33-Q33</f>
        <v>-515365</v>
      </c>
      <c r="T33" s="656">
        <f>+R33-Q33</f>
        <v>-515365</v>
      </c>
    </row>
    <row r="34" spans="2:22" ht="13" x14ac:dyDescent="0.3">
      <c r="B34" s="883" t="s">
        <v>97</v>
      </c>
      <c r="C34" s="884">
        <f>SUM(C32:C33)</f>
        <v>0</v>
      </c>
      <c r="D34" s="885">
        <f>+C34/12</f>
        <v>0</v>
      </c>
      <c r="E34" s="885">
        <f t="shared" ref="E34:S34" si="12">SUM(E32:E33)</f>
        <v>0</v>
      </c>
      <c r="F34" s="886">
        <f t="shared" si="12"/>
        <v>0</v>
      </c>
      <c r="G34" s="886">
        <f t="shared" si="12"/>
        <v>338650</v>
      </c>
      <c r="H34" s="1014">
        <f>SUM(H32:H33)</f>
        <v>0</v>
      </c>
      <c r="I34" s="886">
        <f>SUM(I32:I33)</f>
        <v>176715</v>
      </c>
      <c r="J34" s="1015">
        <f t="shared" si="12"/>
        <v>179214</v>
      </c>
      <c r="K34" s="886">
        <f t="shared" si="12"/>
        <v>0</v>
      </c>
      <c r="L34" s="886">
        <f t="shared" si="12"/>
        <v>0</v>
      </c>
      <c r="M34" s="886">
        <f t="shared" si="12"/>
        <v>0</v>
      </c>
      <c r="N34" s="886">
        <f t="shared" si="12"/>
        <v>0</v>
      </c>
      <c r="O34" s="886">
        <f t="shared" si="12"/>
        <v>0</v>
      </c>
      <c r="P34" s="1014">
        <f t="shared" si="12"/>
        <v>0</v>
      </c>
      <c r="Q34" s="1015">
        <f>SUM(E34:P34)</f>
        <v>694579</v>
      </c>
      <c r="R34" s="886">
        <f>SUM(R32:R33)</f>
        <v>0</v>
      </c>
      <c r="S34" s="662">
        <f t="shared" si="12"/>
        <v>-694579</v>
      </c>
      <c r="T34" s="656">
        <f>+R34-Q34</f>
        <v>-694579</v>
      </c>
    </row>
    <row r="35" spans="2:22" s="1" customFormat="1" x14ac:dyDescent="0.25">
      <c r="B35" s="887" t="s">
        <v>98</v>
      </c>
      <c r="C35" s="370"/>
      <c r="D35" s="369">
        <f t="shared" si="5"/>
        <v>0</v>
      </c>
      <c r="E35" s="369"/>
      <c r="F35" s="370"/>
      <c r="G35" s="370"/>
      <c r="H35" s="1008"/>
      <c r="I35" s="370"/>
      <c r="J35" s="870"/>
      <c r="K35" s="370"/>
      <c r="L35" s="370"/>
      <c r="M35" s="370"/>
      <c r="N35" s="370"/>
      <c r="O35" s="370"/>
      <c r="P35" s="1008"/>
      <c r="Q35" s="870" t="s">
        <v>33</v>
      </c>
      <c r="R35" s="370" t="s">
        <v>33</v>
      </c>
      <c r="S35" s="658" t="s">
        <v>33</v>
      </c>
      <c r="T35" s="657" t="s">
        <v>33</v>
      </c>
    </row>
    <row r="36" spans="2:22" x14ac:dyDescent="0.25">
      <c r="B36" s="62" t="s">
        <v>67</v>
      </c>
      <c r="C36" s="433">
        <v>2568001.5</v>
      </c>
      <c r="D36" s="433">
        <f>+C36/12</f>
        <v>214000.125</v>
      </c>
      <c r="E36" s="433">
        <v>0</v>
      </c>
      <c r="F36" s="364">
        <v>0</v>
      </c>
      <c r="G36" s="364">
        <v>595450</v>
      </c>
      <c r="H36" s="1000">
        <v>0</v>
      </c>
      <c r="I36" s="364">
        <v>781652</v>
      </c>
      <c r="J36" s="361"/>
      <c r="K36" s="364"/>
      <c r="L36" s="364"/>
      <c r="M36" s="364"/>
      <c r="N36" s="364"/>
      <c r="O36" s="364"/>
      <c r="P36" s="1000"/>
      <c r="Q36" s="361">
        <f t="shared" ref="Q36:Q43" si="13">SUM(E36:P36)</f>
        <v>1377102</v>
      </c>
      <c r="R36" s="364">
        <f t="shared" ref="R36:R44" si="14">+D36*$B$5</f>
        <v>1284000.75</v>
      </c>
      <c r="S36" s="658">
        <f>+R36-Q36</f>
        <v>-93101.25</v>
      </c>
      <c r="T36" s="656">
        <f t="shared" ref="T36:T44" si="15">+R36-Q36</f>
        <v>-93101.25</v>
      </c>
    </row>
    <row r="37" spans="2:22" x14ac:dyDescent="0.25">
      <c r="B37" s="887" t="s">
        <v>66</v>
      </c>
      <c r="C37" s="888">
        <f>33250000*1.15</f>
        <v>38237500</v>
      </c>
      <c r="D37" s="888">
        <f t="shared" ref="D37:D42" si="16">+C37/12</f>
        <v>3186458.3333333335</v>
      </c>
      <c r="E37" s="888">
        <v>3189683.88</v>
      </c>
      <c r="F37" s="889">
        <v>2628727</v>
      </c>
      <c r="G37" s="889">
        <v>2554892</v>
      </c>
      <c r="H37" s="1016">
        <v>2640861</v>
      </c>
      <c r="I37" s="889">
        <v>3098024</v>
      </c>
      <c r="J37" s="1017">
        <v>2908845</v>
      </c>
      <c r="K37" s="889"/>
      <c r="L37" s="889"/>
      <c r="M37" s="889"/>
      <c r="N37" s="889"/>
      <c r="O37" s="889"/>
      <c r="P37" s="1016"/>
      <c r="Q37" s="1017">
        <f t="shared" si="13"/>
        <v>17021032.879999999</v>
      </c>
      <c r="R37" s="889">
        <f t="shared" si="14"/>
        <v>19118750</v>
      </c>
      <c r="S37" s="658">
        <f>+R37-Q37</f>
        <v>2097717.120000001</v>
      </c>
      <c r="T37" s="656">
        <f t="shared" si="15"/>
        <v>2097717.120000001</v>
      </c>
      <c r="V37" s="42"/>
    </row>
    <row r="38" spans="2:22" x14ac:dyDescent="0.25">
      <c r="B38" s="62" t="s">
        <v>99</v>
      </c>
      <c r="C38" s="433">
        <v>3500000</v>
      </c>
      <c r="D38" s="433">
        <f t="shared" si="16"/>
        <v>291666.66666666669</v>
      </c>
      <c r="E38" s="433">
        <v>129706</v>
      </c>
      <c r="F38" s="364">
        <v>233099</v>
      </c>
      <c r="G38" s="364">
        <v>303870</v>
      </c>
      <c r="H38" s="1000">
        <v>205744</v>
      </c>
      <c r="I38" s="364">
        <v>217588</v>
      </c>
      <c r="J38" s="361">
        <v>249565</v>
      </c>
      <c r="K38" s="364"/>
      <c r="L38" s="364"/>
      <c r="M38" s="364"/>
      <c r="N38" s="364"/>
      <c r="O38" s="364"/>
      <c r="P38" s="1000"/>
      <c r="Q38" s="361">
        <f t="shared" si="13"/>
        <v>1339572</v>
      </c>
      <c r="R38" s="364">
        <f t="shared" si="14"/>
        <v>1750000</v>
      </c>
      <c r="S38" s="658">
        <f>+R38-Q38</f>
        <v>410428</v>
      </c>
      <c r="T38" s="656">
        <f t="shared" si="15"/>
        <v>410428</v>
      </c>
    </row>
    <row r="39" spans="2:22" x14ac:dyDescent="0.25">
      <c r="B39" s="887" t="s">
        <v>100</v>
      </c>
      <c r="C39" s="888">
        <v>604000</v>
      </c>
      <c r="D39" s="888">
        <f t="shared" si="16"/>
        <v>50333.333333333336</v>
      </c>
      <c r="E39" s="888">
        <v>50100</v>
      </c>
      <c r="F39" s="889">
        <v>50115</v>
      </c>
      <c r="G39" s="889">
        <v>56102</v>
      </c>
      <c r="H39" s="1016">
        <v>56070</v>
      </c>
      <c r="I39" s="889">
        <v>56076</v>
      </c>
      <c r="J39" s="1017">
        <v>55806</v>
      </c>
      <c r="K39" s="889"/>
      <c r="L39" s="889"/>
      <c r="M39" s="889"/>
      <c r="N39" s="889"/>
      <c r="O39" s="889"/>
      <c r="P39" s="1016"/>
      <c r="Q39" s="1017">
        <f t="shared" si="13"/>
        <v>324269</v>
      </c>
      <c r="R39" s="889">
        <f t="shared" si="14"/>
        <v>302000</v>
      </c>
      <c r="S39" s="658">
        <f>+R39-Q39</f>
        <v>-22269</v>
      </c>
      <c r="T39" s="656">
        <f t="shared" si="15"/>
        <v>-22269</v>
      </c>
      <c r="V39" s="42"/>
    </row>
    <row r="40" spans="2:22" x14ac:dyDescent="0.25">
      <c r="B40" s="60" t="s">
        <v>1226</v>
      </c>
      <c r="C40" s="369">
        <f>100988*12</f>
        <v>1211856</v>
      </c>
      <c r="D40" s="369">
        <f t="shared" si="16"/>
        <v>100988</v>
      </c>
      <c r="E40" s="369">
        <v>0</v>
      </c>
      <c r="F40" s="370">
        <v>0</v>
      </c>
      <c r="G40" s="370">
        <v>55250</v>
      </c>
      <c r="H40" s="1008">
        <v>0</v>
      </c>
      <c r="I40" s="370">
        <v>0</v>
      </c>
      <c r="J40" s="870"/>
      <c r="K40" s="370"/>
      <c r="L40" s="370"/>
      <c r="M40" s="370"/>
      <c r="N40" s="370"/>
      <c r="O40" s="370"/>
      <c r="P40" s="1008"/>
      <c r="Q40" s="870">
        <f t="shared" si="13"/>
        <v>55250</v>
      </c>
      <c r="R40" s="370">
        <f t="shared" si="14"/>
        <v>605928</v>
      </c>
      <c r="S40" s="658"/>
      <c r="T40" s="656">
        <f t="shared" si="15"/>
        <v>550678</v>
      </c>
      <c r="V40" s="42"/>
    </row>
    <row r="41" spans="2:22" x14ac:dyDescent="0.25">
      <c r="B41" s="887" t="s">
        <v>101</v>
      </c>
      <c r="C41" s="888">
        <v>800000</v>
      </c>
      <c r="D41" s="888">
        <f t="shared" si="16"/>
        <v>66666.666666666672</v>
      </c>
      <c r="E41" s="888">
        <v>87582</v>
      </c>
      <c r="F41" s="889">
        <v>100988</v>
      </c>
      <c r="G41" s="889">
        <v>100988</v>
      </c>
      <c r="H41" s="1016">
        <v>100988</v>
      </c>
      <c r="I41" s="889">
        <v>100988</v>
      </c>
      <c r="J41" s="1017">
        <v>100988</v>
      </c>
      <c r="K41" s="889"/>
      <c r="L41" s="889"/>
      <c r="M41" s="889"/>
      <c r="N41" s="889"/>
      <c r="O41" s="889"/>
      <c r="P41" s="1016"/>
      <c r="Q41" s="1017">
        <f t="shared" si="13"/>
        <v>592522</v>
      </c>
      <c r="R41" s="889">
        <f t="shared" si="14"/>
        <v>400000</v>
      </c>
      <c r="S41" s="658">
        <f>+R41-Q41</f>
        <v>-192522</v>
      </c>
      <c r="T41" s="656">
        <f t="shared" si="15"/>
        <v>-192522</v>
      </c>
    </row>
    <row r="42" spans="2:22" x14ac:dyDescent="0.25">
      <c r="B42" s="62" t="s">
        <v>102</v>
      </c>
      <c r="C42" s="433">
        <f>(1187000+167200)*12</f>
        <v>16250400</v>
      </c>
      <c r="D42" s="433">
        <f t="shared" si="16"/>
        <v>1354200</v>
      </c>
      <c r="E42" s="433">
        <v>1354200</v>
      </c>
      <c r="F42" s="364">
        <v>1354200</v>
      </c>
      <c r="G42" s="364">
        <v>1354200</v>
      </c>
      <c r="H42" s="1000">
        <v>1354200</v>
      </c>
      <c r="I42" s="364">
        <v>1354200</v>
      </c>
      <c r="J42" s="361"/>
      <c r="K42" s="364"/>
      <c r="L42" s="364"/>
      <c r="M42" s="364"/>
      <c r="N42" s="364"/>
      <c r="O42" s="364"/>
      <c r="P42" s="1000"/>
      <c r="Q42" s="361">
        <f t="shared" si="13"/>
        <v>6771000</v>
      </c>
      <c r="R42" s="364">
        <f t="shared" si="14"/>
        <v>8125200</v>
      </c>
      <c r="S42" s="658">
        <f>+R42-Q42</f>
        <v>1354200</v>
      </c>
      <c r="T42" s="656">
        <f t="shared" si="15"/>
        <v>1354200</v>
      </c>
    </row>
    <row r="43" spans="2:22" x14ac:dyDescent="0.25">
      <c r="B43" s="62" t="s">
        <v>1409</v>
      </c>
      <c r="C43" s="433"/>
      <c r="D43" s="433"/>
      <c r="E43" s="433"/>
      <c r="F43" s="364"/>
      <c r="G43" s="433"/>
      <c r="H43" s="433"/>
      <c r="I43" s="364">
        <v>472500</v>
      </c>
      <c r="J43" s="433"/>
      <c r="K43" s="433"/>
      <c r="L43" s="433"/>
      <c r="M43" s="433"/>
      <c r="N43" s="433"/>
      <c r="O43" s="433"/>
      <c r="P43" s="433"/>
      <c r="Q43" s="433">
        <f t="shared" si="13"/>
        <v>472500</v>
      </c>
      <c r="R43" s="364">
        <f t="shared" si="14"/>
        <v>0</v>
      </c>
      <c r="S43" s="658"/>
      <c r="T43" s="656">
        <f t="shared" si="15"/>
        <v>-472500</v>
      </c>
    </row>
    <row r="44" spans="2:22" ht="13" x14ac:dyDescent="0.3">
      <c r="B44" s="892" t="s">
        <v>103</v>
      </c>
      <c r="C44" s="893">
        <f>SUM(C36:C42)</f>
        <v>63171757.5</v>
      </c>
      <c r="D44" s="893">
        <f>+C44/12</f>
        <v>5264313.125</v>
      </c>
      <c r="E44" s="894">
        <f>SUM(E36:E42)</f>
        <v>4811271.88</v>
      </c>
      <c r="F44" s="893">
        <f>SUM(F36:F42)</f>
        <v>4367129</v>
      </c>
      <c r="G44" s="894">
        <f>SUM(G36:G42)</f>
        <v>5020752</v>
      </c>
      <c r="H44" s="894">
        <f>SUM(H36:H42)</f>
        <v>4357863</v>
      </c>
      <c r="I44" s="893">
        <f>SUM(I36:I43)</f>
        <v>6081028</v>
      </c>
      <c r="J44" s="894">
        <f t="shared" ref="J44:P44" si="17">SUM(J36:J42)</f>
        <v>3315204</v>
      </c>
      <c r="K44" s="894">
        <f t="shared" si="17"/>
        <v>0</v>
      </c>
      <c r="L44" s="894">
        <f t="shared" si="17"/>
        <v>0</v>
      </c>
      <c r="M44" s="894">
        <f t="shared" si="17"/>
        <v>0</v>
      </c>
      <c r="N44" s="894">
        <f t="shared" si="17"/>
        <v>0</v>
      </c>
      <c r="O44" s="894">
        <f t="shared" si="17"/>
        <v>0</v>
      </c>
      <c r="P44" s="894">
        <f t="shared" si="17"/>
        <v>0</v>
      </c>
      <c r="Q44" s="894">
        <f>SUM(Q36:Q43)</f>
        <v>27953247.879999999</v>
      </c>
      <c r="R44" s="893">
        <f t="shared" si="14"/>
        <v>31585878.75</v>
      </c>
      <c r="S44" s="897">
        <f>SUM(S36:S42)</f>
        <v>3554452.870000001</v>
      </c>
      <c r="T44" s="661">
        <f t="shared" si="15"/>
        <v>3632630.870000001</v>
      </c>
    </row>
    <row r="45" spans="2:22" x14ac:dyDescent="0.25">
      <c r="B45" s="66" t="s">
        <v>104</v>
      </c>
      <c r="C45" s="370"/>
      <c r="D45" s="369" t="s">
        <v>33</v>
      </c>
      <c r="E45" s="369"/>
      <c r="F45" s="370"/>
      <c r="G45" s="370"/>
      <c r="H45" s="1008"/>
      <c r="I45" s="370"/>
      <c r="J45" s="870"/>
      <c r="K45" s="370"/>
      <c r="L45" s="370"/>
      <c r="M45" s="370"/>
      <c r="N45" s="370"/>
      <c r="O45" s="370"/>
      <c r="P45" s="1008"/>
      <c r="Q45" s="870"/>
      <c r="R45" s="370" t="s">
        <v>33</v>
      </c>
      <c r="S45" s="663">
        <f>+F45+G45+E45</f>
        <v>0</v>
      </c>
      <c r="T45" s="657" t="s">
        <v>33</v>
      </c>
    </row>
    <row r="46" spans="2:22" ht="14.25" customHeight="1" x14ac:dyDescent="0.25">
      <c r="B46" s="62" t="s">
        <v>105</v>
      </c>
      <c r="C46" s="364">
        <v>30797847</v>
      </c>
      <c r="D46" s="433">
        <f>+C46/12</f>
        <v>2566487.25</v>
      </c>
      <c r="E46" s="433">
        <v>2343824</v>
      </c>
      <c r="F46" s="364">
        <v>2343824</v>
      </c>
      <c r="G46" s="364">
        <v>2343824</v>
      </c>
      <c r="H46" s="1000">
        <v>3235079</v>
      </c>
      <c r="I46" s="364">
        <v>2566487</v>
      </c>
      <c r="J46" s="361">
        <v>2566487</v>
      </c>
      <c r="K46" s="364"/>
      <c r="L46" s="364"/>
      <c r="M46" s="364"/>
      <c r="N46" s="364"/>
      <c r="O46" s="364"/>
      <c r="P46" s="1000"/>
      <c r="Q46" s="361">
        <f t="shared" ref="Q46:Q55" si="18">SUM(E46:P46)</f>
        <v>15399525</v>
      </c>
      <c r="R46" s="364">
        <f t="shared" ref="R46:R57" si="19">+D46*$B$5</f>
        <v>15398923.5</v>
      </c>
      <c r="S46" s="658">
        <f t="shared" ref="S46:S53" si="20">+R46-Q46</f>
        <v>-601.5</v>
      </c>
      <c r="T46" s="656">
        <f t="shared" ref="T46:T56" si="21">+R46-Q46</f>
        <v>-601.5</v>
      </c>
    </row>
    <row r="47" spans="2:22" ht="14.25" customHeight="1" x14ac:dyDescent="0.25">
      <c r="B47" s="66" t="s">
        <v>65</v>
      </c>
      <c r="C47" s="898">
        <v>6413421</v>
      </c>
      <c r="D47" s="899">
        <f t="shared" ref="D47:D55" si="22">+C47/12</f>
        <v>534451.75</v>
      </c>
      <c r="E47" s="899">
        <v>488080</v>
      </c>
      <c r="F47" s="898">
        <v>488080</v>
      </c>
      <c r="G47" s="898">
        <v>627190</v>
      </c>
      <c r="H47" s="1018">
        <v>534352</v>
      </c>
      <c r="I47" s="898">
        <v>534352</v>
      </c>
      <c r="J47" s="1019">
        <v>534352</v>
      </c>
      <c r="K47" s="898"/>
      <c r="L47" s="898"/>
      <c r="M47" s="898"/>
      <c r="N47" s="898"/>
      <c r="O47" s="898"/>
      <c r="P47" s="1018"/>
      <c r="Q47" s="1019">
        <f t="shared" si="18"/>
        <v>3206406</v>
      </c>
      <c r="R47" s="898">
        <f t="shared" si="19"/>
        <v>3206710.5</v>
      </c>
      <c r="S47" s="658">
        <f t="shared" si="20"/>
        <v>304.5</v>
      </c>
      <c r="T47" s="656">
        <f t="shared" si="21"/>
        <v>304.5</v>
      </c>
    </row>
    <row r="48" spans="2:22" x14ac:dyDescent="0.25">
      <c r="B48" s="62" t="s">
        <v>106</v>
      </c>
      <c r="C48" s="364">
        <v>534465</v>
      </c>
      <c r="D48" s="433">
        <f t="shared" si="22"/>
        <v>44538.75</v>
      </c>
      <c r="E48" s="433">
        <v>0</v>
      </c>
      <c r="F48" s="364">
        <v>0</v>
      </c>
      <c r="G48" s="364">
        <v>0</v>
      </c>
      <c r="H48" s="1000">
        <v>0</v>
      </c>
      <c r="I48" s="364">
        <v>0</v>
      </c>
      <c r="J48" s="361">
        <v>534565</v>
      </c>
      <c r="K48" s="364"/>
      <c r="L48" s="364"/>
      <c r="M48" s="364"/>
      <c r="N48" s="364"/>
      <c r="O48" s="364"/>
      <c r="P48" s="1000"/>
      <c r="Q48" s="361">
        <f t="shared" si="18"/>
        <v>534565</v>
      </c>
      <c r="R48" s="364">
        <f t="shared" si="19"/>
        <v>267232.5</v>
      </c>
      <c r="S48" s="658">
        <f t="shared" si="20"/>
        <v>-267332.5</v>
      </c>
      <c r="T48" s="656">
        <f t="shared" si="21"/>
        <v>-267332.5</v>
      </c>
    </row>
    <row r="49" spans="2:22" x14ac:dyDescent="0.25">
      <c r="B49" s="66" t="s">
        <v>107</v>
      </c>
      <c r="C49" s="898">
        <v>603903</v>
      </c>
      <c r="D49" s="899">
        <f t="shared" si="22"/>
        <v>50325.25</v>
      </c>
      <c r="E49" s="899">
        <v>50344</v>
      </c>
      <c r="F49" s="898">
        <v>50344</v>
      </c>
      <c r="G49" s="898">
        <v>50344</v>
      </c>
      <c r="H49" s="1018">
        <v>50344</v>
      </c>
      <c r="I49" s="898">
        <v>50344</v>
      </c>
      <c r="J49" s="1019">
        <v>50344</v>
      </c>
      <c r="K49" s="898"/>
      <c r="L49" s="898"/>
      <c r="M49" s="898"/>
      <c r="N49" s="898"/>
      <c r="O49" s="898"/>
      <c r="P49" s="1018"/>
      <c r="Q49" s="1019">
        <f t="shared" si="18"/>
        <v>302064</v>
      </c>
      <c r="R49" s="898">
        <f t="shared" si="19"/>
        <v>301951.5</v>
      </c>
      <c r="S49" s="658">
        <f t="shared" si="20"/>
        <v>-112.5</v>
      </c>
      <c r="T49" s="656">
        <f t="shared" si="21"/>
        <v>-112.5</v>
      </c>
    </row>
    <row r="50" spans="2:22" x14ac:dyDescent="0.25">
      <c r="B50" s="62" t="s">
        <v>108</v>
      </c>
      <c r="C50" s="364">
        <v>200000</v>
      </c>
      <c r="D50" s="433">
        <f t="shared" si="22"/>
        <v>16666.666666666668</v>
      </c>
      <c r="E50" s="433">
        <v>0</v>
      </c>
      <c r="F50" s="364">
        <v>0</v>
      </c>
      <c r="G50" s="364">
        <v>10000</v>
      </c>
      <c r="H50" s="1000">
        <v>10000</v>
      </c>
      <c r="I50" s="364">
        <v>0</v>
      </c>
      <c r="J50" s="361">
        <v>0</v>
      </c>
      <c r="K50" s="364"/>
      <c r="L50" s="364"/>
      <c r="M50" s="364"/>
      <c r="N50" s="364"/>
      <c r="O50" s="364"/>
      <c r="P50" s="1000"/>
      <c r="Q50" s="361">
        <f t="shared" si="18"/>
        <v>20000</v>
      </c>
      <c r="R50" s="364">
        <f t="shared" si="19"/>
        <v>100000</v>
      </c>
      <c r="S50" s="658">
        <f t="shared" si="20"/>
        <v>80000</v>
      </c>
      <c r="T50" s="656">
        <f t="shared" si="21"/>
        <v>80000</v>
      </c>
    </row>
    <row r="51" spans="2:22" x14ac:dyDescent="0.25">
      <c r="B51" s="66" t="s">
        <v>109</v>
      </c>
      <c r="C51" s="898">
        <v>360000</v>
      </c>
      <c r="D51" s="899">
        <f t="shared" si="22"/>
        <v>30000</v>
      </c>
      <c r="E51" s="899">
        <v>0</v>
      </c>
      <c r="F51" s="898">
        <v>0</v>
      </c>
      <c r="G51" s="898">
        <v>26640</v>
      </c>
      <c r="H51" s="1018">
        <v>4390</v>
      </c>
      <c r="I51" s="898">
        <v>27030</v>
      </c>
      <c r="J51" s="1019">
        <v>0</v>
      </c>
      <c r="K51" s="898"/>
      <c r="L51" s="898"/>
      <c r="M51" s="898"/>
      <c r="N51" s="898"/>
      <c r="O51" s="898"/>
      <c r="P51" s="1018"/>
      <c r="Q51" s="1019">
        <f t="shared" si="18"/>
        <v>58060</v>
      </c>
      <c r="R51" s="898">
        <f t="shared" si="19"/>
        <v>180000</v>
      </c>
      <c r="S51" s="658">
        <f t="shared" si="20"/>
        <v>121940</v>
      </c>
      <c r="T51" s="656">
        <f t="shared" si="21"/>
        <v>121940</v>
      </c>
    </row>
    <row r="52" spans="2:22" x14ac:dyDescent="0.25">
      <c r="B52" s="62" t="s">
        <v>110</v>
      </c>
      <c r="C52" s="364">
        <v>150000</v>
      </c>
      <c r="D52" s="433">
        <f t="shared" si="22"/>
        <v>12500</v>
      </c>
      <c r="E52" s="433">
        <v>0</v>
      </c>
      <c r="F52" s="364">
        <v>0</v>
      </c>
      <c r="G52" s="364">
        <v>4500</v>
      </c>
      <c r="H52" s="1000">
        <v>0</v>
      </c>
      <c r="I52" s="364">
        <v>0</v>
      </c>
      <c r="J52" s="361">
        <v>0</v>
      </c>
      <c r="K52" s="364"/>
      <c r="L52" s="364"/>
      <c r="M52" s="364"/>
      <c r="N52" s="364"/>
      <c r="O52" s="364"/>
      <c r="P52" s="1000"/>
      <c r="Q52" s="361">
        <f t="shared" si="18"/>
        <v>4500</v>
      </c>
      <c r="R52" s="364">
        <f t="shared" si="19"/>
        <v>75000</v>
      </c>
      <c r="S52" s="658">
        <f t="shared" si="20"/>
        <v>70500</v>
      </c>
      <c r="T52" s="656">
        <f t="shared" si="21"/>
        <v>70500</v>
      </c>
    </row>
    <row r="53" spans="2:22" x14ac:dyDescent="0.25">
      <c r="B53" s="66" t="s">
        <v>111</v>
      </c>
      <c r="C53" s="898">
        <v>2700000</v>
      </c>
      <c r="D53" s="899">
        <f t="shared" si="22"/>
        <v>225000</v>
      </c>
      <c r="E53" s="899">
        <v>191152.44</v>
      </c>
      <c r="F53" s="898">
        <v>189522.6</v>
      </c>
      <c r="G53" s="898">
        <v>196603.1</v>
      </c>
      <c r="H53" s="1018">
        <v>179705.1</v>
      </c>
      <c r="I53" s="898">
        <v>225057.48</v>
      </c>
      <c r="J53" s="1019">
        <v>101784</v>
      </c>
      <c r="K53" s="898"/>
      <c r="L53" s="898"/>
      <c r="M53" s="898"/>
      <c r="N53" s="898"/>
      <c r="O53" s="898"/>
      <c r="P53" s="1018"/>
      <c r="Q53" s="1019">
        <f t="shared" si="18"/>
        <v>1083824.72</v>
      </c>
      <c r="R53" s="898">
        <f t="shared" si="19"/>
        <v>1350000</v>
      </c>
      <c r="S53" s="658">
        <f t="shared" si="20"/>
        <v>266175.28000000003</v>
      </c>
      <c r="T53" s="656">
        <f t="shared" si="21"/>
        <v>266175.28000000003</v>
      </c>
    </row>
    <row r="54" spans="2:22" s="145" customFormat="1" x14ac:dyDescent="0.25">
      <c r="B54" s="869" t="s">
        <v>68</v>
      </c>
      <c r="C54" s="901">
        <v>0</v>
      </c>
      <c r="D54" s="881">
        <f t="shared" si="22"/>
        <v>0</v>
      </c>
      <c r="E54" s="369">
        <v>0</v>
      </c>
      <c r="F54" s="370">
        <v>0</v>
      </c>
      <c r="G54" s="474">
        <v>1227</v>
      </c>
      <c r="H54" s="474">
        <v>5</v>
      </c>
      <c r="I54" s="1020">
        <v>-1887</v>
      </c>
      <c r="J54" s="474"/>
      <c r="K54" s="474"/>
      <c r="L54" s="474"/>
      <c r="M54" s="474"/>
      <c r="N54" s="474"/>
      <c r="O54" s="474"/>
      <c r="P54" s="474"/>
      <c r="Q54" s="440">
        <f t="shared" si="18"/>
        <v>-655</v>
      </c>
      <c r="R54" s="1020">
        <f t="shared" si="19"/>
        <v>0</v>
      </c>
      <c r="S54" s="658" t="e">
        <f>+#REF!-#REF!</f>
        <v>#REF!</v>
      </c>
      <c r="T54" s="656">
        <f t="shared" si="21"/>
        <v>655</v>
      </c>
    </row>
    <row r="55" spans="2:22" ht="15.75" hidden="1" customHeight="1" x14ac:dyDescent="0.25">
      <c r="B55" s="62" t="s">
        <v>112</v>
      </c>
      <c r="C55" s="659">
        <v>0</v>
      </c>
      <c r="D55" s="902">
        <f t="shared" si="22"/>
        <v>0</v>
      </c>
      <c r="E55" s="433"/>
      <c r="F55" s="364"/>
      <c r="G55" s="364"/>
      <c r="H55" s="1000"/>
      <c r="I55" s="364"/>
      <c r="J55" s="361"/>
      <c r="K55" s="364"/>
      <c r="L55" s="364"/>
      <c r="M55" s="364"/>
      <c r="N55" s="364"/>
      <c r="O55" s="364"/>
      <c r="P55" s="1000"/>
      <c r="Q55" s="361">
        <f t="shared" si="18"/>
        <v>0</v>
      </c>
      <c r="R55" s="364">
        <f t="shared" si="19"/>
        <v>0</v>
      </c>
      <c r="S55" s="658">
        <f>+R55-Q55</f>
        <v>0</v>
      </c>
      <c r="T55" s="656">
        <f t="shared" si="21"/>
        <v>0</v>
      </c>
    </row>
    <row r="56" spans="2:22" ht="13" x14ac:dyDescent="0.3">
      <c r="B56" s="67" t="s">
        <v>113</v>
      </c>
      <c r="C56" s="903">
        <f t="shared" ref="C56:J56" si="23">SUM(C46:C55)</f>
        <v>41759636</v>
      </c>
      <c r="D56" s="903">
        <f t="shared" si="23"/>
        <v>3479969.6666666665</v>
      </c>
      <c r="E56" s="903">
        <f t="shared" si="23"/>
        <v>3073400.44</v>
      </c>
      <c r="F56" s="903">
        <f t="shared" si="23"/>
        <v>3071770.6</v>
      </c>
      <c r="G56" s="903">
        <f t="shared" si="23"/>
        <v>3260328.1</v>
      </c>
      <c r="H56" s="1021">
        <f t="shared" si="23"/>
        <v>4013875.1</v>
      </c>
      <c r="I56" s="362">
        <f t="shared" si="23"/>
        <v>3401383.48</v>
      </c>
      <c r="J56" s="362">
        <f t="shared" si="23"/>
        <v>3787532</v>
      </c>
      <c r="K56" s="362"/>
      <c r="L56" s="362"/>
      <c r="M56" s="362"/>
      <c r="N56" s="362"/>
      <c r="O56" s="362"/>
      <c r="P56" s="999"/>
      <c r="Q56" s="362">
        <f>SUM(Q46:Q55)</f>
        <v>20608289.719999999</v>
      </c>
      <c r="R56" s="362">
        <f t="shared" si="19"/>
        <v>20879818</v>
      </c>
      <c r="S56" s="882" t="e">
        <f>SUM(S46:S55)</f>
        <v>#REF!</v>
      </c>
      <c r="T56" s="661">
        <f t="shared" si="21"/>
        <v>271528.28000000119</v>
      </c>
    </row>
    <row r="57" spans="2:22" x14ac:dyDescent="0.25">
      <c r="B57" s="68" t="s">
        <v>118</v>
      </c>
      <c r="C57" s="903">
        <f>+C56+C44+C30+C34+C19</f>
        <v>356841927.21000004</v>
      </c>
      <c r="D57" s="406">
        <f>+D56+D44+D30+D19</f>
        <v>29736827.267500002</v>
      </c>
      <c r="E57" s="406">
        <f t="shared" ref="E57:P57" si="24">+E56+E44+E30+E34+E19</f>
        <v>29096206.32</v>
      </c>
      <c r="F57" s="362">
        <f t="shared" si="24"/>
        <v>28666715.600000001</v>
      </c>
      <c r="G57" s="903">
        <f t="shared" si="24"/>
        <v>29124953.100000001</v>
      </c>
      <c r="H57" s="1021">
        <f t="shared" si="24"/>
        <v>26968598.100000001</v>
      </c>
      <c r="I57" s="362">
        <f t="shared" si="24"/>
        <v>29889745.48</v>
      </c>
      <c r="J57" s="867">
        <f>+J56+J44+J30+J34+J19</f>
        <v>26648874</v>
      </c>
      <c r="K57" s="362">
        <f t="shared" si="24"/>
        <v>0</v>
      </c>
      <c r="L57" s="362">
        <f t="shared" si="24"/>
        <v>0</v>
      </c>
      <c r="M57" s="362">
        <f t="shared" si="24"/>
        <v>0</v>
      </c>
      <c r="N57" s="362">
        <f t="shared" si="24"/>
        <v>0</v>
      </c>
      <c r="O57" s="362">
        <f t="shared" si="24"/>
        <v>0</v>
      </c>
      <c r="P57" s="362">
        <f t="shared" si="24"/>
        <v>0</v>
      </c>
      <c r="Q57" s="867">
        <f>+Q56+Q44+Q30+Q34+Q19</f>
        <v>170395092.59999999</v>
      </c>
      <c r="R57" s="362">
        <f t="shared" si="19"/>
        <v>178420963.60500002</v>
      </c>
      <c r="S57" s="904" t="e">
        <f>+S56+S44+S30+S34+S19</f>
        <v>#REF!</v>
      </c>
      <c r="T57" s="904">
        <f>+T56+T44+T30+T34+T19</f>
        <v>8025871.0050000213</v>
      </c>
      <c r="U57" s="462" t="s">
        <v>33</v>
      </c>
      <c r="V57" s="462" t="s">
        <v>33</v>
      </c>
    </row>
    <row r="58" spans="2:22" ht="13" x14ac:dyDescent="0.3">
      <c r="B58" s="52"/>
      <c r="C58" s="383"/>
      <c r="D58" s="435"/>
      <c r="E58" s="362"/>
      <c r="F58" s="382"/>
      <c r="G58" s="382"/>
      <c r="H58" s="382"/>
      <c r="I58" s="382"/>
      <c r="J58" s="382"/>
      <c r="K58" s="382"/>
      <c r="L58" s="382"/>
      <c r="M58" s="382"/>
      <c r="N58" s="382"/>
      <c r="O58" s="382"/>
      <c r="P58" s="382"/>
      <c r="Q58" s="382"/>
      <c r="R58" s="382"/>
      <c r="S58" s="662"/>
      <c r="T58" s="667"/>
    </row>
    <row r="59" spans="2:22" ht="13" x14ac:dyDescent="0.3">
      <c r="B59" s="905" t="s">
        <v>219</v>
      </c>
      <c r="C59" s="906">
        <f>SUM(C60:C64)</f>
        <v>0</v>
      </c>
      <c r="D59" s="865"/>
      <c r="E59" s="865">
        <f>SUM(E60:E65)</f>
        <v>451228.69</v>
      </c>
      <c r="F59" s="907">
        <f>SUM(F60:F64)</f>
        <v>472103.33999999997</v>
      </c>
      <c r="G59" s="907">
        <f>SUM(G60:G64)</f>
        <v>455679.26</v>
      </c>
      <c r="H59" s="907">
        <f>SUM(H60:H64)</f>
        <v>411197.13</v>
      </c>
      <c r="I59" s="907">
        <f>SUM(I60:I65)</f>
        <v>713029.05</v>
      </c>
      <c r="J59" s="907">
        <f>SUM(J60:J65)</f>
        <v>414671.35999999999</v>
      </c>
      <c r="K59" s="907">
        <f t="shared" ref="K59:S59" si="25">SUM(K60:K64)</f>
        <v>0</v>
      </c>
      <c r="L59" s="907">
        <f t="shared" si="25"/>
        <v>0</v>
      </c>
      <c r="M59" s="907">
        <f t="shared" si="25"/>
        <v>0</v>
      </c>
      <c r="N59" s="907">
        <f t="shared" si="25"/>
        <v>0</v>
      </c>
      <c r="O59" s="907">
        <f t="shared" si="25"/>
        <v>0</v>
      </c>
      <c r="P59" s="907">
        <f t="shared" si="25"/>
        <v>0</v>
      </c>
      <c r="Q59" s="907">
        <f>SUM(Q60:Q64)</f>
        <v>2669456.09</v>
      </c>
      <c r="R59" s="907">
        <f t="shared" si="25"/>
        <v>0</v>
      </c>
      <c r="S59" s="910">
        <f t="shared" si="25"/>
        <v>-2669456.09</v>
      </c>
      <c r="T59" s="661">
        <f>+Q59</f>
        <v>2669456.09</v>
      </c>
    </row>
    <row r="60" spans="2:22" x14ac:dyDescent="0.25">
      <c r="B60" s="106" t="s">
        <v>121</v>
      </c>
      <c r="C60" s="376"/>
      <c r="D60" s="361"/>
      <c r="E60" s="361">
        <v>69013</v>
      </c>
      <c r="F60" s="364">
        <v>95407</v>
      </c>
      <c r="G60" s="382">
        <v>139518</v>
      </c>
      <c r="H60" s="382">
        <v>92495</v>
      </c>
      <c r="I60" s="382">
        <v>136086</v>
      </c>
      <c r="J60" s="382">
        <v>108094</v>
      </c>
      <c r="K60" s="382"/>
      <c r="L60" s="382"/>
      <c r="M60" s="382"/>
      <c r="N60" s="382"/>
      <c r="O60" s="382"/>
      <c r="P60" s="382"/>
      <c r="Q60" s="382">
        <f>SUM(E60:P60)</f>
        <v>640613</v>
      </c>
      <c r="R60" s="382">
        <v>0</v>
      </c>
      <c r="S60" s="668">
        <f>+R60-Q60</f>
        <v>-640613</v>
      </c>
      <c r="T60" s="657"/>
    </row>
    <row r="61" spans="2:22" x14ac:dyDescent="0.25">
      <c r="B61" s="913" t="s">
        <v>122</v>
      </c>
      <c r="C61" s="914"/>
      <c r="D61" s="915"/>
      <c r="E61" s="915">
        <f>669.24+123715.45</f>
        <v>124384.69</v>
      </c>
      <c r="F61" s="916">
        <f>52094.04+1011.3</f>
        <v>53105.340000000004</v>
      </c>
      <c r="G61" s="916">
        <f>57021.36+1056.9</f>
        <v>58078.26</v>
      </c>
      <c r="H61" s="916">
        <f>1143+59728.13</f>
        <v>60871.13</v>
      </c>
      <c r="I61" s="916">
        <v>67835.31</v>
      </c>
      <c r="J61" s="916">
        <v>48746.36</v>
      </c>
      <c r="K61" s="916"/>
      <c r="L61" s="916"/>
      <c r="M61" s="916"/>
      <c r="N61" s="916"/>
      <c r="O61" s="916"/>
      <c r="P61" s="916"/>
      <c r="Q61" s="916">
        <f>SUM(E61:P61)</f>
        <v>413021.08999999997</v>
      </c>
      <c r="R61" s="916">
        <v>0</v>
      </c>
      <c r="S61" s="668">
        <f>+R61-Q61</f>
        <v>-413021.08999999997</v>
      </c>
      <c r="T61" s="657"/>
    </row>
    <row r="62" spans="2:22" x14ac:dyDescent="0.25">
      <c r="B62" s="106" t="s">
        <v>1227</v>
      </c>
      <c r="C62" s="376"/>
      <c r="D62" s="361"/>
      <c r="E62" s="361"/>
      <c r="F62" s="364">
        <v>0</v>
      </c>
      <c r="G62" s="382"/>
      <c r="H62" s="382"/>
      <c r="I62" s="382">
        <v>0</v>
      </c>
      <c r="J62" s="382">
        <v>0</v>
      </c>
      <c r="K62" s="382">
        <v>0</v>
      </c>
      <c r="L62" s="382"/>
      <c r="M62" s="382"/>
      <c r="N62" s="382"/>
      <c r="O62" s="382"/>
      <c r="P62" s="382"/>
      <c r="Q62" s="382">
        <f>SUM(E62:P62)</f>
        <v>0</v>
      </c>
      <c r="R62" s="382">
        <v>0</v>
      </c>
      <c r="S62" s="668">
        <f>+R62-Q62</f>
        <v>0</v>
      </c>
      <c r="T62" s="657"/>
    </row>
    <row r="63" spans="2:22" x14ac:dyDescent="0.25">
      <c r="B63" s="913" t="s">
        <v>123</v>
      </c>
      <c r="C63" s="914"/>
      <c r="D63" s="915"/>
      <c r="E63" s="915">
        <v>257831</v>
      </c>
      <c r="F63" s="916">
        <v>323591</v>
      </c>
      <c r="G63" s="916">
        <v>257831</v>
      </c>
      <c r="H63" s="916">
        <v>257831</v>
      </c>
      <c r="I63" s="916">
        <v>257831</v>
      </c>
      <c r="J63" s="916">
        <v>257831</v>
      </c>
      <c r="K63" s="916"/>
      <c r="L63" s="916"/>
      <c r="M63" s="916"/>
      <c r="N63" s="916"/>
      <c r="O63" s="916"/>
      <c r="P63" s="916"/>
      <c r="Q63" s="916">
        <f>SUM(E63:P63)</f>
        <v>1612746</v>
      </c>
      <c r="R63" s="916">
        <v>0</v>
      </c>
      <c r="S63" s="668">
        <f>+R63-Q63</f>
        <v>-1612746</v>
      </c>
      <c r="T63" s="657"/>
    </row>
    <row r="64" spans="2:22" x14ac:dyDescent="0.25">
      <c r="B64" s="106" t="s">
        <v>124</v>
      </c>
      <c r="C64" s="376"/>
      <c r="D64" s="364"/>
      <c r="E64" s="364"/>
      <c r="F64" s="364"/>
      <c r="G64" s="382">
        <v>252</v>
      </c>
      <c r="H64" s="382"/>
      <c r="I64" s="382">
        <f>2321+503</f>
        <v>2824</v>
      </c>
      <c r="J64" s="382">
        <v>0</v>
      </c>
      <c r="K64" s="382"/>
      <c r="L64" s="382"/>
      <c r="M64" s="382"/>
      <c r="N64" s="382"/>
      <c r="O64" s="382"/>
      <c r="P64" s="382"/>
      <c r="Q64" s="382">
        <f>SUM(E64:P64)</f>
        <v>3076</v>
      </c>
      <c r="R64" s="382">
        <v>0</v>
      </c>
      <c r="S64" s="668">
        <f>+R64-Q64</f>
        <v>-3076</v>
      </c>
      <c r="T64" s="657"/>
    </row>
    <row r="65" spans="2:21" x14ac:dyDescent="0.25">
      <c r="B65" s="918" t="s">
        <v>1410</v>
      </c>
      <c r="C65" s="919"/>
      <c r="D65" s="920"/>
      <c r="E65" s="920"/>
      <c r="F65" s="920"/>
      <c r="G65" s="886"/>
      <c r="H65" s="886"/>
      <c r="I65" s="916">
        <v>248452.74</v>
      </c>
      <c r="J65" s="916">
        <v>0</v>
      </c>
      <c r="K65" s="916"/>
      <c r="L65" s="916"/>
      <c r="M65" s="916"/>
      <c r="N65" s="916"/>
      <c r="O65" s="916"/>
      <c r="P65" s="916"/>
      <c r="Q65" s="916"/>
      <c r="R65" s="916"/>
      <c r="S65" s="668"/>
      <c r="T65" s="922"/>
    </row>
    <row r="66" spans="2:21" x14ac:dyDescent="0.25">
      <c r="B66" s="271" t="s">
        <v>566</v>
      </c>
      <c r="C66" s="384">
        <f>+C8-C57</f>
        <v>-0.21000003814697266</v>
      </c>
      <c r="D66" s="385">
        <f>+D8-D57</f>
        <v>-1.7500001937150955E-2</v>
      </c>
      <c r="E66" s="669">
        <f t="shared" ref="E66:K66" si="26">+E8-E57+E59</f>
        <v>56589.369999999704</v>
      </c>
      <c r="F66" s="669">
        <f t="shared" si="26"/>
        <v>506954.73999999848</v>
      </c>
      <c r="G66" s="385">
        <f t="shared" si="26"/>
        <v>32293.159999998519</v>
      </c>
      <c r="H66" s="385">
        <f t="shared" si="26"/>
        <v>6280234.0299999984</v>
      </c>
      <c r="I66" s="1022">
        <f t="shared" si="26"/>
        <v>558867.5699999996</v>
      </c>
      <c r="J66" s="1022">
        <f t="shared" si="26"/>
        <v>3501381.36</v>
      </c>
      <c r="K66" s="1022">
        <f t="shared" si="26"/>
        <v>0</v>
      </c>
      <c r="L66" s="1022"/>
      <c r="M66" s="1022">
        <f>+M8-M57+M59</f>
        <v>0</v>
      </c>
      <c r="N66" s="1022">
        <f>+N8-N57+N59</f>
        <v>0</v>
      </c>
      <c r="O66" s="1022">
        <f>+O8-O57+O59</f>
        <v>0</v>
      </c>
      <c r="P66" s="1022">
        <f>+P8-P57+P59</f>
        <v>0</v>
      </c>
      <c r="Q66" s="1022">
        <f>+Q8-Q57+Q59</f>
        <v>10687867.490000006</v>
      </c>
      <c r="R66" s="1022">
        <v>0</v>
      </c>
      <c r="S66" s="670" t="e">
        <f>+S8-S57+S59</f>
        <v>#REF!</v>
      </c>
      <c r="T66" s="670">
        <f>+T57-T8+T59</f>
        <v>10687867.595000021</v>
      </c>
    </row>
    <row r="67" spans="2:21" hidden="1" x14ac:dyDescent="0.25">
      <c r="B67" s="415"/>
      <c r="C67" s="353"/>
      <c r="D67" s="353"/>
      <c r="E67" s="353"/>
      <c r="F67" s="387">
        <f>SUM(E66:F66)</f>
        <v>563544.10999999824</v>
      </c>
      <c r="G67" s="387">
        <f>SUM(E66:G66)</f>
        <v>595837.26999999676</v>
      </c>
      <c r="H67" s="387">
        <f>SUM(E66:H66)</f>
        <v>6876071.2999999952</v>
      </c>
      <c r="I67" s="387">
        <f>SUM(E66:I66)</f>
        <v>7434938.8699999945</v>
      </c>
      <c r="J67" s="387"/>
      <c r="K67" s="387"/>
      <c r="L67" s="387"/>
      <c r="M67" s="387"/>
      <c r="N67" s="387"/>
      <c r="O67" s="387"/>
      <c r="P67" s="387"/>
      <c r="Q67" s="387"/>
      <c r="R67" s="387"/>
      <c r="T67" s="667"/>
    </row>
    <row r="68" spans="2:21" x14ac:dyDescent="0.25">
      <c r="B68" s="672"/>
      <c r="C68" s="408"/>
      <c r="D68" s="408"/>
      <c r="E68" s="408"/>
      <c r="F68" s="408"/>
      <c r="G68" s="408"/>
      <c r="H68" s="408"/>
      <c r="I68" s="361">
        <f>SUM(E66:I66)</f>
        <v>7434938.8699999945</v>
      </c>
      <c r="J68" s="361">
        <f>SUM(E66:J66)</f>
        <v>10936320.229999995</v>
      </c>
      <c r="K68" s="361"/>
      <c r="L68" s="361"/>
      <c r="M68" s="361"/>
      <c r="N68" s="361" t="s">
        <v>33</v>
      </c>
      <c r="O68" s="361" t="s">
        <v>33</v>
      </c>
      <c r="P68" s="361"/>
      <c r="Q68" s="361"/>
      <c r="R68" s="361"/>
      <c r="S68" s="1023" t="e">
        <f>+Q66+S66</f>
        <v>#REF!</v>
      </c>
      <c r="T68" s="44"/>
      <c r="U68" s="462" t="s">
        <v>33</v>
      </c>
    </row>
    <row r="69" spans="2:21" x14ac:dyDescent="0.25">
      <c r="B69" s="289" t="s">
        <v>456</v>
      </c>
      <c r="C69" s="474"/>
      <c r="D69" s="474"/>
      <c r="E69" s="474"/>
      <c r="F69" s="674" t="s">
        <v>40</v>
      </c>
      <c r="G69" s="474"/>
      <c r="H69" s="474"/>
      <c r="I69" s="474"/>
      <c r="J69" s="474"/>
      <c r="K69" s="404" t="s">
        <v>40</v>
      </c>
      <c r="L69" s="474"/>
      <c r="M69" s="440"/>
      <c r="N69" s="664"/>
      <c r="O69" s="474"/>
      <c r="P69" s="474"/>
      <c r="Q69" s="474"/>
      <c r="R69" s="440"/>
      <c r="S69" s="405"/>
      <c r="T69" s="145"/>
    </row>
    <row r="70" spans="2:21" x14ac:dyDescent="0.25">
      <c r="B70" s="289" t="s">
        <v>119</v>
      </c>
      <c r="C70" s="474"/>
      <c r="D70" s="474"/>
      <c r="E70" s="474"/>
      <c r="F70" s="474" t="s">
        <v>48</v>
      </c>
      <c r="G70" s="474"/>
      <c r="H70" s="474"/>
      <c r="I70" s="474"/>
      <c r="J70" s="440"/>
      <c r="K70" s="675" t="s">
        <v>48</v>
      </c>
      <c r="L70" s="440"/>
      <c r="M70" s="474"/>
      <c r="N70" s="664"/>
      <c r="O70" s="474" t="s">
        <v>33</v>
      </c>
      <c r="P70" s="474"/>
      <c r="Q70" s="474"/>
      <c r="R70" s="474"/>
      <c r="S70" s="405"/>
      <c r="T70" s="145"/>
    </row>
    <row r="71" spans="2:21" x14ac:dyDescent="0.25">
      <c r="B71" s="145"/>
      <c r="C71" s="474"/>
      <c r="D71" s="474"/>
      <c r="E71" s="474"/>
      <c r="F71" s="474"/>
      <c r="G71" s="474"/>
      <c r="H71" s="474"/>
      <c r="I71" s="474"/>
      <c r="J71" s="474"/>
      <c r="K71" s="474"/>
      <c r="L71" s="474"/>
      <c r="M71" s="474"/>
      <c r="N71" s="664"/>
      <c r="O71" s="474"/>
      <c r="P71" s="474"/>
      <c r="Q71" s="474"/>
      <c r="R71" s="474"/>
      <c r="S71" s="405"/>
      <c r="T71" s="145"/>
    </row>
    <row r="72" spans="2:21" x14ac:dyDescent="0.25">
      <c r="B72" s="145"/>
      <c r="C72" s="474"/>
      <c r="D72" s="474"/>
      <c r="E72" s="474"/>
      <c r="F72" s="474"/>
      <c r="G72" s="474"/>
      <c r="H72" s="474"/>
      <c r="I72" s="474"/>
      <c r="J72" s="474"/>
      <c r="K72" s="474"/>
      <c r="L72" s="474"/>
      <c r="M72" s="474"/>
      <c r="N72" s="664"/>
      <c r="O72" s="474"/>
      <c r="P72" s="474"/>
      <c r="Q72" s="474"/>
      <c r="R72" s="474"/>
      <c r="S72" s="405"/>
      <c r="T72" s="145"/>
    </row>
    <row r="73" spans="2:21" x14ac:dyDescent="0.25">
      <c r="F73" s="353" t="s">
        <v>33</v>
      </c>
      <c r="H73" s="353"/>
      <c r="T73" s="42"/>
    </row>
    <row r="74" spans="2:21" x14ac:dyDescent="0.25">
      <c r="G74" s="353"/>
      <c r="I74" s="353"/>
      <c r="J74" s="352">
        <v>-3501381.36</v>
      </c>
      <c r="T74" s="42"/>
    </row>
    <row r="75" spans="2:21" x14ac:dyDescent="0.25">
      <c r="J75" s="353">
        <f>+J66+J74</f>
        <v>0</v>
      </c>
    </row>
    <row r="76" spans="2:21" x14ac:dyDescent="0.25">
      <c r="B76" s="1633" t="s">
        <v>962</v>
      </c>
      <c r="C76" s="1634"/>
      <c r="D76"/>
    </row>
    <row r="77" spans="2:21" x14ac:dyDescent="0.25">
      <c r="B77" s="302" t="s">
        <v>773</v>
      </c>
      <c r="C77" s="638">
        <f>-49920464</f>
        <v>-49920464</v>
      </c>
      <c r="D77"/>
    </row>
    <row r="78" spans="2:21" x14ac:dyDescent="0.25">
      <c r="B78" s="639" t="s">
        <v>963</v>
      </c>
      <c r="C78" s="640">
        <v>-893269.33</v>
      </c>
      <c r="D78"/>
    </row>
    <row r="79" spans="2:21" x14ac:dyDescent="0.25">
      <c r="B79" s="641" t="s">
        <v>964</v>
      </c>
      <c r="C79" s="642">
        <f>SUM(C77:C78)</f>
        <v>-50813733.329999998</v>
      </c>
      <c r="D79"/>
    </row>
    <row r="80" spans="2:21" x14ac:dyDescent="0.25">
      <c r="B80" s="639" t="s">
        <v>965</v>
      </c>
      <c r="C80" s="643"/>
      <c r="D80"/>
    </row>
    <row r="81" spans="2:4" x14ac:dyDescent="0.25">
      <c r="B81" s="302" t="s">
        <v>75</v>
      </c>
      <c r="C81" s="640">
        <v>7425682</v>
      </c>
      <c r="D81"/>
    </row>
    <row r="82" spans="2:4" x14ac:dyDescent="0.25">
      <c r="B82" s="302" t="s">
        <v>58</v>
      </c>
      <c r="C82" s="640">
        <v>8550122</v>
      </c>
      <c r="D82"/>
    </row>
    <row r="83" spans="2:4" x14ac:dyDescent="0.25">
      <c r="B83" s="302" t="s">
        <v>220</v>
      </c>
      <c r="C83" s="640">
        <v>3837291</v>
      </c>
      <c r="D83"/>
    </row>
    <row r="84" spans="2:4" x14ac:dyDescent="0.25">
      <c r="B84" s="302" t="s">
        <v>224</v>
      </c>
      <c r="C84" s="640">
        <v>23006463.5</v>
      </c>
      <c r="D84"/>
    </row>
    <row r="85" spans="2:4" x14ac:dyDescent="0.25">
      <c r="B85" s="302" t="s">
        <v>966</v>
      </c>
      <c r="C85" s="640">
        <v>7994163.0700000003</v>
      </c>
      <c r="D85"/>
    </row>
    <row r="86" spans="2:4" x14ac:dyDescent="0.25">
      <c r="B86" s="644" t="s">
        <v>967</v>
      </c>
      <c r="C86" s="645">
        <f>SUM(C81:C85)</f>
        <v>50813721.57</v>
      </c>
      <c r="D86"/>
    </row>
    <row r="87" spans="2:4" x14ac:dyDescent="0.25">
      <c r="C87" s="325"/>
      <c r="D87"/>
    </row>
    <row r="88" spans="2:4" x14ac:dyDescent="0.25">
      <c r="C88" s="325"/>
      <c r="D88"/>
    </row>
    <row r="89" spans="2:4" x14ac:dyDescent="0.25">
      <c r="B89" s="1633" t="s">
        <v>962</v>
      </c>
      <c r="C89" s="1634"/>
      <c r="D89"/>
    </row>
    <row r="90" spans="2:4" x14ac:dyDescent="0.25">
      <c r="B90" s="302" t="s">
        <v>773</v>
      </c>
      <c r="C90" s="638">
        <f>-49920464</f>
        <v>-49920464</v>
      </c>
    </row>
    <row r="91" spans="2:4" x14ac:dyDescent="0.25">
      <c r="B91" s="639" t="s">
        <v>963</v>
      </c>
      <c r="C91" s="640">
        <v>-893269.33</v>
      </c>
    </row>
    <row r="92" spans="2:4" x14ac:dyDescent="0.25">
      <c r="B92" s="641" t="s">
        <v>964</v>
      </c>
      <c r="C92" s="642">
        <f>SUM(C90:C91)</f>
        <v>-50813733.329999998</v>
      </c>
    </row>
    <row r="93" spans="2:4" x14ac:dyDescent="0.25">
      <c r="B93" s="639" t="s">
        <v>965</v>
      </c>
      <c r="C93" s="643"/>
    </row>
    <row r="94" spans="2:4" x14ac:dyDescent="0.25">
      <c r="B94" s="302" t="s">
        <v>75</v>
      </c>
      <c r="C94" s="640">
        <v>7425682</v>
      </c>
    </row>
    <row r="95" spans="2:4" x14ac:dyDescent="0.25">
      <c r="B95" s="302" t="s">
        <v>58</v>
      </c>
      <c r="C95" s="640">
        <v>0</v>
      </c>
    </row>
    <row r="96" spans="2:4" x14ac:dyDescent="0.25">
      <c r="B96" s="302" t="s">
        <v>220</v>
      </c>
      <c r="C96" s="640">
        <v>3837291</v>
      </c>
    </row>
    <row r="97" spans="2:3" x14ac:dyDescent="0.25">
      <c r="B97" s="302" t="s">
        <v>224</v>
      </c>
      <c r="C97" s="640">
        <v>0</v>
      </c>
    </row>
    <row r="98" spans="2:3" x14ac:dyDescent="0.25">
      <c r="B98" s="302" t="s">
        <v>966</v>
      </c>
      <c r="C98" s="640">
        <v>7994163.0700000003</v>
      </c>
    </row>
    <row r="99" spans="2:3" x14ac:dyDescent="0.25">
      <c r="B99" s="644" t="s">
        <v>967</v>
      </c>
      <c r="C99" s="645">
        <f>SUM(C94:C98)</f>
        <v>19257136.07</v>
      </c>
    </row>
    <row r="100" spans="2:3" x14ac:dyDescent="0.25">
      <c r="C100"/>
    </row>
    <row r="101" spans="2:3" x14ac:dyDescent="0.25">
      <c r="B101" s="289" t="s">
        <v>1402</v>
      </c>
      <c r="C101" s="404">
        <v>31805050</v>
      </c>
    </row>
  </sheetData>
  <mergeCells count="4">
    <mergeCell ref="B1:S1"/>
    <mergeCell ref="B3:S3"/>
    <mergeCell ref="B76:C76"/>
    <mergeCell ref="B89:C89"/>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AB728-AF6E-4D31-8F07-242C1115A840}">
  <dimension ref="A1:Z53"/>
  <sheetViews>
    <sheetView workbookViewId="0">
      <selection activeCell="AI19" sqref="AI19"/>
    </sheetView>
  </sheetViews>
  <sheetFormatPr baseColWidth="10" defaultRowHeight="12.5" x14ac:dyDescent="0.25"/>
  <cols>
    <col min="1" max="1" width="34.54296875" customWidth="1"/>
    <col min="2" max="2" width="11" hidden="1" customWidth="1"/>
    <col min="3" max="3" width="12.1796875" hidden="1" customWidth="1"/>
    <col min="4" max="4" width="12.08984375" hidden="1" customWidth="1"/>
    <col min="5" max="5" width="11.1796875" hidden="1" customWidth="1"/>
    <col min="6" max="6" width="0" hidden="1" customWidth="1"/>
    <col min="7" max="7" width="12.1796875" customWidth="1"/>
    <col min="8" max="8" width="2.6328125" customWidth="1"/>
    <col min="9" max="9" width="12.08984375" customWidth="1"/>
    <col min="10" max="10" width="2.6328125" customWidth="1"/>
    <col min="11" max="11" width="10.90625" customWidth="1"/>
    <col min="12" max="12" width="11.453125" hidden="1" customWidth="1"/>
    <col min="13" max="23" width="0" hidden="1" customWidth="1"/>
    <col min="24" max="25" width="10.90625" hidden="1" customWidth="1"/>
    <col min="26" max="26" width="0" hidden="1" customWidth="1"/>
  </cols>
  <sheetData>
    <row r="1" spans="1:12" ht="13" thickTop="1" x14ac:dyDescent="0.25">
      <c r="A1" s="1643" t="s">
        <v>498</v>
      </c>
      <c r="B1" s="1644"/>
      <c r="C1" s="1644"/>
      <c r="D1" s="1644"/>
      <c r="E1" s="1644"/>
      <c r="F1" s="1644"/>
      <c r="G1" s="1644"/>
      <c r="H1" s="1644"/>
      <c r="I1" s="1644"/>
      <c r="J1" s="1644"/>
      <c r="K1" s="1644"/>
      <c r="L1" s="1645"/>
    </row>
    <row r="2" spans="1:12" ht="13" x14ac:dyDescent="0.3">
      <c r="A2" s="1646" t="s">
        <v>956</v>
      </c>
      <c r="B2" s="1647"/>
      <c r="C2" s="1647"/>
      <c r="D2" s="1647"/>
      <c r="E2" s="1647"/>
      <c r="F2" s="1647"/>
      <c r="G2" s="1647"/>
      <c r="H2" s="1647"/>
      <c r="I2" s="1647"/>
      <c r="J2" s="1647"/>
      <c r="K2" s="1647"/>
      <c r="L2" s="1648"/>
    </row>
    <row r="3" spans="1:12" ht="13" x14ac:dyDescent="0.3">
      <c r="A3" s="535" t="s">
        <v>899</v>
      </c>
      <c r="B3" s="536"/>
      <c r="L3" s="537"/>
    </row>
    <row r="4" spans="1:12" ht="13" x14ac:dyDescent="0.3">
      <c r="A4" s="538"/>
      <c r="B4" s="539" t="s">
        <v>900</v>
      </c>
      <c r="C4" s="539" t="s">
        <v>901</v>
      </c>
      <c r="D4" s="539" t="s">
        <v>902</v>
      </c>
      <c r="E4" s="540" t="s">
        <v>903</v>
      </c>
      <c r="F4" s="541"/>
      <c r="G4" s="541" t="s">
        <v>904</v>
      </c>
      <c r="H4" s="541"/>
      <c r="I4" s="541" t="s">
        <v>905</v>
      </c>
      <c r="J4" s="541"/>
      <c r="K4" s="541" t="s">
        <v>906</v>
      </c>
      <c r="L4" s="541" t="s">
        <v>907</v>
      </c>
    </row>
    <row r="5" spans="1:12" ht="13" x14ac:dyDescent="0.3">
      <c r="A5" s="542" t="s">
        <v>908</v>
      </c>
      <c r="B5" s="543">
        <f>'ESFA feb 2025'!E11</f>
        <v>19036449.449999999</v>
      </c>
      <c r="C5" s="543">
        <f>'ESFA feb 2025'!C11</f>
        <v>18027328.149999999</v>
      </c>
      <c r="D5" s="543">
        <f>'ESFA abril 2025'!E11</f>
        <v>16632365.949999999</v>
      </c>
      <c r="E5" s="544">
        <f>'ESFA abril 2025'!C11</f>
        <v>16436253.85</v>
      </c>
      <c r="F5" s="544"/>
      <c r="G5" s="544">
        <f>'ESFA MAY 2025'!C11</f>
        <v>52872060.759999998</v>
      </c>
      <c r="H5" s="544"/>
      <c r="I5" s="544">
        <f>'ESFA JUN 2025'!C11</f>
        <v>48166178.640000001</v>
      </c>
      <c r="J5" s="544"/>
      <c r="K5" s="544"/>
      <c r="L5" s="544"/>
    </row>
    <row r="6" spans="1:12" ht="13" hidden="1" x14ac:dyDescent="0.3">
      <c r="A6" s="545"/>
      <c r="B6" s="546"/>
      <c r="C6" s="547"/>
      <c r="D6" s="546"/>
      <c r="E6" s="548"/>
      <c r="F6" s="548"/>
      <c r="G6" s="548"/>
      <c r="H6" s="548"/>
      <c r="I6" s="548"/>
      <c r="J6" s="548"/>
      <c r="K6" s="548"/>
      <c r="L6" s="548"/>
    </row>
    <row r="7" spans="1:12" ht="13" x14ac:dyDescent="0.3">
      <c r="A7" s="549" t="s">
        <v>909</v>
      </c>
      <c r="B7" s="550">
        <f>'ESFA feb 2025'!E16</f>
        <v>8425444.3000000007</v>
      </c>
      <c r="C7" s="551">
        <f>'ESFA feb 2025'!C17</f>
        <v>8477538.3399999999</v>
      </c>
      <c r="D7" s="550">
        <f>'ESFA abril 2025'!E16</f>
        <v>8534559.6999999993</v>
      </c>
      <c r="E7" s="552">
        <f>'ESFA abril 2025'!C15</f>
        <v>8594287.8300000001</v>
      </c>
      <c r="F7" s="552"/>
      <c r="G7" s="552">
        <f>'ESFA MAY 2025'!C15</f>
        <v>8658779.9299999997</v>
      </c>
      <c r="H7" s="552"/>
      <c r="I7" s="552">
        <f>'ESFA JUN 2025'!C15</f>
        <v>10764303.619999999</v>
      </c>
      <c r="J7" s="552"/>
      <c r="K7" s="552"/>
      <c r="L7" s="552"/>
    </row>
    <row r="8" spans="1:12" ht="13" hidden="1" x14ac:dyDescent="0.3">
      <c r="A8" s="545"/>
      <c r="B8" s="546"/>
      <c r="C8" s="547"/>
      <c r="D8" s="546"/>
      <c r="E8" s="548"/>
      <c r="F8" s="548"/>
      <c r="G8" s="548"/>
      <c r="H8" s="548"/>
      <c r="I8" s="548"/>
      <c r="J8" s="548"/>
      <c r="K8" s="548"/>
      <c r="L8" s="548"/>
    </row>
    <row r="9" spans="1:12" ht="13" x14ac:dyDescent="0.3">
      <c r="A9" s="553" t="s">
        <v>910</v>
      </c>
      <c r="B9" s="550">
        <f>'ESFA feb 2025'!E22</f>
        <v>4645234</v>
      </c>
      <c r="C9" s="551">
        <f>'ESFA feb 2025'!C22</f>
        <v>5984340</v>
      </c>
      <c r="D9" s="550">
        <f>'ESFA abril 2025'!E23</f>
        <v>4129452</v>
      </c>
      <c r="E9" s="552">
        <f>'ESFA abril 2025'!C21</f>
        <v>4269712</v>
      </c>
      <c r="F9" s="552"/>
      <c r="G9" s="552">
        <f>'ESFA MAY 2025'!C21</f>
        <v>3942142</v>
      </c>
      <c r="H9" s="552"/>
      <c r="I9" s="552">
        <f>'ESFA JUN 2025'!C21</f>
        <v>11341985</v>
      </c>
      <c r="J9" s="552"/>
      <c r="K9" s="552"/>
      <c r="L9" s="552"/>
    </row>
    <row r="10" spans="1:12" ht="13" hidden="1" x14ac:dyDescent="0.3">
      <c r="A10" s="545"/>
      <c r="B10" s="554"/>
      <c r="C10" s="555"/>
      <c r="D10" s="554"/>
      <c r="E10" s="556"/>
      <c r="F10" s="556"/>
      <c r="G10" s="556"/>
      <c r="H10" s="556"/>
      <c r="I10" s="556"/>
      <c r="J10" s="556"/>
      <c r="K10" s="556"/>
      <c r="L10" s="556"/>
    </row>
    <row r="11" spans="1:12" ht="13" hidden="1" x14ac:dyDescent="0.3">
      <c r="A11" s="557" t="s">
        <v>911</v>
      </c>
      <c r="B11" s="550">
        <v>-503652</v>
      </c>
      <c r="C11" s="551">
        <f>[4]ESFA!E22</f>
        <v>-503652</v>
      </c>
      <c r="D11" s="550">
        <v>0</v>
      </c>
      <c r="E11" s="552">
        <v>0</v>
      </c>
      <c r="F11" s="552"/>
      <c r="G11" s="552"/>
      <c r="H11" s="552"/>
      <c r="I11" s="552"/>
      <c r="J11" s="552"/>
      <c r="K11" s="552"/>
      <c r="L11" s="552"/>
    </row>
    <row r="12" spans="1:12" ht="13" hidden="1" x14ac:dyDescent="0.3">
      <c r="A12" s="557"/>
      <c r="B12" s="550"/>
      <c r="C12" s="551"/>
      <c r="D12" s="550"/>
      <c r="E12" s="552"/>
      <c r="F12" s="552"/>
      <c r="G12" s="552"/>
      <c r="H12" s="552"/>
      <c r="I12" s="552"/>
      <c r="J12" s="552"/>
      <c r="K12" s="552"/>
      <c r="L12" s="552"/>
    </row>
    <row r="13" spans="1:12" ht="13" hidden="1" x14ac:dyDescent="0.3">
      <c r="A13" s="549" t="s">
        <v>912</v>
      </c>
      <c r="B13" s="550">
        <f>'ESFA feb 2025'!E28</f>
        <v>33310</v>
      </c>
      <c r="C13" s="551">
        <f>'ESFA feb 2025'!C28</f>
        <v>50146</v>
      </c>
      <c r="D13" s="550">
        <f>'ESFA abril 2025'!E27</f>
        <v>38070</v>
      </c>
      <c r="E13" s="552">
        <f>'ESFA abril 2025'!C27</f>
        <v>440118</v>
      </c>
      <c r="F13" s="552"/>
      <c r="G13" s="552">
        <f>'ESFA MAY 2025'!C27</f>
        <v>0</v>
      </c>
      <c r="H13" s="552"/>
      <c r="I13" s="552"/>
      <c r="J13" s="552"/>
      <c r="K13" s="552"/>
      <c r="L13" s="552"/>
    </row>
    <row r="14" spans="1:12" ht="13" hidden="1" x14ac:dyDescent="0.3">
      <c r="A14" s="549"/>
      <c r="B14" s="550"/>
      <c r="C14" s="551"/>
      <c r="D14" s="550"/>
      <c r="E14" s="552"/>
      <c r="F14" s="552"/>
      <c r="G14" s="552"/>
      <c r="H14" s="552"/>
      <c r="I14" s="552"/>
      <c r="J14" s="552"/>
      <c r="K14" s="552"/>
      <c r="L14" s="552"/>
    </row>
    <row r="15" spans="1:12" ht="13" x14ac:dyDescent="0.3">
      <c r="A15" s="549" t="s">
        <v>913</v>
      </c>
      <c r="B15" s="550">
        <f>'ESFA feb 2025'!E31</f>
        <v>1357394</v>
      </c>
      <c r="C15" s="551">
        <f>'ESFA feb 2025'!C31</f>
        <v>452464</v>
      </c>
      <c r="D15" s="550">
        <f>'ESFA abril 2025'!E30</f>
        <v>16844468</v>
      </c>
      <c r="E15" s="552">
        <f>'ESFA abril 2025'!C30</f>
        <v>15358191</v>
      </c>
      <c r="F15" s="552"/>
      <c r="G15" s="552">
        <f>'ESFA MAY 2025'!C30</f>
        <v>13871914</v>
      </c>
      <c r="H15" s="552"/>
      <c r="I15" s="552">
        <f>'ESFA JUN 2025'!C30</f>
        <v>12428599</v>
      </c>
      <c r="J15" s="552"/>
      <c r="K15" s="552"/>
      <c r="L15" s="552"/>
    </row>
    <row r="16" spans="1:12" ht="13" x14ac:dyDescent="0.3">
      <c r="A16" s="549"/>
      <c r="B16" s="550"/>
      <c r="C16" s="551"/>
      <c r="D16" s="550"/>
      <c r="E16" s="552">
        <f ca="1">SUM(E5:E16)</f>
        <v>0</v>
      </c>
      <c r="F16" s="552"/>
      <c r="G16" s="552"/>
      <c r="H16" s="552"/>
      <c r="I16" s="552"/>
      <c r="J16" s="552"/>
      <c r="K16" s="552"/>
      <c r="L16" s="552"/>
    </row>
    <row r="17" spans="1:26" ht="13" x14ac:dyDescent="0.3">
      <c r="A17" s="542" t="s">
        <v>3</v>
      </c>
      <c r="B17" s="558">
        <f>SUM(B5:B15)</f>
        <v>32994179.75</v>
      </c>
      <c r="C17" s="559">
        <f>SUM(C5:C16)</f>
        <v>32488164.489999998</v>
      </c>
      <c r="D17" s="558">
        <f>SUM(D5:D16)</f>
        <v>46178915.649999999</v>
      </c>
      <c r="E17" s="560">
        <f>E5+E7+E9+E13+E15</f>
        <v>45098562.68</v>
      </c>
      <c r="F17" s="560"/>
      <c r="G17" s="560">
        <f>G5+G7+G9+G13+G15</f>
        <v>79344896.689999998</v>
      </c>
      <c r="H17" s="560"/>
      <c r="I17" s="560">
        <f>'ESFA JUN 2025'!C32</f>
        <v>82701066.25999999</v>
      </c>
      <c r="J17" s="560"/>
      <c r="K17" s="560"/>
      <c r="L17" s="560">
        <f>++L5+L7+L9+L11</f>
        <v>0</v>
      </c>
    </row>
    <row r="18" spans="1:26" ht="13" x14ac:dyDescent="0.3">
      <c r="A18" s="542"/>
      <c r="B18" s="558"/>
      <c r="C18" s="559"/>
      <c r="D18" s="558"/>
      <c r="E18" s="560"/>
      <c r="F18" s="560"/>
      <c r="G18" s="560"/>
      <c r="H18" s="560"/>
      <c r="I18" s="560"/>
      <c r="J18" s="560"/>
      <c r="K18" s="560"/>
      <c r="L18" s="560"/>
    </row>
    <row r="19" spans="1:26" ht="13" x14ac:dyDescent="0.3">
      <c r="A19" s="542"/>
      <c r="B19" s="558"/>
      <c r="C19" s="559"/>
      <c r="D19" s="558"/>
      <c r="E19" s="560"/>
      <c r="F19" s="560"/>
      <c r="G19" s="560"/>
      <c r="H19" s="560"/>
      <c r="I19" s="560"/>
      <c r="J19" s="560"/>
      <c r="K19" s="560"/>
      <c r="L19" s="560"/>
    </row>
    <row r="20" spans="1:26" ht="13" x14ac:dyDescent="0.3">
      <c r="A20" s="542"/>
      <c r="B20" s="558"/>
      <c r="C20" s="559"/>
      <c r="D20" s="558"/>
      <c r="E20" s="560"/>
      <c r="F20" s="560"/>
      <c r="G20" s="560"/>
      <c r="H20" s="560"/>
      <c r="I20" s="560"/>
      <c r="J20" s="560"/>
      <c r="K20" s="560"/>
      <c r="L20" s="560"/>
    </row>
    <row r="21" spans="1:26" ht="13" x14ac:dyDescent="0.3">
      <c r="A21" s="535" t="s">
        <v>914</v>
      </c>
      <c r="B21" s="546"/>
      <c r="C21" s="547"/>
      <c r="D21" s="546"/>
      <c r="E21" s="548"/>
      <c r="F21" s="548"/>
      <c r="G21" s="548"/>
      <c r="H21" s="548"/>
      <c r="I21" s="548"/>
      <c r="J21" s="548"/>
      <c r="K21" s="548"/>
      <c r="L21" s="548"/>
      <c r="M21" s="561"/>
      <c r="N21" s="561"/>
      <c r="Z21" s="561"/>
    </row>
    <row r="22" spans="1:26" ht="13" x14ac:dyDescent="0.3">
      <c r="A22" s="562"/>
      <c r="B22" s="539" t="s">
        <v>900</v>
      </c>
      <c r="C22" s="539" t="s">
        <v>901</v>
      </c>
      <c r="D22" s="539" t="s">
        <v>902</v>
      </c>
      <c r="E22" s="540" t="s">
        <v>903</v>
      </c>
      <c r="F22" s="541"/>
      <c r="G22" s="541" t="s">
        <v>904</v>
      </c>
      <c r="H22" s="541"/>
      <c r="I22" s="541" t="s">
        <v>905</v>
      </c>
      <c r="J22" s="541"/>
      <c r="K22" s="541" t="s">
        <v>906</v>
      </c>
      <c r="L22" s="541" t="s">
        <v>907</v>
      </c>
    </row>
    <row r="23" spans="1:26" ht="13" x14ac:dyDescent="0.3">
      <c r="A23" s="563" t="s">
        <v>915</v>
      </c>
      <c r="B23" s="550">
        <f>'ESFA feb 2025'!E39</f>
        <v>1029590</v>
      </c>
      <c r="C23" s="551">
        <f>'ESFA feb 2025'!C39</f>
        <v>1444936</v>
      </c>
      <c r="D23" s="550">
        <f>'ESFA abril 2025'!E37</f>
        <v>14432437</v>
      </c>
      <c r="E23" s="552">
        <f>'ESFA abril 2025'!C37</f>
        <v>6714065</v>
      </c>
      <c r="F23" s="552"/>
      <c r="G23" s="552">
        <f>'ESFA MAY 2025'!C37</f>
        <v>534252</v>
      </c>
      <c r="H23" s="552"/>
      <c r="I23" s="552">
        <f>'ESFA JUN 2025'!C37</f>
        <v>727051</v>
      </c>
      <c r="J23" s="552"/>
      <c r="K23" s="552"/>
      <c r="L23" s="552"/>
    </row>
    <row r="24" spans="1:26" ht="13" hidden="1" x14ac:dyDescent="0.3">
      <c r="A24" s="545"/>
      <c r="B24" s="546"/>
      <c r="C24" s="547"/>
      <c r="D24" s="546"/>
      <c r="E24" s="548"/>
      <c r="F24" s="548"/>
      <c r="G24" s="548"/>
      <c r="H24" s="548"/>
      <c r="I24" s="548"/>
      <c r="J24" s="548"/>
      <c r="K24" s="548"/>
      <c r="L24" s="548"/>
    </row>
    <row r="25" spans="1:26" ht="13" hidden="1" x14ac:dyDescent="0.3">
      <c r="A25" s="545" t="s">
        <v>916</v>
      </c>
      <c r="B25" s="546"/>
      <c r="C25" s="547">
        <v>0</v>
      </c>
      <c r="D25" s="546">
        <v>0</v>
      </c>
      <c r="E25" s="548"/>
      <c r="F25" s="548"/>
      <c r="G25" s="548"/>
      <c r="H25" s="548"/>
      <c r="I25" s="548"/>
      <c r="J25" s="548"/>
      <c r="K25" s="548"/>
      <c r="L25" s="548"/>
    </row>
    <row r="26" spans="1:26" ht="13" hidden="1" x14ac:dyDescent="0.3">
      <c r="A26" s="545"/>
      <c r="B26" s="546"/>
      <c r="C26" s="547"/>
      <c r="D26" s="546"/>
      <c r="E26" s="548"/>
      <c r="F26" s="548"/>
      <c r="G26" s="548"/>
      <c r="H26" s="548"/>
      <c r="I26" s="548"/>
      <c r="J26" s="548"/>
      <c r="K26" s="548"/>
      <c r="L26" s="548"/>
    </row>
    <row r="27" spans="1:26" ht="13" x14ac:dyDescent="0.3">
      <c r="A27" s="545" t="s">
        <v>917</v>
      </c>
      <c r="B27" s="546">
        <f>'ESFA feb 2025'!E40+'ESFA feb 2025'!E41</f>
        <v>374093</v>
      </c>
      <c r="C27" s="546">
        <f>'ESFA feb 2025'!C40+'ESFA feb 2025'!C41</f>
        <v>257751.88</v>
      </c>
      <c r="D27" s="546">
        <f>'ESFA abril 2025'!E38+'ESFA abril 2025'!E39</f>
        <v>138041.38</v>
      </c>
      <c r="E27" s="548">
        <f>'ESFA abril 2025'!C38+'ESFA abril 2025'!C39</f>
        <v>167450.88</v>
      </c>
      <c r="F27" s="548"/>
      <c r="G27" s="548">
        <f>'ESFA MAY 2025'!C38</f>
        <v>102902.06</v>
      </c>
      <c r="H27" s="548"/>
      <c r="I27" s="548">
        <f>'ESFA JUN 2025'!C38</f>
        <v>62996.27</v>
      </c>
      <c r="J27" s="548"/>
      <c r="K27" s="548"/>
      <c r="L27" s="548"/>
    </row>
    <row r="28" spans="1:26" ht="13" hidden="1" x14ac:dyDescent="0.3">
      <c r="A28" s="545"/>
      <c r="B28" s="546"/>
      <c r="C28" s="547"/>
      <c r="D28" s="546"/>
      <c r="E28" s="548"/>
      <c r="F28" s="548"/>
      <c r="G28" s="548"/>
      <c r="H28" s="548"/>
      <c r="I28" s="548"/>
      <c r="J28" s="548"/>
      <c r="K28" s="548"/>
      <c r="L28" s="548"/>
    </row>
    <row r="29" spans="1:26" ht="13" hidden="1" x14ac:dyDescent="0.3">
      <c r="A29" s="545" t="s">
        <v>918</v>
      </c>
      <c r="B29" s="546">
        <v>7425682</v>
      </c>
      <c r="C29" s="546">
        <v>7425682</v>
      </c>
      <c r="D29" s="546"/>
      <c r="E29" s="548">
        <f>'ESFA abril 2025'!C43</f>
        <v>0</v>
      </c>
      <c r="F29" s="548"/>
      <c r="G29" s="548"/>
      <c r="H29" s="548"/>
      <c r="I29" s="548"/>
      <c r="J29" s="548"/>
      <c r="K29" s="548"/>
      <c r="L29" s="548"/>
    </row>
    <row r="30" spans="1:26" ht="13" hidden="1" x14ac:dyDescent="0.3">
      <c r="A30" s="545"/>
      <c r="B30" s="546"/>
      <c r="C30" s="547"/>
      <c r="D30" s="546"/>
      <c r="E30" s="548"/>
      <c r="F30" s="548"/>
      <c r="G30" s="548"/>
      <c r="H30" s="548"/>
      <c r="I30" s="548"/>
      <c r="J30" s="548"/>
      <c r="K30" s="548"/>
      <c r="L30" s="548"/>
    </row>
    <row r="31" spans="1:26" ht="13" hidden="1" x14ac:dyDescent="0.3">
      <c r="A31" s="545" t="s">
        <v>919</v>
      </c>
      <c r="B31" s="546">
        <v>8549190</v>
      </c>
      <c r="C31" s="547">
        <v>9715856</v>
      </c>
      <c r="D31" s="546">
        <f>'ESFA abril 2025'!E44</f>
        <v>8550122</v>
      </c>
      <c r="E31" s="548">
        <f>'ESFA abril 2025'!C44</f>
        <v>0</v>
      </c>
      <c r="F31" s="548"/>
      <c r="G31" s="548"/>
      <c r="H31" s="548"/>
      <c r="I31" s="548"/>
      <c r="J31" s="548"/>
      <c r="K31" s="548"/>
      <c r="L31" s="548"/>
    </row>
    <row r="32" spans="1:26" ht="13" hidden="1" x14ac:dyDescent="0.3">
      <c r="A32" s="545"/>
      <c r="B32" s="546"/>
      <c r="C32" s="547"/>
      <c r="D32" s="546"/>
      <c r="E32" s="548"/>
      <c r="F32" s="548"/>
      <c r="G32" s="548"/>
      <c r="H32" s="548"/>
      <c r="I32" s="548"/>
      <c r="J32" s="548"/>
      <c r="K32" s="548"/>
      <c r="L32" s="548"/>
    </row>
    <row r="33" spans="1:12" ht="13" hidden="1" x14ac:dyDescent="0.3">
      <c r="A33" s="545" t="s">
        <v>920</v>
      </c>
      <c r="B33" s="546">
        <v>3837291</v>
      </c>
      <c r="C33" s="547">
        <v>3837291</v>
      </c>
      <c r="D33" s="546">
        <v>3837291</v>
      </c>
      <c r="E33" s="548">
        <v>0</v>
      </c>
      <c r="F33" s="548"/>
      <c r="G33" s="548"/>
      <c r="H33" s="548"/>
      <c r="I33" s="548"/>
      <c r="J33" s="548"/>
      <c r="K33" s="548"/>
      <c r="L33" s="548"/>
    </row>
    <row r="34" spans="1:12" ht="13" hidden="1" x14ac:dyDescent="0.3">
      <c r="A34" s="545"/>
      <c r="B34" s="546"/>
      <c r="C34" s="547"/>
      <c r="D34" s="546"/>
      <c r="E34" s="548"/>
      <c r="F34" s="548"/>
      <c r="G34" s="548"/>
      <c r="H34" s="548"/>
      <c r="I34" s="548"/>
      <c r="J34" s="548"/>
      <c r="K34" s="548"/>
      <c r="L34" s="548"/>
    </row>
    <row r="35" spans="1:12" ht="13" x14ac:dyDescent="0.3">
      <c r="A35" s="545" t="s">
        <v>921</v>
      </c>
      <c r="B35" s="564">
        <f>'ESFA feb 2025'!E48</f>
        <v>44870833</v>
      </c>
      <c r="C35" s="565">
        <f>'ESFA feb 2025'!C48</f>
        <v>44870833</v>
      </c>
      <c r="D35" s="564">
        <f>'ESFA abril 2025'!C46</f>
        <v>21864369.5</v>
      </c>
      <c r="E35" s="566">
        <f>'ESFA abril 2025'!E46</f>
        <v>44870833</v>
      </c>
      <c r="F35" s="566"/>
      <c r="G35" s="566">
        <f>'ESFA MAY 2025'!C46</f>
        <v>45463372.880000003</v>
      </c>
      <c r="H35" s="566"/>
      <c r="I35" s="566">
        <f>'ESFA JUN 2025'!C46</f>
        <v>44870844.759999998</v>
      </c>
      <c r="J35" s="566"/>
      <c r="K35" s="566"/>
      <c r="L35" s="566"/>
    </row>
    <row r="36" spans="1:12" ht="13" x14ac:dyDescent="0.3">
      <c r="A36" s="545" t="s">
        <v>1405</v>
      </c>
      <c r="B36" s="564"/>
      <c r="C36" s="565"/>
      <c r="D36" s="564"/>
      <c r="E36" s="566"/>
      <c r="F36" s="566"/>
      <c r="G36" s="566">
        <f>'ESFA MAY 2025'!C47</f>
        <v>7500003</v>
      </c>
      <c r="H36" s="566"/>
      <c r="I36" s="566">
        <f>'ESFA JUN 2025'!C47</f>
        <v>7500003</v>
      </c>
      <c r="J36" s="566"/>
      <c r="K36" s="566"/>
      <c r="L36" s="566"/>
    </row>
    <row r="37" spans="1:12" ht="13" x14ac:dyDescent="0.3">
      <c r="A37" s="542"/>
      <c r="B37" s="567">
        <f>SUM(B23:B36)</f>
        <v>66086679</v>
      </c>
      <c r="C37" s="568">
        <f>SUM(C23:C36)</f>
        <v>67552349.879999995</v>
      </c>
      <c r="D37" s="567">
        <f>[5]ESFA!E51</f>
        <v>29813541.060000002</v>
      </c>
      <c r="E37" s="569">
        <f>[5]ESFA!C51</f>
        <v>25473876.879999999</v>
      </c>
      <c r="F37" s="569"/>
      <c r="G37" s="569">
        <f>[5]ESFA!E51</f>
        <v>29813541.060000002</v>
      </c>
      <c r="H37" s="569"/>
      <c r="I37" s="569">
        <f>SUM(I23:I36)</f>
        <v>53160895.030000001</v>
      </c>
      <c r="J37" s="569"/>
      <c r="K37" s="569"/>
      <c r="L37" s="569"/>
    </row>
    <row r="39" spans="1:12" ht="13" x14ac:dyDescent="0.3">
      <c r="A39" s="570" t="s">
        <v>922</v>
      </c>
      <c r="B39" s="546"/>
      <c r="C39" s="547"/>
      <c r="D39" s="546"/>
      <c r="E39" s="548"/>
      <c r="F39" s="548"/>
      <c r="G39" s="548"/>
      <c r="H39" s="548"/>
      <c r="I39" s="548"/>
      <c r="J39" s="548"/>
      <c r="K39" s="548"/>
      <c r="L39" s="548"/>
    </row>
    <row r="40" spans="1:12" ht="13" x14ac:dyDescent="0.3">
      <c r="A40" s="571" t="s">
        <v>923</v>
      </c>
      <c r="B40" s="539" t="s">
        <v>900</v>
      </c>
      <c r="C40" s="539" t="s">
        <v>901</v>
      </c>
      <c r="D40" s="539" t="s">
        <v>902</v>
      </c>
      <c r="E40" s="540" t="s">
        <v>903</v>
      </c>
      <c r="F40" s="541"/>
      <c r="G40" s="541" t="s">
        <v>904</v>
      </c>
      <c r="H40" s="541"/>
      <c r="I40" s="541" t="s">
        <v>905</v>
      </c>
      <c r="J40" s="541"/>
      <c r="K40" s="541" t="s">
        <v>906</v>
      </c>
      <c r="L40" s="541" t="s">
        <v>907</v>
      </c>
    </row>
    <row r="41" spans="1:12" ht="13" x14ac:dyDescent="0.3">
      <c r="A41" s="545" t="s">
        <v>924</v>
      </c>
      <c r="B41" s="564">
        <f>'ESFA feb 2025'!C57</f>
        <v>8861215.8800000008</v>
      </c>
      <c r="C41" s="565">
        <f>'ESFA feb 2025'!E57</f>
        <v>8574200.8800000008</v>
      </c>
      <c r="D41" s="564">
        <f>'ESFA abril 2025'!E55</f>
        <v>9148230.0800000001</v>
      </c>
      <c r="E41" s="566">
        <f>'ESFA abril 2025'!C55</f>
        <v>9476606.8800000008</v>
      </c>
      <c r="F41" s="566"/>
      <c r="G41" s="566">
        <f>'ESFA MAY 2025'!C56</f>
        <v>9773964.8800000008</v>
      </c>
      <c r="H41" s="566"/>
      <c r="I41" s="566">
        <f>'ESFA JUN 2025'!C56</f>
        <v>10053729.880000001</v>
      </c>
      <c r="J41" s="566"/>
      <c r="K41" s="566"/>
      <c r="L41" s="566"/>
    </row>
    <row r="42" spans="1:12" ht="13" hidden="1" x14ac:dyDescent="0.3">
      <c r="A42" s="545"/>
      <c r="B42" s="564"/>
      <c r="C42" s="565"/>
      <c r="D42" s="564"/>
      <c r="E42" s="566"/>
      <c r="F42" s="566"/>
      <c r="G42" s="566"/>
      <c r="H42" s="566"/>
      <c r="I42" s="566"/>
      <c r="J42" s="566"/>
      <c r="K42" s="566"/>
      <c r="L42" s="566"/>
    </row>
    <row r="43" spans="1:12" ht="13" x14ac:dyDescent="0.3">
      <c r="A43" s="572" t="s">
        <v>925</v>
      </c>
      <c r="B43" s="546">
        <f>'ESFA feb 2025'!C59</f>
        <v>563544.10999999824</v>
      </c>
      <c r="C43" s="547">
        <f>'ESFA feb 2025'!E59</f>
        <v>56589.37</v>
      </c>
      <c r="D43" s="546">
        <f>'ESFA abril 2025'!E57</f>
        <v>595837.68999999994</v>
      </c>
      <c r="E43" s="548">
        <f>'ESFA abril 2025'!C57</f>
        <v>6876070.4199999999</v>
      </c>
      <c r="F43" s="548"/>
      <c r="G43" s="548">
        <f>'ESFA MAY 2025'!C58</f>
        <v>7171827.1300000064</v>
      </c>
      <c r="H43" s="548"/>
      <c r="I43" s="548">
        <f>'ESFA JUN 2025'!C58</f>
        <v>10687866.610000005</v>
      </c>
      <c r="J43" s="548"/>
      <c r="K43" s="548"/>
      <c r="L43" s="548"/>
    </row>
    <row r="44" spans="1:12" ht="13" hidden="1" x14ac:dyDescent="0.3">
      <c r="A44" s="572"/>
      <c r="B44" s="546"/>
      <c r="C44" s="547"/>
      <c r="D44" s="546"/>
      <c r="E44" s="548"/>
      <c r="F44" s="548"/>
      <c r="G44" s="548"/>
      <c r="H44" s="548"/>
      <c r="I44" s="548"/>
      <c r="J44" s="548"/>
      <c r="K44" s="548"/>
      <c r="L44" s="548"/>
    </row>
    <row r="45" spans="1:12" ht="13" x14ac:dyDescent="0.3">
      <c r="A45" s="572" t="s">
        <v>1406</v>
      </c>
      <c r="B45" s="573">
        <f>'ESFA feb 2025'!E58</f>
        <v>7100905.5</v>
      </c>
      <c r="C45" s="573">
        <f>'ESFA feb 2025'!C58</f>
        <v>7100905.5</v>
      </c>
      <c r="D45" s="573">
        <f>'ESFA abril 2025'!E58</f>
        <v>-49920464</v>
      </c>
      <c r="E45" s="574">
        <f>'ESFA abril 2025'!C56</f>
        <v>0</v>
      </c>
      <c r="F45" s="574"/>
      <c r="G45" s="574">
        <f>'ESFA MAY 2025'!C59</f>
        <v>248452.74</v>
      </c>
      <c r="H45" s="574"/>
      <c r="I45" s="574">
        <f>'ESFA JUN 2025'!C59</f>
        <v>248452.74</v>
      </c>
      <c r="J45" s="574"/>
      <c r="K45" s="574"/>
      <c r="L45" s="574"/>
    </row>
    <row r="46" spans="1:12" x14ac:dyDescent="0.25">
      <c r="E46" s="561">
        <f>E41+E43+E45</f>
        <v>16352677.300000001</v>
      </c>
      <c r="F46" s="561"/>
      <c r="G46" s="561">
        <f>G41+G43+G45</f>
        <v>17194244.750000004</v>
      </c>
      <c r="H46" s="561"/>
      <c r="I46" s="561">
        <f>SUM(I41:I45)</f>
        <v>20990049.230000004</v>
      </c>
      <c r="J46" s="561"/>
    </row>
    <row r="47" spans="1:12" x14ac:dyDescent="0.25">
      <c r="A47" s="575"/>
      <c r="B47" s="576">
        <f>SUM(B41:B45)</f>
        <v>16525665.489999998</v>
      </c>
      <c r="C47" s="576">
        <f>SUM(C41:C45)</f>
        <v>15731695.75</v>
      </c>
      <c r="D47" s="576">
        <f>SUM(D41:D45)</f>
        <v>-40176396.230000004</v>
      </c>
      <c r="E47" s="575"/>
      <c r="F47" s="575"/>
      <c r="G47" s="575"/>
      <c r="H47" s="575"/>
      <c r="I47" s="575"/>
      <c r="J47" s="575"/>
      <c r="K47" s="575"/>
      <c r="L47" s="575"/>
    </row>
    <row r="50" spans="1:10" x14ac:dyDescent="0.25">
      <c r="E50" s="926">
        <v>45748</v>
      </c>
      <c r="G50" s="926">
        <v>45778</v>
      </c>
      <c r="H50" s="926"/>
      <c r="I50" s="926">
        <v>45809</v>
      </c>
      <c r="J50" s="926"/>
    </row>
    <row r="51" spans="1:10" x14ac:dyDescent="0.25">
      <c r="A51" s="1" t="s">
        <v>0</v>
      </c>
      <c r="E51" s="561">
        <f>E17</f>
        <v>45098562.68</v>
      </c>
      <c r="G51" s="561">
        <f>G17</f>
        <v>79344896.689999998</v>
      </c>
      <c r="H51" s="561"/>
      <c r="I51" s="561">
        <f>I17</f>
        <v>82701066.25999999</v>
      </c>
      <c r="J51" s="561"/>
    </row>
    <row r="52" spans="1:10" x14ac:dyDescent="0.25">
      <c r="A52" s="1" t="s">
        <v>4</v>
      </c>
      <c r="E52" s="561">
        <f>E37</f>
        <v>25473876.879999999</v>
      </c>
      <c r="G52" s="561">
        <f>G37</f>
        <v>29813541.060000002</v>
      </c>
      <c r="H52" s="561"/>
      <c r="I52" s="561">
        <f>I37</f>
        <v>53160895.030000001</v>
      </c>
      <c r="J52" s="561"/>
    </row>
    <row r="53" spans="1:10" x14ac:dyDescent="0.25">
      <c r="A53" s="1" t="s">
        <v>7</v>
      </c>
      <c r="E53" s="561">
        <f>E46</f>
        <v>16352677.300000001</v>
      </c>
      <c r="G53" s="561">
        <f>G46</f>
        <v>17194244.750000004</v>
      </c>
      <c r="H53" s="561"/>
      <c r="I53" s="42">
        <f>I46</f>
        <v>20990049.230000004</v>
      </c>
      <c r="J53" s="42"/>
    </row>
  </sheetData>
  <mergeCells count="2">
    <mergeCell ref="A1:L1"/>
    <mergeCell ref="A2:L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27A4E-A11B-4D1B-BAC9-1F1470713090}">
  <dimension ref="A1"/>
  <sheetViews>
    <sheetView topLeftCell="A84" workbookViewId="0">
      <selection activeCell="K123" sqref="K123"/>
    </sheetView>
  </sheetViews>
  <sheetFormatPr baseColWidth="10" defaultRowHeight="12.5" x14ac:dyDescent="0.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9545C-52BC-477F-BDE7-2815382A84B0}">
  <dimension ref="A1:AA72"/>
  <sheetViews>
    <sheetView workbookViewId="0">
      <selection activeCell="D21" sqref="D21"/>
    </sheetView>
  </sheetViews>
  <sheetFormatPr baseColWidth="10" defaultRowHeight="12.5" x14ac:dyDescent="0.25"/>
  <cols>
    <col min="1" max="1" width="3.54296875" style="1" customWidth="1"/>
    <col min="2" max="2" width="37.453125" style="1" customWidth="1"/>
    <col min="3" max="3" width="19.54296875" style="352" customWidth="1"/>
    <col min="4" max="4" width="12" style="352" customWidth="1"/>
    <col min="5" max="5" width="10" style="352" hidden="1" customWidth="1"/>
    <col min="6" max="6" width="12.54296875" style="352" hidden="1" customWidth="1"/>
    <col min="7" max="7" width="13.453125" style="352" hidden="1" customWidth="1"/>
    <col min="8" max="8" width="12" style="352" hidden="1" customWidth="1"/>
    <col min="9" max="9" width="12.1796875" style="352" hidden="1" customWidth="1"/>
    <col min="10" max="10" width="11.7265625" style="352" hidden="1" customWidth="1"/>
    <col min="11" max="12" width="15.7265625" style="352" customWidth="1"/>
    <col min="13" max="13" width="15.7265625" style="352" hidden="1" customWidth="1"/>
    <col min="14" max="14" width="15.7265625" style="388" hidden="1" customWidth="1"/>
    <col min="15" max="16" width="15.7265625" style="352" hidden="1" customWidth="1"/>
    <col min="17" max="17" width="15.7265625" style="352" customWidth="1"/>
    <col min="18" max="18" width="12.54296875" style="352" customWidth="1"/>
    <col min="19" max="19" width="15.453125" style="389" hidden="1" customWidth="1"/>
    <col min="20" max="20" width="12.81640625" style="1" customWidth="1"/>
    <col min="21" max="21" width="10.90625" style="1"/>
    <col min="22" max="22" width="0" style="1" hidden="1" customWidth="1"/>
    <col min="23" max="23" width="28.81640625" style="1" hidden="1" customWidth="1"/>
    <col min="24" max="24" width="12.453125" style="1" hidden="1" customWidth="1"/>
    <col min="25" max="26" width="0" style="1" hidden="1" customWidth="1"/>
    <col min="27" max="27" width="12.7265625" style="1" hidden="1" customWidth="1"/>
    <col min="28" max="38" width="0" style="1" hidden="1" customWidth="1"/>
    <col min="39" max="256" width="10.90625" style="1"/>
    <col min="257" max="257" width="3.54296875" style="1" customWidth="1"/>
    <col min="258" max="258" width="37.453125" style="1" customWidth="1"/>
    <col min="259" max="259" width="19.54296875" style="1" customWidth="1"/>
    <col min="260" max="260" width="12" style="1" customWidth="1"/>
    <col min="261" max="266" width="0" style="1" hidden="1" customWidth="1"/>
    <col min="267" max="268" width="15.7265625" style="1" customWidth="1"/>
    <col min="269" max="272" width="0" style="1" hidden="1" customWidth="1"/>
    <col min="273" max="273" width="15.7265625" style="1" customWidth="1"/>
    <col min="274" max="274" width="12.54296875" style="1" customWidth="1"/>
    <col min="275" max="275" width="0" style="1" hidden="1" customWidth="1"/>
    <col min="276" max="276" width="12.81640625" style="1" customWidth="1"/>
    <col min="277" max="277" width="10.90625" style="1"/>
    <col min="278" max="294" width="0" style="1" hidden="1" customWidth="1"/>
    <col min="295" max="512" width="10.90625" style="1"/>
    <col min="513" max="513" width="3.54296875" style="1" customWidth="1"/>
    <col min="514" max="514" width="37.453125" style="1" customWidth="1"/>
    <col min="515" max="515" width="19.54296875" style="1" customWidth="1"/>
    <col min="516" max="516" width="12" style="1" customWidth="1"/>
    <col min="517" max="522" width="0" style="1" hidden="1" customWidth="1"/>
    <col min="523" max="524" width="15.7265625" style="1" customWidth="1"/>
    <col min="525" max="528" width="0" style="1" hidden="1" customWidth="1"/>
    <col min="529" max="529" width="15.7265625" style="1" customWidth="1"/>
    <col min="530" max="530" width="12.54296875" style="1" customWidth="1"/>
    <col min="531" max="531" width="0" style="1" hidden="1" customWidth="1"/>
    <col min="532" max="532" width="12.81640625" style="1" customWidth="1"/>
    <col min="533" max="533" width="10.90625" style="1"/>
    <col min="534" max="550" width="0" style="1" hidden="1" customWidth="1"/>
    <col min="551" max="768" width="10.90625" style="1"/>
    <col min="769" max="769" width="3.54296875" style="1" customWidth="1"/>
    <col min="770" max="770" width="37.453125" style="1" customWidth="1"/>
    <col min="771" max="771" width="19.54296875" style="1" customWidth="1"/>
    <col min="772" max="772" width="12" style="1" customWidth="1"/>
    <col min="773" max="778" width="0" style="1" hidden="1" customWidth="1"/>
    <col min="779" max="780" width="15.7265625" style="1" customWidth="1"/>
    <col min="781" max="784" width="0" style="1" hidden="1" customWidth="1"/>
    <col min="785" max="785" width="15.7265625" style="1" customWidth="1"/>
    <col min="786" max="786" width="12.54296875" style="1" customWidth="1"/>
    <col min="787" max="787" width="0" style="1" hidden="1" customWidth="1"/>
    <col min="788" max="788" width="12.81640625" style="1" customWidth="1"/>
    <col min="789" max="789" width="10.90625" style="1"/>
    <col min="790" max="806" width="0" style="1" hidden="1" customWidth="1"/>
    <col min="807" max="1024" width="10.90625" style="1"/>
    <col min="1025" max="1025" width="3.54296875" style="1" customWidth="1"/>
    <col min="1026" max="1026" width="37.453125" style="1" customWidth="1"/>
    <col min="1027" max="1027" width="19.54296875" style="1" customWidth="1"/>
    <col min="1028" max="1028" width="12" style="1" customWidth="1"/>
    <col min="1029" max="1034" width="0" style="1" hidden="1" customWidth="1"/>
    <col min="1035" max="1036" width="15.7265625" style="1" customWidth="1"/>
    <col min="1037" max="1040" width="0" style="1" hidden="1" customWidth="1"/>
    <col min="1041" max="1041" width="15.7265625" style="1" customWidth="1"/>
    <col min="1042" max="1042" width="12.54296875" style="1" customWidth="1"/>
    <col min="1043" max="1043" width="0" style="1" hidden="1" customWidth="1"/>
    <col min="1044" max="1044" width="12.81640625" style="1" customWidth="1"/>
    <col min="1045" max="1045" width="10.90625" style="1"/>
    <col min="1046" max="1062" width="0" style="1" hidden="1" customWidth="1"/>
    <col min="1063" max="1280" width="10.90625" style="1"/>
    <col min="1281" max="1281" width="3.54296875" style="1" customWidth="1"/>
    <col min="1282" max="1282" width="37.453125" style="1" customWidth="1"/>
    <col min="1283" max="1283" width="19.54296875" style="1" customWidth="1"/>
    <col min="1284" max="1284" width="12" style="1" customWidth="1"/>
    <col min="1285" max="1290" width="0" style="1" hidden="1" customWidth="1"/>
    <col min="1291" max="1292" width="15.7265625" style="1" customWidth="1"/>
    <col min="1293" max="1296" width="0" style="1" hidden="1" customWidth="1"/>
    <col min="1297" max="1297" width="15.7265625" style="1" customWidth="1"/>
    <col min="1298" max="1298" width="12.54296875" style="1" customWidth="1"/>
    <col min="1299" max="1299" width="0" style="1" hidden="1" customWidth="1"/>
    <col min="1300" max="1300" width="12.81640625" style="1" customWidth="1"/>
    <col min="1301" max="1301" width="10.90625" style="1"/>
    <col min="1302" max="1318" width="0" style="1" hidden="1" customWidth="1"/>
    <col min="1319" max="1536" width="10.90625" style="1"/>
    <col min="1537" max="1537" width="3.54296875" style="1" customWidth="1"/>
    <col min="1538" max="1538" width="37.453125" style="1" customWidth="1"/>
    <col min="1539" max="1539" width="19.54296875" style="1" customWidth="1"/>
    <col min="1540" max="1540" width="12" style="1" customWidth="1"/>
    <col min="1541" max="1546" width="0" style="1" hidden="1" customWidth="1"/>
    <col min="1547" max="1548" width="15.7265625" style="1" customWidth="1"/>
    <col min="1549" max="1552" width="0" style="1" hidden="1" customWidth="1"/>
    <col min="1553" max="1553" width="15.7265625" style="1" customWidth="1"/>
    <col min="1554" max="1554" width="12.54296875" style="1" customWidth="1"/>
    <col min="1555" max="1555" width="0" style="1" hidden="1" customWidth="1"/>
    <col min="1556" max="1556" width="12.81640625" style="1" customWidth="1"/>
    <col min="1557" max="1557" width="10.90625" style="1"/>
    <col min="1558" max="1574" width="0" style="1" hidden="1" customWidth="1"/>
    <col min="1575" max="1792" width="10.90625" style="1"/>
    <col min="1793" max="1793" width="3.54296875" style="1" customWidth="1"/>
    <col min="1794" max="1794" width="37.453125" style="1" customWidth="1"/>
    <col min="1795" max="1795" width="19.54296875" style="1" customWidth="1"/>
    <col min="1796" max="1796" width="12" style="1" customWidth="1"/>
    <col min="1797" max="1802" width="0" style="1" hidden="1" customWidth="1"/>
    <col min="1803" max="1804" width="15.7265625" style="1" customWidth="1"/>
    <col min="1805" max="1808" width="0" style="1" hidden="1" customWidth="1"/>
    <col min="1809" max="1809" width="15.7265625" style="1" customWidth="1"/>
    <col min="1810" max="1810" width="12.54296875" style="1" customWidth="1"/>
    <col min="1811" max="1811" width="0" style="1" hidden="1" customWidth="1"/>
    <col min="1812" max="1812" width="12.81640625" style="1" customWidth="1"/>
    <col min="1813" max="1813" width="10.90625" style="1"/>
    <col min="1814" max="1830" width="0" style="1" hidden="1" customWidth="1"/>
    <col min="1831" max="2048" width="10.90625" style="1"/>
    <col min="2049" max="2049" width="3.54296875" style="1" customWidth="1"/>
    <col min="2050" max="2050" width="37.453125" style="1" customWidth="1"/>
    <col min="2051" max="2051" width="19.54296875" style="1" customWidth="1"/>
    <col min="2052" max="2052" width="12" style="1" customWidth="1"/>
    <col min="2053" max="2058" width="0" style="1" hidden="1" customWidth="1"/>
    <col min="2059" max="2060" width="15.7265625" style="1" customWidth="1"/>
    <col min="2061" max="2064" width="0" style="1" hidden="1" customWidth="1"/>
    <col min="2065" max="2065" width="15.7265625" style="1" customWidth="1"/>
    <col min="2066" max="2066" width="12.54296875" style="1" customWidth="1"/>
    <col min="2067" max="2067" width="0" style="1" hidden="1" customWidth="1"/>
    <col min="2068" max="2068" width="12.81640625" style="1" customWidth="1"/>
    <col min="2069" max="2069" width="10.90625" style="1"/>
    <col min="2070" max="2086" width="0" style="1" hidden="1" customWidth="1"/>
    <col min="2087" max="2304" width="10.90625" style="1"/>
    <col min="2305" max="2305" width="3.54296875" style="1" customWidth="1"/>
    <col min="2306" max="2306" width="37.453125" style="1" customWidth="1"/>
    <col min="2307" max="2307" width="19.54296875" style="1" customWidth="1"/>
    <col min="2308" max="2308" width="12" style="1" customWidth="1"/>
    <col min="2309" max="2314" width="0" style="1" hidden="1" customWidth="1"/>
    <col min="2315" max="2316" width="15.7265625" style="1" customWidth="1"/>
    <col min="2317" max="2320" width="0" style="1" hidden="1" customWidth="1"/>
    <col min="2321" max="2321" width="15.7265625" style="1" customWidth="1"/>
    <col min="2322" max="2322" width="12.54296875" style="1" customWidth="1"/>
    <col min="2323" max="2323" width="0" style="1" hidden="1" customWidth="1"/>
    <col min="2324" max="2324" width="12.81640625" style="1" customWidth="1"/>
    <col min="2325" max="2325" width="10.90625" style="1"/>
    <col min="2326" max="2342" width="0" style="1" hidden="1" customWidth="1"/>
    <col min="2343" max="2560" width="10.90625" style="1"/>
    <col min="2561" max="2561" width="3.54296875" style="1" customWidth="1"/>
    <col min="2562" max="2562" width="37.453125" style="1" customWidth="1"/>
    <col min="2563" max="2563" width="19.54296875" style="1" customWidth="1"/>
    <col min="2564" max="2564" width="12" style="1" customWidth="1"/>
    <col min="2565" max="2570" width="0" style="1" hidden="1" customWidth="1"/>
    <col min="2571" max="2572" width="15.7265625" style="1" customWidth="1"/>
    <col min="2573" max="2576" width="0" style="1" hidden="1" customWidth="1"/>
    <col min="2577" max="2577" width="15.7265625" style="1" customWidth="1"/>
    <col min="2578" max="2578" width="12.54296875" style="1" customWidth="1"/>
    <col min="2579" max="2579" width="0" style="1" hidden="1" customWidth="1"/>
    <col min="2580" max="2580" width="12.81640625" style="1" customWidth="1"/>
    <col min="2581" max="2581" width="10.90625" style="1"/>
    <col min="2582" max="2598" width="0" style="1" hidden="1" customWidth="1"/>
    <col min="2599" max="2816" width="10.90625" style="1"/>
    <col min="2817" max="2817" width="3.54296875" style="1" customWidth="1"/>
    <col min="2818" max="2818" width="37.453125" style="1" customWidth="1"/>
    <col min="2819" max="2819" width="19.54296875" style="1" customWidth="1"/>
    <col min="2820" max="2820" width="12" style="1" customWidth="1"/>
    <col min="2821" max="2826" width="0" style="1" hidden="1" customWidth="1"/>
    <col min="2827" max="2828" width="15.7265625" style="1" customWidth="1"/>
    <col min="2829" max="2832" width="0" style="1" hidden="1" customWidth="1"/>
    <col min="2833" max="2833" width="15.7265625" style="1" customWidth="1"/>
    <col min="2834" max="2834" width="12.54296875" style="1" customWidth="1"/>
    <col min="2835" max="2835" width="0" style="1" hidden="1" customWidth="1"/>
    <col min="2836" max="2836" width="12.81640625" style="1" customWidth="1"/>
    <col min="2837" max="2837" width="10.90625" style="1"/>
    <col min="2838" max="2854" width="0" style="1" hidden="1" customWidth="1"/>
    <col min="2855" max="3072" width="10.90625" style="1"/>
    <col min="3073" max="3073" width="3.54296875" style="1" customWidth="1"/>
    <col min="3074" max="3074" width="37.453125" style="1" customWidth="1"/>
    <col min="3075" max="3075" width="19.54296875" style="1" customWidth="1"/>
    <col min="3076" max="3076" width="12" style="1" customWidth="1"/>
    <col min="3077" max="3082" width="0" style="1" hidden="1" customWidth="1"/>
    <col min="3083" max="3084" width="15.7265625" style="1" customWidth="1"/>
    <col min="3085" max="3088" width="0" style="1" hidden="1" customWidth="1"/>
    <col min="3089" max="3089" width="15.7265625" style="1" customWidth="1"/>
    <col min="3090" max="3090" width="12.54296875" style="1" customWidth="1"/>
    <col min="3091" max="3091" width="0" style="1" hidden="1" customWidth="1"/>
    <col min="3092" max="3092" width="12.81640625" style="1" customWidth="1"/>
    <col min="3093" max="3093" width="10.90625" style="1"/>
    <col min="3094" max="3110" width="0" style="1" hidden="1" customWidth="1"/>
    <col min="3111" max="3328" width="10.90625" style="1"/>
    <col min="3329" max="3329" width="3.54296875" style="1" customWidth="1"/>
    <col min="3330" max="3330" width="37.453125" style="1" customWidth="1"/>
    <col min="3331" max="3331" width="19.54296875" style="1" customWidth="1"/>
    <col min="3332" max="3332" width="12" style="1" customWidth="1"/>
    <col min="3333" max="3338" width="0" style="1" hidden="1" customWidth="1"/>
    <col min="3339" max="3340" width="15.7265625" style="1" customWidth="1"/>
    <col min="3341" max="3344" width="0" style="1" hidden="1" customWidth="1"/>
    <col min="3345" max="3345" width="15.7265625" style="1" customWidth="1"/>
    <col min="3346" max="3346" width="12.54296875" style="1" customWidth="1"/>
    <col min="3347" max="3347" width="0" style="1" hidden="1" customWidth="1"/>
    <col min="3348" max="3348" width="12.81640625" style="1" customWidth="1"/>
    <col min="3349" max="3349" width="10.90625" style="1"/>
    <col min="3350" max="3366" width="0" style="1" hidden="1" customWidth="1"/>
    <col min="3367" max="3584" width="10.90625" style="1"/>
    <col min="3585" max="3585" width="3.54296875" style="1" customWidth="1"/>
    <col min="3586" max="3586" width="37.453125" style="1" customWidth="1"/>
    <col min="3587" max="3587" width="19.54296875" style="1" customWidth="1"/>
    <col min="3588" max="3588" width="12" style="1" customWidth="1"/>
    <col min="3589" max="3594" width="0" style="1" hidden="1" customWidth="1"/>
    <col min="3595" max="3596" width="15.7265625" style="1" customWidth="1"/>
    <col min="3597" max="3600" width="0" style="1" hidden="1" customWidth="1"/>
    <col min="3601" max="3601" width="15.7265625" style="1" customWidth="1"/>
    <col min="3602" max="3602" width="12.54296875" style="1" customWidth="1"/>
    <col min="3603" max="3603" width="0" style="1" hidden="1" customWidth="1"/>
    <col min="3604" max="3604" width="12.81640625" style="1" customWidth="1"/>
    <col min="3605" max="3605" width="10.90625" style="1"/>
    <col min="3606" max="3622" width="0" style="1" hidden="1" customWidth="1"/>
    <col min="3623" max="3840" width="10.90625" style="1"/>
    <col min="3841" max="3841" width="3.54296875" style="1" customWidth="1"/>
    <col min="3842" max="3842" width="37.453125" style="1" customWidth="1"/>
    <col min="3843" max="3843" width="19.54296875" style="1" customWidth="1"/>
    <col min="3844" max="3844" width="12" style="1" customWidth="1"/>
    <col min="3845" max="3850" width="0" style="1" hidden="1" customWidth="1"/>
    <col min="3851" max="3852" width="15.7265625" style="1" customWidth="1"/>
    <col min="3853" max="3856" width="0" style="1" hidden="1" customWidth="1"/>
    <col min="3857" max="3857" width="15.7265625" style="1" customWidth="1"/>
    <col min="3858" max="3858" width="12.54296875" style="1" customWidth="1"/>
    <col min="3859" max="3859" width="0" style="1" hidden="1" customWidth="1"/>
    <col min="3860" max="3860" width="12.81640625" style="1" customWidth="1"/>
    <col min="3861" max="3861" width="10.90625" style="1"/>
    <col min="3862" max="3878" width="0" style="1" hidden="1" customWidth="1"/>
    <col min="3879" max="4096" width="10.90625" style="1"/>
    <col min="4097" max="4097" width="3.54296875" style="1" customWidth="1"/>
    <col min="4098" max="4098" width="37.453125" style="1" customWidth="1"/>
    <col min="4099" max="4099" width="19.54296875" style="1" customWidth="1"/>
    <col min="4100" max="4100" width="12" style="1" customWidth="1"/>
    <col min="4101" max="4106" width="0" style="1" hidden="1" customWidth="1"/>
    <col min="4107" max="4108" width="15.7265625" style="1" customWidth="1"/>
    <col min="4109" max="4112" width="0" style="1" hidden="1" customWidth="1"/>
    <col min="4113" max="4113" width="15.7265625" style="1" customWidth="1"/>
    <col min="4114" max="4114" width="12.54296875" style="1" customWidth="1"/>
    <col min="4115" max="4115" width="0" style="1" hidden="1" customWidth="1"/>
    <col min="4116" max="4116" width="12.81640625" style="1" customWidth="1"/>
    <col min="4117" max="4117" width="10.90625" style="1"/>
    <col min="4118" max="4134" width="0" style="1" hidden="1" customWidth="1"/>
    <col min="4135" max="4352" width="10.90625" style="1"/>
    <col min="4353" max="4353" width="3.54296875" style="1" customWidth="1"/>
    <col min="4354" max="4354" width="37.453125" style="1" customWidth="1"/>
    <col min="4355" max="4355" width="19.54296875" style="1" customWidth="1"/>
    <col min="4356" max="4356" width="12" style="1" customWidth="1"/>
    <col min="4357" max="4362" width="0" style="1" hidden="1" customWidth="1"/>
    <col min="4363" max="4364" width="15.7265625" style="1" customWidth="1"/>
    <col min="4365" max="4368" width="0" style="1" hidden="1" customWidth="1"/>
    <col min="4369" max="4369" width="15.7265625" style="1" customWidth="1"/>
    <col min="4370" max="4370" width="12.54296875" style="1" customWidth="1"/>
    <col min="4371" max="4371" width="0" style="1" hidden="1" customWidth="1"/>
    <col min="4372" max="4372" width="12.81640625" style="1" customWidth="1"/>
    <col min="4373" max="4373" width="10.90625" style="1"/>
    <col min="4374" max="4390" width="0" style="1" hidden="1" customWidth="1"/>
    <col min="4391" max="4608" width="10.90625" style="1"/>
    <col min="4609" max="4609" width="3.54296875" style="1" customWidth="1"/>
    <col min="4610" max="4610" width="37.453125" style="1" customWidth="1"/>
    <col min="4611" max="4611" width="19.54296875" style="1" customWidth="1"/>
    <col min="4612" max="4612" width="12" style="1" customWidth="1"/>
    <col min="4613" max="4618" width="0" style="1" hidden="1" customWidth="1"/>
    <col min="4619" max="4620" width="15.7265625" style="1" customWidth="1"/>
    <col min="4621" max="4624" width="0" style="1" hidden="1" customWidth="1"/>
    <col min="4625" max="4625" width="15.7265625" style="1" customWidth="1"/>
    <col min="4626" max="4626" width="12.54296875" style="1" customWidth="1"/>
    <col min="4627" max="4627" width="0" style="1" hidden="1" customWidth="1"/>
    <col min="4628" max="4628" width="12.81640625" style="1" customWidth="1"/>
    <col min="4629" max="4629" width="10.90625" style="1"/>
    <col min="4630" max="4646" width="0" style="1" hidden="1" customWidth="1"/>
    <col min="4647" max="4864" width="10.90625" style="1"/>
    <col min="4865" max="4865" width="3.54296875" style="1" customWidth="1"/>
    <col min="4866" max="4866" width="37.453125" style="1" customWidth="1"/>
    <col min="4867" max="4867" width="19.54296875" style="1" customWidth="1"/>
    <col min="4868" max="4868" width="12" style="1" customWidth="1"/>
    <col min="4869" max="4874" width="0" style="1" hidden="1" customWidth="1"/>
    <col min="4875" max="4876" width="15.7265625" style="1" customWidth="1"/>
    <col min="4877" max="4880" width="0" style="1" hidden="1" customWidth="1"/>
    <col min="4881" max="4881" width="15.7265625" style="1" customWidth="1"/>
    <col min="4882" max="4882" width="12.54296875" style="1" customWidth="1"/>
    <col min="4883" max="4883" width="0" style="1" hidden="1" customWidth="1"/>
    <col min="4884" max="4884" width="12.81640625" style="1" customWidth="1"/>
    <col min="4885" max="4885" width="10.90625" style="1"/>
    <col min="4886" max="4902" width="0" style="1" hidden="1" customWidth="1"/>
    <col min="4903" max="5120" width="10.90625" style="1"/>
    <col min="5121" max="5121" width="3.54296875" style="1" customWidth="1"/>
    <col min="5122" max="5122" width="37.453125" style="1" customWidth="1"/>
    <col min="5123" max="5123" width="19.54296875" style="1" customWidth="1"/>
    <col min="5124" max="5124" width="12" style="1" customWidth="1"/>
    <col min="5125" max="5130" width="0" style="1" hidden="1" customWidth="1"/>
    <col min="5131" max="5132" width="15.7265625" style="1" customWidth="1"/>
    <col min="5133" max="5136" width="0" style="1" hidden="1" customWidth="1"/>
    <col min="5137" max="5137" width="15.7265625" style="1" customWidth="1"/>
    <col min="5138" max="5138" width="12.54296875" style="1" customWidth="1"/>
    <col min="5139" max="5139" width="0" style="1" hidden="1" customWidth="1"/>
    <col min="5140" max="5140" width="12.81640625" style="1" customWidth="1"/>
    <col min="5141" max="5141" width="10.90625" style="1"/>
    <col min="5142" max="5158" width="0" style="1" hidden="1" customWidth="1"/>
    <col min="5159" max="5376" width="10.90625" style="1"/>
    <col min="5377" max="5377" width="3.54296875" style="1" customWidth="1"/>
    <col min="5378" max="5378" width="37.453125" style="1" customWidth="1"/>
    <col min="5379" max="5379" width="19.54296875" style="1" customWidth="1"/>
    <col min="5380" max="5380" width="12" style="1" customWidth="1"/>
    <col min="5381" max="5386" width="0" style="1" hidden="1" customWidth="1"/>
    <col min="5387" max="5388" width="15.7265625" style="1" customWidth="1"/>
    <col min="5389" max="5392" width="0" style="1" hidden="1" customWidth="1"/>
    <col min="5393" max="5393" width="15.7265625" style="1" customWidth="1"/>
    <col min="5394" max="5394" width="12.54296875" style="1" customWidth="1"/>
    <col min="5395" max="5395" width="0" style="1" hidden="1" customWidth="1"/>
    <col min="5396" max="5396" width="12.81640625" style="1" customWidth="1"/>
    <col min="5397" max="5397" width="10.90625" style="1"/>
    <col min="5398" max="5414" width="0" style="1" hidden="1" customWidth="1"/>
    <col min="5415" max="5632" width="10.90625" style="1"/>
    <col min="5633" max="5633" width="3.54296875" style="1" customWidth="1"/>
    <col min="5634" max="5634" width="37.453125" style="1" customWidth="1"/>
    <col min="5635" max="5635" width="19.54296875" style="1" customWidth="1"/>
    <col min="5636" max="5636" width="12" style="1" customWidth="1"/>
    <col min="5637" max="5642" width="0" style="1" hidden="1" customWidth="1"/>
    <col min="5643" max="5644" width="15.7265625" style="1" customWidth="1"/>
    <col min="5645" max="5648" width="0" style="1" hidden="1" customWidth="1"/>
    <col min="5649" max="5649" width="15.7265625" style="1" customWidth="1"/>
    <col min="5650" max="5650" width="12.54296875" style="1" customWidth="1"/>
    <col min="5651" max="5651" width="0" style="1" hidden="1" customWidth="1"/>
    <col min="5652" max="5652" width="12.81640625" style="1" customWidth="1"/>
    <col min="5653" max="5653" width="10.90625" style="1"/>
    <col min="5654" max="5670" width="0" style="1" hidden="1" customWidth="1"/>
    <col min="5671" max="5888" width="10.90625" style="1"/>
    <col min="5889" max="5889" width="3.54296875" style="1" customWidth="1"/>
    <col min="5890" max="5890" width="37.453125" style="1" customWidth="1"/>
    <col min="5891" max="5891" width="19.54296875" style="1" customWidth="1"/>
    <col min="5892" max="5892" width="12" style="1" customWidth="1"/>
    <col min="5893" max="5898" width="0" style="1" hidden="1" customWidth="1"/>
    <col min="5899" max="5900" width="15.7265625" style="1" customWidth="1"/>
    <col min="5901" max="5904" width="0" style="1" hidden="1" customWidth="1"/>
    <col min="5905" max="5905" width="15.7265625" style="1" customWidth="1"/>
    <col min="5906" max="5906" width="12.54296875" style="1" customWidth="1"/>
    <col min="5907" max="5907" width="0" style="1" hidden="1" customWidth="1"/>
    <col min="5908" max="5908" width="12.81640625" style="1" customWidth="1"/>
    <col min="5909" max="5909" width="10.90625" style="1"/>
    <col min="5910" max="5926" width="0" style="1" hidden="1" customWidth="1"/>
    <col min="5927" max="6144" width="10.90625" style="1"/>
    <col min="6145" max="6145" width="3.54296875" style="1" customWidth="1"/>
    <col min="6146" max="6146" width="37.453125" style="1" customWidth="1"/>
    <col min="6147" max="6147" width="19.54296875" style="1" customWidth="1"/>
    <col min="6148" max="6148" width="12" style="1" customWidth="1"/>
    <col min="6149" max="6154" width="0" style="1" hidden="1" customWidth="1"/>
    <col min="6155" max="6156" width="15.7265625" style="1" customWidth="1"/>
    <col min="6157" max="6160" width="0" style="1" hidden="1" customWidth="1"/>
    <col min="6161" max="6161" width="15.7265625" style="1" customWidth="1"/>
    <col min="6162" max="6162" width="12.54296875" style="1" customWidth="1"/>
    <col min="6163" max="6163" width="0" style="1" hidden="1" customWidth="1"/>
    <col min="6164" max="6164" width="12.81640625" style="1" customWidth="1"/>
    <col min="6165" max="6165" width="10.90625" style="1"/>
    <col min="6166" max="6182" width="0" style="1" hidden="1" customWidth="1"/>
    <col min="6183" max="6400" width="10.90625" style="1"/>
    <col min="6401" max="6401" width="3.54296875" style="1" customWidth="1"/>
    <col min="6402" max="6402" width="37.453125" style="1" customWidth="1"/>
    <col min="6403" max="6403" width="19.54296875" style="1" customWidth="1"/>
    <col min="6404" max="6404" width="12" style="1" customWidth="1"/>
    <col min="6405" max="6410" width="0" style="1" hidden="1" customWidth="1"/>
    <col min="6411" max="6412" width="15.7265625" style="1" customWidth="1"/>
    <col min="6413" max="6416" width="0" style="1" hidden="1" customWidth="1"/>
    <col min="6417" max="6417" width="15.7265625" style="1" customWidth="1"/>
    <col min="6418" max="6418" width="12.54296875" style="1" customWidth="1"/>
    <col min="6419" max="6419" width="0" style="1" hidden="1" customWidth="1"/>
    <col min="6420" max="6420" width="12.81640625" style="1" customWidth="1"/>
    <col min="6421" max="6421" width="10.90625" style="1"/>
    <col min="6422" max="6438" width="0" style="1" hidden="1" customWidth="1"/>
    <col min="6439" max="6656" width="10.90625" style="1"/>
    <col min="6657" max="6657" width="3.54296875" style="1" customWidth="1"/>
    <col min="6658" max="6658" width="37.453125" style="1" customWidth="1"/>
    <col min="6659" max="6659" width="19.54296875" style="1" customWidth="1"/>
    <col min="6660" max="6660" width="12" style="1" customWidth="1"/>
    <col min="6661" max="6666" width="0" style="1" hidden="1" customWidth="1"/>
    <col min="6667" max="6668" width="15.7265625" style="1" customWidth="1"/>
    <col min="6669" max="6672" width="0" style="1" hidden="1" customWidth="1"/>
    <col min="6673" max="6673" width="15.7265625" style="1" customWidth="1"/>
    <col min="6674" max="6674" width="12.54296875" style="1" customWidth="1"/>
    <col min="6675" max="6675" width="0" style="1" hidden="1" customWidth="1"/>
    <col min="6676" max="6676" width="12.81640625" style="1" customWidth="1"/>
    <col min="6677" max="6677" width="10.90625" style="1"/>
    <col min="6678" max="6694" width="0" style="1" hidden="1" customWidth="1"/>
    <col min="6695" max="6912" width="10.90625" style="1"/>
    <col min="6913" max="6913" width="3.54296875" style="1" customWidth="1"/>
    <col min="6914" max="6914" width="37.453125" style="1" customWidth="1"/>
    <col min="6915" max="6915" width="19.54296875" style="1" customWidth="1"/>
    <col min="6916" max="6916" width="12" style="1" customWidth="1"/>
    <col min="6917" max="6922" width="0" style="1" hidden="1" customWidth="1"/>
    <col min="6923" max="6924" width="15.7265625" style="1" customWidth="1"/>
    <col min="6925" max="6928" width="0" style="1" hidden="1" customWidth="1"/>
    <col min="6929" max="6929" width="15.7265625" style="1" customWidth="1"/>
    <col min="6930" max="6930" width="12.54296875" style="1" customWidth="1"/>
    <col min="6931" max="6931" width="0" style="1" hidden="1" customWidth="1"/>
    <col min="6932" max="6932" width="12.81640625" style="1" customWidth="1"/>
    <col min="6933" max="6933" width="10.90625" style="1"/>
    <col min="6934" max="6950" width="0" style="1" hidden="1" customWidth="1"/>
    <col min="6951" max="7168" width="10.90625" style="1"/>
    <col min="7169" max="7169" width="3.54296875" style="1" customWidth="1"/>
    <col min="7170" max="7170" width="37.453125" style="1" customWidth="1"/>
    <col min="7171" max="7171" width="19.54296875" style="1" customWidth="1"/>
    <col min="7172" max="7172" width="12" style="1" customWidth="1"/>
    <col min="7173" max="7178" width="0" style="1" hidden="1" customWidth="1"/>
    <col min="7179" max="7180" width="15.7265625" style="1" customWidth="1"/>
    <col min="7181" max="7184" width="0" style="1" hidden="1" customWidth="1"/>
    <col min="7185" max="7185" width="15.7265625" style="1" customWidth="1"/>
    <col min="7186" max="7186" width="12.54296875" style="1" customWidth="1"/>
    <col min="7187" max="7187" width="0" style="1" hidden="1" customWidth="1"/>
    <col min="7188" max="7188" width="12.81640625" style="1" customWidth="1"/>
    <col min="7189" max="7189" width="10.90625" style="1"/>
    <col min="7190" max="7206" width="0" style="1" hidden="1" customWidth="1"/>
    <col min="7207" max="7424" width="10.90625" style="1"/>
    <col min="7425" max="7425" width="3.54296875" style="1" customWidth="1"/>
    <col min="7426" max="7426" width="37.453125" style="1" customWidth="1"/>
    <col min="7427" max="7427" width="19.54296875" style="1" customWidth="1"/>
    <col min="7428" max="7428" width="12" style="1" customWidth="1"/>
    <col min="7429" max="7434" width="0" style="1" hidden="1" customWidth="1"/>
    <col min="7435" max="7436" width="15.7265625" style="1" customWidth="1"/>
    <col min="7437" max="7440" width="0" style="1" hidden="1" customWidth="1"/>
    <col min="7441" max="7441" width="15.7265625" style="1" customWidth="1"/>
    <col min="7442" max="7442" width="12.54296875" style="1" customWidth="1"/>
    <col min="7443" max="7443" width="0" style="1" hidden="1" customWidth="1"/>
    <col min="7444" max="7444" width="12.81640625" style="1" customWidth="1"/>
    <col min="7445" max="7445" width="10.90625" style="1"/>
    <col min="7446" max="7462" width="0" style="1" hidden="1" customWidth="1"/>
    <col min="7463" max="7680" width="10.90625" style="1"/>
    <col min="7681" max="7681" width="3.54296875" style="1" customWidth="1"/>
    <col min="7682" max="7682" width="37.453125" style="1" customWidth="1"/>
    <col min="7683" max="7683" width="19.54296875" style="1" customWidth="1"/>
    <col min="7684" max="7684" width="12" style="1" customWidth="1"/>
    <col min="7685" max="7690" width="0" style="1" hidden="1" customWidth="1"/>
    <col min="7691" max="7692" width="15.7265625" style="1" customWidth="1"/>
    <col min="7693" max="7696" width="0" style="1" hidden="1" customWidth="1"/>
    <col min="7697" max="7697" width="15.7265625" style="1" customWidth="1"/>
    <col min="7698" max="7698" width="12.54296875" style="1" customWidth="1"/>
    <col min="7699" max="7699" width="0" style="1" hidden="1" customWidth="1"/>
    <col min="7700" max="7700" width="12.81640625" style="1" customWidth="1"/>
    <col min="7701" max="7701" width="10.90625" style="1"/>
    <col min="7702" max="7718" width="0" style="1" hidden="1" customWidth="1"/>
    <col min="7719" max="7936" width="10.90625" style="1"/>
    <col min="7937" max="7937" width="3.54296875" style="1" customWidth="1"/>
    <col min="7938" max="7938" width="37.453125" style="1" customWidth="1"/>
    <col min="7939" max="7939" width="19.54296875" style="1" customWidth="1"/>
    <col min="7940" max="7940" width="12" style="1" customWidth="1"/>
    <col min="7941" max="7946" width="0" style="1" hidden="1" customWidth="1"/>
    <col min="7947" max="7948" width="15.7265625" style="1" customWidth="1"/>
    <col min="7949" max="7952" width="0" style="1" hidden="1" customWidth="1"/>
    <col min="7953" max="7953" width="15.7265625" style="1" customWidth="1"/>
    <col min="7954" max="7954" width="12.54296875" style="1" customWidth="1"/>
    <col min="7955" max="7955" width="0" style="1" hidden="1" customWidth="1"/>
    <col min="7956" max="7956" width="12.81640625" style="1" customWidth="1"/>
    <col min="7957" max="7957" width="10.90625" style="1"/>
    <col min="7958" max="7974" width="0" style="1" hidden="1" customWidth="1"/>
    <col min="7975" max="8192" width="10.90625" style="1"/>
    <col min="8193" max="8193" width="3.54296875" style="1" customWidth="1"/>
    <col min="8194" max="8194" width="37.453125" style="1" customWidth="1"/>
    <col min="8195" max="8195" width="19.54296875" style="1" customWidth="1"/>
    <col min="8196" max="8196" width="12" style="1" customWidth="1"/>
    <col min="8197" max="8202" width="0" style="1" hidden="1" customWidth="1"/>
    <col min="8203" max="8204" width="15.7265625" style="1" customWidth="1"/>
    <col min="8205" max="8208" width="0" style="1" hidden="1" customWidth="1"/>
    <col min="8209" max="8209" width="15.7265625" style="1" customWidth="1"/>
    <col min="8210" max="8210" width="12.54296875" style="1" customWidth="1"/>
    <col min="8211" max="8211" width="0" style="1" hidden="1" customWidth="1"/>
    <col min="8212" max="8212" width="12.81640625" style="1" customWidth="1"/>
    <col min="8213" max="8213" width="10.90625" style="1"/>
    <col min="8214" max="8230" width="0" style="1" hidden="1" customWidth="1"/>
    <col min="8231" max="8448" width="10.90625" style="1"/>
    <col min="8449" max="8449" width="3.54296875" style="1" customWidth="1"/>
    <col min="8450" max="8450" width="37.453125" style="1" customWidth="1"/>
    <col min="8451" max="8451" width="19.54296875" style="1" customWidth="1"/>
    <col min="8452" max="8452" width="12" style="1" customWidth="1"/>
    <col min="8453" max="8458" width="0" style="1" hidden="1" customWidth="1"/>
    <col min="8459" max="8460" width="15.7265625" style="1" customWidth="1"/>
    <col min="8461" max="8464" width="0" style="1" hidden="1" customWidth="1"/>
    <col min="8465" max="8465" width="15.7265625" style="1" customWidth="1"/>
    <col min="8466" max="8466" width="12.54296875" style="1" customWidth="1"/>
    <col min="8467" max="8467" width="0" style="1" hidden="1" customWidth="1"/>
    <col min="8468" max="8468" width="12.81640625" style="1" customWidth="1"/>
    <col min="8469" max="8469" width="10.90625" style="1"/>
    <col min="8470" max="8486" width="0" style="1" hidden="1" customWidth="1"/>
    <col min="8487" max="8704" width="10.90625" style="1"/>
    <col min="8705" max="8705" width="3.54296875" style="1" customWidth="1"/>
    <col min="8706" max="8706" width="37.453125" style="1" customWidth="1"/>
    <col min="8707" max="8707" width="19.54296875" style="1" customWidth="1"/>
    <col min="8708" max="8708" width="12" style="1" customWidth="1"/>
    <col min="8709" max="8714" width="0" style="1" hidden="1" customWidth="1"/>
    <col min="8715" max="8716" width="15.7265625" style="1" customWidth="1"/>
    <col min="8717" max="8720" width="0" style="1" hidden="1" customWidth="1"/>
    <col min="8721" max="8721" width="15.7265625" style="1" customWidth="1"/>
    <col min="8722" max="8722" width="12.54296875" style="1" customWidth="1"/>
    <col min="8723" max="8723" width="0" style="1" hidden="1" customWidth="1"/>
    <col min="8724" max="8724" width="12.81640625" style="1" customWidth="1"/>
    <col min="8725" max="8725" width="10.90625" style="1"/>
    <col min="8726" max="8742" width="0" style="1" hidden="1" customWidth="1"/>
    <col min="8743" max="8960" width="10.90625" style="1"/>
    <col min="8961" max="8961" width="3.54296875" style="1" customWidth="1"/>
    <col min="8962" max="8962" width="37.453125" style="1" customWidth="1"/>
    <col min="8963" max="8963" width="19.54296875" style="1" customWidth="1"/>
    <col min="8964" max="8964" width="12" style="1" customWidth="1"/>
    <col min="8965" max="8970" width="0" style="1" hidden="1" customWidth="1"/>
    <col min="8971" max="8972" width="15.7265625" style="1" customWidth="1"/>
    <col min="8973" max="8976" width="0" style="1" hidden="1" customWidth="1"/>
    <col min="8977" max="8977" width="15.7265625" style="1" customWidth="1"/>
    <col min="8978" max="8978" width="12.54296875" style="1" customWidth="1"/>
    <col min="8979" max="8979" width="0" style="1" hidden="1" customWidth="1"/>
    <col min="8980" max="8980" width="12.81640625" style="1" customWidth="1"/>
    <col min="8981" max="8981" width="10.90625" style="1"/>
    <col min="8982" max="8998" width="0" style="1" hidden="1" customWidth="1"/>
    <col min="8999" max="9216" width="10.90625" style="1"/>
    <col min="9217" max="9217" width="3.54296875" style="1" customWidth="1"/>
    <col min="9218" max="9218" width="37.453125" style="1" customWidth="1"/>
    <col min="9219" max="9219" width="19.54296875" style="1" customWidth="1"/>
    <col min="9220" max="9220" width="12" style="1" customWidth="1"/>
    <col min="9221" max="9226" width="0" style="1" hidden="1" customWidth="1"/>
    <col min="9227" max="9228" width="15.7265625" style="1" customWidth="1"/>
    <col min="9229" max="9232" width="0" style="1" hidden="1" customWidth="1"/>
    <col min="9233" max="9233" width="15.7265625" style="1" customWidth="1"/>
    <col min="9234" max="9234" width="12.54296875" style="1" customWidth="1"/>
    <col min="9235" max="9235" width="0" style="1" hidden="1" customWidth="1"/>
    <col min="9236" max="9236" width="12.81640625" style="1" customWidth="1"/>
    <col min="9237" max="9237" width="10.90625" style="1"/>
    <col min="9238" max="9254" width="0" style="1" hidden="1" customWidth="1"/>
    <col min="9255" max="9472" width="10.90625" style="1"/>
    <col min="9473" max="9473" width="3.54296875" style="1" customWidth="1"/>
    <col min="9474" max="9474" width="37.453125" style="1" customWidth="1"/>
    <col min="9475" max="9475" width="19.54296875" style="1" customWidth="1"/>
    <col min="9476" max="9476" width="12" style="1" customWidth="1"/>
    <col min="9477" max="9482" width="0" style="1" hidden="1" customWidth="1"/>
    <col min="9483" max="9484" width="15.7265625" style="1" customWidth="1"/>
    <col min="9485" max="9488" width="0" style="1" hidden="1" customWidth="1"/>
    <col min="9489" max="9489" width="15.7265625" style="1" customWidth="1"/>
    <col min="9490" max="9490" width="12.54296875" style="1" customWidth="1"/>
    <col min="9491" max="9491" width="0" style="1" hidden="1" customWidth="1"/>
    <col min="9492" max="9492" width="12.81640625" style="1" customWidth="1"/>
    <col min="9493" max="9493" width="10.90625" style="1"/>
    <col min="9494" max="9510" width="0" style="1" hidden="1" customWidth="1"/>
    <col min="9511" max="9728" width="10.90625" style="1"/>
    <col min="9729" max="9729" width="3.54296875" style="1" customWidth="1"/>
    <col min="9730" max="9730" width="37.453125" style="1" customWidth="1"/>
    <col min="9731" max="9731" width="19.54296875" style="1" customWidth="1"/>
    <col min="9732" max="9732" width="12" style="1" customWidth="1"/>
    <col min="9733" max="9738" width="0" style="1" hidden="1" customWidth="1"/>
    <col min="9739" max="9740" width="15.7265625" style="1" customWidth="1"/>
    <col min="9741" max="9744" width="0" style="1" hidden="1" customWidth="1"/>
    <col min="9745" max="9745" width="15.7265625" style="1" customWidth="1"/>
    <col min="9746" max="9746" width="12.54296875" style="1" customWidth="1"/>
    <col min="9747" max="9747" width="0" style="1" hidden="1" customWidth="1"/>
    <col min="9748" max="9748" width="12.81640625" style="1" customWidth="1"/>
    <col min="9749" max="9749" width="10.90625" style="1"/>
    <col min="9750" max="9766" width="0" style="1" hidden="1" customWidth="1"/>
    <col min="9767" max="9984" width="10.90625" style="1"/>
    <col min="9985" max="9985" width="3.54296875" style="1" customWidth="1"/>
    <col min="9986" max="9986" width="37.453125" style="1" customWidth="1"/>
    <col min="9987" max="9987" width="19.54296875" style="1" customWidth="1"/>
    <col min="9988" max="9988" width="12" style="1" customWidth="1"/>
    <col min="9989" max="9994" width="0" style="1" hidden="1" customWidth="1"/>
    <col min="9995" max="9996" width="15.7265625" style="1" customWidth="1"/>
    <col min="9997" max="10000" width="0" style="1" hidden="1" customWidth="1"/>
    <col min="10001" max="10001" width="15.7265625" style="1" customWidth="1"/>
    <col min="10002" max="10002" width="12.54296875" style="1" customWidth="1"/>
    <col min="10003" max="10003" width="0" style="1" hidden="1" customWidth="1"/>
    <col min="10004" max="10004" width="12.81640625" style="1" customWidth="1"/>
    <col min="10005" max="10005" width="10.90625" style="1"/>
    <col min="10006" max="10022" width="0" style="1" hidden="1" customWidth="1"/>
    <col min="10023" max="10240" width="10.90625" style="1"/>
    <col min="10241" max="10241" width="3.54296875" style="1" customWidth="1"/>
    <col min="10242" max="10242" width="37.453125" style="1" customWidth="1"/>
    <col min="10243" max="10243" width="19.54296875" style="1" customWidth="1"/>
    <col min="10244" max="10244" width="12" style="1" customWidth="1"/>
    <col min="10245" max="10250" width="0" style="1" hidden="1" customWidth="1"/>
    <col min="10251" max="10252" width="15.7265625" style="1" customWidth="1"/>
    <col min="10253" max="10256" width="0" style="1" hidden="1" customWidth="1"/>
    <col min="10257" max="10257" width="15.7265625" style="1" customWidth="1"/>
    <col min="10258" max="10258" width="12.54296875" style="1" customWidth="1"/>
    <col min="10259" max="10259" width="0" style="1" hidden="1" customWidth="1"/>
    <col min="10260" max="10260" width="12.81640625" style="1" customWidth="1"/>
    <col min="10261" max="10261" width="10.90625" style="1"/>
    <col min="10262" max="10278" width="0" style="1" hidden="1" customWidth="1"/>
    <col min="10279" max="10496" width="10.90625" style="1"/>
    <col min="10497" max="10497" width="3.54296875" style="1" customWidth="1"/>
    <col min="10498" max="10498" width="37.453125" style="1" customWidth="1"/>
    <col min="10499" max="10499" width="19.54296875" style="1" customWidth="1"/>
    <col min="10500" max="10500" width="12" style="1" customWidth="1"/>
    <col min="10501" max="10506" width="0" style="1" hidden="1" customWidth="1"/>
    <col min="10507" max="10508" width="15.7265625" style="1" customWidth="1"/>
    <col min="10509" max="10512" width="0" style="1" hidden="1" customWidth="1"/>
    <col min="10513" max="10513" width="15.7265625" style="1" customWidth="1"/>
    <col min="10514" max="10514" width="12.54296875" style="1" customWidth="1"/>
    <col min="10515" max="10515" width="0" style="1" hidden="1" customWidth="1"/>
    <col min="10516" max="10516" width="12.81640625" style="1" customWidth="1"/>
    <col min="10517" max="10517" width="10.90625" style="1"/>
    <col min="10518" max="10534" width="0" style="1" hidden="1" customWidth="1"/>
    <col min="10535" max="10752" width="10.90625" style="1"/>
    <col min="10753" max="10753" width="3.54296875" style="1" customWidth="1"/>
    <col min="10754" max="10754" width="37.453125" style="1" customWidth="1"/>
    <col min="10755" max="10755" width="19.54296875" style="1" customWidth="1"/>
    <col min="10756" max="10756" width="12" style="1" customWidth="1"/>
    <col min="10757" max="10762" width="0" style="1" hidden="1" customWidth="1"/>
    <col min="10763" max="10764" width="15.7265625" style="1" customWidth="1"/>
    <col min="10765" max="10768" width="0" style="1" hidden="1" customWidth="1"/>
    <col min="10769" max="10769" width="15.7265625" style="1" customWidth="1"/>
    <col min="10770" max="10770" width="12.54296875" style="1" customWidth="1"/>
    <col min="10771" max="10771" width="0" style="1" hidden="1" customWidth="1"/>
    <col min="10772" max="10772" width="12.81640625" style="1" customWidth="1"/>
    <col min="10773" max="10773" width="10.90625" style="1"/>
    <col min="10774" max="10790" width="0" style="1" hidden="1" customWidth="1"/>
    <col min="10791" max="11008" width="10.90625" style="1"/>
    <col min="11009" max="11009" width="3.54296875" style="1" customWidth="1"/>
    <col min="11010" max="11010" width="37.453125" style="1" customWidth="1"/>
    <col min="11011" max="11011" width="19.54296875" style="1" customWidth="1"/>
    <col min="11012" max="11012" width="12" style="1" customWidth="1"/>
    <col min="11013" max="11018" width="0" style="1" hidden="1" customWidth="1"/>
    <col min="11019" max="11020" width="15.7265625" style="1" customWidth="1"/>
    <col min="11021" max="11024" width="0" style="1" hidden="1" customWidth="1"/>
    <col min="11025" max="11025" width="15.7265625" style="1" customWidth="1"/>
    <col min="11026" max="11026" width="12.54296875" style="1" customWidth="1"/>
    <col min="11027" max="11027" width="0" style="1" hidden="1" customWidth="1"/>
    <col min="11028" max="11028" width="12.81640625" style="1" customWidth="1"/>
    <col min="11029" max="11029" width="10.90625" style="1"/>
    <col min="11030" max="11046" width="0" style="1" hidden="1" customWidth="1"/>
    <col min="11047" max="11264" width="10.90625" style="1"/>
    <col min="11265" max="11265" width="3.54296875" style="1" customWidth="1"/>
    <col min="11266" max="11266" width="37.453125" style="1" customWidth="1"/>
    <col min="11267" max="11267" width="19.54296875" style="1" customWidth="1"/>
    <col min="11268" max="11268" width="12" style="1" customWidth="1"/>
    <col min="11269" max="11274" width="0" style="1" hidden="1" customWidth="1"/>
    <col min="11275" max="11276" width="15.7265625" style="1" customWidth="1"/>
    <col min="11277" max="11280" width="0" style="1" hidden="1" customWidth="1"/>
    <col min="11281" max="11281" width="15.7265625" style="1" customWidth="1"/>
    <col min="11282" max="11282" width="12.54296875" style="1" customWidth="1"/>
    <col min="11283" max="11283" width="0" style="1" hidden="1" customWidth="1"/>
    <col min="11284" max="11284" width="12.81640625" style="1" customWidth="1"/>
    <col min="11285" max="11285" width="10.90625" style="1"/>
    <col min="11286" max="11302" width="0" style="1" hidden="1" customWidth="1"/>
    <col min="11303" max="11520" width="10.90625" style="1"/>
    <col min="11521" max="11521" width="3.54296875" style="1" customWidth="1"/>
    <col min="11522" max="11522" width="37.453125" style="1" customWidth="1"/>
    <col min="11523" max="11523" width="19.54296875" style="1" customWidth="1"/>
    <col min="11524" max="11524" width="12" style="1" customWidth="1"/>
    <col min="11525" max="11530" width="0" style="1" hidden="1" customWidth="1"/>
    <col min="11531" max="11532" width="15.7265625" style="1" customWidth="1"/>
    <col min="11533" max="11536" width="0" style="1" hidden="1" customWidth="1"/>
    <col min="11537" max="11537" width="15.7265625" style="1" customWidth="1"/>
    <col min="11538" max="11538" width="12.54296875" style="1" customWidth="1"/>
    <col min="11539" max="11539" width="0" style="1" hidden="1" customWidth="1"/>
    <col min="11540" max="11540" width="12.81640625" style="1" customWidth="1"/>
    <col min="11541" max="11541" width="10.90625" style="1"/>
    <col min="11542" max="11558" width="0" style="1" hidden="1" customWidth="1"/>
    <col min="11559" max="11776" width="10.90625" style="1"/>
    <col min="11777" max="11777" width="3.54296875" style="1" customWidth="1"/>
    <col min="11778" max="11778" width="37.453125" style="1" customWidth="1"/>
    <col min="11779" max="11779" width="19.54296875" style="1" customWidth="1"/>
    <col min="11780" max="11780" width="12" style="1" customWidth="1"/>
    <col min="11781" max="11786" width="0" style="1" hidden="1" customWidth="1"/>
    <col min="11787" max="11788" width="15.7265625" style="1" customWidth="1"/>
    <col min="11789" max="11792" width="0" style="1" hidden="1" customWidth="1"/>
    <col min="11793" max="11793" width="15.7265625" style="1" customWidth="1"/>
    <col min="11794" max="11794" width="12.54296875" style="1" customWidth="1"/>
    <col min="11795" max="11795" width="0" style="1" hidden="1" customWidth="1"/>
    <col min="11796" max="11796" width="12.81640625" style="1" customWidth="1"/>
    <col min="11797" max="11797" width="10.90625" style="1"/>
    <col min="11798" max="11814" width="0" style="1" hidden="1" customWidth="1"/>
    <col min="11815" max="12032" width="10.90625" style="1"/>
    <col min="12033" max="12033" width="3.54296875" style="1" customWidth="1"/>
    <col min="12034" max="12034" width="37.453125" style="1" customWidth="1"/>
    <col min="12035" max="12035" width="19.54296875" style="1" customWidth="1"/>
    <col min="12036" max="12036" width="12" style="1" customWidth="1"/>
    <col min="12037" max="12042" width="0" style="1" hidden="1" customWidth="1"/>
    <col min="12043" max="12044" width="15.7265625" style="1" customWidth="1"/>
    <col min="12045" max="12048" width="0" style="1" hidden="1" customWidth="1"/>
    <col min="12049" max="12049" width="15.7265625" style="1" customWidth="1"/>
    <col min="12050" max="12050" width="12.54296875" style="1" customWidth="1"/>
    <col min="12051" max="12051" width="0" style="1" hidden="1" customWidth="1"/>
    <col min="12052" max="12052" width="12.81640625" style="1" customWidth="1"/>
    <col min="12053" max="12053" width="10.90625" style="1"/>
    <col min="12054" max="12070" width="0" style="1" hidden="1" customWidth="1"/>
    <col min="12071" max="12288" width="10.90625" style="1"/>
    <col min="12289" max="12289" width="3.54296875" style="1" customWidth="1"/>
    <col min="12290" max="12290" width="37.453125" style="1" customWidth="1"/>
    <col min="12291" max="12291" width="19.54296875" style="1" customWidth="1"/>
    <col min="12292" max="12292" width="12" style="1" customWidth="1"/>
    <col min="12293" max="12298" width="0" style="1" hidden="1" customWidth="1"/>
    <col min="12299" max="12300" width="15.7265625" style="1" customWidth="1"/>
    <col min="12301" max="12304" width="0" style="1" hidden="1" customWidth="1"/>
    <col min="12305" max="12305" width="15.7265625" style="1" customWidth="1"/>
    <col min="12306" max="12306" width="12.54296875" style="1" customWidth="1"/>
    <col min="12307" max="12307" width="0" style="1" hidden="1" customWidth="1"/>
    <col min="12308" max="12308" width="12.81640625" style="1" customWidth="1"/>
    <col min="12309" max="12309" width="10.90625" style="1"/>
    <col min="12310" max="12326" width="0" style="1" hidden="1" customWidth="1"/>
    <col min="12327" max="12544" width="10.90625" style="1"/>
    <col min="12545" max="12545" width="3.54296875" style="1" customWidth="1"/>
    <col min="12546" max="12546" width="37.453125" style="1" customWidth="1"/>
    <col min="12547" max="12547" width="19.54296875" style="1" customWidth="1"/>
    <col min="12548" max="12548" width="12" style="1" customWidth="1"/>
    <col min="12549" max="12554" width="0" style="1" hidden="1" customWidth="1"/>
    <col min="12555" max="12556" width="15.7265625" style="1" customWidth="1"/>
    <col min="12557" max="12560" width="0" style="1" hidden="1" customWidth="1"/>
    <col min="12561" max="12561" width="15.7265625" style="1" customWidth="1"/>
    <col min="12562" max="12562" width="12.54296875" style="1" customWidth="1"/>
    <col min="12563" max="12563" width="0" style="1" hidden="1" customWidth="1"/>
    <col min="12564" max="12564" width="12.81640625" style="1" customWidth="1"/>
    <col min="12565" max="12565" width="10.90625" style="1"/>
    <col min="12566" max="12582" width="0" style="1" hidden="1" customWidth="1"/>
    <col min="12583" max="12800" width="10.90625" style="1"/>
    <col min="12801" max="12801" width="3.54296875" style="1" customWidth="1"/>
    <col min="12802" max="12802" width="37.453125" style="1" customWidth="1"/>
    <col min="12803" max="12803" width="19.54296875" style="1" customWidth="1"/>
    <col min="12804" max="12804" width="12" style="1" customWidth="1"/>
    <col min="12805" max="12810" width="0" style="1" hidden="1" customWidth="1"/>
    <col min="12811" max="12812" width="15.7265625" style="1" customWidth="1"/>
    <col min="12813" max="12816" width="0" style="1" hidden="1" customWidth="1"/>
    <col min="12817" max="12817" width="15.7265625" style="1" customWidth="1"/>
    <col min="12818" max="12818" width="12.54296875" style="1" customWidth="1"/>
    <col min="12819" max="12819" width="0" style="1" hidden="1" customWidth="1"/>
    <col min="12820" max="12820" width="12.81640625" style="1" customWidth="1"/>
    <col min="12821" max="12821" width="10.90625" style="1"/>
    <col min="12822" max="12838" width="0" style="1" hidden="1" customWidth="1"/>
    <col min="12839" max="13056" width="10.90625" style="1"/>
    <col min="13057" max="13057" width="3.54296875" style="1" customWidth="1"/>
    <col min="13058" max="13058" width="37.453125" style="1" customWidth="1"/>
    <col min="13059" max="13059" width="19.54296875" style="1" customWidth="1"/>
    <col min="13060" max="13060" width="12" style="1" customWidth="1"/>
    <col min="13061" max="13066" width="0" style="1" hidden="1" customWidth="1"/>
    <col min="13067" max="13068" width="15.7265625" style="1" customWidth="1"/>
    <col min="13069" max="13072" width="0" style="1" hidden="1" customWidth="1"/>
    <col min="13073" max="13073" width="15.7265625" style="1" customWidth="1"/>
    <col min="13074" max="13074" width="12.54296875" style="1" customWidth="1"/>
    <col min="13075" max="13075" width="0" style="1" hidden="1" customWidth="1"/>
    <col min="13076" max="13076" width="12.81640625" style="1" customWidth="1"/>
    <col min="13077" max="13077" width="10.90625" style="1"/>
    <col min="13078" max="13094" width="0" style="1" hidden="1" customWidth="1"/>
    <col min="13095" max="13312" width="10.90625" style="1"/>
    <col min="13313" max="13313" width="3.54296875" style="1" customWidth="1"/>
    <col min="13314" max="13314" width="37.453125" style="1" customWidth="1"/>
    <col min="13315" max="13315" width="19.54296875" style="1" customWidth="1"/>
    <col min="13316" max="13316" width="12" style="1" customWidth="1"/>
    <col min="13317" max="13322" width="0" style="1" hidden="1" customWidth="1"/>
    <col min="13323" max="13324" width="15.7265625" style="1" customWidth="1"/>
    <col min="13325" max="13328" width="0" style="1" hidden="1" customWidth="1"/>
    <col min="13329" max="13329" width="15.7265625" style="1" customWidth="1"/>
    <col min="13330" max="13330" width="12.54296875" style="1" customWidth="1"/>
    <col min="13331" max="13331" width="0" style="1" hidden="1" customWidth="1"/>
    <col min="13332" max="13332" width="12.81640625" style="1" customWidth="1"/>
    <col min="13333" max="13333" width="10.90625" style="1"/>
    <col min="13334" max="13350" width="0" style="1" hidden="1" customWidth="1"/>
    <col min="13351" max="13568" width="10.90625" style="1"/>
    <col min="13569" max="13569" width="3.54296875" style="1" customWidth="1"/>
    <col min="13570" max="13570" width="37.453125" style="1" customWidth="1"/>
    <col min="13571" max="13571" width="19.54296875" style="1" customWidth="1"/>
    <col min="13572" max="13572" width="12" style="1" customWidth="1"/>
    <col min="13573" max="13578" width="0" style="1" hidden="1" customWidth="1"/>
    <col min="13579" max="13580" width="15.7265625" style="1" customWidth="1"/>
    <col min="13581" max="13584" width="0" style="1" hidden="1" customWidth="1"/>
    <col min="13585" max="13585" width="15.7265625" style="1" customWidth="1"/>
    <col min="13586" max="13586" width="12.54296875" style="1" customWidth="1"/>
    <col min="13587" max="13587" width="0" style="1" hidden="1" customWidth="1"/>
    <col min="13588" max="13588" width="12.81640625" style="1" customWidth="1"/>
    <col min="13589" max="13589" width="10.90625" style="1"/>
    <col min="13590" max="13606" width="0" style="1" hidden="1" customWidth="1"/>
    <col min="13607" max="13824" width="10.90625" style="1"/>
    <col min="13825" max="13825" width="3.54296875" style="1" customWidth="1"/>
    <col min="13826" max="13826" width="37.453125" style="1" customWidth="1"/>
    <col min="13827" max="13827" width="19.54296875" style="1" customWidth="1"/>
    <col min="13828" max="13828" width="12" style="1" customWidth="1"/>
    <col min="13829" max="13834" width="0" style="1" hidden="1" customWidth="1"/>
    <col min="13835" max="13836" width="15.7265625" style="1" customWidth="1"/>
    <col min="13837" max="13840" width="0" style="1" hidden="1" customWidth="1"/>
    <col min="13841" max="13841" width="15.7265625" style="1" customWidth="1"/>
    <col min="13842" max="13842" width="12.54296875" style="1" customWidth="1"/>
    <col min="13843" max="13843" width="0" style="1" hidden="1" customWidth="1"/>
    <col min="13844" max="13844" width="12.81640625" style="1" customWidth="1"/>
    <col min="13845" max="13845" width="10.90625" style="1"/>
    <col min="13846" max="13862" width="0" style="1" hidden="1" customWidth="1"/>
    <col min="13863" max="14080" width="10.90625" style="1"/>
    <col min="14081" max="14081" width="3.54296875" style="1" customWidth="1"/>
    <col min="14082" max="14082" width="37.453125" style="1" customWidth="1"/>
    <col min="14083" max="14083" width="19.54296875" style="1" customWidth="1"/>
    <col min="14084" max="14084" width="12" style="1" customWidth="1"/>
    <col min="14085" max="14090" width="0" style="1" hidden="1" customWidth="1"/>
    <col min="14091" max="14092" width="15.7265625" style="1" customWidth="1"/>
    <col min="14093" max="14096" width="0" style="1" hidden="1" customWidth="1"/>
    <col min="14097" max="14097" width="15.7265625" style="1" customWidth="1"/>
    <col min="14098" max="14098" width="12.54296875" style="1" customWidth="1"/>
    <col min="14099" max="14099" width="0" style="1" hidden="1" customWidth="1"/>
    <col min="14100" max="14100" width="12.81640625" style="1" customWidth="1"/>
    <col min="14101" max="14101" width="10.90625" style="1"/>
    <col min="14102" max="14118" width="0" style="1" hidden="1" customWidth="1"/>
    <col min="14119" max="14336" width="10.90625" style="1"/>
    <col min="14337" max="14337" width="3.54296875" style="1" customWidth="1"/>
    <col min="14338" max="14338" width="37.453125" style="1" customWidth="1"/>
    <col min="14339" max="14339" width="19.54296875" style="1" customWidth="1"/>
    <col min="14340" max="14340" width="12" style="1" customWidth="1"/>
    <col min="14341" max="14346" width="0" style="1" hidden="1" customWidth="1"/>
    <col min="14347" max="14348" width="15.7265625" style="1" customWidth="1"/>
    <col min="14349" max="14352" width="0" style="1" hidden="1" customWidth="1"/>
    <col min="14353" max="14353" width="15.7265625" style="1" customWidth="1"/>
    <col min="14354" max="14354" width="12.54296875" style="1" customWidth="1"/>
    <col min="14355" max="14355" width="0" style="1" hidden="1" customWidth="1"/>
    <col min="14356" max="14356" width="12.81640625" style="1" customWidth="1"/>
    <col min="14357" max="14357" width="10.90625" style="1"/>
    <col min="14358" max="14374" width="0" style="1" hidden="1" customWidth="1"/>
    <col min="14375" max="14592" width="10.90625" style="1"/>
    <col min="14593" max="14593" width="3.54296875" style="1" customWidth="1"/>
    <col min="14594" max="14594" width="37.453125" style="1" customWidth="1"/>
    <col min="14595" max="14595" width="19.54296875" style="1" customWidth="1"/>
    <col min="14596" max="14596" width="12" style="1" customWidth="1"/>
    <col min="14597" max="14602" width="0" style="1" hidden="1" customWidth="1"/>
    <col min="14603" max="14604" width="15.7265625" style="1" customWidth="1"/>
    <col min="14605" max="14608" width="0" style="1" hidden="1" customWidth="1"/>
    <col min="14609" max="14609" width="15.7265625" style="1" customWidth="1"/>
    <col min="14610" max="14610" width="12.54296875" style="1" customWidth="1"/>
    <col min="14611" max="14611" width="0" style="1" hidden="1" customWidth="1"/>
    <col min="14612" max="14612" width="12.81640625" style="1" customWidth="1"/>
    <col min="14613" max="14613" width="10.90625" style="1"/>
    <col min="14614" max="14630" width="0" style="1" hidden="1" customWidth="1"/>
    <col min="14631" max="14848" width="10.90625" style="1"/>
    <col min="14849" max="14849" width="3.54296875" style="1" customWidth="1"/>
    <col min="14850" max="14850" width="37.453125" style="1" customWidth="1"/>
    <col min="14851" max="14851" width="19.54296875" style="1" customWidth="1"/>
    <col min="14852" max="14852" width="12" style="1" customWidth="1"/>
    <col min="14853" max="14858" width="0" style="1" hidden="1" customWidth="1"/>
    <col min="14859" max="14860" width="15.7265625" style="1" customWidth="1"/>
    <col min="14861" max="14864" width="0" style="1" hidden="1" customWidth="1"/>
    <col min="14865" max="14865" width="15.7265625" style="1" customWidth="1"/>
    <col min="14866" max="14866" width="12.54296875" style="1" customWidth="1"/>
    <col min="14867" max="14867" width="0" style="1" hidden="1" customWidth="1"/>
    <col min="14868" max="14868" width="12.81640625" style="1" customWidth="1"/>
    <col min="14869" max="14869" width="10.90625" style="1"/>
    <col min="14870" max="14886" width="0" style="1" hidden="1" customWidth="1"/>
    <col min="14887" max="15104" width="10.90625" style="1"/>
    <col min="15105" max="15105" width="3.54296875" style="1" customWidth="1"/>
    <col min="15106" max="15106" width="37.453125" style="1" customWidth="1"/>
    <col min="15107" max="15107" width="19.54296875" style="1" customWidth="1"/>
    <col min="15108" max="15108" width="12" style="1" customWidth="1"/>
    <col min="15109" max="15114" width="0" style="1" hidden="1" customWidth="1"/>
    <col min="15115" max="15116" width="15.7265625" style="1" customWidth="1"/>
    <col min="15117" max="15120" width="0" style="1" hidden="1" customWidth="1"/>
    <col min="15121" max="15121" width="15.7265625" style="1" customWidth="1"/>
    <col min="15122" max="15122" width="12.54296875" style="1" customWidth="1"/>
    <col min="15123" max="15123" width="0" style="1" hidden="1" customWidth="1"/>
    <col min="15124" max="15124" width="12.81640625" style="1" customWidth="1"/>
    <col min="15125" max="15125" width="10.90625" style="1"/>
    <col min="15126" max="15142" width="0" style="1" hidden="1" customWidth="1"/>
    <col min="15143" max="15360" width="10.90625" style="1"/>
    <col min="15361" max="15361" width="3.54296875" style="1" customWidth="1"/>
    <col min="15362" max="15362" width="37.453125" style="1" customWidth="1"/>
    <col min="15363" max="15363" width="19.54296875" style="1" customWidth="1"/>
    <col min="15364" max="15364" width="12" style="1" customWidth="1"/>
    <col min="15365" max="15370" width="0" style="1" hidden="1" customWidth="1"/>
    <col min="15371" max="15372" width="15.7265625" style="1" customWidth="1"/>
    <col min="15373" max="15376" width="0" style="1" hidden="1" customWidth="1"/>
    <col min="15377" max="15377" width="15.7265625" style="1" customWidth="1"/>
    <col min="15378" max="15378" width="12.54296875" style="1" customWidth="1"/>
    <col min="15379" max="15379" width="0" style="1" hidden="1" customWidth="1"/>
    <col min="15380" max="15380" width="12.81640625" style="1" customWidth="1"/>
    <col min="15381" max="15381" width="10.90625" style="1"/>
    <col min="15382" max="15398" width="0" style="1" hidden="1" customWidth="1"/>
    <col min="15399" max="15616" width="10.90625" style="1"/>
    <col min="15617" max="15617" width="3.54296875" style="1" customWidth="1"/>
    <col min="15618" max="15618" width="37.453125" style="1" customWidth="1"/>
    <col min="15619" max="15619" width="19.54296875" style="1" customWidth="1"/>
    <col min="15620" max="15620" width="12" style="1" customWidth="1"/>
    <col min="15621" max="15626" width="0" style="1" hidden="1" customWidth="1"/>
    <col min="15627" max="15628" width="15.7265625" style="1" customWidth="1"/>
    <col min="15629" max="15632" width="0" style="1" hidden="1" customWidth="1"/>
    <col min="15633" max="15633" width="15.7265625" style="1" customWidth="1"/>
    <col min="15634" max="15634" width="12.54296875" style="1" customWidth="1"/>
    <col min="15635" max="15635" width="0" style="1" hidden="1" customWidth="1"/>
    <col min="15636" max="15636" width="12.81640625" style="1" customWidth="1"/>
    <col min="15637" max="15637" width="10.90625" style="1"/>
    <col min="15638" max="15654" width="0" style="1" hidden="1" customWidth="1"/>
    <col min="15655" max="15872" width="10.90625" style="1"/>
    <col min="15873" max="15873" width="3.54296875" style="1" customWidth="1"/>
    <col min="15874" max="15874" width="37.453125" style="1" customWidth="1"/>
    <col min="15875" max="15875" width="19.54296875" style="1" customWidth="1"/>
    <col min="15876" max="15876" width="12" style="1" customWidth="1"/>
    <col min="15877" max="15882" width="0" style="1" hidden="1" customWidth="1"/>
    <col min="15883" max="15884" width="15.7265625" style="1" customWidth="1"/>
    <col min="15885" max="15888" width="0" style="1" hidden="1" customWidth="1"/>
    <col min="15889" max="15889" width="15.7265625" style="1" customWidth="1"/>
    <col min="15890" max="15890" width="12.54296875" style="1" customWidth="1"/>
    <col min="15891" max="15891" width="0" style="1" hidden="1" customWidth="1"/>
    <col min="15892" max="15892" width="12.81640625" style="1" customWidth="1"/>
    <col min="15893" max="15893" width="10.90625" style="1"/>
    <col min="15894" max="15910" width="0" style="1" hidden="1" customWidth="1"/>
    <col min="15911" max="16128" width="10.90625" style="1"/>
    <col min="16129" max="16129" width="3.54296875" style="1" customWidth="1"/>
    <col min="16130" max="16130" width="37.453125" style="1" customWidth="1"/>
    <col min="16131" max="16131" width="19.54296875" style="1" customWidth="1"/>
    <col min="16132" max="16132" width="12" style="1" customWidth="1"/>
    <col min="16133" max="16138" width="0" style="1" hidden="1" customWidth="1"/>
    <col min="16139" max="16140" width="15.7265625" style="1" customWidth="1"/>
    <col min="16141" max="16144" width="0" style="1" hidden="1" customWidth="1"/>
    <col min="16145" max="16145" width="15.7265625" style="1" customWidth="1"/>
    <col min="16146" max="16146" width="12.54296875" style="1" customWidth="1"/>
    <col min="16147" max="16147" width="0" style="1" hidden="1" customWidth="1"/>
    <col min="16148" max="16148" width="12.81640625" style="1" customWidth="1"/>
    <col min="16149" max="16149" width="10.90625" style="1"/>
    <col min="16150" max="16166" width="0" style="1" hidden="1" customWidth="1"/>
    <col min="16167" max="16384" width="10.90625" style="1"/>
  </cols>
  <sheetData>
    <row r="1" spans="1:27" x14ac:dyDescent="0.25">
      <c r="B1" s="1652" t="s">
        <v>218</v>
      </c>
      <c r="C1" s="1653"/>
      <c r="D1" s="1653"/>
      <c r="E1" s="1653"/>
      <c r="F1" s="1653"/>
      <c r="G1" s="1653"/>
      <c r="H1" s="1653"/>
      <c r="I1" s="1653"/>
      <c r="J1" s="1653"/>
      <c r="K1" s="1653"/>
      <c r="L1" s="1653"/>
      <c r="M1" s="1653"/>
      <c r="N1" s="1653"/>
      <c r="O1" s="1653"/>
      <c r="P1" s="1653"/>
      <c r="Q1" s="1653"/>
      <c r="R1" s="1653"/>
      <c r="S1" s="1654"/>
    </row>
    <row r="2" spans="1:27" ht="9" customHeight="1" x14ac:dyDescent="0.25">
      <c r="B2" s="104"/>
      <c r="S2" s="354"/>
    </row>
    <row r="3" spans="1:27" x14ac:dyDescent="0.25">
      <c r="B3" s="1652" t="s">
        <v>1614</v>
      </c>
      <c r="C3" s="1653"/>
      <c r="D3" s="1653"/>
      <c r="E3" s="1653"/>
      <c r="F3" s="1653"/>
      <c r="G3" s="1653"/>
      <c r="H3" s="1653"/>
      <c r="I3" s="1653"/>
      <c r="J3" s="1653"/>
      <c r="K3" s="1653"/>
      <c r="L3" s="1653"/>
      <c r="M3" s="1653"/>
      <c r="N3" s="1653"/>
      <c r="O3" s="1653"/>
      <c r="P3" s="1653"/>
      <c r="Q3" s="1653"/>
      <c r="R3" s="1653"/>
      <c r="S3" s="1654"/>
    </row>
    <row r="4" spans="1:27" ht="13" thickBot="1" x14ac:dyDescent="0.3">
      <c r="B4" s="105"/>
      <c r="C4" s="650"/>
      <c r="D4" s="650"/>
      <c r="E4" s="650"/>
      <c r="F4" s="650"/>
      <c r="G4" s="650"/>
      <c r="H4" s="650"/>
      <c r="I4" s="650"/>
      <c r="J4" s="650"/>
      <c r="K4" s="650"/>
      <c r="L4" s="650"/>
      <c r="M4" s="650"/>
      <c r="N4" s="651"/>
      <c r="O4" s="650"/>
      <c r="P4" s="650"/>
      <c r="Q4" s="650"/>
      <c r="R4" s="650"/>
      <c r="S4" s="355"/>
    </row>
    <row r="5" spans="1:27" ht="23.25" customHeight="1" thickTop="1" x14ac:dyDescent="0.3">
      <c r="A5" s="1">
        <v>1</v>
      </c>
      <c r="B5" s="1577">
        <v>8</v>
      </c>
      <c r="C5" s="1578" t="s">
        <v>1408</v>
      </c>
      <c r="D5" s="1578" t="s">
        <v>1221</v>
      </c>
      <c r="E5" s="1578" t="s">
        <v>14</v>
      </c>
      <c r="F5" s="1578" t="s">
        <v>15</v>
      </c>
      <c r="G5" s="1578" t="s">
        <v>1222</v>
      </c>
      <c r="H5" s="1579" t="s">
        <v>16</v>
      </c>
      <c r="I5" s="1578" t="s">
        <v>17</v>
      </c>
      <c r="J5" s="1580" t="s">
        <v>18</v>
      </c>
      <c r="K5" s="1578" t="s">
        <v>19</v>
      </c>
      <c r="L5" s="1578" t="s">
        <v>20</v>
      </c>
      <c r="M5" s="1578" t="s">
        <v>21</v>
      </c>
      <c r="N5" s="1578" t="s">
        <v>22</v>
      </c>
      <c r="O5" s="1578" t="s">
        <v>23</v>
      </c>
      <c r="P5" s="1579" t="s">
        <v>24</v>
      </c>
      <c r="Q5" s="1581" t="s">
        <v>26</v>
      </c>
      <c r="R5" s="1578" t="s">
        <v>25</v>
      </c>
      <c r="S5" s="1582" t="s">
        <v>46</v>
      </c>
      <c r="T5" s="1583" t="s">
        <v>1223</v>
      </c>
    </row>
    <row r="6" spans="1:27" x14ac:dyDescent="0.25">
      <c r="B6" s="1584" t="s">
        <v>79</v>
      </c>
      <c r="C6" s="1585">
        <v>33199438.319999997</v>
      </c>
      <c r="D6" s="686">
        <v>2766619.86</v>
      </c>
      <c r="E6" s="686">
        <v>2766619</v>
      </c>
      <c r="F6" s="686">
        <v>2766619</v>
      </c>
      <c r="G6" s="686">
        <v>2766619</v>
      </c>
      <c r="H6" s="686">
        <v>2766619</v>
      </c>
      <c r="I6" s="686">
        <v>2827988</v>
      </c>
      <c r="J6" s="686">
        <v>2766620</v>
      </c>
      <c r="K6" s="686">
        <v>2766620</v>
      </c>
      <c r="L6" s="686">
        <v>2766620</v>
      </c>
      <c r="M6" s="686"/>
      <c r="N6" s="686"/>
      <c r="O6" s="686"/>
      <c r="P6" s="686"/>
      <c r="Q6" s="1586">
        <v>22194324</v>
      </c>
      <c r="R6" s="1586">
        <v>22132958.879999999</v>
      </c>
      <c r="S6" s="1587">
        <v>-61365.120000001043</v>
      </c>
      <c r="T6" s="1588">
        <v>-61365.120000001043</v>
      </c>
      <c r="V6" s="1589" t="s">
        <v>1101</v>
      </c>
      <c r="W6" s="1589" t="s">
        <v>1000</v>
      </c>
      <c r="X6" s="1590">
        <v>-208149088</v>
      </c>
      <c r="Y6" s="1590">
        <v>0</v>
      </c>
      <c r="Z6" s="1590">
        <v>29735584</v>
      </c>
      <c r="AA6" s="1590">
        <v>-237884672</v>
      </c>
    </row>
    <row r="7" spans="1:27" x14ac:dyDescent="0.25">
      <c r="B7" s="1591" t="s">
        <v>80</v>
      </c>
      <c r="C7" s="46">
        <v>1260000</v>
      </c>
      <c r="D7" s="364">
        <v>105000</v>
      </c>
      <c r="E7" s="364">
        <v>143550</v>
      </c>
      <c r="F7" s="364">
        <v>235199</v>
      </c>
      <c r="G7" s="364">
        <v>220474</v>
      </c>
      <c r="H7" s="364">
        <v>175110</v>
      </c>
      <c r="I7" s="364">
        <v>120400</v>
      </c>
      <c r="J7" s="364">
        <v>95350</v>
      </c>
      <c r="K7" s="364">
        <v>115100</v>
      </c>
      <c r="L7" s="364">
        <v>77500</v>
      </c>
      <c r="M7" s="364"/>
      <c r="N7" s="364"/>
      <c r="O7" s="364"/>
      <c r="P7" s="364"/>
      <c r="Q7" s="364">
        <v>1182683</v>
      </c>
      <c r="R7" s="364">
        <v>840000</v>
      </c>
      <c r="S7" s="1592">
        <v>-342683</v>
      </c>
      <c r="T7" s="1593">
        <v>-342683</v>
      </c>
      <c r="V7" s="1589" t="s">
        <v>1102</v>
      </c>
      <c r="W7" s="1589" t="s">
        <v>1103</v>
      </c>
      <c r="X7" s="1590">
        <v>-3520084.59</v>
      </c>
      <c r="Y7" s="1590">
        <v>0</v>
      </c>
      <c r="Z7" s="1590">
        <v>519706.7</v>
      </c>
      <c r="AA7" s="1590">
        <v>-4039791.29</v>
      </c>
    </row>
    <row r="8" spans="1:27" x14ac:dyDescent="0.25">
      <c r="A8" s="675"/>
      <c r="B8" s="1584" t="s">
        <v>269</v>
      </c>
      <c r="C8" s="686">
        <v>0</v>
      </c>
      <c r="D8" s="686">
        <v>0</v>
      </c>
      <c r="E8" s="686">
        <v>0</v>
      </c>
      <c r="F8" s="686">
        <v>350000</v>
      </c>
      <c r="G8" s="686"/>
      <c r="H8" s="686"/>
      <c r="I8" s="686"/>
      <c r="J8" s="686"/>
      <c r="K8" s="686"/>
      <c r="L8" s="686"/>
      <c r="M8" s="686"/>
      <c r="N8" s="686"/>
      <c r="O8" s="686"/>
      <c r="P8" s="686"/>
      <c r="Q8" s="1586">
        <v>350000</v>
      </c>
      <c r="R8" s="1586">
        <v>0</v>
      </c>
      <c r="S8" s="1587">
        <v>-350000</v>
      </c>
      <c r="T8" s="1588">
        <v>-350000</v>
      </c>
      <c r="V8" s="1589" t="s">
        <v>1114</v>
      </c>
      <c r="W8" s="1589" t="s">
        <v>1115</v>
      </c>
      <c r="X8" s="1590">
        <v>-1872704</v>
      </c>
      <c r="Y8" s="1590">
        <v>0</v>
      </c>
      <c r="Z8" s="1590">
        <v>262103</v>
      </c>
      <c r="AA8" s="1590">
        <v>-2134807</v>
      </c>
    </row>
    <row r="9" spans="1:27" x14ac:dyDescent="0.25">
      <c r="B9" s="1591" t="s">
        <v>90</v>
      </c>
      <c r="C9" s="364">
        <v>1341006.24</v>
      </c>
      <c r="D9" s="364">
        <v>111750.52</v>
      </c>
      <c r="E9" s="364">
        <v>640110</v>
      </c>
      <c r="F9" s="364">
        <v>111750</v>
      </c>
      <c r="G9" s="364">
        <v>111750</v>
      </c>
      <c r="H9" s="364">
        <v>111750</v>
      </c>
      <c r="I9" s="364">
        <v>111750</v>
      </c>
      <c r="J9" s="364">
        <v>111750</v>
      </c>
      <c r="K9" s="364">
        <v>111750</v>
      </c>
      <c r="L9" s="364">
        <v>111750</v>
      </c>
      <c r="M9" s="364"/>
      <c r="N9" s="364"/>
      <c r="O9" s="364"/>
      <c r="P9" s="364"/>
      <c r="Q9" s="364">
        <v>1422360</v>
      </c>
      <c r="R9" s="364">
        <v>894004.16</v>
      </c>
      <c r="S9" s="1592">
        <v>-528355.83999999997</v>
      </c>
      <c r="T9" s="1593">
        <v>-528355.83999999997</v>
      </c>
      <c r="V9" s="1589" t="s">
        <v>1123</v>
      </c>
      <c r="W9" s="1589" t="s">
        <v>432</v>
      </c>
      <c r="X9" s="1590">
        <v>-755</v>
      </c>
      <c r="Y9" s="1590">
        <v>0</v>
      </c>
      <c r="Z9" s="1590">
        <v>0</v>
      </c>
      <c r="AA9" s="1590">
        <v>-755</v>
      </c>
    </row>
    <row r="10" spans="1:27" x14ac:dyDescent="0.25">
      <c r="A10" s="1594"/>
      <c r="B10" s="1584" t="s">
        <v>1412</v>
      </c>
      <c r="C10" s="686">
        <v>3533088</v>
      </c>
      <c r="D10" s="686">
        <v>294424</v>
      </c>
      <c r="E10" s="686">
        <v>287015</v>
      </c>
      <c r="F10" s="686">
        <v>287015</v>
      </c>
      <c r="G10" s="686">
        <v>287015</v>
      </c>
      <c r="H10" s="686">
        <v>328376</v>
      </c>
      <c r="I10" s="686">
        <v>282699</v>
      </c>
      <c r="J10" s="686">
        <v>294424</v>
      </c>
      <c r="K10" s="686">
        <v>297358</v>
      </c>
      <c r="L10" s="686">
        <v>297356</v>
      </c>
      <c r="M10" s="686"/>
      <c r="N10" s="686"/>
      <c r="O10" s="686"/>
      <c r="P10" s="686"/>
      <c r="Q10" s="1586">
        <v>2361258</v>
      </c>
      <c r="R10" s="1586">
        <v>2355392</v>
      </c>
      <c r="S10" s="1587">
        <v>-5866</v>
      </c>
      <c r="T10" s="1588">
        <v>-5866</v>
      </c>
      <c r="V10" s="1589" t="s">
        <v>1128</v>
      </c>
      <c r="W10" s="1589" t="s">
        <v>1129</v>
      </c>
      <c r="X10" s="1590">
        <v>4275423</v>
      </c>
      <c r="Y10" s="1590">
        <v>534452</v>
      </c>
      <c r="Z10" s="1590">
        <v>0</v>
      </c>
      <c r="AA10" s="1590">
        <v>4809875</v>
      </c>
    </row>
    <row r="11" spans="1:27" x14ac:dyDescent="0.25">
      <c r="B11" s="1591" t="s">
        <v>759</v>
      </c>
      <c r="C11" s="364">
        <v>0</v>
      </c>
      <c r="D11" s="364">
        <v>0</v>
      </c>
      <c r="E11" s="364">
        <v>0</v>
      </c>
      <c r="F11" s="364">
        <v>0</v>
      </c>
      <c r="G11" s="364">
        <v>0</v>
      </c>
      <c r="H11" s="364">
        <v>0</v>
      </c>
      <c r="I11" s="364">
        <v>0</v>
      </c>
      <c r="J11" s="364">
        <v>179214</v>
      </c>
      <c r="K11" s="364">
        <v>0</v>
      </c>
      <c r="L11" s="364">
        <v>0</v>
      </c>
      <c r="M11" s="364"/>
      <c r="N11" s="364"/>
      <c r="O11" s="364"/>
      <c r="P11" s="364"/>
      <c r="Q11" s="364">
        <v>179214</v>
      </c>
      <c r="R11" s="364">
        <v>0</v>
      </c>
      <c r="S11" s="1592">
        <v>-179214</v>
      </c>
      <c r="T11" s="1593">
        <v>-179214</v>
      </c>
      <c r="V11" s="1589" t="s">
        <v>1620</v>
      </c>
      <c r="W11" s="1589" t="s">
        <v>1621</v>
      </c>
      <c r="X11" s="1590">
        <v>1001500</v>
      </c>
      <c r="Y11" s="1590">
        <v>0</v>
      </c>
      <c r="Z11" s="1590">
        <v>0</v>
      </c>
      <c r="AA11" s="1590">
        <v>1001500</v>
      </c>
    </row>
    <row r="12" spans="1:27" x14ac:dyDescent="0.25">
      <c r="B12" s="1584" t="s">
        <v>96</v>
      </c>
      <c r="C12" s="686">
        <v>0</v>
      </c>
      <c r="D12" s="686">
        <v>0</v>
      </c>
      <c r="E12" s="686">
        <v>0</v>
      </c>
      <c r="F12" s="686">
        <v>0</v>
      </c>
      <c r="G12" s="686">
        <v>338650</v>
      </c>
      <c r="H12" s="686">
        <v>0</v>
      </c>
      <c r="I12" s="686">
        <v>176715</v>
      </c>
      <c r="J12" s="686">
        <v>0</v>
      </c>
      <c r="K12" s="686">
        <v>0</v>
      </c>
      <c r="L12" s="686">
        <v>0</v>
      </c>
      <c r="M12" s="686">
        <v>0</v>
      </c>
      <c r="N12" s="686">
        <v>0</v>
      </c>
      <c r="O12" s="686">
        <v>0</v>
      </c>
      <c r="P12" s="686">
        <v>0</v>
      </c>
      <c r="Q12" s="1586">
        <v>515365</v>
      </c>
      <c r="R12" s="1586">
        <v>0</v>
      </c>
      <c r="S12" s="1587">
        <v>-515365</v>
      </c>
      <c r="T12" s="1588">
        <v>-515365</v>
      </c>
      <c r="V12" s="1589" t="s">
        <v>1622</v>
      </c>
      <c r="W12" s="1589" t="s">
        <v>1623</v>
      </c>
      <c r="X12" s="1590">
        <v>1001500</v>
      </c>
      <c r="Y12" s="1590">
        <v>0</v>
      </c>
      <c r="Z12" s="1590">
        <v>0</v>
      </c>
      <c r="AA12" s="1590">
        <v>1001500</v>
      </c>
    </row>
    <row r="13" spans="1:27" ht="13" x14ac:dyDescent="0.3">
      <c r="B13" s="1595" t="s">
        <v>97</v>
      </c>
      <c r="C13" s="1596">
        <v>0</v>
      </c>
      <c r="D13" s="1596">
        <v>0</v>
      </c>
      <c r="E13" s="1596">
        <v>0</v>
      </c>
      <c r="F13" s="1596">
        <v>0</v>
      </c>
      <c r="G13" s="1596">
        <v>338650</v>
      </c>
      <c r="H13" s="1596">
        <v>0</v>
      </c>
      <c r="I13" s="1596">
        <v>176715</v>
      </c>
      <c r="J13" s="1596">
        <v>179214</v>
      </c>
      <c r="K13" s="1596">
        <v>0</v>
      </c>
      <c r="L13" s="1596">
        <v>0</v>
      </c>
      <c r="M13" s="1596">
        <v>0</v>
      </c>
      <c r="N13" s="1596">
        <v>0</v>
      </c>
      <c r="O13" s="1596">
        <v>0</v>
      </c>
      <c r="P13" s="1596">
        <v>0</v>
      </c>
      <c r="Q13" s="1596">
        <v>694579</v>
      </c>
      <c r="R13" s="1596">
        <v>0</v>
      </c>
      <c r="S13" s="1597">
        <v>-694579</v>
      </c>
      <c r="T13" s="1593">
        <v>-694579</v>
      </c>
      <c r="V13" s="1589" t="s">
        <v>1131</v>
      </c>
      <c r="W13" s="1589" t="s">
        <v>1132</v>
      </c>
      <c r="X13" s="1590">
        <v>9564823</v>
      </c>
      <c r="Y13" s="1590">
        <v>1443315</v>
      </c>
      <c r="Z13" s="1590">
        <v>0</v>
      </c>
      <c r="AA13" s="1590">
        <v>11008138</v>
      </c>
    </row>
    <row r="14" spans="1:27" x14ac:dyDescent="0.25">
      <c r="B14" s="1584" t="s">
        <v>67</v>
      </c>
      <c r="C14" s="686">
        <v>2568001.5</v>
      </c>
      <c r="D14" s="686">
        <v>214000.125</v>
      </c>
      <c r="E14" s="686">
        <v>0</v>
      </c>
      <c r="F14" s="686">
        <v>0</v>
      </c>
      <c r="G14" s="686">
        <v>595450</v>
      </c>
      <c r="H14" s="686">
        <v>0</v>
      </c>
      <c r="I14" s="686">
        <v>781652</v>
      </c>
      <c r="J14" s="686"/>
      <c r="K14" s="686"/>
      <c r="L14" s="686">
        <v>781652</v>
      </c>
      <c r="M14" s="686"/>
      <c r="N14" s="686"/>
      <c r="O14" s="686"/>
      <c r="P14" s="686"/>
      <c r="Q14" s="1586">
        <v>2158754</v>
      </c>
      <c r="R14" s="1586">
        <v>1712001</v>
      </c>
      <c r="S14" s="1587">
        <v>-446753</v>
      </c>
      <c r="T14" s="1588">
        <v>-446753</v>
      </c>
      <c r="V14" s="1589" t="s">
        <v>1135</v>
      </c>
      <c r="W14" s="1589" t="s">
        <v>357</v>
      </c>
      <c r="X14" s="1590">
        <v>9564823</v>
      </c>
      <c r="Y14" s="1590">
        <v>1443315</v>
      </c>
      <c r="Z14" s="1590">
        <v>0</v>
      </c>
      <c r="AA14" s="1590">
        <v>11008138</v>
      </c>
    </row>
    <row r="15" spans="1:27" x14ac:dyDescent="0.25">
      <c r="B15" s="1591" t="s">
        <v>99</v>
      </c>
      <c r="C15" s="364">
        <v>3500000</v>
      </c>
      <c r="D15" s="364">
        <v>291666.66666666669</v>
      </c>
      <c r="E15" s="364">
        <v>129706</v>
      </c>
      <c r="F15" s="364">
        <v>233099</v>
      </c>
      <c r="G15" s="364">
        <v>303870</v>
      </c>
      <c r="H15" s="364">
        <v>205744</v>
      </c>
      <c r="I15" s="364">
        <v>217588</v>
      </c>
      <c r="J15" s="364">
        <v>249565</v>
      </c>
      <c r="K15" s="364">
        <v>956190</v>
      </c>
      <c r="L15" s="364">
        <v>380094</v>
      </c>
      <c r="M15" s="364"/>
      <c r="N15" s="364"/>
      <c r="O15" s="364"/>
      <c r="P15" s="364"/>
      <c r="Q15" s="364">
        <v>2675856</v>
      </c>
      <c r="R15" s="364">
        <v>2333333.3333333335</v>
      </c>
      <c r="S15" s="1592">
        <v>-342522.66666666651</v>
      </c>
      <c r="T15" s="1593">
        <v>-342522.66666666651</v>
      </c>
      <c r="V15" s="1589" t="s">
        <v>1138</v>
      </c>
      <c r="W15" s="1589" t="s">
        <v>1139</v>
      </c>
      <c r="X15" s="1590">
        <v>113623094</v>
      </c>
      <c r="Y15" s="1590">
        <v>16176904</v>
      </c>
      <c r="Z15" s="1590">
        <v>0</v>
      </c>
      <c r="AA15" s="1590">
        <v>129799998</v>
      </c>
    </row>
    <row r="16" spans="1:27" x14ac:dyDescent="0.25">
      <c r="B16" s="1584" t="s">
        <v>100</v>
      </c>
      <c r="C16" s="686">
        <v>604000</v>
      </c>
      <c r="D16" s="686">
        <v>50333.333333333336</v>
      </c>
      <c r="E16" s="686">
        <v>50100</v>
      </c>
      <c r="F16" s="686">
        <v>50115</v>
      </c>
      <c r="G16" s="686">
        <v>56102</v>
      </c>
      <c r="H16" s="686">
        <v>56070</v>
      </c>
      <c r="I16" s="686">
        <v>56076</v>
      </c>
      <c r="J16" s="686">
        <v>55806</v>
      </c>
      <c r="K16" s="686">
        <v>55760</v>
      </c>
      <c r="L16" s="686">
        <v>56144</v>
      </c>
      <c r="M16" s="686"/>
      <c r="N16" s="686"/>
      <c r="O16" s="686"/>
      <c r="P16" s="686"/>
      <c r="Q16" s="1586">
        <v>436173</v>
      </c>
      <c r="R16" s="1586">
        <v>402666.66666666669</v>
      </c>
      <c r="S16" s="1587">
        <v>-33506.333333333314</v>
      </c>
      <c r="T16" s="1588">
        <v>-33506.333333333314</v>
      </c>
      <c r="V16" s="1589" t="s">
        <v>1140</v>
      </c>
      <c r="W16" s="1589" t="s">
        <v>360</v>
      </c>
      <c r="X16" s="1590">
        <v>93815361</v>
      </c>
      <c r="Y16" s="1590">
        <v>13354140</v>
      </c>
      <c r="Z16" s="1590">
        <v>0</v>
      </c>
      <c r="AA16" s="1590">
        <v>107169501</v>
      </c>
    </row>
    <row r="17" spans="2:27" x14ac:dyDescent="0.25">
      <c r="B17" s="1591" t="s">
        <v>101</v>
      </c>
      <c r="C17" s="364">
        <v>800000</v>
      </c>
      <c r="D17" s="364">
        <v>66666.666666666672</v>
      </c>
      <c r="E17" s="364">
        <v>87582</v>
      </c>
      <c r="F17" s="364">
        <v>100988</v>
      </c>
      <c r="G17" s="364">
        <v>100988</v>
      </c>
      <c r="H17" s="364">
        <v>100988</v>
      </c>
      <c r="I17" s="364">
        <v>100988</v>
      </c>
      <c r="J17" s="364">
        <v>100988</v>
      </c>
      <c r="K17" s="364">
        <v>100988</v>
      </c>
      <c r="L17" s="364">
        <v>100988</v>
      </c>
      <c r="M17" s="364"/>
      <c r="N17" s="364"/>
      <c r="O17" s="364"/>
      <c r="P17" s="364"/>
      <c r="Q17" s="364">
        <v>794498</v>
      </c>
      <c r="R17" s="364">
        <v>533333.33333333337</v>
      </c>
      <c r="S17" s="1592">
        <v>-261164.66666666663</v>
      </c>
      <c r="T17" s="1593">
        <v>-261164.66666666663</v>
      </c>
      <c r="V17" s="1589" t="s">
        <v>1142</v>
      </c>
      <c r="W17" s="1589" t="s">
        <v>366</v>
      </c>
      <c r="X17" s="1590">
        <v>380029</v>
      </c>
      <c r="Y17" s="1590">
        <v>56144</v>
      </c>
      <c r="Z17" s="1590">
        <v>0</v>
      </c>
      <c r="AA17" s="1590">
        <v>436173</v>
      </c>
    </row>
    <row r="18" spans="2:27" x14ac:dyDescent="0.25">
      <c r="B18" s="1584" t="s">
        <v>1409</v>
      </c>
      <c r="C18" s="686"/>
      <c r="D18" s="686"/>
      <c r="E18" s="686"/>
      <c r="F18" s="686"/>
      <c r="G18" s="686"/>
      <c r="H18" s="686"/>
      <c r="I18" s="686">
        <v>472500</v>
      </c>
      <c r="J18" s="686"/>
      <c r="K18" s="686">
        <v>529000</v>
      </c>
      <c r="L18" s="686">
        <v>0</v>
      </c>
      <c r="M18" s="686"/>
      <c r="N18" s="686"/>
      <c r="O18" s="686"/>
      <c r="P18" s="686"/>
      <c r="Q18" s="1586">
        <v>1001500</v>
      </c>
      <c r="R18" s="1586">
        <v>0</v>
      </c>
      <c r="S18" s="1587"/>
      <c r="T18" s="1588">
        <v>-1001500</v>
      </c>
      <c r="V18" s="1589" t="s">
        <v>1145</v>
      </c>
      <c r="W18" s="1589" t="s">
        <v>369</v>
      </c>
      <c r="X18" s="1590">
        <v>17966012</v>
      </c>
      <c r="Y18" s="1590">
        <v>2566487</v>
      </c>
      <c r="Z18" s="1590">
        <v>0</v>
      </c>
      <c r="AA18" s="1590">
        <v>20532499</v>
      </c>
    </row>
    <row r="19" spans="2:27" ht="14.25" customHeight="1" x14ac:dyDescent="0.25">
      <c r="B19" s="1591" t="s">
        <v>105</v>
      </c>
      <c r="C19" s="364">
        <v>30797847</v>
      </c>
      <c r="D19" s="364">
        <v>2566487.25</v>
      </c>
      <c r="E19" s="364">
        <v>2343824</v>
      </c>
      <c r="F19" s="364">
        <v>2343824</v>
      </c>
      <c r="G19" s="364">
        <v>2343824</v>
      </c>
      <c r="H19" s="364">
        <v>3235079</v>
      </c>
      <c r="I19" s="364">
        <v>2566487</v>
      </c>
      <c r="J19" s="364">
        <v>2566487</v>
      </c>
      <c r="K19" s="364">
        <v>2566487</v>
      </c>
      <c r="L19" s="364">
        <v>2566487</v>
      </c>
      <c r="M19" s="364"/>
      <c r="N19" s="364"/>
      <c r="O19" s="364"/>
      <c r="P19" s="364"/>
      <c r="Q19" s="364">
        <v>20532499</v>
      </c>
      <c r="R19" s="364">
        <v>20531898</v>
      </c>
      <c r="S19" s="1592">
        <v>-601</v>
      </c>
      <c r="T19" s="1593">
        <v>-601</v>
      </c>
      <c r="V19" s="1589" t="s">
        <v>1624</v>
      </c>
      <c r="W19" s="1589" t="s">
        <v>1625</v>
      </c>
      <c r="X19" s="1590">
        <v>346700</v>
      </c>
      <c r="Y19" s="1590">
        <v>0</v>
      </c>
      <c r="Z19" s="1590">
        <v>0</v>
      </c>
      <c r="AA19" s="1590">
        <v>346700</v>
      </c>
    </row>
    <row r="20" spans="2:27" x14ac:dyDescent="0.25">
      <c r="B20" s="1584" t="s">
        <v>106</v>
      </c>
      <c r="C20" s="686">
        <v>534465</v>
      </c>
      <c r="D20" s="686">
        <v>44538.75</v>
      </c>
      <c r="E20" s="686">
        <v>0</v>
      </c>
      <c r="F20" s="686">
        <v>0</v>
      </c>
      <c r="G20" s="686">
        <v>0</v>
      </c>
      <c r="H20" s="686">
        <v>0</v>
      </c>
      <c r="I20" s="686">
        <v>0</v>
      </c>
      <c r="J20" s="686">
        <v>534565</v>
      </c>
      <c r="K20" s="686">
        <v>0</v>
      </c>
      <c r="L20" s="686">
        <v>0</v>
      </c>
      <c r="M20" s="686"/>
      <c r="N20" s="686"/>
      <c r="O20" s="686"/>
      <c r="P20" s="686"/>
      <c r="Q20" s="1586">
        <v>534565</v>
      </c>
      <c r="R20" s="1586">
        <v>356310</v>
      </c>
      <c r="S20" s="1587">
        <v>-178255</v>
      </c>
      <c r="T20" s="1588">
        <v>-178255</v>
      </c>
      <c r="V20" s="1589" t="s">
        <v>1149</v>
      </c>
      <c r="W20" s="1589" t="s">
        <v>374</v>
      </c>
      <c r="X20" s="1590">
        <v>2296612</v>
      </c>
      <c r="Y20" s="1590">
        <v>380094</v>
      </c>
      <c r="Z20" s="1590">
        <v>0</v>
      </c>
      <c r="AA20" s="1590">
        <v>2676706</v>
      </c>
    </row>
    <row r="21" spans="2:27" ht="13" thickBot="1" x14ac:dyDescent="0.3">
      <c r="B21" s="1598" t="s">
        <v>107</v>
      </c>
      <c r="C21" s="1172">
        <v>603903</v>
      </c>
      <c r="D21" s="1172">
        <v>50325.25</v>
      </c>
      <c r="E21" s="1172">
        <v>50344</v>
      </c>
      <c r="F21" s="1172">
        <v>50344</v>
      </c>
      <c r="G21" s="1172">
        <v>50344</v>
      </c>
      <c r="H21" s="1172">
        <v>50344</v>
      </c>
      <c r="I21" s="1172">
        <v>50344</v>
      </c>
      <c r="J21" s="1172">
        <v>50344</v>
      </c>
      <c r="K21" s="1172">
        <v>50344</v>
      </c>
      <c r="L21" s="1172">
        <v>50344</v>
      </c>
      <c r="M21" s="1172"/>
      <c r="N21" s="1172"/>
      <c r="O21" s="1172"/>
      <c r="P21" s="1172"/>
      <c r="Q21" s="1172">
        <v>402752</v>
      </c>
      <c r="R21" s="1172">
        <v>402602</v>
      </c>
      <c r="S21" s="1599">
        <v>-150</v>
      </c>
      <c r="T21" s="1600">
        <v>-150</v>
      </c>
      <c r="V21" s="1589" t="s">
        <v>1150</v>
      </c>
      <c r="W21" s="1589" t="s">
        <v>374</v>
      </c>
      <c r="X21" s="1590">
        <v>2296612</v>
      </c>
      <c r="Y21" s="1590">
        <v>380094</v>
      </c>
      <c r="Z21" s="1590">
        <v>0</v>
      </c>
      <c r="AA21" s="1590">
        <v>2676706</v>
      </c>
    </row>
    <row r="22" spans="2:27" ht="13.5" thickTop="1" thickBot="1" x14ac:dyDescent="0.3">
      <c r="B22" s="289"/>
      <c r="C22" s="474"/>
      <c r="D22" s="474"/>
      <c r="E22" s="474"/>
      <c r="F22" s="674" t="s">
        <v>40</v>
      </c>
      <c r="G22" s="474"/>
      <c r="H22" s="474"/>
      <c r="I22" s="474"/>
      <c r="J22" s="474"/>
      <c r="K22" s="404"/>
      <c r="L22" s="474"/>
      <c r="M22" s="440"/>
      <c r="N22" s="664"/>
      <c r="O22" s="474"/>
      <c r="P22" s="474"/>
      <c r="Q22" s="474"/>
      <c r="R22" s="440"/>
      <c r="S22" s="405"/>
      <c r="T22" s="675"/>
      <c r="V22" s="1589" t="s">
        <v>1173</v>
      </c>
      <c r="W22" s="1589" t="s">
        <v>1174</v>
      </c>
      <c r="X22" s="1590">
        <v>1238793</v>
      </c>
      <c r="Y22" s="1590">
        <v>77500</v>
      </c>
      <c r="Z22" s="1590">
        <v>0</v>
      </c>
      <c r="AA22" s="1590">
        <v>1316293</v>
      </c>
    </row>
    <row r="23" spans="2:27" ht="23.5" thickTop="1" x14ac:dyDescent="0.3">
      <c r="B23" s="1601">
        <v>8</v>
      </c>
      <c r="C23" s="1602" t="s">
        <v>1408</v>
      </c>
      <c r="D23" s="1602" t="s">
        <v>1221</v>
      </c>
      <c r="E23" s="1602" t="s">
        <v>14</v>
      </c>
      <c r="F23" s="1602" t="s">
        <v>15</v>
      </c>
      <c r="G23" s="1602" t="s">
        <v>1222</v>
      </c>
      <c r="H23" s="1603" t="s">
        <v>16</v>
      </c>
      <c r="I23" s="1602" t="s">
        <v>17</v>
      </c>
      <c r="J23" s="1604" t="s">
        <v>18</v>
      </c>
      <c r="K23" s="1602" t="s">
        <v>19</v>
      </c>
      <c r="L23" s="1602" t="s">
        <v>20</v>
      </c>
      <c r="M23" s="1602" t="s">
        <v>21</v>
      </c>
      <c r="N23" s="1602" t="s">
        <v>22</v>
      </c>
      <c r="O23" s="1602" t="s">
        <v>23</v>
      </c>
      <c r="P23" s="1603" t="s">
        <v>24</v>
      </c>
      <c r="Q23" s="1605" t="s">
        <v>26</v>
      </c>
      <c r="R23" s="1602" t="s">
        <v>25</v>
      </c>
      <c r="S23" s="1606" t="s">
        <v>46</v>
      </c>
      <c r="T23" s="1607" t="s">
        <v>1223</v>
      </c>
      <c r="V23" s="1589"/>
      <c r="W23" s="1589"/>
      <c r="X23" s="1590"/>
      <c r="Y23" s="1590"/>
      <c r="Z23" s="1590"/>
      <c r="AA23" s="1590"/>
    </row>
    <row r="24" spans="2:27" x14ac:dyDescent="0.25">
      <c r="B24" s="1608" t="s">
        <v>81</v>
      </c>
      <c r="C24" s="1609">
        <v>10500000</v>
      </c>
      <c r="D24" s="1610">
        <v>875000</v>
      </c>
      <c r="E24" s="1610">
        <v>1581421</v>
      </c>
      <c r="F24" s="1610">
        <v>0</v>
      </c>
      <c r="G24" s="1610">
        <v>523837</v>
      </c>
      <c r="H24" s="1610">
        <v>338825</v>
      </c>
      <c r="I24" s="1610">
        <v>167100</v>
      </c>
      <c r="J24" s="1610">
        <v>1050763</v>
      </c>
      <c r="K24" s="1610">
        <v>1107390</v>
      </c>
      <c r="L24" s="1610">
        <v>1519560</v>
      </c>
      <c r="M24" s="1610"/>
      <c r="N24" s="1610"/>
      <c r="O24" s="1610"/>
      <c r="P24" s="1610"/>
      <c r="Q24" s="374">
        <v>6288896</v>
      </c>
      <c r="R24" s="374">
        <v>7000000</v>
      </c>
      <c r="S24" s="1611">
        <v>711104</v>
      </c>
      <c r="T24" s="1612">
        <v>711104</v>
      </c>
      <c r="U24" s="462" t="s">
        <v>33</v>
      </c>
      <c r="V24" s="1589" t="s">
        <v>1182</v>
      </c>
      <c r="W24" s="1589" t="s">
        <v>1183</v>
      </c>
      <c r="X24" s="1590">
        <v>837137</v>
      </c>
      <c r="Y24" s="1590">
        <v>200687</v>
      </c>
      <c r="Z24" s="1590">
        <v>0</v>
      </c>
      <c r="AA24" s="1590">
        <v>1037824</v>
      </c>
    </row>
    <row r="25" spans="2:27" x14ac:dyDescent="0.25">
      <c r="B25" s="1591" t="s">
        <v>82</v>
      </c>
      <c r="C25" s="46">
        <v>1800000</v>
      </c>
      <c r="D25" s="364">
        <v>150000</v>
      </c>
      <c r="E25" s="364">
        <v>229300</v>
      </c>
      <c r="F25" s="364">
        <v>104000</v>
      </c>
      <c r="G25" s="364">
        <v>366738</v>
      </c>
      <c r="H25" s="364"/>
      <c r="I25" s="364">
        <v>6000</v>
      </c>
      <c r="J25" s="364">
        <v>122000</v>
      </c>
      <c r="K25" s="364">
        <v>0</v>
      </c>
      <c r="L25" s="364">
        <v>80000</v>
      </c>
      <c r="M25" s="364"/>
      <c r="N25" s="364"/>
      <c r="O25" s="364"/>
      <c r="P25" s="364"/>
      <c r="Q25" s="364">
        <v>908038</v>
      </c>
      <c r="R25" s="364">
        <v>1200000</v>
      </c>
      <c r="S25" s="1592">
        <v>291962</v>
      </c>
      <c r="T25" s="1593">
        <v>291962</v>
      </c>
      <c r="U25" s="1" t="s">
        <v>33</v>
      </c>
      <c r="V25" s="1589" t="s">
        <v>1184</v>
      </c>
      <c r="W25" s="1589" t="s">
        <v>295</v>
      </c>
      <c r="X25" s="1590">
        <v>781887</v>
      </c>
      <c r="Y25" s="1590">
        <v>200687</v>
      </c>
      <c r="Z25" s="1590">
        <v>0</v>
      </c>
      <c r="AA25" s="1590">
        <v>982574</v>
      </c>
    </row>
    <row r="26" spans="2:27" x14ac:dyDescent="0.25">
      <c r="B26" s="1608" t="s">
        <v>83</v>
      </c>
      <c r="C26" s="1609">
        <v>11900000</v>
      </c>
      <c r="D26" s="1610">
        <v>991666.66666666663</v>
      </c>
      <c r="E26" s="1610">
        <v>823302</v>
      </c>
      <c r="F26" s="1610">
        <v>1301779</v>
      </c>
      <c r="G26" s="1610">
        <v>611281</v>
      </c>
      <c r="H26" s="1610">
        <v>203409</v>
      </c>
      <c r="I26" s="1610">
        <v>984464</v>
      </c>
      <c r="J26" s="1610">
        <v>203409</v>
      </c>
      <c r="K26" s="1610">
        <v>203409</v>
      </c>
      <c r="L26" s="1610">
        <v>801889</v>
      </c>
      <c r="M26" s="1610"/>
      <c r="N26" s="1610"/>
      <c r="O26" s="1610"/>
      <c r="P26" s="1610"/>
      <c r="Q26" s="374">
        <v>5132942</v>
      </c>
      <c r="R26" s="374">
        <v>7933333.333333333</v>
      </c>
      <c r="S26" s="1611">
        <v>2800391.333333333</v>
      </c>
      <c r="T26" s="1612">
        <v>2800391.333333333</v>
      </c>
      <c r="V26" s="1589" t="s">
        <v>1185</v>
      </c>
      <c r="W26" s="1589" t="s">
        <v>1186</v>
      </c>
      <c r="X26" s="1590">
        <v>55250</v>
      </c>
      <c r="Y26" s="1590">
        <v>0</v>
      </c>
      <c r="Z26" s="1590">
        <v>0</v>
      </c>
      <c r="AA26" s="1590">
        <v>55250</v>
      </c>
    </row>
    <row r="27" spans="2:27" x14ac:dyDescent="0.25">
      <c r="B27" s="1591" t="s">
        <v>84</v>
      </c>
      <c r="C27" s="46">
        <v>590000</v>
      </c>
      <c r="D27" s="364">
        <v>49166.666666666664</v>
      </c>
      <c r="E27" s="364">
        <v>0</v>
      </c>
      <c r="F27" s="364">
        <v>140000</v>
      </c>
      <c r="G27" s="364">
        <v>0</v>
      </c>
      <c r="H27" s="364"/>
      <c r="I27" s="364"/>
      <c r="J27" s="364"/>
      <c r="K27" s="364"/>
      <c r="L27" s="364">
        <v>140000</v>
      </c>
      <c r="M27" s="364"/>
      <c r="N27" s="364"/>
      <c r="O27" s="364"/>
      <c r="P27" s="364"/>
      <c r="Q27" s="364">
        <v>280000</v>
      </c>
      <c r="R27" s="364">
        <v>393333.33333333331</v>
      </c>
      <c r="S27" s="1592">
        <v>113333.33333333331</v>
      </c>
      <c r="T27" s="1593">
        <v>113333.33333333331</v>
      </c>
      <c r="V27" s="1589" t="s">
        <v>1187</v>
      </c>
      <c r="W27" s="1589" t="s">
        <v>998</v>
      </c>
      <c r="X27" s="1590">
        <v>692698.88</v>
      </c>
      <c r="Y27" s="1590">
        <v>0</v>
      </c>
      <c r="Z27" s="1590">
        <v>0</v>
      </c>
      <c r="AA27" s="1590">
        <v>692698.88</v>
      </c>
    </row>
    <row r="28" spans="2:27" x14ac:dyDescent="0.25">
      <c r="B28" s="1608" t="s">
        <v>85</v>
      </c>
      <c r="C28" s="1609">
        <v>2429980</v>
      </c>
      <c r="D28" s="1610">
        <v>202498.33333333334</v>
      </c>
      <c r="E28" s="1610">
        <v>246330</v>
      </c>
      <c r="F28" s="1610">
        <v>0</v>
      </c>
      <c r="G28" s="1610">
        <v>749700</v>
      </c>
      <c r="H28" s="1610"/>
      <c r="I28" s="1610">
        <v>246330</v>
      </c>
      <c r="J28" s="1610">
        <v>0</v>
      </c>
      <c r="K28" s="1610">
        <v>238000</v>
      </c>
      <c r="L28" s="1610">
        <v>0</v>
      </c>
      <c r="M28" s="1610"/>
      <c r="N28" s="1610"/>
      <c r="O28" s="1610"/>
      <c r="P28" s="1610"/>
      <c r="Q28" s="374">
        <v>1480360</v>
      </c>
      <c r="R28" s="374">
        <v>1619986.6666666667</v>
      </c>
      <c r="S28" s="1611">
        <v>139626.66666666674</v>
      </c>
      <c r="T28" s="1612">
        <v>139626.66666666674</v>
      </c>
      <c r="V28" s="1589" t="s">
        <v>1188</v>
      </c>
      <c r="W28" s="1589" t="s">
        <v>1189</v>
      </c>
      <c r="X28" s="1590">
        <v>338650</v>
      </c>
      <c r="Y28" s="1590">
        <v>0</v>
      </c>
      <c r="Z28" s="1590">
        <v>0</v>
      </c>
      <c r="AA28" s="1590">
        <v>338650</v>
      </c>
    </row>
    <row r="29" spans="2:27" x14ac:dyDescent="0.25">
      <c r="B29" s="1591" t="s">
        <v>88</v>
      </c>
      <c r="C29" s="364">
        <v>158830392.15000004</v>
      </c>
      <c r="D29" s="364">
        <v>13235866.012500003</v>
      </c>
      <c r="E29" s="364">
        <v>13136493</v>
      </c>
      <c r="F29" s="364">
        <v>13136493</v>
      </c>
      <c r="G29" s="364">
        <v>13136494</v>
      </c>
      <c r="H29" s="364">
        <v>13136494</v>
      </c>
      <c r="I29" s="364">
        <v>13136494</v>
      </c>
      <c r="J29" s="364">
        <v>13136493</v>
      </c>
      <c r="K29" s="364">
        <v>13244869</v>
      </c>
      <c r="L29" s="364">
        <v>13354140</v>
      </c>
      <c r="M29" s="364"/>
      <c r="N29" s="364"/>
      <c r="O29" s="364"/>
      <c r="P29" s="364"/>
      <c r="Q29" s="364">
        <v>105417970</v>
      </c>
      <c r="R29" s="364">
        <v>105886928.10000002</v>
      </c>
      <c r="S29" s="1592">
        <v>468958.10000002384</v>
      </c>
      <c r="T29" s="1593">
        <v>468958.10000002384</v>
      </c>
      <c r="V29" s="1589" t="s">
        <v>1193</v>
      </c>
      <c r="W29" s="1589" t="s">
        <v>1194</v>
      </c>
      <c r="X29" s="1590">
        <v>2063902</v>
      </c>
      <c r="Y29" s="1590">
        <v>297356</v>
      </c>
      <c r="Z29" s="1590">
        <v>0</v>
      </c>
      <c r="AA29" s="1590">
        <v>2361258</v>
      </c>
    </row>
    <row r="30" spans="2:27" x14ac:dyDescent="0.25">
      <c r="B30" s="1608" t="s">
        <v>1224</v>
      </c>
      <c r="C30" s="1610">
        <v>3977071</v>
      </c>
      <c r="D30" s="1610">
        <v>331422.58333333331</v>
      </c>
      <c r="E30" s="1610"/>
      <c r="F30" s="1610">
        <v>1751531</v>
      </c>
      <c r="G30" s="1610"/>
      <c r="H30" s="1610"/>
      <c r="I30" s="1610"/>
      <c r="J30" s="1610"/>
      <c r="K30" s="1610"/>
      <c r="L30" s="1610"/>
      <c r="M30" s="1610"/>
      <c r="N30" s="1610"/>
      <c r="O30" s="1610"/>
      <c r="P30" s="1610"/>
      <c r="Q30" s="374">
        <v>1751531</v>
      </c>
      <c r="R30" s="374">
        <v>2651380.6666666665</v>
      </c>
      <c r="S30" s="1611"/>
      <c r="T30" s="1612">
        <v>899849.66666666651</v>
      </c>
      <c r="V30" s="1589" t="s">
        <v>1195</v>
      </c>
      <c r="W30" s="1589" t="s">
        <v>217</v>
      </c>
      <c r="X30" s="1590">
        <v>2063902</v>
      </c>
      <c r="Y30" s="1590">
        <v>297356</v>
      </c>
      <c r="Z30" s="1590">
        <v>0</v>
      </c>
      <c r="AA30" s="1590">
        <v>2361258</v>
      </c>
    </row>
    <row r="31" spans="2:27" x14ac:dyDescent="0.25">
      <c r="B31" s="1591" t="s">
        <v>89</v>
      </c>
      <c r="C31" s="364">
        <v>17577558</v>
      </c>
      <c r="D31" s="364">
        <v>1464796.5</v>
      </c>
      <c r="E31" s="364">
        <v>1357394</v>
      </c>
      <c r="F31" s="364">
        <v>904930</v>
      </c>
      <c r="G31" s="364">
        <v>1443315</v>
      </c>
      <c r="H31" s="364">
        <v>1486277</v>
      </c>
      <c r="I31" s="364">
        <v>1486277</v>
      </c>
      <c r="J31" s="364">
        <v>1443315</v>
      </c>
      <c r="K31" s="364">
        <v>1443315</v>
      </c>
      <c r="L31" s="364">
        <v>1443315</v>
      </c>
      <c r="M31" s="364"/>
      <c r="N31" s="364"/>
      <c r="O31" s="364"/>
      <c r="P31" s="364"/>
      <c r="Q31" s="364">
        <v>11008138</v>
      </c>
      <c r="R31" s="364">
        <v>11718372</v>
      </c>
      <c r="S31" s="1592">
        <v>710234</v>
      </c>
      <c r="T31" s="1593">
        <v>710234</v>
      </c>
      <c r="V31" s="1589" t="s">
        <v>1196</v>
      </c>
      <c r="W31" s="1589" t="s">
        <v>1103</v>
      </c>
      <c r="X31" s="1590">
        <v>1193975.72</v>
      </c>
      <c r="Y31" s="1590">
        <v>206789.6</v>
      </c>
      <c r="Z31" s="1590">
        <v>0</v>
      </c>
      <c r="AA31" s="1590">
        <v>1400765.32</v>
      </c>
    </row>
    <row r="32" spans="2:27" x14ac:dyDescent="0.25">
      <c r="B32" s="1608" t="s">
        <v>1225</v>
      </c>
      <c r="C32" s="1610">
        <v>1950000</v>
      </c>
      <c r="D32" s="1610">
        <v>162500</v>
      </c>
      <c r="E32" s="1610">
        <v>0</v>
      </c>
      <c r="F32" s="1610">
        <v>0</v>
      </c>
      <c r="G32" s="1610">
        <v>0</v>
      </c>
      <c r="H32" s="1610"/>
      <c r="I32" s="1610">
        <v>555730</v>
      </c>
      <c r="J32" s="1610">
        <v>142800</v>
      </c>
      <c r="K32" s="1610">
        <v>0</v>
      </c>
      <c r="L32" s="1610">
        <v>0</v>
      </c>
      <c r="M32" s="1610"/>
      <c r="N32" s="1610"/>
      <c r="O32" s="1610"/>
      <c r="P32" s="1610"/>
      <c r="Q32" s="374">
        <v>698530</v>
      </c>
      <c r="R32" s="374">
        <v>1300000</v>
      </c>
      <c r="S32" s="1611"/>
      <c r="T32" s="1612">
        <v>601470</v>
      </c>
      <c r="V32" s="1589" t="s">
        <v>1198</v>
      </c>
      <c r="W32" s="1589" t="s">
        <v>1199</v>
      </c>
      <c r="X32" s="1590">
        <v>1187594.54</v>
      </c>
      <c r="Y32" s="1590">
        <v>206789.6</v>
      </c>
      <c r="Z32" s="1590">
        <v>0</v>
      </c>
      <c r="AA32" s="1590">
        <v>1394384.14</v>
      </c>
    </row>
    <row r="33" spans="2:27" x14ac:dyDescent="0.25">
      <c r="B33" s="1591" t="s">
        <v>91</v>
      </c>
      <c r="C33" s="364">
        <v>1910000</v>
      </c>
      <c r="D33" s="364">
        <v>159166.66666666666</v>
      </c>
      <c r="E33" s="364">
        <v>0</v>
      </c>
      <c r="F33" s="364">
        <v>0</v>
      </c>
      <c r="G33" s="364">
        <v>288000</v>
      </c>
      <c r="H33" s="364">
        <v>50000</v>
      </c>
      <c r="I33" s="364">
        <v>305387</v>
      </c>
      <c r="J33" s="364"/>
      <c r="K33" s="364">
        <v>346700</v>
      </c>
      <c r="L33" s="364">
        <v>200687</v>
      </c>
      <c r="M33" s="364"/>
      <c r="N33" s="364"/>
      <c r="O33" s="364"/>
      <c r="P33" s="364"/>
      <c r="Q33" s="364">
        <v>1190774</v>
      </c>
      <c r="R33" s="364">
        <v>1273333.3333333333</v>
      </c>
      <c r="S33" s="1592">
        <v>82559.333333333256</v>
      </c>
      <c r="T33" s="1593">
        <v>82559.333333333256</v>
      </c>
      <c r="V33" s="1589" t="s">
        <v>1200</v>
      </c>
      <c r="W33" s="1589" t="s">
        <v>302</v>
      </c>
      <c r="X33" s="1590">
        <v>658414.54</v>
      </c>
      <c r="Y33" s="1590">
        <v>22193.5</v>
      </c>
      <c r="Z33" s="1590">
        <v>0</v>
      </c>
      <c r="AA33" s="1590">
        <v>680608.04</v>
      </c>
    </row>
    <row r="34" spans="2:27" x14ac:dyDescent="0.25">
      <c r="B34" s="1608" t="s">
        <v>92</v>
      </c>
      <c r="C34" s="1610">
        <v>372000</v>
      </c>
      <c r="D34" s="1610">
        <v>31000</v>
      </c>
      <c r="E34" s="1610">
        <v>0</v>
      </c>
      <c r="F34" s="1610">
        <v>0</v>
      </c>
      <c r="G34" s="1610">
        <v>0</v>
      </c>
      <c r="H34" s="1610"/>
      <c r="I34" s="1610"/>
      <c r="J34" s="1610"/>
      <c r="K34" s="1610">
        <v>0</v>
      </c>
      <c r="L34" s="1610">
        <v>0</v>
      </c>
      <c r="M34" s="1610"/>
      <c r="N34" s="1610"/>
      <c r="O34" s="1610"/>
      <c r="P34" s="1610"/>
      <c r="Q34" s="374">
        <v>0</v>
      </c>
      <c r="R34" s="374">
        <v>248000</v>
      </c>
      <c r="S34" s="1611" t="e">
        <v>#REF!</v>
      </c>
      <c r="T34" s="1612">
        <v>248000</v>
      </c>
      <c r="V34" s="1589" t="s">
        <v>1629</v>
      </c>
      <c r="W34" s="1589" t="s">
        <v>1630</v>
      </c>
      <c r="X34" s="1590">
        <v>0</v>
      </c>
      <c r="Y34" s="1590">
        <v>83538</v>
      </c>
      <c r="Z34" s="1590">
        <v>0</v>
      </c>
      <c r="AA34" s="1590">
        <v>83538</v>
      </c>
    </row>
    <row r="35" spans="2:27" x14ac:dyDescent="0.25">
      <c r="B35" s="1591" t="s">
        <v>93</v>
      </c>
      <c r="C35" s="364">
        <v>740000</v>
      </c>
      <c r="D35" s="364">
        <v>61666.666666666664</v>
      </c>
      <c r="E35" s="364"/>
      <c r="F35" s="364">
        <v>138500</v>
      </c>
      <c r="G35" s="364">
        <v>0</v>
      </c>
      <c r="H35" s="364"/>
      <c r="I35" s="364"/>
      <c r="J35" s="364"/>
      <c r="K35" s="364"/>
      <c r="L35" s="364">
        <v>0</v>
      </c>
      <c r="M35" s="364"/>
      <c r="N35" s="364"/>
      <c r="O35" s="364"/>
      <c r="P35" s="364"/>
      <c r="Q35" s="364">
        <v>138500</v>
      </c>
      <c r="R35" s="364">
        <v>493333.33333333331</v>
      </c>
      <c r="S35" s="1592">
        <v>354833.33333333331</v>
      </c>
      <c r="T35" s="1593">
        <v>354833.33333333331</v>
      </c>
      <c r="V35" s="1589" t="s">
        <v>1201</v>
      </c>
      <c r="W35" s="1589" t="s">
        <v>305</v>
      </c>
      <c r="X35" s="1590">
        <v>529180</v>
      </c>
      <c r="Y35" s="1590">
        <v>101058.1</v>
      </c>
      <c r="Z35" s="1590">
        <v>0</v>
      </c>
      <c r="AA35" s="1590">
        <v>630238.1</v>
      </c>
    </row>
    <row r="36" spans="2:27" x14ac:dyDescent="0.25">
      <c r="B36" s="1608" t="s">
        <v>66</v>
      </c>
      <c r="C36" s="1610">
        <v>38237500</v>
      </c>
      <c r="D36" s="1610">
        <v>3186458.3333333335</v>
      </c>
      <c r="E36" s="1610">
        <v>3189683.88</v>
      </c>
      <c r="F36" s="1610">
        <v>2628727</v>
      </c>
      <c r="G36" s="1610">
        <v>2554892</v>
      </c>
      <c r="H36" s="1610">
        <v>2640861</v>
      </c>
      <c r="I36" s="1610">
        <v>3098024</v>
      </c>
      <c r="J36" s="1610">
        <v>2908845</v>
      </c>
      <c r="K36" s="1610">
        <v>2964954</v>
      </c>
      <c r="L36" s="1610">
        <v>2551875</v>
      </c>
      <c r="M36" s="1610"/>
      <c r="N36" s="1610"/>
      <c r="O36" s="1610"/>
      <c r="P36" s="1610"/>
      <c r="Q36" s="374">
        <v>22537861.879999999</v>
      </c>
      <c r="R36" s="374">
        <v>25491666.666666668</v>
      </c>
      <c r="S36" s="1611">
        <v>2953804.786666669</v>
      </c>
      <c r="T36" s="1612">
        <v>2953804.786666669</v>
      </c>
    </row>
    <row r="37" spans="2:27" x14ac:dyDescent="0.25">
      <c r="B37" s="1591" t="s">
        <v>1230</v>
      </c>
      <c r="C37" s="364">
        <v>1211856</v>
      </c>
      <c r="D37" s="364">
        <v>100988</v>
      </c>
      <c r="E37" s="364">
        <v>0</v>
      </c>
      <c r="F37" s="364">
        <v>0</v>
      </c>
      <c r="G37" s="364">
        <v>55250</v>
      </c>
      <c r="H37" s="364">
        <v>0</v>
      </c>
      <c r="I37" s="364">
        <v>0</v>
      </c>
      <c r="J37" s="364"/>
      <c r="K37" s="364"/>
      <c r="L37" s="364"/>
      <c r="M37" s="364"/>
      <c r="N37" s="364"/>
      <c r="O37" s="364"/>
      <c r="P37" s="364"/>
      <c r="Q37" s="364">
        <v>55250</v>
      </c>
      <c r="R37" s="364">
        <v>807904</v>
      </c>
      <c r="S37" s="1592"/>
      <c r="T37" s="1593">
        <v>752654</v>
      </c>
    </row>
    <row r="38" spans="2:27" x14ac:dyDescent="0.25">
      <c r="B38" s="1608" t="s">
        <v>102</v>
      </c>
      <c r="C38" s="1610">
        <v>16250400</v>
      </c>
      <c r="D38" s="1610">
        <v>1354200</v>
      </c>
      <c r="E38" s="1610">
        <v>1354200</v>
      </c>
      <c r="F38" s="1610">
        <v>1354200</v>
      </c>
      <c r="G38" s="1610">
        <v>1354200</v>
      </c>
      <c r="H38" s="1610">
        <v>1354200</v>
      </c>
      <c r="I38" s="1610">
        <v>1354200</v>
      </c>
      <c r="J38" s="1610"/>
      <c r="K38" s="1610">
        <v>1354200</v>
      </c>
      <c r="L38" s="1610">
        <v>2279100</v>
      </c>
      <c r="M38" s="1610"/>
      <c r="N38" s="1610"/>
      <c r="O38" s="1610"/>
      <c r="P38" s="1610"/>
      <c r="Q38" s="374">
        <v>10404300</v>
      </c>
      <c r="R38" s="374">
        <v>10833600</v>
      </c>
      <c r="S38" s="1611">
        <v>429300</v>
      </c>
      <c r="T38" s="1612">
        <v>429300</v>
      </c>
    </row>
    <row r="39" spans="2:27" x14ac:dyDescent="0.25">
      <c r="B39" s="1591" t="s">
        <v>65</v>
      </c>
      <c r="C39" s="364">
        <v>6413421</v>
      </c>
      <c r="D39" s="364">
        <v>534451.75</v>
      </c>
      <c r="E39" s="364">
        <v>488080</v>
      </c>
      <c r="F39" s="364">
        <v>488080</v>
      </c>
      <c r="G39" s="364">
        <v>627190</v>
      </c>
      <c r="H39" s="364">
        <v>534352</v>
      </c>
      <c r="I39" s="364">
        <v>534352</v>
      </c>
      <c r="J39" s="364">
        <v>534352</v>
      </c>
      <c r="K39" s="364">
        <v>534452</v>
      </c>
      <c r="L39" s="364">
        <v>534452</v>
      </c>
      <c r="M39" s="364"/>
      <c r="N39" s="364"/>
      <c r="O39" s="364"/>
      <c r="P39" s="364"/>
      <c r="Q39" s="364">
        <v>4275310</v>
      </c>
      <c r="R39" s="364">
        <v>4275614</v>
      </c>
      <c r="S39" s="1592">
        <v>304</v>
      </c>
      <c r="T39" s="1593">
        <v>304</v>
      </c>
    </row>
    <row r="40" spans="2:27" x14ac:dyDescent="0.25">
      <c r="B40" s="1608" t="s">
        <v>108</v>
      </c>
      <c r="C40" s="1610">
        <v>200000</v>
      </c>
      <c r="D40" s="1610">
        <v>16666.666666666668</v>
      </c>
      <c r="E40" s="1610">
        <v>0</v>
      </c>
      <c r="F40" s="1610">
        <v>0</v>
      </c>
      <c r="G40" s="1610">
        <v>10000</v>
      </c>
      <c r="H40" s="1610">
        <v>10000</v>
      </c>
      <c r="I40" s="1610">
        <v>0</v>
      </c>
      <c r="J40" s="1610">
        <v>0</v>
      </c>
      <c r="K40" s="1610">
        <v>0</v>
      </c>
      <c r="L40" s="1610">
        <v>0</v>
      </c>
      <c r="M40" s="364"/>
      <c r="N40" s="364"/>
      <c r="O40" s="364"/>
      <c r="P40" s="364"/>
      <c r="Q40" s="374">
        <v>20000</v>
      </c>
      <c r="R40" s="374">
        <v>133333.33333333334</v>
      </c>
      <c r="S40" s="1611">
        <v>113333.33333333334</v>
      </c>
      <c r="T40" s="1612">
        <v>113333.33333333334</v>
      </c>
    </row>
    <row r="41" spans="2:27" x14ac:dyDescent="0.25">
      <c r="B41" s="1591" t="s">
        <v>109</v>
      </c>
      <c r="C41" s="364">
        <v>360000</v>
      </c>
      <c r="D41" s="364">
        <v>30000</v>
      </c>
      <c r="E41" s="364">
        <v>0</v>
      </c>
      <c r="F41" s="364">
        <v>0</v>
      </c>
      <c r="G41" s="364">
        <v>26640</v>
      </c>
      <c r="H41" s="364">
        <v>4390</v>
      </c>
      <c r="I41" s="364">
        <v>27030</v>
      </c>
      <c r="J41" s="364">
        <v>0</v>
      </c>
      <c r="K41" s="364">
        <v>75550</v>
      </c>
      <c r="L41" s="364">
        <v>0</v>
      </c>
      <c r="M41" s="364"/>
      <c r="N41" s="364"/>
      <c r="O41" s="364"/>
      <c r="P41" s="364"/>
      <c r="Q41" s="364">
        <v>133610</v>
      </c>
      <c r="R41" s="364">
        <v>240000</v>
      </c>
      <c r="S41" s="1592">
        <v>106390</v>
      </c>
      <c r="T41" s="1593">
        <v>106390</v>
      </c>
    </row>
    <row r="42" spans="2:27" x14ac:dyDescent="0.25">
      <c r="B42" s="1608" t="s">
        <v>110</v>
      </c>
      <c r="C42" s="1610">
        <v>150000</v>
      </c>
      <c r="D42" s="1610">
        <v>12500</v>
      </c>
      <c r="E42" s="1610">
        <v>0</v>
      </c>
      <c r="F42" s="1610">
        <v>0</v>
      </c>
      <c r="G42" s="1610">
        <v>4500</v>
      </c>
      <c r="H42" s="1610">
        <v>0</v>
      </c>
      <c r="I42" s="1610">
        <v>0</v>
      </c>
      <c r="J42" s="1610">
        <v>0</v>
      </c>
      <c r="K42" s="1610">
        <v>0</v>
      </c>
      <c r="L42" s="1610">
        <v>0</v>
      </c>
      <c r="M42" s="364"/>
      <c r="N42" s="364"/>
      <c r="O42" s="364"/>
      <c r="P42" s="364"/>
      <c r="Q42" s="374">
        <v>4500</v>
      </c>
      <c r="R42" s="374">
        <v>100000</v>
      </c>
      <c r="S42" s="1611">
        <v>95500</v>
      </c>
      <c r="T42" s="1612">
        <v>95500</v>
      </c>
    </row>
    <row r="43" spans="2:27" x14ac:dyDescent="0.25">
      <c r="B43" s="1591" t="s">
        <v>111</v>
      </c>
      <c r="C43" s="364">
        <v>2700000</v>
      </c>
      <c r="D43" s="364">
        <v>225000</v>
      </c>
      <c r="E43" s="364">
        <v>191152.44</v>
      </c>
      <c r="F43" s="364">
        <v>189522.6</v>
      </c>
      <c r="G43" s="364">
        <v>196603.1</v>
      </c>
      <c r="H43" s="364">
        <v>179705.1</v>
      </c>
      <c r="I43" s="364">
        <v>225057.48</v>
      </c>
      <c r="J43" s="364">
        <v>101784</v>
      </c>
      <c r="K43" s="364">
        <v>108924</v>
      </c>
      <c r="L43" s="364">
        <v>206789.6</v>
      </c>
      <c r="M43" s="364"/>
      <c r="N43" s="364"/>
      <c r="O43" s="364"/>
      <c r="P43" s="364"/>
      <c r="Q43" s="364">
        <v>1399538.32</v>
      </c>
      <c r="R43" s="364">
        <v>1800000</v>
      </c>
      <c r="S43" s="1592">
        <v>400461.67999999993</v>
      </c>
      <c r="T43" s="1593">
        <v>400461.67999999993</v>
      </c>
    </row>
    <row r="44" spans="2:27" ht="13" thickBot="1" x14ac:dyDescent="0.3">
      <c r="B44" s="1613" t="s">
        <v>68</v>
      </c>
      <c r="C44" s="1614">
        <v>0</v>
      </c>
      <c r="D44" s="1614">
        <v>0</v>
      </c>
      <c r="E44" s="1615">
        <v>0</v>
      </c>
      <c r="F44" s="1615">
        <v>0</v>
      </c>
      <c r="G44" s="1616">
        <v>1227</v>
      </c>
      <c r="H44" s="1616">
        <v>5</v>
      </c>
      <c r="I44" s="1616">
        <v>-1887</v>
      </c>
      <c r="J44" s="1616"/>
      <c r="K44" s="1616">
        <v>1</v>
      </c>
      <c r="L44" s="1616">
        <v>1</v>
      </c>
      <c r="M44" s="1617"/>
      <c r="N44" s="1617"/>
      <c r="O44" s="1617"/>
      <c r="P44" s="1617"/>
      <c r="Q44" s="1173">
        <v>-653</v>
      </c>
      <c r="R44" s="1618">
        <v>0</v>
      </c>
      <c r="S44" s="1619" t="e">
        <v>#REF!</v>
      </c>
      <c r="T44" s="1620">
        <v>653</v>
      </c>
    </row>
    <row r="45" spans="2:27" ht="13" thickTop="1" x14ac:dyDescent="0.25">
      <c r="B45" s="675"/>
      <c r="C45" s="474"/>
      <c r="D45" s="474"/>
      <c r="E45" s="474"/>
      <c r="F45" s="474"/>
      <c r="G45" s="474"/>
      <c r="H45" s="474"/>
      <c r="I45" s="474"/>
      <c r="J45" s="474"/>
      <c r="K45" s="474"/>
      <c r="L45" s="474"/>
      <c r="M45" s="474"/>
      <c r="N45" s="664"/>
      <c r="O45" s="474"/>
      <c r="P45" s="474"/>
      <c r="Q45" s="474"/>
      <c r="R45" s="474"/>
      <c r="S45" s="405"/>
      <c r="T45" s="675"/>
    </row>
    <row r="46" spans="2:27" x14ac:dyDescent="0.25">
      <c r="B46" s="675"/>
      <c r="C46" s="474"/>
      <c r="D46" s="474"/>
      <c r="E46" s="474"/>
      <c r="F46" s="474"/>
      <c r="G46" s="474"/>
      <c r="H46" s="474"/>
      <c r="I46" s="474"/>
      <c r="J46" s="474"/>
      <c r="K46" s="474"/>
      <c r="L46" s="474"/>
      <c r="M46" s="474"/>
      <c r="N46" s="664"/>
      <c r="O46" s="474"/>
      <c r="P46" s="474"/>
      <c r="Q46" s="474"/>
      <c r="R46" s="474"/>
      <c r="S46" s="405"/>
      <c r="T46" s="675"/>
    </row>
    <row r="47" spans="2:27" x14ac:dyDescent="0.25">
      <c r="B47" s="1655" t="s">
        <v>962</v>
      </c>
      <c r="C47" s="1656"/>
      <c r="D47" s="1"/>
    </row>
    <row r="48" spans="2:27" x14ac:dyDescent="0.25">
      <c r="B48" s="302" t="s">
        <v>773</v>
      </c>
      <c r="C48" s="638">
        <f>-49920464</f>
        <v>-49920464</v>
      </c>
      <c r="D48" s="1"/>
    </row>
    <row r="49" spans="2:4" x14ac:dyDescent="0.25">
      <c r="B49" s="302" t="s">
        <v>963</v>
      </c>
      <c r="C49" s="640">
        <v>-893269.33</v>
      </c>
      <c r="D49" s="1"/>
    </row>
    <row r="50" spans="2:4" x14ac:dyDescent="0.25">
      <c r="B50" s="1621" t="s">
        <v>964</v>
      </c>
      <c r="C50" s="1622">
        <f>SUM(C48:C49)</f>
        <v>-50813733.329999998</v>
      </c>
      <c r="D50" s="1"/>
    </row>
    <row r="51" spans="2:4" x14ac:dyDescent="0.25">
      <c r="B51" s="302" t="s">
        <v>965</v>
      </c>
      <c r="C51" s="1623"/>
      <c r="D51" s="1"/>
    </row>
    <row r="52" spans="2:4" x14ac:dyDescent="0.25">
      <c r="B52" s="302" t="s">
        <v>75</v>
      </c>
      <c r="C52" s="640">
        <v>7425682</v>
      </c>
      <c r="D52" s="1"/>
    </row>
    <row r="53" spans="2:4" x14ac:dyDescent="0.25">
      <c r="B53" s="302" t="s">
        <v>58</v>
      </c>
      <c r="C53" s="640">
        <v>8550122</v>
      </c>
      <c r="D53" s="1"/>
    </row>
    <row r="54" spans="2:4" x14ac:dyDescent="0.25">
      <c r="B54" s="302" t="s">
        <v>220</v>
      </c>
      <c r="C54" s="640">
        <v>3837291</v>
      </c>
      <c r="D54" s="1"/>
    </row>
    <row r="55" spans="2:4" x14ac:dyDescent="0.25">
      <c r="B55" s="302" t="s">
        <v>224</v>
      </c>
      <c r="C55" s="640">
        <v>23006463.5</v>
      </c>
      <c r="D55" s="1"/>
    </row>
    <row r="56" spans="2:4" x14ac:dyDescent="0.25">
      <c r="B56" s="302" t="s">
        <v>966</v>
      </c>
      <c r="C56" s="640">
        <v>7994163.0700000003</v>
      </c>
      <c r="D56" s="1"/>
    </row>
    <row r="57" spans="2:4" x14ac:dyDescent="0.25">
      <c r="B57" s="1624" t="s">
        <v>967</v>
      </c>
      <c r="C57" s="1625">
        <f>SUM(C52:C56)</f>
        <v>50813721.57</v>
      </c>
      <c r="D57" s="1"/>
    </row>
    <row r="58" spans="2:4" x14ac:dyDescent="0.25">
      <c r="C58" s="1626"/>
      <c r="D58" s="1"/>
    </row>
    <row r="59" spans="2:4" x14ac:dyDescent="0.25">
      <c r="C59" s="1626"/>
      <c r="D59" s="1"/>
    </row>
    <row r="60" spans="2:4" x14ac:dyDescent="0.25">
      <c r="B60" s="1655" t="s">
        <v>962</v>
      </c>
      <c r="C60" s="1656"/>
      <c r="D60" s="1"/>
    </row>
    <row r="61" spans="2:4" x14ac:dyDescent="0.25">
      <c r="B61" s="302" t="s">
        <v>773</v>
      </c>
      <c r="C61" s="638">
        <f>-49920464</f>
        <v>-49920464</v>
      </c>
    </row>
    <row r="62" spans="2:4" x14ac:dyDescent="0.25">
      <c r="B62" s="302" t="s">
        <v>963</v>
      </c>
      <c r="C62" s="640">
        <v>-893269.33</v>
      </c>
    </row>
    <row r="63" spans="2:4" x14ac:dyDescent="0.25">
      <c r="B63" s="1621" t="s">
        <v>964</v>
      </c>
      <c r="C63" s="1622">
        <f>SUM(C61:C62)</f>
        <v>-50813733.329999998</v>
      </c>
    </row>
    <row r="64" spans="2:4" x14ac:dyDescent="0.25">
      <c r="B64" s="302" t="s">
        <v>965</v>
      </c>
      <c r="C64" s="1623"/>
    </row>
    <row r="65" spans="2:3" x14ac:dyDescent="0.25">
      <c r="B65" s="302" t="s">
        <v>75</v>
      </c>
      <c r="C65" s="640">
        <v>7425682</v>
      </c>
    </row>
    <row r="66" spans="2:3" x14ac:dyDescent="0.25">
      <c r="B66" s="302" t="s">
        <v>58</v>
      </c>
      <c r="C66" s="640">
        <v>0</v>
      </c>
    </row>
    <row r="67" spans="2:3" x14ac:dyDescent="0.25">
      <c r="B67" s="302" t="s">
        <v>220</v>
      </c>
      <c r="C67" s="640">
        <v>3837291</v>
      </c>
    </row>
    <row r="68" spans="2:3" x14ac:dyDescent="0.25">
      <c r="B68" s="302" t="s">
        <v>224</v>
      </c>
      <c r="C68" s="640">
        <v>0</v>
      </c>
    </row>
    <row r="69" spans="2:3" x14ac:dyDescent="0.25">
      <c r="B69" s="302" t="s">
        <v>966</v>
      </c>
      <c r="C69" s="640">
        <v>7994163.0700000003</v>
      </c>
    </row>
    <row r="70" spans="2:3" x14ac:dyDescent="0.25">
      <c r="B70" s="1624" t="s">
        <v>967</v>
      </c>
      <c r="C70" s="1625">
        <f>SUM(C65:C69)</f>
        <v>19257136.07</v>
      </c>
    </row>
    <row r="71" spans="2:3" x14ac:dyDescent="0.25">
      <c r="C71" s="1"/>
    </row>
    <row r="72" spans="2:3" x14ac:dyDescent="0.25">
      <c r="B72" s="289" t="s">
        <v>1402</v>
      </c>
      <c r="C72" s="404">
        <v>31805050</v>
      </c>
    </row>
  </sheetData>
  <mergeCells count="4">
    <mergeCell ref="B1:S1"/>
    <mergeCell ref="B3:S3"/>
    <mergeCell ref="B47:C47"/>
    <mergeCell ref="B60:C60"/>
  </mergeCells>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D8C8C-B15C-4D92-B9E9-7983A773D6DF}">
  <dimension ref="A1:BJ155"/>
  <sheetViews>
    <sheetView workbookViewId="0">
      <selection activeCell="W36" sqref="W36"/>
    </sheetView>
  </sheetViews>
  <sheetFormatPr baseColWidth="10" defaultColWidth="10.90625" defaultRowHeight="12.5" x14ac:dyDescent="0.25"/>
  <cols>
    <col min="1" max="1" width="3.54296875" customWidth="1"/>
    <col min="2" max="2" width="24.6328125" customWidth="1"/>
    <col min="3" max="3" width="14.81640625" style="352" hidden="1" customWidth="1"/>
    <col min="4" max="4" width="10.453125" style="352" hidden="1" customWidth="1"/>
    <col min="5" max="5" width="11.7265625" style="352" hidden="1" customWidth="1"/>
    <col min="6" max="6" width="12.54296875" style="352" hidden="1" customWidth="1"/>
    <col min="7" max="7" width="11.81640625" style="352" hidden="1" customWidth="1"/>
    <col min="8" max="8" width="12" style="352" hidden="1" customWidth="1"/>
    <col min="9" max="9" width="12.1796875" style="352" hidden="1" customWidth="1"/>
    <col min="10" max="10" width="11.7265625" style="352" hidden="1" customWidth="1"/>
    <col min="11" max="13" width="15.7265625" style="352" hidden="1" customWidth="1"/>
    <col min="14" max="14" width="15.7265625" style="388" hidden="1" customWidth="1"/>
    <col min="15" max="16" width="15.7265625" style="352" hidden="1" customWidth="1"/>
    <col min="17" max="17" width="13.453125" style="352" hidden="1" customWidth="1"/>
    <col min="18" max="18" width="15.54296875" style="353" hidden="1" customWidth="1"/>
    <col min="19" max="19" width="15.453125" style="389" hidden="1" customWidth="1"/>
    <col min="21" max="25" width="10.90625" customWidth="1"/>
    <col min="29" max="32" width="11.54296875" customWidth="1"/>
    <col min="36" max="37" width="12.7265625" customWidth="1"/>
    <col min="38" max="38" width="12.6328125" customWidth="1"/>
  </cols>
  <sheetData>
    <row r="1" spans="1:49" x14ac:dyDescent="0.25">
      <c r="B1" s="1649" t="s">
        <v>218</v>
      </c>
      <c r="C1" s="1650"/>
      <c r="D1" s="1650"/>
      <c r="E1" s="1650"/>
      <c r="F1" s="1650"/>
      <c r="G1" s="1650"/>
      <c r="H1" s="1650"/>
      <c r="I1" s="1650"/>
      <c r="J1" s="1650"/>
      <c r="K1" s="1650"/>
      <c r="L1" s="1650"/>
      <c r="M1" s="1650"/>
      <c r="N1" s="1650"/>
      <c r="O1" s="1650"/>
      <c r="P1" s="1650"/>
      <c r="Q1" s="1650"/>
      <c r="R1" s="1650"/>
      <c r="S1" s="1651"/>
    </row>
    <row r="2" spans="1:49" ht="9" customHeight="1" x14ac:dyDescent="0.25">
      <c r="B2" s="104"/>
      <c r="S2" s="354"/>
    </row>
    <row r="3" spans="1:49" x14ac:dyDescent="0.25">
      <c r="B3" s="1652" t="s">
        <v>1220</v>
      </c>
      <c r="C3" s="1653"/>
      <c r="D3" s="1653"/>
      <c r="E3" s="1653"/>
      <c r="F3" s="1653"/>
      <c r="G3" s="1653"/>
      <c r="H3" s="1653"/>
      <c r="I3" s="1653"/>
      <c r="J3" s="1653"/>
      <c r="K3" s="1653"/>
      <c r="L3" s="1653"/>
      <c r="M3" s="1653"/>
      <c r="N3" s="1653"/>
      <c r="O3" s="1653"/>
      <c r="P3" s="1653"/>
      <c r="Q3" s="1653"/>
      <c r="R3" s="1653"/>
      <c r="S3" s="1654"/>
    </row>
    <row r="4" spans="1:49" x14ac:dyDescent="0.25">
      <c r="B4" s="105"/>
      <c r="C4" s="650"/>
      <c r="D4" s="650"/>
      <c r="E4" s="650"/>
      <c r="F4" s="650"/>
      <c r="G4" s="650"/>
      <c r="H4" s="650"/>
      <c r="I4" s="650"/>
      <c r="J4" s="650"/>
      <c r="K4" s="650"/>
      <c r="L4" s="650"/>
      <c r="M4" s="650"/>
      <c r="N4" s="651"/>
      <c r="O4" s="650"/>
      <c r="P4" s="650"/>
      <c r="Q4" s="650"/>
      <c r="R4" s="652"/>
      <c r="S4" s="355"/>
    </row>
    <row r="5" spans="1:49" ht="23.25" customHeight="1" x14ac:dyDescent="0.3">
      <c r="A5">
        <v>12</v>
      </c>
      <c r="B5" s="13">
        <v>7</v>
      </c>
      <c r="C5" s="745" t="s">
        <v>1408</v>
      </c>
      <c r="D5" s="746" t="s">
        <v>1221</v>
      </c>
      <c r="E5" s="357" t="s">
        <v>14</v>
      </c>
      <c r="F5" s="357" t="s">
        <v>15</v>
      </c>
      <c r="G5" s="357" t="s">
        <v>1222</v>
      </c>
      <c r="H5" s="357" t="s">
        <v>16</v>
      </c>
      <c r="I5" s="357" t="s">
        <v>17</v>
      </c>
      <c r="J5" s="357" t="s">
        <v>18</v>
      </c>
      <c r="K5" s="357" t="s">
        <v>19</v>
      </c>
      <c r="L5" s="357" t="s">
        <v>20</v>
      </c>
      <c r="M5" s="357" t="s">
        <v>21</v>
      </c>
      <c r="N5" s="358" t="s">
        <v>22</v>
      </c>
      <c r="O5" s="357" t="s">
        <v>23</v>
      </c>
      <c r="P5" s="357" t="s">
        <v>24</v>
      </c>
      <c r="Q5" s="359" t="s">
        <v>25</v>
      </c>
      <c r="R5" s="360" t="s">
        <v>26</v>
      </c>
      <c r="S5" s="653" t="s">
        <v>46</v>
      </c>
      <c r="T5" s="654" t="s">
        <v>1223</v>
      </c>
    </row>
    <row r="6" spans="1:49" x14ac:dyDescent="0.25">
      <c r="B6" s="53" t="s">
        <v>45</v>
      </c>
      <c r="C6" s="362">
        <v>353308839</v>
      </c>
      <c r="D6" s="362">
        <f>+C6/12</f>
        <v>29442403.25</v>
      </c>
      <c r="E6" s="362">
        <f>-287015+28701567</f>
        <v>28414552</v>
      </c>
      <c r="F6" s="362">
        <v>28414552</v>
      </c>
      <c r="G6" s="362">
        <v>28414552</v>
      </c>
      <c r="H6" s="362">
        <f>+H8-H7</f>
        <v>32509259</v>
      </c>
      <c r="I6" s="362">
        <f>29735584-I7</f>
        <v>29438226</v>
      </c>
      <c r="J6" s="362">
        <f>+J8-J7</f>
        <v>29438226</v>
      </c>
      <c r="K6" s="362">
        <f>'ESTAD RESUL JULIO 2025'!K6</f>
        <v>29438226</v>
      </c>
      <c r="L6" s="362"/>
      <c r="M6" s="362"/>
      <c r="N6" s="363"/>
      <c r="O6" s="363"/>
      <c r="P6" s="363"/>
      <c r="Q6" s="364">
        <f>+D6*$B$5</f>
        <v>206096822.75</v>
      </c>
      <c r="R6" s="364">
        <f>SUM(E6:P6)</f>
        <v>206067593</v>
      </c>
      <c r="S6" s="655">
        <f>+Q6-R6</f>
        <v>29229.75</v>
      </c>
      <c r="T6" s="656">
        <f>+Q6-R6</f>
        <v>29229.75</v>
      </c>
      <c r="AA6" s="352"/>
      <c r="AB6" s="352"/>
      <c r="AC6" s="352"/>
      <c r="AD6" s="352"/>
      <c r="AE6" s="352"/>
      <c r="AF6" s="352"/>
      <c r="AG6" s="352"/>
      <c r="AH6" s="352"/>
      <c r="AI6" s="352"/>
      <c r="AJ6" s="352"/>
      <c r="AK6" s="352"/>
      <c r="AL6" s="352"/>
      <c r="AM6" s="352"/>
      <c r="AN6" s="352"/>
      <c r="AO6" s="352"/>
      <c r="AP6" s="352"/>
      <c r="AQ6" s="352"/>
      <c r="AR6" s="352"/>
      <c r="AS6" s="352"/>
      <c r="AT6" s="352"/>
      <c r="AU6" s="352"/>
      <c r="AV6" s="352"/>
      <c r="AW6" s="352"/>
    </row>
    <row r="7" spans="1:49" x14ac:dyDescent="0.25">
      <c r="B7" s="13" t="s">
        <v>120</v>
      </c>
      <c r="C7" s="364">
        <v>3533088</v>
      </c>
      <c r="D7" s="362">
        <f>+C7/12</f>
        <v>294424</v>
      </c>
      <c r="E7" s="364">
        <v>287015</v>
      </c>
      <c r="F7" s="364">
        <v>287015</v>
      </c>
      <c r="G7" s="364">
        <v>287015</v>
      </c>
      <c r="H7" s="364">
        <v>328376</v>
      </c>
      <c r="I7" s="364">
        <v>297358</v>
      </c>
      <c r="J7" s="364">
        <v>297358</v>
      </c>
      <c r="K7" s="362">
        <f>'ESTAD RESUL JULIO 2025'!K7</f>
        <v>297358</v>
      </c>
      <c r="L7" s="364"/>
      <c r="M7" s="364"/>
      <c r="N7" s="365"/>
      <c r="O7" s="365"/>
      <c r="P7" s="365"/>
      <c r="Q7" s="364">
        <f>+D7*$B$5</f>
        <v>2060968</v>
      </c>
      <c r="R7" s="364">
        <f>SUM(E7:P7)</f>
        <v>2081495</v>
      </c>
      <c r="S7" s="655">
        <f>+Q7-R7</f>
        <v>-20527</v>
      </c>
      <c r="T7" s="656">
        <f>+Q7-R7</f>
        <v>-20527</v>
      </c>
      <c r="AA7" s="352"/>
      <c r="AB7" s="1657" t="s">
        <v>776</v>
      </c>
      <c r="AC7" s="1657"/>
      <c r="AD7" s="1657"/>
      <c r="AE7" s="1657"/>
      <c r="AF7" s="1657"/>
      <c r="AG7" s="1657"/>
      <c r="AH7" s="352"/>
      <c r="AI7" s="352"/>
      <c r="AJ7" s="352"/>
      <c r="AK7" s="352"/>
      <c r="AL7" s="352"/>
      <c r="AM7" s="352"/>
      <c r="AN7" s="352"/>
      <c r="AO7" s="352"/>
      <c r="AP7" s="352"/>
      <c r="AQ7" s="352"/>
      <c r="AR7" s="352"/>
      <c r="AS7" s="352"/>
      <c r="AT7" s="352"/>
      <c r="AU7" s="352"/>
      <c r="AV7" s="352"/>
      <c r="AW7" s="352"/>
    </row>
    <row r="8" spans="1:49" ht="14" x14ac:dyDescent="0.3">
      <c r="B8" s="677" t="s">
        <v>125</v>
      </c>
      <c r="C8" s="678">
        <f>+C6+C7</f>
        <v>356841927</v>
      </c>
      <c r="D8" s="678">
        <f>SUM(D6:D7)</f>
        <v>29736827.25</v>
      </c>
      <c r="E8" s="678">
        <f>SUM(E6:E7)</f>
        <v>28701567</v>
      </c>
      <c r="F8" s="678">
        <f>SUM(F6:F7)</f>
        <v>28701567</v>
      </c>
      <c r="G8" s="678">
        <f>SUM(G6:G7)</f>
        <v>28701567</v>
      </c>
      <c r="H8" s="678">
        <v>32837635</v>
      </c>
      <c r="I8" s="678">
        <f>+I6+I7</f>
        <v>29735584</v>
      </c>
      <c r="J8" s="678">
        <v>29735584</v>
      </c>
      <c r="K8" s="362">
        <f>'ESTAD RESUL JULIO 2025'!K8</f>
        <v>29735584</v>
      </c>
      <c r="L8" s="678">
        <v>0</v>
      </c>
      <c r="M8" s="678">
        <f>SUM(M6:M7)</f>
        <v>0</v>
      </c>
      <c r="N8" s="679">
        <f>SUM(N6:N7)</f>
        <v>0</v>
      </c>
      <c r="O8" s="679">
        <f>SUM(O6:O7)</f>
        <v>0</v>
      </c>
      <c r="P8" s="679">
        <f>SUM(P6:P7)</f>
        <v>0</v>
      </c>
      <c r="Q8" s="680">
        <f t="shared" ref="Q8" si="0">+D8*$B$5</f>
        <v>208157790.75</v>
      </c>
      <c r="R8" s="678">
        <f>SUM(R6:R7)</f>
        <v>208149088</v>
      </c>
      <c r="S8" s="681">
        <f>+Q8-R8</f>
        <v>8702.75</v>
      </c>
      <c r="T8" s="682">
        <f>+Q8-R8</f>
        <v>8702.75</v>
      </c>
      <c r="AA8" s="352"/>
      <c r="AB8" s="352"/>
      <c r="AC8" s="352"/>
      <c r="AD8" s="352"/>
      <c r="AE8" s="352"/>
      <c r="AF8" s="352"/>
      <c r="AG8" s="353">
        <f>281797442-AD10</f>
        <v>73639651.25</v>
      </c>
      <c r="AH8" s="352"/>
      <c r="AI8" s="352"/>
      <c r="AJ8" s="352"/>
      <c r="AK8" s="352"/>
      <c r="AL8" s="352"/>
      <c r="AM8" s="352"/>
      <c r="AN8" s="352"/>
      <c r="AO8" s="352"/>
      <c r="AP8" s="352"/>
      <c r="AQ8" s="352"/>
      <c r="AR8" s="352"/>
      <c r="AS8" s="352"/>
      <c r="AT8" s="352"/>
      <c r="AU8" s="352"/>
      <c r="AV8" s="352"/>
      <c r="AW8" s="352"/>
    </row>
    <row r="9" spans="1:49" ht="15.5" x14ac:dyDescent="0.25">
      <c r="B9" s="59" t="s">
        <v>77</v>
      </c>
      <c r="C9" s="366"/>
      <c r="D9" s="431" t="s">
        <v>33</v>
      </c>
      <c r="E9" s="431" t="s">
        <v>33</v>
      </c>
      <c r="F9" s="367"/>
      <c r="G9" s="367"/>
      <c r="H9" s="367"/>
      <c r="I9" s="367"/>
      <c r="J9" s="367"/>
      <c r="K9" s="362"/>
      <c r="L9" s="367"/>
      <c r="M9" s="367"/>
      <c r="N9" s="365"/>
      <c r="O9" s="365"/>
      <c r="P9" s="365"/>
      <c r="Q9" s="364" t="s">
        <v>33</v>
      </c>
      <c r="R9" s="364"/>
      <c r="S9" s="655"/>
      <c r="T9" s="657" t="s">
        <v>33</v>
      </c>
      <c r="AA9" s="747"/>
      <c r="AB9" s="747"/>
      <c r="AC9" s="747"/>
      <c r="AD9" s="747"/>
      <c r="AE9" s="747"/>
      <c r="AF9" s="747"/>
      <c r="AG9" s="747"/>
      <c r="AH9" s="747"/>
      <c r="AI9" s="753"/>
      <c r="AJ9" s="753"/>
      <c r="AK9" s="753"/>
      <c r="AL9" s="753"/>
      <c r="AM9" s="753"/>
      <c r="AN9" s="753"/>
      <c r="AO9" s="753"/>
      <c r="AP9" s="753"/>
      <c r="AQ9" s="352"/>
      <c r="AR9" s="352"/>
      <c r="AS9" s="453"/>
      <c r="AT9" s="352"/>
      <c r="AU9" s="353"/>
      <c r="AW9" s="352"/>
    </row>
    <row r="10" spans="1:49" ht="16.5" customHeight="1" x14ac:dyDescent="0.25">
      <c r="B10" s="60" t="s">
        <v>78</v>
      </c>
      <c r="C10" s="368"/>
      <c r="D10" s="369"/>
      <c r="E10" s="369"/>
      <c r="F10" s="371"/>
      <c r="G10" s="371"/>
      <c r="H10" s="371"/>
      <c r="I10" s="371"/>
      <c r="J10" s="371"/>
      <c r="K10" s="362"/>
      <c r="L10" s="371"/>
      <c r="M10" s="371"/>
      <c r="N10" s="372"/>
      <c r="O10" s="372"/>
      <c r="P10" s="372"/>
      <c r="Q10" s="364" t="s">
        <v>33</v>
      </c>
      <c r="R10" s="370"/>
      <c r="S10" s="658"/>
      <c r="T10" s="657" t="s">
        <v>33</v>
      </c>
      <c r="AA10" s="747"/>
      <c r="AB10" s="747" t="s">
        <v>777</v>
      </c>
      <c r="AC10" s="748"/>
      <c r="AD10" s="749">
        <f>Q8</f>
        <v>208157790.75</v>
      </c>
      <c r="AE10" s="749"/>
      <c r="AF10" s="749"/>
      <c r="AG10" s="747"/>
      <c r="AH10" s="747"/>
      <c r="AI10" s="753" t="s">
        <v>1411</v>
      </c>
      <c r="AJ10" s="754"/>
      <c r="AK10" s="754"/>
      <c r="AL10" s="755">
        <f>Q57</f>
        <v>208157790.8725</v>
      </c>
      <c r="AM10" s="753"/>
      <c r="AN10" s="753"/>
      <c r="AO10" s="753"/>
      <c r="AP10" s="753"/>
      <c r="AQ10" s="352"/>
      <c r="AR10" s="352"/>
      <c r="AS10" s="453"/>
      <c r="AT10" s="352"/>
      <c r="AU10" s="923"/>
      <c r="AW10" s="352"/>
    </row>
    <row r="11" spans="1:49" x14ac:dyDescent="0.25">
      <c r="B11" s="61" t="s">
        <v>79</v>
      </c>
      <c r="C11" s="659">
        <v>33199438.319999997</v>
      </c>
      <c r="D11" s="432">
        <v>2766619.86</v>
      </c>
      <c r="E11" s="432">
        <v>2766619</v>
      </c>
      <c r="F11" s="374">
        <v>2766619</v>
      </c>
      <c r="G11" s="374">
        <v>2766619</v>
      </c>
      <c r="H11" s="374">
        <v>2766619</v>
      </c>
      <c r="I11" s="374">
        <v>2827988</v>
      </c>
      <c r="J11" s="374">
        <v>2766620</v>
      </c>
      <c r="K11" s="362">
        <v>2766620</v>
      </c>
      <c r="L11" s="374"/>
      <c r="M11" s="374"/>
      <c r="N11" s="375"/>
      <c r="O11" s="375"/>
      <c r="P11" s="375"/>
      <c r="Q11" s="364">
        <v>19366339.02</v>
      </c>
      <c r="R11" s="364">
        <v>19427704</v>
      </c>
      <c r="S11" s="655">
        <v>-61364.980000000447</v>
      </c>
      <c r="T11" s="656">
        <v>-61364.980000000447</v>
      </c>
      <c r="U11" s="1" t="s">
        <v>1590</v>
      </c>
      <c r="AA11" s="747"/>
      <c r="AB11" s="747" t="s">
        <v>778</v>
      </c>
      <c r="AC11" s="748"/>
      <c r="AD11" s="749">
        <f>R8</f>
        <v>208149088</v>
      </c>
      <c r="AE11" s="749"/>
      <c r="AF11" s="749"/>
      <c r="AG11" s="747"/>
      <c r="AH11" s="747"/>
      <c r="AI11" s="753" t="s">
        <v>814</v>
      </c>
      <c r="AJ11" s="754"/>
      <c r="AK11" s="754"/>
      <c r="AL11" s="755">
        <f>R57</f>
        <v>199566453.59999999</v>
      </c>
      <c r="AM11" s="753"/>
      <c r="AN11" s="753"/>
      <c r="AO11" s="753"/>
      <c r="AP11" s="753"/>
      <c r="AQ11" s="352"/>
      <c r="AR11" s="352"/>
      <c r="AS11" s="453"/>
      <c r="AT11" s="352"/>
      <c r="AU11" s="353"/>
      <c r="AW11" s="352"/>
    </row>
    <row r="12" spans="1:49" x14ac:dyDescent="0.25">
      <c r="B12" s="62" t="s">
        <v>80</v>
      </c>
      <c r="C12" s="660">
        <v>1260000</v>
      </c>
      <c r="D12" s="433">
        <v>105000</v>
      </c>
      <c r="E12" s="433">
        <v>143550</v>
      </c>
      <c r="F12" s="364">
        <v>235199</v>
      </c>
      <c r="G12" s="364">
        <v>220474</v>
      </c>
      <c r="H12" s="364">
        <v>175110</v>
      </c>
      <c r="I12" s="364">
        <v>120400</v>
      </c>
      <c r="J12" s="364">
        <v>95350</v>
      </c>
      <c r="K12" s="362">
        <v>115100</v>
      </c>
      <c r="L12" s="364"/>
      <c r="M12" s="364"/>
      <c r="N12" s="365"/>
      <c r="O12" s="365"/>
      <c r="P12" s="365"/>
      <c r="Q12" s="364">
        <v>735000</v>
      </c>
      <c r="R12" s="364">
        <v>1105183</v>
      </c>
      <c r="S12" s="655">
        <v>-370183</v>
      </c>
      <c r="T12" s="656">
        <v>-370183</v>
      </c>
      <c r="U12" s="1" t="s">
        <v>1591</v>
      </c>
      <c r="AA12" s="747"/>
      <c r="AB12" s="747" t="s">
        <v>813</v>
      </c>
      <c r="AC12" s="748"/>
      <c r="AD12" s="749">
        <f>AD10-AD11</f>
        <v>8702.75</v>
      </c>
      <c r="AE12" s="749"/>
      <c r="AF12" s="749"/>
      <c r="AG12" s="747"/>
      <c r="AH12" s="747"/>
      <c r="AI12" s="753" t="s">
        <v>780</v>
      </c>
      <c r="AJ12" s="754"/>
      <c r="AK12" s="754"/>
      <c r="AL12" s="755">
        <f>AL10-AL11</f>
        <v>8591337.2725000083</v>
      </c>
      <c r="AM12" s="753"/>
      <c r="AN12" s="753"/>
      <c r="AO12" s="753"/>
      <c r="AP12" s="753"/>
      <c r="AQ12" s="352"/>
      <c r="AR12" s="352"/>
      <c r="AS12" s="352"/>
      <c r="AT12" s="352"/>
      <c r="AU12" s="352"/>
      <c r="AV12" s="352"/>
      <c r="AW12" s="352"/>
    </row>
    <row r="13" spans="1:49" x14ac:dyDescent="0.25">
      <c r="B13" s="61" t="s">
        <v>81</v>
      </c>
      <c r="C13" s="659">
        <v>10500000</v>
      </c>
      <c r="D13" s="432">
        <v>875000</v>
      </c>
      <c r="E13" s="432">
        <v>1581421</v>
      </c>
      <c r="F13" s="374">
        <v>0</v>
      </c>
      <c r="G13" s="374">
        <v>523837</v>
      </c>
      <c r="H13" s="374">
        <v>338825</v>
      </c>
      <c r="I13" s="374">
        <v>167100</v>
      </c>
      <c r="J13" s="374">
        <v>1050763</v>
      </c>
      <c r="K13" s="362">
        <v>1107390</v>
      </c>
      <c r="L13" s="374"/>
      <c r="M13" s="374"/>
      <c r="N13" s="377"/>
      <c r="O13" s="377"/>
      <c r="P13" s="377"/>
      <c r="Q13" s="364">
        <v>6125000</v>
      </c>
      <c r="R13" s="364">
        <v>4769336</v>
      </c>
      <c r="S13" s="655">
        <v>1355664</v>
      </c>
      <c r="T13" s="656">
        <v>1355664</v>
      </c>
      <c r="AA13" s="750"/>
      <c r="AB13" s="751"/>
      <c r="AC13" s="752"/>
      <c r="AD13" s="750"/>
      <c r="AE13" s="750"/>
      <c r="AF13" s="750"/>
      <c r="AG13" s="750"/>
      <c r="AH13" s="750"/>
      <c r="AI13" s="756"/>
      <c r="AJ13" s="756"/>
      <c r="AK13" s="756"/>
      <c r="AL13" s="756"/>
      <c r="AM13" s="756"/>
      <c r="AN13" s="756"/>
      <c r="AO13" s="756"/>
      <c r="AP13" s="756"/>
      <c r="AQ13" s="454"/>
      <c r="AR13" s="454"/>
      <c r="AS13" s="454"/>
      <c r="AT13" s="454"/>
      <c r="AU13" s="454"/>
      <c r="AV13" s="454"/>
      <c r="AW13" s="454"/>
    </row>
    <row r="14" spans="1:49" x14ac:dyDescent="0.25">
      <c r="B14" s="62" t="s">
        <v>82</v>
      </c>
      <c r="C14" s="660">
        <v>1800000</v>
      </c>
      <c r="D14" s="433">
        <v>150000</v>
      </c>
      <c r="E14" s="433">
        <v>229300</v>
      </c>
      <c r="F14" s="364">
        <v>104000</v>
      </c>
      <c r="G14" s="364">
        <v>366738</v>
      </c>
      <c r="H14" s="364"/>
      <c r="I14" s="364">
        <v>6000</v>
      </c>
      <c r="J14" s="364">
        <v>122000</v>
      </c>
      <c r="K14" s="362">
        <v>0</v>
      </c>
      <c r="L14" s="364"/>
      <c r="M14" s="364"/>
      <c r="N14" s="365"/>
      <c r="O14" s="365"/>
      <c r="P14" s="365"/>
      <c r="Q14" s="364">
        <v>1050000</v>
      </c>
      <c r="R14" s="364">
        <v>828038</v>
      </c>
      <c r="S14" s="655">
        <v>221962</v>
      </c>
      <c r="T14" s="656">
        <v>221962</v>
      </c>
      <c r="U14" s="1" t="s">
        <v>1592</v>
      </c>
      <c r="AA14" s="747"/>
      <c r="AB14" s="747"/>
      <c r="AC14" s="747"/>
      <c r="AD14" s="747"/>
      <c r="AE14" s="747"/>
      <c r="AF14" s="747"/>
      <c r="AG14" s="747"/>
      <c r="AH14" s="747"/>
      <c r="AI14" s="757"/>
      <c r="AJ14" s="758"/>
      <c r="AK14" s="758"/>
      <c r="AL14" s="753"/>
      <c r="AM14" s="753"/>
      <c r="AN14" s="753"/>
      <c r="AO14" s="753"/>
      <c r="AP14" s="753"/>
      <c r="AQ14" s="352"/>
      <c r="AR14" s="1658"/>
      <c r="AS14" s="352"/>
      <c r="AT14" s="352"/>
      <c r="AU14" s="352"/>
      <c r="AV14" s="352"/>
      <c r="AW14" s="352"/>
    </row>
    <row r="15" spans="1:49" ht="17.5" x14ac:dyDescent="0.35">
      <c r="B15" s="61" t="s">
        <v>83</v>
      </c>
      <c r="C15" s="659">
        <v>11900000</v>
      </c>
      <c r="D15" s="432">
        <v>991666.66666666663</v>
      </c>
      <c r="E15" s="432">
        <v>823302</v>
      </c>
      <c r="F15" s="374">
        <v>1301779</v>
      </c>
      <c r="G15" s="374">
        <v>611281</v>
      </c>
      <c r="H15" s="374">
        <v>203409</v>
      </c>
      <c r="I15" s="374">
        <v>984464</v>
      </c>
      <c r="J15" s="374">
        <v>203409</v>
      </c>
      <c r="K15" s="362">
        <v>203409</v>
      </c>
      <c r="L15" s="374"/>
      <c r="M15" s="374"/>
      <c r="N15" s="377"/>
      <c r="O15" s="377"/>
      <c r="P15" s="377"/>
      <c r="Q15" s="364">
        <v>6941666.666666666</v>
      </c>
      <c r="R15" s="364">
        <v>4331053</v>
      </c>
      <c r="S15" s="1132">
        <v>2610613.666666666</v>
      </c>
      <c r="T15" s="656">
        <v>2610613.666666666</v>
      </c>
      <c r="U15" s="1" t="s">
        <v>1593</v>
      </c>
      <c r="AA15" s="1659">
        <v>1</v>
      </c>
      <c r="AB15" s="747"/>
      <c r="AC15" s="747"/>
      <c r="AD15" s="747"/>
      <c r="AE15" s="747"/>
      <c r="AF15" s="747"/>
      <c r="AG15" s="747"/>
      <c r="AH15" s="747"/>
      <c r="AI15" s="1660">
        <v>2</v>
      </c>
      <c r="AJ15" s="1661"/>
      <c r="AK15" s="863"/>
      <c r="AL15" s="753"/>
      <c r="AM15" s="753"/>
      <c r="AN15" s="753"/>
      <c r="AO15" s="753"/>
      <c r="AP15" s="753"/>
      <c r="AQ15" s="352"/>
      <c r="AR15" s="1658"/>
      <c r="AS15" s="352"/>
      <c r="AT15" s="352"/>
      <c r="AU15" s="352"/>
      <c r="AV15" s="352"/>
      <c r="AW15" s="352"/>
    </row>
    <row r="16" spans="1:49" ht="17.5" x14ac:dyDescent="0.35">
      <c r="B16" s="62" t="s">
        <v>84</v>
      </c>
      <c r="C16" s="660">
        <v>590000</v>
      </c>
      <c r="D16" s="433">
        <v>49166.666666666664</v>
      </c>
      <c r="E16" s="433">
        <v>0</v>
      </c>
      <c r="F16" s="364">
        <v>140000</v>
      </c>
      <c r="G16" s="364">
        <v>0</v>
      </c>
      <c r="H16" s="364"/>
      <c r="I16" s="364"/>
      <c r="J16" s="364"/>
      <c r="K16" s="362">
        <v>0</v>
      </c>
      <c r="L16" s="364"/>
      <c r="M16" s="364"/>
      <c r="N16" s="365"/>
      <c r="O16" s="365"/>
      <c r="P16" s="365"/>
      <c r="Q16" s="364">
        <v>344166.66666666663</v>
      </c>
      <c r="R16" s="364">
        <v>140000</v>
      </c>
      <c r="S16" s="655">
        <v>204166.66666666663</v>
      </c>
      <c r="T16" s="656">
        <v>204166.66666666663</v>
      </c>
      <c r="U16" s="1" t="s">
        <v>1594</v>
      </c>
      <c r="AA16" s="1659"/>
      <c r="AB16" s="747"/>
      <c r="AC16" s="747"/>
      <c r="AD16" s="747"/>
      <c r="AE16" s="747"/>
      <c r="AF16" s="747"/>
      <c r="AG16" s="747"/>
      <c r="AH16" s="747"/>
      <c r="AI16" s="1660"/>
      <c r="AJ16" s="1661"/>
      <c r="AK16" s="863"/>
      <c r="AL16" s="753"/>
      <c r="AM16" s="753"/>
      <c r="AN16" s="753"/>
      <c r="AO16" s="753"/>
      <c r="AP16" s="753"/>
      <c r="AQ16" s="352"/>
      <c r="AR16" s="352"/>
      <c r="AS16" s="352"/>
      <c r="AT16" s="352"/>
      <c r="AU16" s="352"/>
      <c r="AV16" s="352"/>
      <c r="AW16" s="352"/>
    </row>
    <row r="17" spans="1:56" x14ac:dyDescent="0.25">
      <c r="B17" s="61" t="s">
        <v>85</v>
      </c>
      <c r="C17" s="659">
        <v>2429980</v>
      </c>
      <c r="D17" s="432">
        <v>202498.33333333334</v>
      </c>
      <c r="E17" s="432">
        <v>246330</v>
      </c>
      <c r="F17" s="374">
        <v>0</v>
      </c>
      <c r="G17" s="374">
        <v>749700</v>
      </c>
      <c r="H17" s="374"/>
      <c r="I17" s="374">
        <v>246330</v>
      </c>
      <c r="J17" s="374">
        <v>0</v>
      </c>
      <c r="K17" s="362">
        <v>238000</v>
      </c>
      <c r="L17" s="374"/>
      <c r="M17" s="374"/>
      <c r="N17" s="377"/>
      <c r="O17" s="377"/>
      <c r="P17" s="377"/>
      <c r="Q17" s="364">
        <v>1417488.3333333335</v>
      </c>
      <c r="R17" s="364">
        <v>1480360</v>
      </c>
      <c r="S17" s="655">
        <v>-62871.666666666511</v>
      </c>
      <c r="T17" s="656">
        <v>-62871.666666666511</v>
      </c>
      <c r="U17" s="1" t="s">
        <v>1595</v>
      </c>
      <c r="AA17" s="747"/>
      <c r="AB17" s="747"/>
      <c r="AC17" s="747"/>
      <c r="AD17" s="747"/>
      <c r="AE17" s="747"/>
      <c r="AF17" s="747"/>
      <c r="AG17" s="747"/>
      <c r="AH17" s="747"/>
      <c r="AI17" s="753"/>
      <c r="AJ17" s="753"/>
      <c r="AK17" s="753"/>
      <c r="AL17" s="753"/>
      <c r="AM17" s="753"/>
      <c r="AN17" s="753"/>
      <c r="AO17" s="753"/>
      <c r="AP17" s="753"/>
      <c r="AQ17" s="352"/>
      <c r="AR17" s="352"/>
      <c r="AS17" s="352"/>
      <c r="AT17" s="352"/>
      <c r="AU17" s="352"/>
      <c r="AV17" s="352"/>
      <c r="AW17" s="352"/>
    </row>
    <row r="18" spans="1:56" s="54" customFormat="1" ht="13" x14ac:dyDescent="0.3">
      <c r="B18" s="1030" t="s">
        <v>269</v>
      </c>
      <c r="C18" s="378">
        <v>0</v>
      </c>
      <c r="D18" s="434">
        <v>0</v>
      </c>
      <c r="E18" s="434">
        <v>0</v>
      </c>
      <c r="F18" s="373">
        <v>350000</v>
      </c>
      <c r="G18" s="373"/>
      <c r="H18" s="373"/>
      <c r="I18" s="373"/>
      <c r="J18" s="373"/>
      <c r="K18" s="362">
        <v>0</v>
      </c>
      <c r="L18" s="373"/>
      <c r="M18" s="373"/>
      <c r="N18" s="379"/>
      <c r="O18" s="379"/>
      <c r="P18" s="379"/>
      <c r="Q18" s="364">
        <v>0</v>
      </c>
      <c r="R18" s="362">
        <v>350000</v>
      </c>
      <c r="S18" s="406">
        <v>-350000</v>
      </c>
      <c r="T18" s="661">
        <v>-350000</v>
      </c>
      <c r="AA18" s="747"/>
      <c r="AB18" s="747"/>
      <c r="AC18" s="747"/>
      <c r="AD18" s="747"/>
      <c r="AE18" s="747"/>
      <c r="AF18" s="747"/>
      <c r="AG18" s="747"/>
      <c r="AH18" s="747"/>
      <c r="AI18" s="753"/>
      <c r="AJ18" s="753"/>
      <c r="AK18" s="753"/>
      <c r="AL18" s="753"/>
      <c r="AM18" s="753"/>
      <c r="AN18" s="753"/>
      <c r="AO18" s="753"/>
      <c r="AP18" s="753"/>
      <c r="AQ18" s="352"/>
      <c r="AR18" s="352"/>
      <c r="AS18" s="352"/>
      <c r="AT18" s="352"/>
      <c r="AU18" s="352"/>
      <c r="AV18" s="352"/>
      <c r="AW18" s="352"/>
    </row>
    <row r="19" spans="1:56" x14ac:dyDescent="0.25">
      <c r="B19" s="683" t="s">
        <v>86</v>
      </c>
      <c r="C19" s="370">
        <v>61679418.319999993</v>
      </c>
      <c r="D19" s="369">
        <v>5139951.5266666664</v>
      </c>
      <c r="E19" s="369">
        <v>5790522</v>
      </c>
      <c r="F19" s="370">
        <v>4897597</v>
      </c>
      <c r="G19" s="370">
        <v>5238649</v>
      </c>
      <c r="H19" s="370">
        <v>3483963</v>
      </c>
      <c r="I19" s="370">
        <v>4352282</v>
      </c>
      <c r="J19" s="370">
        <v>4238142</v>
      </c>
      <c r="K19" s="362">
        <v>4430519</v>
      </c>
      <c r="L19" s="370">
        <v>0</v>
      </c>
      <c r="M19" s="370">
        <v>0</v>
      </c>
      <c r="N19" s="380">
        <v>0</v>
      </c>
      <c r="O19" s="380">
        <v>0</v>
      </c>
      <c r="P19" s="380">
        <v>0</v>
      </c>
      <c r="Q19" s="364">
        <v>35979660.686666667</v>
      </c>
      <c r="R19" s="364">
        <v>32431674</v>
      </c>
      <c r="S19" s="655">
        <v>3897986.6866666656</v>
      </c>
      <c r="T19" s="657">
        <v>3547986.6866666675</v>
      </c>
      <c r="AA19" s="747"/>
      <c r="AB19" s="747"/>
      <c r="AC19" s="747"/>
      <c r="AD19" s="747"/>
      <c r="AE19" s="747"/>
      <c r="AF19" s="747"/>
      <c r="AG19" s="747"/>
      <c r="AH19" s="747"/>
      <c r="AI19" s="753"/>
      <c r="AJ19" s="753"/>
      <c r="AK19" s="753"/>
      <c r="AL19" s="753"/>
      <c r="AM19" s="753"/>
      <c r="AN19" s="753"/>
      <c r="AO19" s="753"/>
      <c r="AP19" s="753"/>
      <c r="AQ19" s="352"/>
      <c r="AR19" s="352"/>
      <c r="AS19" s="352"/>
      <c r="AT19" s="352"/>
      <c r="AU19" s="352"/>
      <c r="AV19" s="352"/>
      <c r="AW19" s="352"/>
    </row>
    <row r="20" spans="1:56" x14ac:dyDescent="0.25">
      <c r="B20" s="64" t="s">
        <v>87</v>
      </c>
      <c r="C20" s="369"/>
      <c r="D20" s="369">
        <v>0</v>
      </c>
      <c r="E20" s="369"/>
      <c r="F20" s="370"/>
      <c r="G20" s="370"/>
      <c r="H20" s="370"/>
      <c r="I20" s="370"/>
      <c r="J20" s="370"/>
      <c r="K20" s="362">
        <v>0</v>
      </c>
      <c r="L20" s="370"/>
      <c r="M20" s="370"/>
      <c r="N20" s="380"/>
      <c r="O20" s="380"/>
      <c r="P20" s="380"/>
      <c r="Q20" s="364" t="s">
        <v>33</v>
      </c>
      <c r="R20" s="364"/>
      <c r="S20" s="655"/>
      <c r="T20" s="656" t="s">
        <v>33</v>
      </c>
      <c r="AA20" s="747"/>
      <c r="AB20" s="747"/>
      <c r="AC20" s="747"/>
      <c r="AD20" s="747"/>
      <c r="AE20" s="747"/>
      <c r="AF20" s="747"/>
      <c r="AG20" s="747"/>
      <c r="AH20" s="747"/>
      <c r="AI20" s="753"/>
      <c r="AJ20" s="753"/>
      <c r="AK20" s="753"/>
      <c r="AL20" s="753"/>
      <c r="AM20" s="753"/>
      <c r="AN20" s="753"/>
      <c r="AO20" s="753"/>
      <c r="AP20" s="753"/>
      <c r="AQ20" s="352"/>
      <c r="AR20" s="352"/>
      <c r="AS20" s="352"/>
      <c r="AT20" s="352"/>
      <c r="AU20" s="352"/>
      <c r="AV20" s="352"/>
      <c r="AW20" s="352"/>
    </row>
    <row r="21" spans="1:56" x14ac:dyDescent="0.25">
      <c r="A21" s="442"/>
      <c r="B21" s="684" t="s">
        <v>88</v>
      </c>
      <c r="C21" s="685">
        <v>158830392.15000004</v>
      </c>
      <c r="D21" s="685">
        <v>13235866.012500003</v>
      </c>
      <c r="E21" s="685">
        <v>13136493</v>
      </c>
      <c r="F21" s="686">
        <v>13136493</v>
      </c>
      <c r="G21" s="686">
        <v>13136494</v>
      </c>
      <c r="H21" s="685">
        <v>13136494</v>
      </c>
      <c r="I21" s="686">
        <v>13136494</v>
      </c>
      <c r="J21" s="686">
        <v>13136493</v>
      </c>
      <c r="K21" s="362">
        <v>13244869</v>
      </c>
      <c r="L21" s="686"/>
      <c r="M21" s="686"/>
      <c r="N21" s="687"/>
      <c r="O21" s="687"/>
      <c r="P21" s="687"/>
      <c r="Q21" s="686">
        <v>92651062.087500021</v>
      </c>
      <c r="R21" s="686">
        <v>92063830</v>
      </c>
      <c r="S21" s="688">
        <v>587232.08750002086</v>
      </c>
      <c r="T21" s="689">
        <v>587232.08750002086</v>
      </c>
      <c r="U21" s="1" t="s">
        <v>1596</v>
      </c>
      <c r="AA21" s="750"/>
      <c r="AB21" s="750"/>
      <c r="AC21" s="750"/>
      <c r="AD21" s="750"/>
      <c r="AE21" s="750"/>
      <c r="AF21" s="750"/>
      <c r="AG21" s="750"/>
      <c r="AH21" s="750"/>
      <c r="AI21" s="756"/>
      <c r="AJ21" s="756"/>
      <c r="AK21" s="756"/>
      <c r="AL21" s="756"/>
      <c r="AM21" s="756"/>
      <c r="AN21" s="756"/>
      <c r="AO21" s="756"/>
      <c r="AP21" s="756"/>
      <c r="AQ21" s="454"/>
      <c r="AR21" s="454"/>
      <c r="AS21" s="454"/>
      <c r="AT21" s="454"/>
      <c r="AU21" s="454"/>
      <c r="AV21" s="454"/>
      <c r="AW21" s="454"/>
    </row>
    <row r="22" spans="1:56" x14ac:dyDescent="0.25">
      <c r="B22" s="62" t="s">
        <v>1224</v>
      </c>
      <c r="C22" s="433">
        <v>3977071</v>
      </c>
      <c r="D22" s="433">
        <v>331422.58333333331</v>
      </c>
      <c r="E22" s="433"/>
      <c r="F22" s="364">
        <v>1751531</v>
      </c>
      <c r="G22" s="364"/>
      <c r="H22" s="433"/>
      <c r="I22" s="364"/>
      <c r="J22" s="364"/>
      <c r="K22" s="362">
        <v>0</v>
      </c>
      <c r="L22" s="364"/>
      <c r="M22" s="364"/>
      <c r="N22" s="365"/>
      <c r="O22" s="365"/>
      <c r="P22" s="365"/>
      <c r="Q22" s="364">
        <v>2319958.083333333</v>
      </c>
      <c r="R22" s="364">
        <v>1751531</v>
      </c>
      <c r="S22" s="655"/>
      <c r="T22" s="656">
        <v>568427.08333333302</v>
      </c>
      <c r="AA22" s="750"/>
      <c r="AB22" s="750"/>
      <c r="AC22" s="750"/>
      <c r="AD22" s="750"/>
      <c r="AE22" s="750"/>
      <c r="AF22" s="750"/>
      <c r="AG22" s="750"/>
      <c r="AH22" s="750"/>
      <c r="AI22" s="759"/>
      <c r="AJ22" s="756"/>
      <c r="AK22" s="756"/>
      <c r="AL22" s="756"/>
      <c r="AM22" s="756"/>
      <c r="AN22" s="756"/>
      <c r="AO22" s="756"/>
      <c r="AP22" s="756"/>
      <c r="AQ22" s="454"/>
      <c r="AR22" s="454"/>
      <c r="AS22" s="454"/>
      <c r="AT22" s="454"/>
      <c r="AU22" s="454"/>
      <c r="AV22" s="454"/>
      <c r="AW22" s="454"/>
    </row>
    <row r="23" spans="1:56" x14ac:dyDescent="0.25">
      <c r="A23" s="444"/>
      <c r="B23" s="684" t="s">
        <v>89</v>
      </c>
      <c r="C23" s="685">
        <v>17577558</v>
      </c>
      <c r="D23" s="685">
        <v>1464796.5</v>
      </c>
      <c r="E23" s="685">
        <v>1357394</v>
      </c>
      <c r="F23" s="686">
        <v>904930</v>
      </c>
      <c r="G23" s="686">
        <v>1443315</v>
      </c>
      <c r="H23" s="685">
        <v>1486277</v>
      </c>
      <c r="I23" s="686">
        <v>1486277</v>
      </c>
      <c r="J23" s="686">
        <v>1443315</v>
      </c>
      <c r="K23" s="362">
        <v>1443315</v>
      </c>
      <c r="L23" s="686"/>
      <c r="M23" s="686"/>
      <c r="N23" s="687"/>
      <c r="O23" s="687"/>
      <c r="P23" s="687"/>
      <c r="Q23" s="686">
        <v>10253575.5</v>
      </c>
      <c r="R23" s="686">
        <v>9564823</v>
      </c>
      <c r="S23" s="688">
        <v>688752.5</v>
      </c>
      <c r="T23" s="689">
        <v>688752.5</v>
      </c>
      <c r="U23" s="1" t="s">
        <v>1597</v>
      </c>
      <c r="AA23" s="747"/>
      <c r="AB23" s="747"/>
      <c r="AC23" s="747"/>
      <c r="AD23" s="747"/>
      <c r="AE23" s="747"/>
      <c r="AF23" s="747"/>
      <c r="AG23" s="747"/>
      <c r="AH23" s="747"/>
      <c r="AI23" s="753"/>
      <c r="AJ23" s="753"/>
      <c r="AK23" s="753"/>
      <c r="AL23" s="753"/>
      <c r="AM23" s="753"/>
      <c r="AN23" s="753"/>
      <c r="AO23" s="753"/>
      <c r="AP23" s="753"/>
      <c r="AQ23" s="352"/>
      <c r="AR23" s="352"/>
      <c r="AS23" s="352"/>
      <c r="AT23" s="352"/>
      <c r="AU23" s="352"/>
      <c r="AV23" s="352"/>
      <c r="AW23" s="352"/>
    </row>
    <row r="24" spans="1:56" x14ac:dyDescent="0.25">
      <c r="B24" s="62" t="s">
        <v>90</v>
      </c>
      <c r="C24" s="433">
        <v>1341006.24</v>
      </c>
      <c r="D24" s="433">
        <v>111750.52</v>
      </c>
      <c r="E24" s="1133">
        <v>640110</v>
      </c>
      <c r="F24" s="364">
        <v>111750</v>
      </c>
      <c r="G24" s="364">
        <v>111750</v>
      </c>
      <c r="H24" s="433">
        <v>111750</v>
      </c>
      <c r="I24" s="364">
        <v>111750</v>
      </c>
      <c r="J24" s="364">
        <v>111750</v>
      </c>
      <c r="K24" s="362">
        <v>111750</v>
      </c>
      <c r="L24" s="364"/>
      <c r="M24" s="364"/>
      <c r="N24" s="365"/>
      <c r="O24" s="365"/>
      <c r="P24" s="365"/>
      <c r="Q24" s="364">
        <v>782253.64</v>
      </c>
      <c r="R24" s="364">
        <v>1310610</v>
      </c>
      <c r="S24" s="655">
        <v>-528356.36</v>
      </c>
      <c r="T24" s="656">
        <v>-528356.36</v>
      </c>
      <c r="U24" s="1" t="s">
        <v>1598</v>
      </c>
      <c r="AA24" s="747"/>
      <c r="AB24" s="747"/>
      <c r="AC24" s="747"/>
      <c r="AD24" s="747"/>
      <c r="AE24" s="747"/>
      <c r="AF24" s="747"/>
      <c r="AG24" s="747"/>
      <c r="AH24" s="747"/>
      <c r="AI24" s="753"/>
      <c r="AJ24" s="753"/>
      <c r="AK24" s="753"/>
      <c r="AL24" s="753"/>
      <c r="AM24" s="753"/>
      <c r="AN24" s="753"/>
      <c r="AO24" s="753"/>
      <c r="AP24" s="753"/>
      <c r="AQ24" s="352"/>
      <c r="AR24" s="352"/>
      <c r="AS24" s="352"/>
      <c r="AT24" s="352"/>
      <c r="AU24" s="352"/>
      <c r="AV24" s="352"/>
      <c r="AW24" s="352"/>
    </row>
    <row r="25" spans="1:56" x14ac:dyDescent="0.25">
      <c r="A25" s="445"/>
      <c r="B25" s="684" t="s">
        <v>1225</v>
      </c>
      <c r="C25" s="685">
        <v>1950000</v>
      </c>
      <c r="D25" s="685">
        <v>162500</v>
      </c>
      <c r="E25" s="685">
        <v>0</v>
      </c>
      <c r="F25" s="686">
        <v>0</v>
      </c>
      <c r="G25" s="686">
        <v>0</v>
      </c>
      <c r="H25" s="686"/>
      <c r="I25" s="686">
        <v>555730</v>
      </c>
      <c r="J25" s="686">
        <v>142800</v>
      </c>
      <c r="K25" s="362">
        <v>0</v>
      </c>
      <c r="L25" s="686"/>
      <c r="M25" s="686"/>
      <c r="N25" s="687"/>
      <c r="O25" s="687"/>
      <c r="P25" s="687"/>
      <c r="Q25" s="686">
        <v>1137500</v>
      </c>
      <c r="R25" s="686">
        <v>698530</v>
      </c>
      <c r="S25" s="688"/>
      <c r="T25" s="689">
        <v>438970</v>
      </c>
      <c r="AA25" s="747"/>
      <c r="AB25" s="747"/>
      <c r="AC25" s="747"/>
      <c r="AD25" s="747"/>
      <c r="AE25" s="747"/>
      <c r="AF25" s="747"/>
      <c r="AG25" s="747"/>
      <c r="AH25" s="747"/>
      <c r="AI25" s="753"/>
      <c r="AJ25" s="753"/>
      <c r="AK25" s="753"/>
      <c r="AL25" s="753"/>
      <c r="AM25" s="753"/>
      <c r="AN25" s="753"/>
      <c r="AO25" s="753"/>
      <c r="AP25" s="753"/>
      <c r="AQ25" s="352"/>
      <c r="AR25" s="352"/>
      <c r="AS25" s="352"/>
      <c r="AT25" s="352"/>
      <c r="AU25" s="352"/>
      <c r="AV25" s="352"/>
      <c r="AW25" s="352"/>
    </row>
    <row r="26" spans="1:56" x14ac:dyDescent="0.25">
      <c r="B26" s="62" t="s">
        <v>91</v>
      </c>
      <c r="C26" s="433">
        <v>1910000</v>
      </c>
      <c r="D26" s="433">
        <v>159166.66666666666</v>
      </c>
      <c r="E26" s="433">
        <v>0</v>
      </c>
      <c r="F26" s="364">
        <v>0</v>
      </c>
      <c r="G26" s="364">
        <v>288000</v>
      </c>
      <c r="H26" s="364">
        <v>50000</v>
      </c>
      <c r="I26" s="364">
        <v>305387</v>
      </c>
      <c r="J26" s="364"/>
      <c r="K26" s="362">
        <v>346700</v>
      </c>
      <c r="L26" s="364"/>
      <c r="M26" s="364"/>
      <c r="N26" s="364"/>
      <c r="O26" s="364"/>
      <c r="P26" s="365"/>
      <c r="Q26" s="364">
        <v>1114166.6666666665</v>
      </c>
      <c r="R26" s="364">
        <v>990087</v>
      </c>
      <c r="S26" s="655">
        <v>124079.66666666651</v>
      </c>
      <c r="T26" s="656">
        <v>124079.66666666651</v>
      </c>
      <c r="AA26" s="747"/>
      <c r="AB26" s="747"/>
      <c r="AC26" s="747"/>
      <c r="AD26" s="747"/>
      <c r="AE26" s="747"/>
      <c r="AF26" s="747"/>
      <c r="AG26" s="747"/>
      <c r="AH26" s="747"/>
      <c r="AI26" s="753"/>
      <c r="AJ26" s="753"/>
      <c r="AK26" s="753"/>
      <c r="AL26" s="753"/>
      <c r="AM26" s="753"/>
      <c r="AN26" s="753"/>
      <c r="AO26" s="753"/>
      <c r="AP26" s="753"/>
      <c r="AQ26" s="352"/>
      <c r="AR26" s="352"/>
      <c r="AS26" s="352"/>
      <c r="AT26" s="352"/>
      <c r="AU26" s="352"/>
      <c r="AV26" s="352"/>
      <c r="AW26" s="352"/>
    </row>
    <row r="27" spans="1:56" x14ac:dyDescent="0.25">
      <c r="A27" s="443"/>
      <c r="B27" s="684" t="s">
        <v>92</v>
      </c>
      <c r="C27" s="685">
        <v>372000</v>
      </c>
      <c r="D27" s="685">
        <v>31000</v>
      </c>
      <c r="E27" s="685">
        <v>0</v>
      </c>
      <c r="F27" s="686">
        <v>0</v>
      </c>
      <c r="G27" s="686">
        <v>0</v>
      </c>
      <c r="H27" s="686"/>
      <c r="I27" s="686"/>
      <c r="J27" s="686"/>
      <c r="K27" s="362">
        <v>0</v>
      </c>
      <c r="L27" s="686"/>
      <c r="M27" s="686"/>
      <c r="N27" s="687"/>
      <c r="O27" s="687"/>
      <c r="P27" s="687"/>
      <c r="Q27" s="686">
        <v>217000</v>
      </c>
      <c r="R27" s="686">
        <v>0</v>
      </c>
      <c r="S27" s="655">
        <v>217000</v>
      </c>
      <c r="T27" s="689">
        <v>217000</v>
      </c>
      <c r="AA27" s="750"/>
      <c r="AB27" s="750"/>
      <c r="AC27" s="750"/>
      <c r="AD27" s="750"/>
      <c r="AE27" s="750"/>
      <c r="AF27" s="750"/>
      <c r="AG27" s="750"/>
      <c r="AH27" s="750"/>
      <c r="AI27" s="756"/>
      <c r="AJ27" s="756"/>
      <c r="AK27" s="756"/>
      <c r="AL27" s="756"/>
      <c r="AM27" s="756"/>
      <c r="AN27" s="756"/>
      <c r="AO27" s="756"/>
      <c r="AP27" s="756"/>
      <c r="AQ27" s="454"/>
      <c r="AR27" s="454"/>
      <c r="AS27" s="454"/>
      <c r="AT27" s="454"/>
      <c r="AU27" s="454"/>
      <c r="AV27" s="454"/>
      <c r="AW27" s="454"/>
    </row>
    <row r="28" spans="1:56" x14ac:dyDescent="0.25">
      <c r="B28" s="62" t="s">
        <v>93</v>
      </c>
      <c r="C28" s="433">
        <v>740000</v>
      </c>
      <c r="D28" s="433">
        <v>61666.666666666664</v>
      </c>
      <c r="E28" s="433"/>
      <c r="F28" s="364">
        <v>138500</v>
      </c>
      <c r="G28" s="364">
        <v>0</v>
      </c>
      <c r="H28" s="364"/>
      <c r="I28" s="364"/>
      <c r="J28" s="364"/>
      <c r="K28" s="362">
        <v>0</v>
      </c>
      <c r="L28" s="364"/>
      <c r="M28" s="364"/>
      <c r="N28" s="365"/>
      <c r="O28" s="365"/>
      <c r="P28" s="365"/>
      <c r="Q28" s="364">
        <v>431666.66666666663</v>
      </c>
      <c r="R28" s="364">
        <v>138500</v>
      </c>
      <c r="S28" s="655">
        <v>293166.66666666663</v>
      </c>
      <c r="T28" s="656">
        <v>293166.66666666663</v>
      </c>
      <c r="AA28" s="750"/>
      <c r="AB28" s="750"/>
      <c r="AC28" s="750"/>
      <c r="AD28" s="750"/>
      <c r="AE28" s="750"/>
      <c r="AF28" s="750"/>
      <c r="AG28" s="750"/>
      <c r="AH28" s="750"/>
      <c r="AI28" s="760"/>
      <c r="AJ28" s="756"/>
      <c r="AK28" s="756"/>
      <c r="AL28" s="756"/>
      <c r="AM28" s="756"/>
      <c r="AN28" s="756"/>
      <c r="AO28" s="756"/>
      <c r="AP28" s="756"/>
      <c r="AQ28" s="454"/>
      <c r="AR28" s="454"/>
      <c r="AS28" s="454"/>
      <c r="AT28" s="454"/>
      <c r="AU28" s="454"/>
      <c r="AV28" s="454"/>
      <c r="AW28" s="454"/>
    </row>
    <row r="29" spans="1:56" ht="13" x14ac:dyDescent="0.3">
      <c r="B29" s="691" t="s">
        <v>1412</v>
      </c>
      <c r="C29" s="692">
        <v>3533088</v>
      </c>
      <c r="D29" s="692">
        <v>294424</v>
      </c>
      <c r="E29" s="692">
        <v>287015</v>
      </c>
      <c r="F29" s="692">
        <v>287015</v>
      </c>
      <c r="G29" s="692">
        <v>287015</v>
      </c>
      <c r="H29" s="692">
        <v>328376</v>
      </c>
      <c r="I29" s="692">
        <v>282699</v>
      </c>
      <c r="J29" s="692">
        <v>294424</v>
      </c>
      <c r="K29" s="362">
        <v>297358</v>
      </c>
      <c r="L29" s="692"/>
      <c r="M29" s="692"/>
      <c r="N29" s="693"/>
      <c r="O29" s="693"/>
      <c r="P29" s="693"/>
      <c r="Q29" s="686">
        <v>2060968</v>
      </c>
      <c r="R29" s="694">
        <v>2063902</v>
      </c>
      <c r="S29" s="695">
        <v>-2934</v>
      </c>
      <c r="T29" s="696">
        <v>-2934</v>
      </c>
      <c r="AA29" s="750"/>
      <c r="AB29" s="750"/>
      <c r="AC29" s="750"/>
      <c r="AD29" s="750"/>
      <c r="AE29" s="750"/>
      <c r="AF29" s="750"/>
      <c r="AG29" s="750"/>
      <c r="AH29" s="750"/>
      <c r="AI29" s="760"/>
      <c r="AJ29" s="756"/>
      <c r="AK29" s="756"/>
      <c r="AL29" s="756"/>
      <c r="AM29" s="756"/>
      <c r="AN29" s="756"/>
      <c r="AO29" s="756"/>
      <c r="AP29" s="756"/>
      <c r="AQ29" s="454"/>
      <c r="AR29" s="454"/>
      <c r="AS29" s="454"/>
      <c r="AT29" s="454"/>
      <c r="AU29" s="454"/>
      <c r="AV29" s="454"/>
      <c r="AW29" s="454"/>
    </row>
    <row r="30" spans="1:56" x14ac:dyDescent="0.25">
      <c r="B30" s="697" t="s">
        <v>94</v>
      </c>
      <c r="C30" s="370">
        <v>190231115.39000005</v>
      </c>
      <c r="D30" s="369">
        <v>15852592.94916667</v>
      </c>
      <c r="E30" s="369">
        <v>15421012</v>
      </c>
      <c r="F30" s="370">
        <v>16330219</v>
      </c>
      <c r="G30" s="370">
        <v>15266574</v>
      </c>
      <c r="H30" s="370">
        <v>15112897</v>
      </c>
      <c r="I30" s="370">
        <v>15878337</v>
      </c>
      <c r="J30" s="370">
        <v>15128782</v>
      </c>
      <c r="K30" s="362">
        <v>15443992</v>
      </c>
      <c r="L30" s="370">
        <v>0</v>
      </c>
      <c r="M30" s="370">
        <v>0</v>
      </c>
      <c r="N30" s="380">
        <v>0</v>
      </c>
      <c r="O30" s="380">
        <v>0</v>
      </c>
      <c r="P30" s="380">
        <v>0</v>
      </c>
      <c r="Q30" s="364">
        <v>110968150.64416669</v>
      </c>
      <c r="R30" s="370">
        <v>108581813</v>
      </c>
      <c r="S30" s="658">
        <v>1378940.560833354</v>
      </c>
      <c r="T30" s="657">
        <v>2386337.6441666931</v>
      </c>
      <c r="AA30" s="352"/>
      <c r="AB30" s="352"/>
      <c r="AC30" s="352"/>
      <c r="AD30" s="352"/>
      <c r="AE30" s="352"/>
      <c r="AF30" s="352"/>
      <c r="AG30" s="352"/>
      <c r="AH30" s="352"/>
      <c r="AI30" s="352"/>
      <c r="AJ30" s="352"/>
      <c r="AK30" s="352"/>
      <c r="AL30" s="352"/>
      <c r="AM30" s="352"/>
      <c r="AN30" s="352"/>
      <c r="AO30" s="352"/>
      <c r="AP30" s="352"/>
      <c r="AQ30" s="352"/>
      <c r="AR30" s="352"/>
      <c r="AS30" s="352"/>
      <c r="AT30" s="352"/>
      <c r="AU30" s="352"/>
      <c r="AV30" s="352"/>
      <c r="AW30" s="352"/>
    </row>
    <row r="31" spans="1:56" x14ac:dyDescent="0.25">
      <c r="B31" s="62" t="s">
        <v>95</v>
      </c>
      <c r="C31" s="376"/>
      <c r="D31" s="433">
        <v>0</v>
      </c>
      <c r="E31" s="433"/>
      <c r="F31" s="364" t="s">
        <v>33</v>
      </c>
      <c r="G31" s="364"/>
      <c r="H31" s="364"/>
      <c r="I31" s="364"/>
      <c r="J31" s="364"/>
      <c r="K31" s="362">
        <v>0</v>
      </c>
      <c r="L31" s="364"/>
      <c r="M31" s="364"/>
      <c r="N31" s="365"/>
      <c r="O31" s="365"/>
      <c r="P31" s="365"/>
      <c r="Q31" s="364" t="s">
        <v>33</v>
      </c>
      <c r="R31" s="370" t="s">
        <v>33</v>
      </c>
      <c r="S31" s="658" t="s">
        <v>33</v>
      </c>
      <c r="T31" s="656" t="s">
        <v>33</v>
      </c>
      <c r="AA31" s="754"/>
      <c r="AB31" s="754"/>
      <c r="AC31" s="754"/>
      <c r="AD31" s="754"/>
      <c r="AE31" s="754"/>
      <c r="AF31" s="754"/>
      <c r="AG31" s="754"/>
      <c r="AH31" s="753"/>
      <c r="AI31" s="754"/>
      <c r="AJ31" s="754"/>
      <c r="AK31" s="754"/>
      <c r="AL31" s="753"/>
      <c r="AM31" s="753"/>
      <c r="AN31" s="753"/>
      <c r="AO31" s="753"/>
      <c r="AP31" s="753"/>
      <c r="AQ31" s="753"/>
      <c r="AR31" s="352"/>
      <c r="AS31" s="352"/>
      <c r="AU31" s="352"/>
      <c r="AV31" s="352"/>
      <c r="AW31" s="352"/>
      <c r="BD31" s="772"/>
    </row>
    <row r="32" spans="1:56" x14ac:dyDescent="0.25">
      <c r="B32" s="62" t="s">
        <v>759</v>
      </c>
      <c r="C32" s="376">
        <v>0</v>
      </c>
      <c r="D32" s="433">
        <v>0</v>
      </c>
      <c r="E32" s="433">
        <v>0</v>
      </c>
      <c r="F32" s="364">
        <v>0</v>
      </c>
      <c r="G32" s="364">
        <v>0</v>
      </c>
      <c r="H32" s="364">
        <v>0</v>
      </c>
      <c r="I32" s="364">
        <v>0</v>
      </c>
      <c r="J32" s="364">
        <v>179214</v>
      </c>
      <c r="K32" s="362">
        <v>0</v>
      </c>
      <c r="L32" s="364"/>
      <c r="M32" s="364"/>
      <c r="N32" s="364"/>
      <c r="O32" s="364"/>
      <c r="P32" s="364"/>
      <c r="Q32" s="364">
        <v>0</v>
      </c>
      <c r="R32" s="370">
        <v>179214</v>
      </c>
      <c r="S32" s="658">
        <v>-179214</v>
      </c>
      <c r="T32" s="656">
        <v>-179214</v>
      </c>
      <c r="AA32" s="1662">
        <v>3</v>
      </c>
      <c r="AB32" s="753" t="s">
        <v>1420</v>
      </c>
      <c r="AC32" s="924">
        <f>Q30</f>
        <v>110968150.64416669</v>
      </c>
      <c r="AD32" s="767"/>
      <c r="AE32" s="767"/>
      <c r="AF32" s="767"/>
      <c r="AG32" s="756"/>
      <c r="AH32" s="753"/>
      <c r="AI32" s="754"/>
      <c r="AJ32" s="754"/>
      <c r="AK32" s="754"/>
      <c r="AL32" s="753"/>
      <c r="AM32" s="753"/>
      <c r="AN32" s="753"/>
      <c r="AO32" s="753"/>
      <c r="AP32" s="753"/>
      <c r="AQ32" s="753"/>
      <c r="AR32" s="352"/>
      <c r="AS32" s="352"/>
      <c r="AU32" s="352"/>
      <c r="AV32" s="352"/>
      <c r="AW32" s="352"/>
      <c r="BD32" s="772"/>
    </row>
    <row r="33" spans="2:56" ht="13" x14ac:dyDescent="0.3">
      <c r="B33" s="698" t="s">
        <v>96</v>
      </c>
      <c r="C33" s="699">
        <v>0</v>
      </c>
      <c r="D33" s="700">
        <v>0</v>
      </c>
      <c r="E33" s="700">
        <v>0</v>
      </c>
      <c r="F33" s="701">
        <v>0</v>
      </c>
      <c r="G33" s="701">
        <v>338650</v>
      </c>
      <c r="H33" s="701">
        <v>0</v>
      </c>
      <c r="I33" s="701">
        <v>176715</v>
      </c>
      <c r="J33" s="701">
        <v>0</v>
      </c>
      <c r="K33" s="362">
        <v>0</v>
      </c>
      <c r="L33" s="701">
        <v>0</v>
      </c>
      <c r="M33" s="701">
        <v>0</v>
      </c>
      <c r="N33" s="701">
        <v>0</v>
      </c>
      <c r="O33" s="701">
        <v>0</v>
      </c>
      <c r="P33" s="701">
        <v>0</v>
      </c>
      <c r="Q33" s="702">
        <v>0</v>
      </c>
      <c r="R33" s="702">
        <v>515365</v>
      </c>
      <c r="S33" s="703">
        <v>-515365</v>
      </c>
      <c r="T33" s="704">
        <v>-515365</v>
      </c>
      <c r="AA33" s="1662"/>
      <c r="AB33" s="753" t="s">
        <v>1234</v>
      </c>
      <c r="AC33" s="924">
        <f>R30</f>
        <v>108581813</v>
      </c>
      <c r="AD33" s="753"/>
      <c r="AE33" s="753"/>
      <c r="AF33" s="753"/>
      <c r="AG33" s="753"/>
      <c r="AH33" s="753"/>
      <c r="AI33" s="754"/>
      <c r="AJ33" s="754"/>
      <c r="AK33" s="754"/>
      <c r="AL33" s="753"/>
      <c r="AM33" s="753"/>
      <c r="AN33" s="753"/>
      <c r="AO33" s="753"/>
      <c r="AP33" s="753"/>
      <c r="AQ33" s="753"/>
      <c r="AR33" s="352"/>
      <c r="AS33" s="352"/>
      <c r="AU33" s="453"/>
      <c r="AV33" s="352"/>
      <c r="AW33" s="352"/>
      <c r="BD33" s="772"/>
    </row>
    <row r="34" spans="2:56" s="1" customFormat="1" x14ac:dyDescent="0.25">
      <c r="B34" s="705" t="s">
        <v>97</v>
      </c>
      <c r="C34" s="370">
        <v>0</v>
      </c>
      <c r="D34" s="369">
        <v>0</v>
      </c>
      <c r="E34" s="369">
        <v>0</v>
      </c>
      <c r="F34" s="370">
        <v>0</v>
      </c>
      <c r="G34" s="370">
        <v>338650</v>
      </c>
      <c r="H34" s="370">
        <v>0</v>
      </c>
      <c r="I34" s="370">
        <v>176715</v>
      </c>
      <c r="J34" s="370">
        <v>179214</v>
      </c>
      <c r="K34" s="362">
        <v>0</v>
      </c>
      <c r="L34" s="370">
        <v>0</v>
      </c>
      <c r="M34" s="370">
        <v>0</v>
      </c>
      <c r="N34" s="380">
        <v>0</v>
      </c>
      <c r="O34" s="380">
        <v>0</v>
      </c>
      <c r="P34" s="380">
        <v>0</v>
      </c>
      <c r="Q34" s="364">
        <v>0</v>
      </c>
      <c r="R34" s="370">
        <v>694579</v>
      </c>
      <c r="S34" s="658">
        <v>-694579</v>
      </c>
      <c r="T34" s="657">
        <v>-694579</v>
      </c>
      <c r="AA34" s="753"/>
      <c r="AB34" s="753" t="s">
        <v>780</v>
      </c>
      <c r="AC34" s="924">
        <f>AC32-AC33</f>
        <v>2386337.6441666931</v>
      </c>
      <c r="AD34" s="767"/>
      <c r="AE34" s="767"/>
      <c r="AF34" s="767"/>
      <c r="AG34" s="753"/>
      <c r="AH34" s="753"/>
      <c r="AI34" s="768"/>
      <c r="AJ34" s="768"/>
      <c r="AK34" s="768"/>
      <c r="AL34" s="753"/>
      <c r="AM34" s="753"/>
      <c r="AN34" s="753"/>
      <c r="AO34" s="753"/>
      <c r="AP34" s="753"/>
      <c r="AQ34" s="753"/>
      <c r="AR34" s="352"/>
      <c r="AS34" s="352"/>
      <c r="AU34" s="453"/>
      <c r="AV34" s="352"/>
      <c r="AW34" s="352"/>
      <c r="BD34" s="774"/>
    </row>
    <row r="35" spans="2:56" ht="12.5" customHeight="1" x14ac:dyDescent="0.25">
      <c r="B35" s="55" t="s">
        <v>98</v>
      </c>
      <c r="C35" s="706"/>
      <c r="D35" s="706">
        <v>0</v>
      </c>
      <c r="E35" s="706"/>
      <c r="F35" s="676"/>
      <c r="G35" s="676"/>
      <c r="H35" s="676"/>
      <c r="I35" s="676"/>
      <c r="J35" s="676"/>
      <c r="K35" s="362">
        <v>0</v>
      </c>
      <c r="L35" s="676"/>
      <c r="M35" s="676"/>
      <c r="N35" s="707"/>
      <c r="O35" s="707"/>
      <c r="P35" s="707"/>
      <c r="Q35" s="676" t="s">
        <v>33</v>
      </c>
      <c r="R35" s="676" t="s">
        <v>33</v>
      </c>
      <c r="S35" s="708" t="s">
        <v>33</v>
      </c>
      <c r="T35" s="709" t="s">
        <v>33</v>
      </c>
      <c r="AA35" s="753"/>
      <c r="AB35" s="753"/>
      <c r="AC35" s="754"/>
      <c r="AD35" s="753"/>
      <c r="AE35" s="753"/>
      <c r="AF35" s="753"/>
      <c r="AG35" s="753"/>
      <c r="AH35" s="754"/>
      <c r="AI35" s="754"/>
      <c r="AJ35" s="754"/>
      <c r="AK35" s="754"/>
      <c r="AL35" s="754"/>
      <c r="AM35" s="754"/>
      <c r="AN35" s="754"/>
      <c r="AO35" s="756"/>
      <c r="AP35" s="756"/>
      <c r="AQ35" s="756"/>
      <c r="AR35" s="454"/>
      <c r="AS35" s="352"/>
      <c r="AU35" s="453"/>
      <c r="AV35" s="454"/>
      <c r="AW35" s="454"/>
      <c r="BD35" s="772"/>
    </row>
    <row r="36" spans="2:56" ht="12.5" customHeight="1" x14ac:dyDescent="0.25">
      <c r="B36" s="62" t="s">
        <v>67</v>
      </c>
      <c r="C36" s="433">
        <v>2568001.5</v>
      </c>
      <c r="D36" s="433">
        <v>214000.125</v>
      </c>
      <c r="E36" s="433">
        <v>0</v>
      </c>
      <c r="F36" s="364">
        <v>0</v>
      </c>
      <c r="G36" s="364">
        <v>595450</v>
      </c>
      <c r="H36" s="364">
        <v>0</v>
      </c>
      <c r="I36" s="364">
        <v>781652</v>
      </c>
      <c r="J36" s="364"/>
      <c r="K36" s="362">
        <v>0</v>
      </c>
      <c r="L36" s="364"/>
      <c r="M36" s="364"/>
      <c r="N36" s="365"/>
      <c r="O36" s="365"/>
      <c r="P36" s="365"/>
      <c r="Q36" s="364">
        <v>1498000.875</v>
      </c>
      <c r="R36" s="364">
        <v>1377102</v>
      </c>
      <c r="S36" s="655">
        <v>120898.875</v>
      </c>
      <c r="T36" s="656">
        <v>120898.875</v>
      </c>
      <c r="AA36" s="753"/>
      <c r="AB36" s="753" t="s">
        <v>1413</v>
      </c>
      <c r="AC36" s="924">
        <f>Q19</f>
        <v>35979660.686666667</v>
      </c>
      <c r="AD36" s="767"/>
      <c r="AE36" s="767"/>
      <c r="AF36" s="767"/>
      <c r="AG36" s="753"/>
      <c r="AH36" s="754"/>
      <c r="AI36" s="754"/>
      <c r="AJ36" s="754"/>
      <c r="AK36" s="754"/>
      <c r="AL36" s="754"/>
      <c r="AM36" s="754"/>
      <c r="AN36" s="754"/>
      <c r="AO36" s="755"/>
      <c r="AP36" s="755"/>
      <c r="AQ36" s="753"/>
      <c r="AR36" s="352"/>
      <c r="AS36" s="352"/>
      <c r="AU36" s="353"/>
      <c r="AV36" s="352"/>
      <c r="AW36" s="352"/>
      <c r="BD36" s="772"/>
    </row>
    <row r="37" spans="2:56" ht="12.5" customHeight="1" x14ac:dyDescent="0.25">
      <c r="B37" s="55" t="s">
        <v>66</v>
      </c>
      <c r="C37" s="706">
        <v>38237500</v>
      </c>
      <c r="D37" s="706">
        <v>3186458.3333333335</v>
      </c>
      <c r="E37" s="706">
        <v>3189683.88</v>
      </c>
      <c r="F37" s="676">
        <v>2628727</v>
      </c>
      <c r="G37" s="676">
        <v>2554892</v>
      </c>
      <c r="H37" s="676">
        <v>2640861</v>
      </c>
      <c r="I37" s="676">
        <v>3098024</v>
      </c>
      <c r="J37" s="1134">
        <v>2908845</v>
      </c>
      <c r="K37" s="362">
        <v>2964954</v>
      </c>
      <c r="L37" s="676"/>
      <c r="M37" s="676"/>
      <c r="N37" s="707"/>
      <c r="O37" s="707"/>
      <c r="P37" s="707"/>
      <c r="Q37" s="676">
        <v>22305208.333333336</v>
      </c>
      <c r="R37" s="676">
        <v>19985986.879999999</v>
      </c>
      <c r="S37" s="708">
        <v>2319221.4533333369</v>
      </c>
      <c r="T37" s="709">
        <v>2319221.4533333369</v>
      </c>
      <c r="AA37" s="753"/>
      <c r="AB37" s="753" t="s">
        <v>788</v>
      </c>
      <c r="AC37" s="924">
        <f>R19</f>
        <v>32431674</v>
      </c>
      <c r="AD37" s="753"/>
      <c r="AE37" s="753"/>
      <c r="AF37" s="753"/>
      <c r="AG37" s="753"/>
      <c r="AH37" s="754"/>
      <c r="AI37" s="754"/>
      <c r="AJ37" s="754"/>
      <c r="AK37" s="754"/>
      <c r="AL37" s="754"/>
      <c r="AM37" s="754"/>
      <c r="AN37" s="754"/>
      <c r="AO37" s="753"/>
      <c r="AP37" s="753"/>
      <c r="AQ37" s="753"/>
      <c r="AR37" s="352"/>
      <c r="AS37" s="352"/>
      <c r="AU37" s="453"/>
      <c r="AV37" s="352"/>
      <c r="AW37" s="352"/>
      <c r="BD37" s="772"/>
    </row>
    <row r="38" spans="2:56" ht="12.5" customHeight="1" x14ac:dyDescent="0.25">
      <c r="B38" s="62" t="s">
        <v>99</v>
      </c>
      <c r="C38" s="433">
        <v>3500000</v>
      </c>
      <c r="D38" s="433">
        <v>291666.66666666669</v>
      </c>
      <c r="E38" s="433">
        <v>129706</v>
      </c>
      <c r="F38" s="364">
        <v>233099</v>
      </c>
      <c r="G38" s="364">
        <v>303870</v>
      </c>
      <c r="H38" s="364">
        <v>205744</v>
      </c>
      <c r="I38" s="364">
        <v>217588</v>
      </c>
      <c r="J38" s="364">
        <v>249565</v>
      </c>
      <c r="K38" s="362">
        <v>956190</v>
      </c>
      <c r="L38" s="364"/>
      <c r="M38" s="364"/>
      <c r="N38" s="365"/>
      <c r="O38" s="365"/>
      <c r="P38" s="365"/>
      <c r="Q38" s="364">
        <v>2041666.6666666667</v>
      </c>
      <c r="R38" s="364">
        <v>2295762</v>
      </c>
      <c r="S38" s="655">
        <v>-254095.33333333326</v>
      </c>
      <c r="T38" s="656">
        <v>-254095.33333333326</v>
      </c>
      <c r="AA38" s="753"/>
      <c r="AB38" s="753" t="s">
        <v>780</v>
      </c>
      <c r="AC38" s="924">
        <f>AC36-AC37</f>
        <v>3547986.6866666675</v>
      </c>
      <c r="AD38" s="753"/>
      <c r="AE38" s="753"/>
      <c r="AF38" s="753"/>
      <c r="AG38" s="753"/>
      <c r="AH38" s="754"/>
      <c r="AI38" s="754"/>
      <c r="AJ38" s="754"/>
      <c r="AK38" s="754"/>
      <c r="AL38" s="754"/>
      <c r="AM38" s="754"/>
      <c r="AN38" s="754"/>
      <c r="AO38" s="753"/>
      <c r="AP38" s="753"/>
      <c r="AQ38" s="753"/>
      <c r="AR38" s="352"/>
      <c r="AS38" s="352"/>
      <c r="AU38" s="453"/>
      <c r="AV38" s="352"/>
      <c r="AW38" s="352"/>
      <c r="BD38" s="772"/>
    </row>
    <row r="39" spans="2:56" x14ac:dyDescent="0.25">
      <c r="B39" s="55" t="s">
        <v>100</v>
      </c>
      <c r="C39" s="706">
        <v>604000</v>
      </c>
      <c r="D39" s="706">
        <v>50333.333333333336</v>
      </c>
      <c r="E39" s="706">
        <v>50100</v>
      </c>
      <c r="F39" s="676">
        <v>50115</v>
      </c>
      <c r="G39" s="676">
        <v>56102</v>
      </c>
      <c r="H39" s="676">
        <v>56070</v>
      </c>
      <c r="I39" s="676">
        <v>56076</v>
      </c>
      <c r="J39" s="676">
        <v>55806</v>
      </c>
      <c r="K39" s="362">
        <v>55760</v>
      </c>
      <c r="L39" s="676"/>
      <c r="M39" s="676"/>
      <c r="N39" s="707"/>
      <c r="O39" s="707"/>
      <c r="P39" s="707"/>
      <c r="Q39" s="676">
        <v>352333.33333333337</v>
      </c>
      <c r="R39" s="676">
        <v>380029</v>
      </c>
      <c r="S39" s="708">
        <v>-27695.666666666628</v>
      </c>
      <c r="T39" s="709">
        <v>-27695.666666666628</v>
      </c>
      <c r="AA39" s="753"/>
      <c r="AB39" s="753"/>
      <c r="AC39" s="754"/>
      <c r="AD39" s="769"/>
      <c r="AE39" s="769"/>
      <c r="AF39" s="769"/>
      <c r="AG39" s="753"/>
      <c r="AH39" s="754"/>
      <c r="AI39" s="754"/>
      <c r="AJ39" s="754"/>
      <c r="AK39" s="754"/>
      <c r="AL39" s="754"/>
      <c r="AM39" s="754"/>
      <c r="AN39" s="754"/>
      <c r="AO39" s="753"/>
      <c r="AP39" s="753"/>
      <c r="AQ39" s="753"/>
      <c r="AR39" s="352"/>
      <c r="AS39" s="352"/>
      <c r="AU39" s="353"/>
      <c r="AV39" s="352"/>
      <c r="AW39" s="352"/>
      <c r="BD39" s="772"/>
    </row>
    <row r="40" spans="2:56" x14ac:dyDescent="0.25">
      <c r="B40" s="62" t="s">
        <v>1226</v>
      </c>
      <c r="C40" s="433">
        <v>1211856</v>
      </c>
      <c r="D40" s="433">
        <v>100988</v>
      </c>
      <c r="E40" s="433">
        <v>0</v>
      </c>
      <c r="F40" s="364">
        <v>0</v>
      </c>
      <c r="G40" s="364">
        <v>55250</v>
      </c>
      <c r="H40" s="364">
        <v>0</v>
      </c>
      <c r="I40" s="364">
        <v>0</v>
      </c>
      <c r="J40" s="364"/>
      <c r="K40" s="362">
        <v>0</v>
      </c>
      <c r="L40" s="364"/>
      <c r="M40" s="364"/>
      <c r="N40" s="365"/>
      <c r="O40" s="365"/>
      <c r="P40" s="365"/>
      <c r="Q40" s="364">
        <v>706916</v>
      </c>
      <c r="R40" s="364">
        <v>55250</v>
      </c>
      <c r="S40" s="655"/>
      <c r="T40" s="656">
        <v>651666</v>
      </c>
      <c r="AA40" s="756"/>
      <c r="AB40" s="753" t="s">
        <v>1414</v>
      </c>
      <c r="AC40" s="924">
        <f>Q44</f>
        <v>36850191.875</v>
      </c>
      <c r="AD40" s="767"/>
      <c r="AE40" s="767"/>
      <c r="AF40" s="767"/>
      <c r="AG40" s="756"/>
      <c r="AH40" s="754"/>
      <c r="AI40" s="754"/>
      <c r="AJ40" s="754"/>
      <c r="AK40" s="754"/>
      <c r="AL40" s="754"/>
      <c r="AM40" s="754"/>
      <c r="AN40" s="754"/>
      <c r="AO40" s="753"/>
      <c r="AP40" s="753"/>
      <c r="AQ40" s="753"/>
      <c r="AR40" s="352"/>
      <c r="AS40" s="352"/>
      <c r="AU40" s="459"/>
      <c r="AV40" s="352"/>
      <c r="AW40" s="352"/>
      <c r="BD40" s="772"/>
    </row>
    <row r="41" spans="2:56" x14ac:dyDescent="0.25">
      <c r="B41" s="55" t="s">
        <v>101</v>
      </c>
      <c r="C41" s="706">
        <v>800000</v>
      </c>
      <c r="D41" s="706">
        <v>66666.666666666672</v>
      </c>
      <c r="E41" s="706">
        <v>87582</v>
      </c>
      <c r="F41" s="676">
        <v>100988</v>
      </c>
      <c r="G41" s="676">
        <v>100988</v>
      </c>
      <c r="H41" s="676">
        <v>100988</v>
      </c>
      <c r="I41" s="676">
        <v>100988</v>
      </c>
      <c r="J41" s="676">
        <v>100988</v>
      </c>
      <c r="K41" s="362">
        <v>100988</v>
      </c>
      <c r="L41" s="676"/>
      <c r="M41" s="676"/>
      <c r="N41" s="707"/>
      <c r="O41" s="707"/>
      <c r="P41" s="707"/>
      <c r="Q41" s="676">
        <v>466666.66666666669</v>
      </c>
      <c r="R41" s="676">
        <v>693510</v>
      </c>
      <c r="S41" s="708">
        <v>-226843.33333333331</v>
      </c>
      <c r="T41" s="709">
        <v>-226843.33333333331</v>
      </c>
      <c r="AA41" s="753"/>
      <c r="AB41" s="768" t="s">
        <v>1415</v>
      </c>
      <c r="AC41" s="924">
        <f>R44</f>
        <v>33914339.879999995</v>
      </c>
      <c r="AD41" s="754"/>
      <c r="AE41" s="754"/>
      <c r="AF41" s="754"/>
      <c r="AG41" s="753"/>
      <c r="AH41" s="754"/>
      <c r="AI41" s="754"/>
      <c r="AJ41" s="754"/>
      <c r="AK41" s="754"/>
      <c r="AL41" s="754"/>
      <c r="AM41" s="754"/>
      <c r="AN41" s="754"/>
      <c r="AO41" s="753"/>
      <c r="AP41" s="753"/>
      <c r="AQ41" s="753"/>
      <c r="AR41" s="352"/>
      <c r="AV41" s="352"/>
      <c r="AW41" s="352"/>
      <c r="BD41" s="772"/>
    </row>
    <row r="42" spans="2:56" ht="13" x14ac:dyDescent="0.3">
      <c r="B42" s="710" t="s">
        <v>102</v>
      </c>
      <c r="C42" s="711">
        <v>16250400</v>
      </c>
      <c r="D42" s="711">
        <v>1354200</v>
      </c>
      <c r="E42" s="712">
        <v>1354200</v>
      </c>
      <c r="F42" s="711">
        <v>1354200</v>
      </c>
      <c r="G42" s="712">
        <v>1354200</v>
      </c>
      <c r="H42" s="712">
        <v>1354200</v>
      </c>
      <c r="I42" s="712">
        <v>1354200</v>
      </c>
      <c r="J42" s="712"/>
      <c r="K42" s="362">
        <v>1354200</v>
      </c>
      <c r="L42" s="712"/>
      <c r="M42" s="712"/>
      <c r="N42" s="713"/>
      <c r="O42" s="713"/>
      <c r="P42" s="713"/>
      <c r="Q42" s="676">
        <v>9479400</v>
      </c>
      <c r="R42" s="714">
        <v>8125200</v>
      </c>
      <c r="S42" s="715">
        <v>1354200</v>
      </c>
      <c r="T42" s="716">
        <v>1354200</v>
      </c>
      <c r="AA42" s="756"/>
      <c r="AB42" s="753" t="s">
        <v>780</v>
      </c>
      <c r="AC42" s="924">
        <f>AC40-AC41</f>
        <v>2935851.9950000048</v>
      </c>
      <c r="AD42" s="767"/>
      <c r="AE42" s="767"/>
      <c r="AF42" s="767"/>
      <c r="AG42" s="756"/>
      <c r="AH42" s="754"/>
      <c r="AI42" s="754"/>
      <c r="AJ42" s="754"/>
      <c r="AK42" s="754"/>
      <c r="AL42" s="754"/>
      <c r="AM42" s="754"/>
      <c r="AN42" s="754"/>
      <c r="AO42" s="753"/>
      <c r="AP42" s="753"/>
      <c r="AQ42" s="753"/>
      <c r="AR42" s="352"/>
      <c r="AS42" s="352"/>
      <c r="AU42" s="42"/>
      <c r="AV42" s="352"/>
      <c r="AW42" s="352"/>
      <c r="BD42" s="772"/>
    </row>
    <row r="43" spans="2:56" x14ac:dyDescent="0.25">
      <c r="B43" s="684" t="s">
        <v>1409</v>
      </c>
      <c r="C43" s="370"/>
      <c r="D43" s="369"/>
      <c r="E43" s="369"/>
      <c r="F43" s="370"/>
      <c r="G43" s="370"/>
      <c r="H43" s="370"/>
      <c r="I43" s="370">
        <v>472500</v>
      </c>
      <c r="J43" s="370"/>
      <c r="K43" s="362">
        <v>529000</v>
      </c>
      <c r="L43" s="370"/>
      <c r="M43" s="370"/>
      <c r="N43" s="380"/>
      <c r="O43" s="380"/>
      <c r="P43" s="380"/>
      <c r="Q43" s="364">
        <v>0</v>
      </c>
      <c r="R43" s="439">
        <v>1001500</v>
      </c>
      <c r="S43" s="663"/>
      <c r="T43" s="657">
        <v>-1001500</v>
      </c>
      <c r="AA43" s="753"/>
      <c r="AB43" s="753"/>
      <c r="AC43" s="754"/>
      <c r="AD43" s="753"/>
      <c r="AE43" s="753"/>
      <c r="AF43" s="753"/>
      <c r="AG43" s="753"/>
      <c r="AH43" s="754"/>
      <c r="AI43" s="754"/>
      <c r="AJ43" s="754"/>
      <c r="AK43" s="754"/>
      <c r="AL43" s="754"/>
      <c r="AM43" s="754"/>
      <c r="AN43" s="754"/>
      <c r="AO43" s="756"/>
      <c r="AP43" s="756"/>
      <c r="AQ43" s="756"/>
      <c r="AR43" s="454"/>
      <c r="AS43" s="352"/>
      <c r="AU43" s="42"/>
      <c r="AV43" s="454"/>
      <c r="AW43" s="454"/>
      <c r="BD43" s="772"/>
    </row>
    <row r="44" spans="2:56" ht="14.25" customHeight="1" x14ac:dyDescent="0.25">
      <c r="B44" s="684" t="s">
        <v>103</v>
      </c>
      <c r="C44" s="686">
        <v>63171757.5</v>
      </c>
      <c r="D44" s="685">
        <v>5264313.125</v>
      </c>
      <c r="E44" s="685">
        <v>4811271.88</v>
      </c>
      <c r="F44" s="686">
        <v>4367129</v>
      </c>
      <c r="G44" s="686">
        <v>5020752</v>
      </c>
      <c r="H44" s="686">
        <v>4357863</v>
      </c>
      <c r="I44" s="686">
        <v>6081028</v>
      </c>
      <c r="J44" s="686">
        <v>3315204</v>
      </c>
      <c r="K44" s="362">
        <v>5961092</v>
      </c>
      <c r="L44" s="686">
        <v>0</v>
      </c>
      <c r="M44" s="686">
        <v>0</v>
      </c>
      <c r="N44" s="687">
        <v>0</v>
      </c>
      <c r="O44" s="687">
        <v>0</v>
      </c>
      <c r="P44" s="687">
        <v>0</v>
      </c>
      <c r="Q44" s="686">
        <v>36850191.875</v>
      </c>
      <c r="R44" s="686">
        <v>33914339.879999995</v>
      </c>
      <c r="S44" s="688">
        <v>3285685.9950000038</v>
      </c>
      <c r="T44" s="689">
        <v>2935851.9950000048</v>
      </c>
      <c r="AA44" s="753"/>
      <c r="AB44" s="753" t="s">
        <v>1416</v>
      </c>
      <c r="AC44" s="924">
        <f>Q56</f>
        <v>24359787.666666664</v>
      </c>
      <c r="AD44" s="760"/>
      <c r="AE44" s="760"/>
      <c r="AF44" s="760"/>
      <c r="AG44" s="753"/>
      <c r="AH44" s="754"/>
      <c r="AI44" s="754"/>
      <c r="AJ44" s="754"/>
      <c r="AK44" s="754"/>
      <c r="AL44" s="754"/>
      <c r="AM44" s="754"/>
      <c r="AN44" s="754"/>
      <c r="AO44" s="753"/>
      <c r="AP44" s="753"/>
      <c r="AQ44" s="753"/>
      <c r="AR44" s="352"/>
      <c r="AS44" s="352"/>
      <c r="AU44" s="353"/>
      <c r="AV44" s="352"/>
      <c r="AW44" s="352"/>
      <c r="BD44" s="772"/>
    </row>
    <row r="45" spans="2:56" ht="14.25" customHeight="1" x14ac:dyDescent="0.25">
      <c r="B45" s="62" t="s">
        <v>104</v>
      </c>
      <c r="C45" s="364"/>
      <c r="D45" s="433" t="s">
        <v>33</v>
      </c>
      <c r="E45" s="433"/>
      <c r="F45" s="364"/>
      <c r="G45" s="364"/>
      <c r="H45" s="364"/>
      <c r="I45" s="364"/>
      <c r="J45" s="364"/>
      <c r="K45" s="362">
        <v>0</v>
      </c>
      <c r="L45" s="364"/>
      <c r="M45" s="364"/>
      <c r="N45" s="365"/>
      <c r="O45" s="365"/>
      <c r="P45" s="365"/>
      <c r="Q45" s="364" t="s">
        <v>33</v>
      </c>
      <c r="R45" s="364"/>
      <c r="S45" s="655">
        <v>0</v>
      </c>
      <c r="T45" s="656" t="s">
        <v>33</v>
      </c>
      <c r="AA45" s="753"/>
      <c r="AB45" s="753" t="s">
        <v>1417</v>
      </c>
      <c r="AC45" s="755">
        <f>R56</f>
        <v>23944047.719999999</v>
      </c>
      <c r="AD45" s="753"/>
      <c r="AE45" s="753"/>
      <c r="AF45" s="753"/>
      <c r="AG45" s="753"/>
      <c r="AH45" s="754"/>
      <c r="AI45" s="754"/>
      <c r="AJ45" s="754"/>
      <c r="AK45" s="754"/>
      <c r="AL45" s="754"/>
      <c r="AM45" s="754"/>
      <c r="AN45" s="754"/>
      <c r="AO45" s="756"/>
      <c r="AP45" s="756"/>
      <c r="AQ45" s="756"/>
      <c r="AR45" s="454"/>
      <c r="AS45" s="352"/>
      <c r="AU45" s="353"/>
      <c r="AV45" s="454"/>
      <c r="AW45" s="454"/>
      <c r="BD45" s="772"/>
    </row>
    <row r="46" spans="2:56" x14ac:dyDescent="0.25">
      <c r="B46" s="684" t="s">
        <v>105</v>
      </c>
      <c r="C46" s="686">
        <v>30797847</v>
      </c>
      <c r="D46" s="685">
        <v>2566487.25</v>
      </c>
      <c r="E46" s="685">
        <v>2343824</v>
      </c>
      <c r="F46" s="686">
        <v>2343824</v>
      </c>
      <c r="G46" s="686">
        <v>2343824</v>
      </c>
      <c r="H46" s="686">
        <v>3235079</v>
      </c>
      <c r="I46" s="686">
        <v>2566487</v>
      </c>
      <c r="J46" s="686">
        <v>2566487</v>
      </c>
      <c r="K46" s="362">
        <v>2566487</v>
      </c>
      <c r="L46" s="686"/>
      <c r="M46" s="686"/>
      <c r="N46" s="687"/>
      <c r="O46" s="687"/>
      <c r="P46" s="687"/>
      <c r="Q46" s="686">
        <v>17965410.75</v>
      </c>
      <c r="R46" s="686">
        <v>17966012</v>
      </c>
      <c r="S46" s="688">
        <v>-601.25</v>
      </c>
      <c r="T46" s="689">
        <v>-601.25</v>
      </c>
      <c r="AA46" s="753"/>
      <c r="AB46" s="753" t="s">
        <v>780</v>
      </c>
      <c r="AC46" s="755">
        <f>AC44-AC45</f>
        <v>415739.94666666538</v>
      </c>
      <c r="AD46" s="753"/>
      <c r="AE46" s="753"/>
      <c r="AF46" s="753"/>
      <c r="AG46" s="753"/>
      <c r="AH46" s="754"/>
      <c r="AI46" s="754"/>
      <c r="AJ46" s="754"/>
      <c r="AK46" s="754"/>
      <c r="AL46" s="754"/>
      <c r="AM46" s="754"/>
      <c r="AN46" s="754"/>
      <c r="AO46" s="753"/>
      <c r="AP46" s="753"/>
      <c r="AQ46" s="753"/>
      <c r="AR46" s="352"/>
      <c r="AS46" s="352"/>
      <c r="AU46" s="459"/>
      <c r="AV46" s="352"/>
      <c r="AW46" s="352"/>
      <c r="BD46" s="772"/>
    </row>
    <row r="47" spans="2:56" x14ac:dyDescent="0.25">
      <c r="B47" s="62" t="s">
        <v>65</v>
      </c>
      <c r="C47" s="364">
        <v>6413421</v>
      </c>
      <c r="D47" s="433">
        <v>534451.75</v>
      </c>
      <c r="E47" s="433">
        <v>488080</v>
      </c>
      <c r="F47" s="364">
        <v>488080</v>
      </c>
      <c r="G47" s="364">
        <v>627190</v>
      </c>
      <c r="H47" s="364">
        <v>534352</v>
      </c>
      <c r="I47" s="364">
        <v>534352</v>
      </c>
      <c r="J47" s="364">
        <v>534352</v>
      </c>
      <c r="K47" s="362">
        <v>534452</v>
      </c>
      <c r="L47" s="364"/>
      <c r="M47" s="364"/>
      <c r="N47" s="365"/>
      <c r="O47" s="365"/>
      <c r="P47" s="365"/>
      <c r="Q47" s="364">
        <v>3741162.25</v>
      </c>
      <c r="R47" s="364">
        <v>3740858</v>
      </c>
      <c r="S47" s="655">
        <v>304.25</v>
      </c>
      <c r="T47" s="656">
        <v>304.25</v>
      </c>
      <c r="AA47" s="756"/>
      <c r="AB47" s="756"/>
      <c r="AC47" s="756"/>
      <c r="AD47" s="753"/>
      <c r="AE47" s="753"/>
      <c r="AF47" s="753"/>
      <c r="AG47" s="753"/>
      <c r="AH47" s="754"/>
      <c r="AI47" s="754"/>
      <c r="AJ47" s="754"/>
      <c r="AK47" s="754"/>
      <c r="AL47" s="754"/>
      <c r="AM47" s="754"/>
      <c r="AN47" s="754"/>
      <c r="AO47" s="753"/>
      <c r="AP47" s="753"/>
      <c r="AQ47" s="753"/>
      <c r="AR47" s="352"/>
      <c r="AS47" s="352"/>
      <c r="AU47" s="353"/>
      <c r="AV47" s="352"/>
      <c r="AW47" s="352"/>
      <c r="BD47" s="772"/>
    </row>
    <row r="48" spans="2:56" x14ac:dyDescent="0.25">
      <c r="B48" s="684" t="s">
        <v>106</v>
      </c>
      <c r="C48" s="686">
        <v>534465</v>
      </c>
      <c r="D48" s="685">
        <v>44538.75</v>
      </c>
      <c r="E48" s="685">
        <v>0</v>
      </c>
      <c r="F48" s="686">
        <v>0</v>
      </c>
      <c r="G48" s="686">
        <v>0</v>
      </c>
      <c r="H48" s="686">
        <v>0</v>
      </c>
      <c r="I48" s="686">
        <v>0</v>
      </c>
      <c r="J48" s="686">
        <v>534565</v>
      </c>
      <c r="K48" s="362">
        <v>0</v>
      </c>
      <c r="L48" s="686"/>
      <c r="M48" s="686"/>
      <c r="N48" s="687"/>
      <c r="O48" s="687"/>
      <c r="P48" s="687"/>
      <c r="Q48" s="686">
        <v>311771.25</v>
      </c>
      <c r="R48" s="686">
        <v>534565</v>
      </c>
      <c r="S48" s="688">
        <v>-222793.75</v>
      </c>
      <c r="T48" s="689">
        <v>-222793.75</v>
      </c>
      <c r="AA48" s="753"/>
      <c r="AB48" s="753" t="s">
        <v>1418</v>
      </c>
      <c r="AC48" s="755">
        <f>Q33</f>
        <v>0</v>
      </c>
      <c r="AD48" s="753"/>
      <c r="AE48" s="753"/>
      <c r="AF48" s="753"/>
      <c r="AG48" s="753"/>
      <c r="AH48" s="754"/>
      <c r="AI48" s="754"/>
      <c r="AJ48" s="754"/>
      <c r="AK48" s="754"/>
      <c r="AL48" s="754"/>
      <c r="AM48" s="754"/>
      <c r="AN48" s="754"/>
      <c r="AO48" s="753"/>
      <c r="AP48" s="753"/>
      <c r="AQ48" s="753"/>
      <c r="AR48" s="352"/>
      <c r="AS48" s="1"/>
      <c r="AU48" s="925"/>
      <c r="AV48" s="352"/>
      <c r="AW48" s="352"/>
      <c r="BD48" s="772"/>
    </row>
    <row r="49" spans="2:62" x14ac:dyDescent="0.25">
      <c r="B49" s="62" t="s">
        <v>107</v>
      </c>
      <c r="C49" s="364">
        <v>603903</v>
      </c>
      <c r="D49" s="433">
        <v>50325.25</v>
      </c>
      <c r="E49" s="433">
        <v>50344</v>
      </c>
      <c r="F49" s="364">
        <v>50344</v>
      </c>
      <c r="G49" s="364">
        <v>50344</v>
      </c>
      <c r="H49" s="364">
        <v>50344</v>
      </c>
      <c r="I49" s="364">
        <v>50344</v>
      </c>
      <c r="J49" s="364">
        <v>50344</v>
      </c>
      <c r="K49" s="362">
        <v>50344</v>
      </c>
      <c r="L49" s="364"/>
      <c r="M49" s="364"/>
      <c r="N49" s="365"/>
      <c r="O49" s="365"/>
      <c r="P49" s="365"/>
      <c r="Q49" s="364">
        <v>352276.75</v>
      </c>
      <c r="R49" s="364">
        <v>352408</v>
      </c>
      <c r="S49" s="655">
        <v>-131.25</v>
      </c>
      <c r="T49" s="656">
        <v>-131.25</v>
      </c>
      <c r="AA49" s="753"/>
      <c r="AB49" s="753" t="s">
        <v>1419</v>
      </c>
      <c r="AC49" s="755">
        <f>R33</f>
        <v>515365</v>
      </c>
      <c r="AD49" s="753"/>
      <c r="AE49" s="753"/>
      <c r="AF49" s="753"/>
      <c r="AG49" s="753"/>
      <c r="AH49" s="754"/>
      <c r="AI49" s="754"/>
      <c r="AJ49" s="754"/>
      <c r="AK49" s="754"/>
      <c r="AL49" s="754"/>
      <c r="AM49" s="754"/>
      <c r="AN49" s="754"/>
      <c r="AO49" s="753"/>
      <c r="AP49" s="753"/>
      <c r="AQ49" s="753"/>
      <c r="AR49" s="352"/>
      <c r="AS49" s="1"/>
      <c r="AU49" s="459"/>
      <c r="AV49" s="352"/>
      <c r="BD49" s="772"/>
    </row>
    <row r="50" spans="2:62" x14ac:dyDescent="0.25">
      <c r="B50" s="684" t="s">
        <v>108</v>
      </c>
      <c r="C50" s="686">
        <v>200000</v>
      </c>
      <c r="D50" s="685">
        <v>16666.666666666668</v>
      </c>
      <c r="E50" s="685">
        <v>0</v>
      </c>
      <c r="F50" s="686">
        <v>0</v>
      </c>
      <c r="G50" s="686">
        <v>10000</v>
      </c>
      <c r="H50" s="686">
        <v>10000</v>
      </c>
      <c r="I50" s="686">
        <v>0</v>
      </c>
      <c r="J50" s="686">
        <v>0</v>
      </c>
      <c r="K50" s="362">
        <v>0</v>
      </c>
      <c r="L50" s="686"/>
      <c r="M50" s="686"/>
      <c r="N50" s="687"/>
      <c r="O50" s="687"/>
      <c r="P50" s="687"/>
      <c r="Q50" s="686">
        <v>116666.66666666667</v>
      </c>
      <c r="R50" s="686">
        <v>20000</v>
      </c>
      <c r="S50" s="688">
        <v>96666.666666666672</v>
      </c>
      <c r="T50" s="689">
        <v>96666.666666666672</v>
      </c>
      <c r="AA50" s="756"/>
      <c r="AB50" s="756"/>
      <c r="AC50" s="756"/>
      <c r="AD50" s="756"/>
      <c r="AE50" s="756"/>
      <c r="AF50" s="756"/>
      <c r="AG50" s="756"/>
      <c r="AH50" s="754"/>
      <c r="AI50" s="754"/>
      <c r="AJ50" s="754"/>
      <c r="AK50" s="754"/>
      <c r="AL50" s="754"/>
      <c r="AM50" s="754"/>
      <c r="AN50" s="754"/>
      <c r="AO50" s="753"/>
      <c r="AP50" s="753"/>
      <c r="AQ50" s="753"/>
      <c r="AR50" s="352"/>
      <c r="AS50" s="353"/>
      <c r="AU50" s="353"/>
      <c r="AV50" s="352"/>
      <c r="AW50" s="352"/>
      <c r="BD50" s="772"/>
    </row>
    <row r="51" spans="2:62" x14ac:dyDescent="0.25">
      <c r="B51" s="62" t="s">
        <v>109</v>
      </c>
      <c r="C51" s="364">
        <v>360000</v>
      </c>
      <c r="D51" s="433">
        <v>30000</v>
      </c>
      <c r="E51" s="433">
        <v>0</v>
      </c>
      <c r="F51" s="364">
        <v>0</v>
      </c>
      <c r="G51" s="364">
        <v>26640</v>
      </c>
      <c r="H51" s="364">
        <v>4390</v>
      </c>
      <c r="I51" s="364">
        <v>27030</v>
      </c>
      <c r="J51" s="364">
        <v>0</v>
      </c>
      <c r="K51" s="362">
        <v>75550</v>
      </c>
      <c r="L51" s="364"/>
      <c r="M51" s="364"/>
      <c r="N51" s="365"/>
      <c r="O51" s="365"/>
      <c r="P51" s="365"/>
      <c r="Q51" s="364">
        <v>210000</v>
      </c>
      <c r="R51" s="364">
        <v>133610</v>
      </c>
      <c r="S51" s="655">
        <v>76390</v>
      </c>
      <c r="T51" s="656">
        <v>76390</v>
      </c>
      <c r="AA51" s="754"/>
      <c r="AB51" s="754"/>
      <c r="AC51" s="754"/>
      <c r="AD51" s="754"/>
      <c r="AE51" s="754"/>
      <c r="AF51" s="754"/>
      <c r="AG51" s="754"/>
      <c r="AH51" s="754"/>
      <c r="AI51" s="754"/>
      <c r="AJ51" s="754"/>
      <c r="AK51" s="754"/>
      <c r="AL51" s="754"/>
      <c r="AM51" s="754"/>
      <c r="AN51" s="754"/>
      <c r="AO51" s="756"/>
      <c r="AP51" s="756"/>
      <c r="AQ51" s="756" t="s">
        <v>783</v>
      </c>
      <c r="AR51" s="454"/>
      <c r="AS51" s="352"/>
      <c r="AU51" s="353"/>
      <c r="AV51" s="454"/>
      <c r="AW51" s="454"/>
      <c r="BD51" s="772"/>
    </row>
    <row r="52" spans="2:62" ht="12.5" customHeight="1" x14ac:dyDescent="0.25">
      <c r="B52" s="684" t="s">
        <v>110</v>
      </c>
      <c r="C52" s="717">
        <v>150000</v>
      </c>
      <c r="D52" s="694">
        <v>12500</v>
      </c>
      <c r="E52" s="685">
        <v>0</v>
      </c>
      <c r="F52" s="686">
        <v>0</v>
      </c>
      <c r="G52" s="718">
        <v>4500</v>
      </c>
      <c r="H52" s="718">
        <v>0</v>
      </c>
      <c r="I52" s="718">
        <v>0</v>
      </c>
      <c r="J52" s="718">
        <v>0</v>
      </c>
      <c r="K52" s="362">
        <v>0</v>
      </c>
      <c r="L52" s="718"/>
      <c r="M52" s="718"/>
      <c r="N52" s="719"/>
      <c r="O52" s="718"/>
      <c r="P52" s="718"/>
      <c r="Q52" s="686">
        <v>87500</v>
      </c>
      <c r="R52" s="686">
        <v>4500</v>
      </c>
      <c r="S52" s="688">
        <v>83000</v>
      </c>
      <c r="T52" s="689">
        <v>83000</v>
      </c>
      <c r="AA52" s="754"/>
      <c r="AB52" s="754"/>
      <c r="AC52" s="754"/>
      <c r="AD52" s="754"/>
      <c r="AE52" s="754"/>
      <c r="AF52" s="754"/>
      <c r="AG52" s="754"/>
      <c r="AH52" s="754"/>
      <c r="AI52" s="754"/>
      <c r="AJ52" s="754"/>
      <c r="AK52" s="754"/>
      <c r="AL52" s="754"/>
      <c r="AM52" s="754"/>
      <c r="AN52" s="754"/>
      <c r="AO52" s="753"/>
      <c r="AP52" s="753"/>
      <c r="AQ52" s="753"/>
      <c r="AR52" s="352"/>
      <c r="AS52" s="353"/>
      <c r="AU52" s="353"/>
      <c r="AV52" s="352"/>
      <c r="AW52" s="352"/>
      <c r="BD52" s="772"/>
    </row>
    <row r="53" spans="2:62" ht="12.5" customHeight="1" x14ac:dyDescent="0.25">
      <c r="B53" s="62" t="s">
        <v>111</v>
      </c>
      <c r="C53" s="660">
        <v>2700000</v>
      </c>
      <c r="D53" s="723">
        <v>225000</v>
      </c>
      <c r="E53" s="433">
        <v>191152.44</v>
      </c>
      <c r="F53" s="364">
        <v>189522.6</v>
      </c>
      <c r="G53" s="364">
        <v>196603.1</v>
      </c>
      <c r="H53" s="364">
        <v>179705.1</v>
      </c>
      <c r="I53" s="364">
        <v>225057.48</v>
      </c>
      <c r="J53" s="364">
        <v>101784</v>
      </c>
      <c r="K53" s="362">
        <v>108924</v>
      </c>
      <c r="L53" s="364"/>
      <c r="M53" s="364"/>
      <c r="N53" s="365"/>
      <c r="O53" s="365"/>
      <c r="P53" s="365"/>
      <c r="Q53" s="364">
        <v>1575000</v>
      </c>
      <c r="R53" s="364">
        <v>1192748.72</v>
      </c>
      <c r="S53" s="655">
        <v>382251.28</v>
      </c>
      <c r="T53" s="656">
        <v>382251.28</v>
      </c>
      <c r="AA53" s="754"/>
      <c r="AB53" s="754"/>
      <c r="AC53" s="754"/>
      <c r="AD53" s="754"/>
      <c r="AE53" s="754"/>
      <c r="AF53" s="754"/>
      <c r="AG53" s="754"/>
      <c r="AH53" s="754"/>
      <c r="AI53" s="754"/>
      <c r="AJ53" s="754"/>
      <c r="AK53" s="754"/>
      <c r="AL53" s="754"/>
      <c r="AM53" s="754"/>
      <c r="AN53" s="754"/>
      <c r="AO53" s="753"/>
      <c r="AP53" s="753"/>
      <c r="AQ53" s="755">
        <f>Q34</f>
        <v>0</v>
      </c>
      <c r="AR53" s="352"/>
      <c r="AV53" s="352"/>
      <c r="AW53" s="353"/>
    </row>
    <row r="54" spans="2:62" x14ac:dyDescent="0.25">
      <c r="B54" s="684" t="s">
        <v>68</v>
      </c>
      <c r="C54" s="686">
        <v>0</v>
      </c>
      <c r="D54" s="720">
        <v>0</v>
      </c>
      <c r="E54" s="685">
        <v>0</v>
      </c>
      <c r="F54" s="686">
        <v>0</v>
      </c>
      <c r="G54" s="686">
        <v>1227</v>
      </c>
      <c r="H54" s="686">
        <v>5</v>
      </c>
      <c r="I54" s="686">
        <v>-1887</v>
      </c>
      <c r="J54" s="686"/>
      <c r="K54" s="362">
        <v>1</v>
      </c>
      <c r="L54" s="686"/>
      <c r="M54" s="686"/>
      <c r="N54" s="687"/>
      <c r="O54" s="687"/>
      <c r="P54" s="687"/>
      <c r="Q54" s="686">
        <v>0</v>
      </c>
      <c r="R54" s="686">
        <v>-654</v>
      </c>
      <c r="S54" s="655">
        <v>654</v>
      </c>
      <c r="T54" s="689">
        <v>654</v>
      </c>
      <c r="AA54" s="754"/>
      <c r="AB54" s="754"/>
      <c r="AC54" s="754"/>
      <c r="AD54" s="754"/>
      <c r="AE54" s="754"/>
      <c r="AF54" s="754"/>
      <c r="AG54" s="754"/>
      <c r="AH54" s="754"/>
      <c r="AI54" s="754"/>
      <c r="AJ54" s="754"/>
      <c r="AK54" s="754"/>
      <c r="AL54" s="754"/>
      <c r="AM54" s="754"/>
      <c r="AN54" s="754"/>
      <c r="AO54" s="770"/>
      <c r="AP54" s="770"/>
      <c r="AQ54" s="753"/>
      <c r="AR54" s="352"/>
      <c r="AU54" s="352"/>
      <c r="AV54" s="352"/>
      <c r="AW54" s="352"/>
      <c r="BA54" s="352"/>
      <c r="BB54" s="352"/>
      <c r="BC54" s="352"/>
      <c r="BD54" s="352"/>
      <c r="BE54" s="352"/>
      <c r="BF54" s="352"/>
      <c r="BG54" s="352" t="s">
        <v>782</v>
      </c>
      <c r="BH54" s="352" t="s">
        <v>780</v>
      </c>
      <c r="BI54" s="454"/>
      <c r="BJ54" s="454"/>
    </row>
    <row r="55" spans="2:62" ht="13" x14ac:dyDescent="0.3">
      <c r="B55" s="721" t="s">
        <v>112</v>
      </c>
      <c r="C55" s="722">
        <v>0</v>
      </c>
      <c r="D55" s="722">
        <v>0</v>
      </c>
      <c r="E55" s="722"/>
      <c r="F55" s="722"/>
      <c r="G55" s="722"/>
      <c r="H55" s="722"/>
      <c r="I55" s="722"/>
      <c r="J55" s="722"/>
      <c r="K55" s="362">
        <v>0</v>
      </c>
      <c r="L55" s="722"/>
      <c r="M55" s="722"/>
      <c r="N55" s="722"/>
      <c r="O55" s="722"/>
      <c r="P55" s="722"/>
      <c r="Q55" s="686">
        <v>0</v>
      </c>
      <c r="R55" s="722">
        <v>0</v>
      </c>
      <c r="S55" s="695">
        <v>0</v>
      </c>
      <c r="T55" s="696">
        <v>0</v>
      </c>
      <c r="AA55" s="754"/>
      <c r="AB55" s="754"/>
      <c r="AC55" s="754"/>
      <c r="AD55" s="754"/>
      <c r="AE55" s="754"/>
      <c r="AF55" s="754"/>
      <c r="AG55" s="754"/>
      <c r="AH55" s="754"/>
      <c r="AI55" s="754"/>
      <c r="AJ55" s="754"/>
      <c r="AK55" s="754"/>
      <c r="AL55" s="754"/>
      <c r="AM55" s="754"/>
      <c r="AN55" s="754"/>
      <c r="AO55" s="753"/>
      <c r="AP55" s="753"/>
      <c r="AQ55" s="755">
        <f>R34</f>
        <v>694579</v>
      </c>
      <c r="AR55" s="352"/>
      <c r="AU55" s="352"/>
      <c r="AV55" s="352"/>
      <c r="AW55" s="353"/>
      <c r="BA55" s="352"/>
      <c r="BJ55" s="352"/>
    </row>
    <row r="56" spans="2:62" x14ac:dyDescent="0.25">
      <c r="B56" s="741" t="s">
        <v>113</v>
      </c>
      <c r="C56" s="742">
        <v>41759636</v>
      </c>
      <c r="D56" s="743">
        <v>3479969.6666666665</v>
      </c>
      <c r="E56" s="743">
        <v>3073400.44</v>
      </c>
      <c r="F56" s="744">
        <v>3071770.6</v>
      </c>
      <c r="G56" s="742">
        <v>3260328.1</v>
      </c>
      <c r="H56" s="742">
        <v>4013875.1</v>
      </c>
      <c r="I56" s="742">
        <v>3401383.48</v>
      </c>
      <c r="J56" s="742">
        <v>3787532</v>
      </c>
      <c r="K56" s="362">
        <v>3335758</v>
      </c>
      <c r="L56" s="742"/>
      <c r="M56" s="742"/>
      <c r="N56" s="742"/>
      <c r="O56" s="742"/>
      <c r="P56" s="742"/>
      <c r="Q56" s="744">
        <v>24359787.666666664</v>
      </c>
      <c r="R56" s="742">
        <v>23944047.719999999</v>
      </c>
      <c r="S56" s="742">
        <v>415739.94666666671</v>
      </c>
      <c r="T56" s="742">
        <v>415739.94666666538</v>
      </c>
      <c r="AO56" s="352"/>
      <c r="AP56" s="352"/>
      <c r="AQ56" s="352"/>
      <c r="AR56" s="352"/>
      <c r="AS56" s="352"/>
      <c r="AT56" s="353"/>
      <c r="AU56" s="352"/>
      <c r="AV56" s="352"/>
      <c r="AW56" s="352"/>
      <c r="BA56" s="352"/>
      <c r="BJ56" s="352"/>
    </row>
    <row r="57" spans="2:62" ht="13" x14ac:dyDescent="0.3">
      <c r="B57" s="52" t="s">
        <v>118</v>
      </c>
      <c r="C57" s="383">
        <v>356841927.21000004</v>
      </c>
      <c r="D57" s="435">
        <v>29736827.267500002</v>
      </c>
      <c r="E57" s="362">
        <v>29096206.32</v>
      </c>
      <c r="F57" s="382">
        <v>28666715.600000001</v>
      </c>
      <c r="G57" s="382">
        <v>29124953.100000001</v>
      </c>
      <c r="H57" s="382">
        <v>26968598.100000001</v>
      </c>
      <c r="I57" s="665">
        <v>29889745.48</v>
      </c>
      <c r="J57" s="665">
        <v>26648874</v>
      </c>
      <c r="K57" s="362">
        <v>29171361</v>
      </c>
      <c r="L57" s="665">
        <v>0</v>
      </c>
      <c r="M57" s="665">
        <v>0</v>
      </c>
      <c r="N57" s="666">
        <v>0</v>
      </c>
      <c r="O57" s="666">
        <v>0</v>
      </c>
      <c r="P57" s="666">
        <v>0</v>
      </c>
      <c r="Q57" s="373">
        <v>208157790.8725</v>
      </c>
      <c r="R57" s="378">
        <v>199566453.59999999</v>
      </c>
      <c r="S57" s="662">
        <v>8283774.1891666902</v>
      </c>
      <c r="T57" s="667">
        <v>8591337.2725000307</v>
      </c>
      <c r="AA57" s="772"/>
      <c r="AB57" s="772"/>
      <c r="AC57" s="774" t="s">
        <v>1237</v>
      </c>
      <c r="AD57" s="772"/>
      <c r="AE57" s="772"/>
      <c r="AF57" s="772"/>
      <c r="AH57" s="784" t="s">
        <v>1239</v>
      </c>
      <c r="AI57" s="785"/>
      <c r="AJ57" s="785"/>
      <c r="AK57" s="785"/>
      <c r="AL57" s="785"/>
      <c r="AM57" s="785"/>
      <c r="AN57" s="785"/>
      <c r="AO57" s="786"/>
      <c r="AP57" s="786"/>
      <c r="AQ57" s="786"/>
      <c r="AR57" s="454"/>
      <c r="AS57" s="454"/>
      <c r="AT57" s="454"/>
      <c r="AU57" s="454"/>
      <c r="AV57" s="454"/>
      <c r="AW57" s="454"/>
      <c r="BA57" s="352"/>
      <c r="BJ57" s="352"/>
    </row>
    <row r="58" spans="2:62" ht="13" x14ac:dyDescent="0.3">
      <c r="B58" s="724"/>
      <c r="C58" s="725"/>
      <c r="D58" s="726"/>
      <c r="E58" s="726"/>
      <c r="F58" s="727"/>
      <c r="G58" s="727"/>
      <c r="H58" s="727"/>
      <c r="I58" s="727"/>
      <c r="J58" s="727"/>
      <c r="K58" s="362">
        <f>'ESTAD RESUL JULIO 2025'!K58</f>
        <v>0</v>
      </c>
      <c r="L58" s="727"/>
      <c r="M58" s="727"/>
      <c r="N58" s="728"/>
      <c r="O58" s="728"/>
      <c r="P58" s="728"/>
      <c r="Q58" s="727"/>
      <c r="R58" s="727"/>
      <c r="S58" s="729"/>
      <c r="T58" s="730"/>
      <c r="AA58" s="771" t="s">
        <v>785</v>
      </c>
      <c r="AB58" s="780"/>
      <c r="AC58" s="781">
        <f>AC37/AC36</f>
        <v>0.9013891009822258</v>
      </c>
      <c r="AD58" s="776">
        <f>R34</f>
        <v>694579</v>
      </c>
      <c r="AE58" s="776"/>
      <c r="AF58" s="776"/>
      <c r="AG58" s="352"/>
      <c r="AH58" s="787" t="s">
        <v>785</v>
      </c>
      <c r="AI58" s="787"/>
      <c r="AJ58" s="788">
        <f>R19/R8</f>
        <v>0.15580982992344411</v>
      </c>
      <c r="AK58" s="788"/>
      <c r="AL58" s="785"/>
      <c r="AM58" s="785"/>
      <c r="AN58" s="785"/>
      <c r="AO58" s="787"/>
      <c r="AP58" s="787"/>
      <c r="AQ58" s="787"/>
      <c r="AR58" s="352"/>
      <c r="AS58" s="352"/>
      <c r="AT58" s="352"/>
      <c r="AU58" s="352"/>
      <c r="AV58" s="352"/>
      <c r="AW58" s="352"/>
      <c r="BA58" s="352"/>
      <c r="BJ58" s="352"/>
    </row>
    <row r="59" spans="2:62" ht="13" x14ac:dyDescent="0.3">
      <c r="B59" s="731" t="s">
        <v>219</v>
      </c>
      <c r="C59" s="732">
        <f>SUM(C60:C64)</f>
        <v>0</v>
      </c>
      <c r="D59" s="733"/>
      <c r="E59" s="733">
        <f>SUM(E60:E65)</f>
        <v>451228.69</v>
      </c>
      <c r="F59" s="734">
        <f>SUM(F60:F64)</f>
        <v>472103.33999999997</v>
      </c>
      <c r="G59" s="735">
        <f>SUM(G60:G64)</f>
        <v>455679.26</v>
      </c>
      <c r="H59" s="735">
        <f>SUM(H60:H64)</f>
        <v>411197.13</v>
      </c>
      <c r="I59" s="735">
        <f>SUM(I60:I65)</f>
        <v>713029.05</v>
      </c>
      <c r="J59" s="735">
        <f>SUM(J60:J65)</f>
        <v>414671.35999999999</v>
      </c>
      <c r="K59" s="362">
        <f>'ESTAD RESUL JULIO 2025'!K59</f>
        <v>602175.76</v>
      </c>
      <c r="L59" s="735">
        <f t="shared" ref="L59:S59" si="1">SUM(L60:L64)</f>
        <v>0</v>
      </c>
      <c r="M59" s="735">
        <f t="shared" si="1"/>
        <v>0</v>
      </c>
      <c r="N59" s="736">
        <f t="shared" si="1"/>
        <v>0</v>
      </c>
      <c r="O59" s="736">
        <f t="shared" si="1"/>
        <v>0</v>
      </c>
      <c r="P59" s="736">
        <f t="shared" si="1"/>
        <v>0</v>
      </c>
      <c r="Q59" s="735">
        <f t="shared" si="1"/>
        <v>0</v>
      </c>
      <c r="R59" s="737">
        <f t="shared" si="1"/>
        <v>3271631.85</v>
      </c>
      <c r="S59" s="738">
        <f t="shared" si="1"/>
        <v>-3271631.85</v>
      </c>
      <c r="T59" s="739">
        <f>+R59</f>
        <v>3271631.85</v>
      </c>
      <c r="AA59" s="771"/>
      <c r="AB59" s="780"/>
      <c r="AC59" s="781"/>
      <c r="AD59" s="771"/>
      <c r="AE59" s="771"/>
      <c r="AF59" s="771"/>
      <c r="AG59" s="352"/>
      <c r="AH59" s="787"/>
      <c r="AI59" s="787"/>
      <c r="AJ59" s="788"/>
      <c r="AK59" s="788"/>
      <c r="AL59" s="785"/>
      <c r="AM59" s="785"/>
      <c r="AN59" s="785"/>
      <c r="AO59" s="787"/>
      <c r="AP59" s="787"/>
      <c r="AQ59" s="787"/>
      <c r="AR59" s="352"/>
      <c r="AS59" s="352"/>
      <c r="AT59" s="352"/>
      <c r="AU59" s="352"/>
      <c r="AV59" s="352"/>
      <c r="AW59" s="352"/>
      <c r="BA59" s="352"/>
      <c r="BJ59" s="352"/>
    </row>
    <row r="60" spans="2:62" x14ac:dyDescent="0.25">
      <c r="B60" s="731" t="s">
        <v>121</v>
      </c>
      <c r="C60" s="732"/>
      <c r="D60" s="733"/>
      <c r="E60" s="733">
        <v>69013</v>
      </c>
      <c r="F60" s="734">
        <v>95407</v>
      </c>
      <c r="G60" s="734">
        <v>139518</v>
      </c>
      <c r="H60" s="734">
        <v>92495</v>
      </c>
      <c r="I60" s="734">
        <v>136086</v>
      </c>
      <c r="J60" s="734">
        <v>108094</v>
      </c>
      <c r="K60" s="362">
        <f>'ESTAD RESUL JULIO 2025'!K60</f>
        <v>249985</v>
      </c>
      <c r="L60" s="734"/>
      <c r="M60" s="734"/>
      <c r="N60" s="740"/>
      <c r="O60" s="740"/>
      <c r="P60" s="740"/>
      <c r="Q60" s="735">
        <v>0</v>
      </c>
      <c r="R60" s="734">
        <f>SUM(E60:P60)</f>
        <v>890598</v>
      </c>
      <c r="S60" s="738">
        <f>+Q60-R60</f>
        <v>-890598</v>
      </c>
      <c r="T60" s="739"/>
      <c r="AA60" s="771" t="s">
        <v>786</v>
      </c>
      <c r="AB60" s="780"/>
      <c r="AC60" s="781">
        <f>AC33/AC32</f>
        <v>0.97849529229500465</v>
      </c>
      <c r="AD60" s="776"/>
      <c r="AE60" s="776"/>
      <c r="AF60" s="776"/>
      <c r="AG60" s="352"/>
      <c r="AH60" s="787" t="s">
        <v>786</v>
      </c>
      <c r="AI60" s="788"/>
      <c r="AJ60" s="788">
        <f>R29/R8</f>
        <v>9.9154986448943758E-3</v>
      </c>
      <c r="AK60" s="788"/>
      <c r="AL60" s="785"/>
      <c r="AM60" s="785"/>
      <c r="AN60" s="785"/>
      <c r="AO60" s="787"/>
      <c r="AP60" s="787"/>
      <c r="AQ60" s="787"/>
      <c r="AR60" s="352"/>
      <c r="AS60" s="352"/>
      <c r="AT60" s="352"/>
      <c r="AU60" s="352"/>
      <c r="AV60" s="352"/>
      <c r="AW60" s="352"/>
      <c r="BA60" s="454"/>
      <c r="BJ60" s="454"/>
    </row>
    <row r="61" spans="2:62" ht="13" x14ac:dyDescent="0.3">
      <c r="B61" s="731" t="s">
        <v>122</v>
      </c>
      <c r="C61" s="732"/>
      <c r="D61" s="733"/>
      <c r="E61" s="733">
        <f>669.24+123715.45</f>
        <v>124384.69</v>
      </c>
      <c r="F61" s="734">
        <f>52094.04+1011.3</f>
        <v>53105.340000000004</v>
      </c>
      <c r="G61" s="735">
        <f>57021.36+1056.9</f>
        <v>58078.26</v>
      </c>
      <c r="H61" s="735">
        <f>1143+59728.13</f>
        <v>60871.13</v>
      </c>
      <c r="I61" s="735">
        <v>67835.31</v>
      </c>
      <c r="J61" s="735">
        <v>48746.36</v>
      </c>
      <c r="K61" s="362">
        <f>'ESTAD RESUL JULIO 2025'!K61</f>
        <v>92232.760000000009</v>
      </c>
      <c r="L61" s="735"/>
      <c r="M61" s="735"/>
      <c r="N61" s="736"/>
      <c r="O61" s="736"/>
      <c r="P61" s="736"/>
      <c r="Q61" s="735">
        <v>0</v>
      </c>
      <c r="R61" s="737">
        <f>SUM(E61:P61)</f>
        <v>505253.85</v>
      </c>
      <c r="S61" s="738">
        <f>+Q61-R61</f>
        <v>-505253.85</v>
      </c>
      <c r="T61" s="739"/>
      <c r="AA61" s="771"/>
      <c r="AB61" s="780"/>
      <c r="AC61" s="781"/>
      <c r="AD61" s="771"/>
      <c r="AE61" s="771"/>
      <c r="AF61" s="771"/>
      <c r="AG61" s="352"/>
      <c r="AH61" s="787"/>
      <c r="AI61" s="788"/>
      <c r="AJ61" s="788"/>
      <c r="AK61" s="788"/>
      <c r="AL61" s="785"/>
      <c r="AM61" s="785"/>
      <c r="AN61" s="785"/>
      <c r="AO61" s="787"/>
      <c r="AP61" s="787"/>
      <c r="AQ61" s="787"/>
      <c r="AR61" s="353"/>
      <c r="AS61" s="352"/>
      <c r="AT61" s="352"/>
      <c r="AU61" s="352"/>
      <c r="AV61" s="352"/>
      <c r="AW61" s="352"/>
      <c r="BA61" s="352"/>
      <c r="BJ61" s="352"/>
    </row>
    <row r="62" spans="2:62" x14ac:dyDescent="0.25">
      <c r="B62" s="731" t="s">
        <v>1227</v>
      </c>
      <c r="C62" s="732"/>
      <c r="D62" s="733"/>
      <c r="E62" s="733"/>
      <c r="F62" s="734">
        <v>0</v>
      </c>
      <c r="G62" s="734"/>
      <c r="H62" s="734"/>
      <c r="I62" s="734">
        <v>0</v>
      </c>
      <c r="J62" s="734">
        <v>0</v>
      </c>
      <c r="K62" s="362">
        <f>'ESTAD RESUL JULIO 2025'!K62</f>
        <v>0</v>
      </c>
      <c r="L62" s="734"/>
      <c r="M62" s="734"/>
      <c r="N62" s="740"/>
      <c r="O62" s="740"/>
      <c r="P62" s="740"/>
      <c r="Q62" s="735">
        <v>0</v>
      </c>
      <c r="R62" s="734">
        <f>SUM(E62:P62)</f>
        <v>0</v>
      </c>
      <c r="S62" s="738">
        <f>+Q62-R62</f>
        <v>0</v>
      </c>
      <c r="T62" s="739"/>
      <c r="AA62" s="771" t="s">
        <v>98</v>
      </c>
      <c r="AB62" s="780"/>
      <c r="AC62" s="781">
        <f>AC41/AC40</f>
        <v>0.92033007575757686</v>
      </c>
      <c r="AD62" s="776"/>
      <c r="AE62" s="776"/>
      <c r="AF62" s="776"/>
      <c r="AG62" s="352"/>
      <c r="AH62" s="787" t="s">
        <v>98</v>
      </c>
      <c r="AI62" s="788"/>
      <c r="AJ62" s="788">
        <f>R42/R8</f>
        <v>3.9035482105979728E-2</v>
      </c>
      <c r="AK62" s="788"/>
      <c r="AL62" s="785"/>
      <c r="AM62" s="785"/>
      <c r="AN62" s="785"/>
      <c r="AO62" s="787"/>
      <c r="AP62" s="787"/>
      <c r="AQ62" s="789"/>
      <c r="AR62" s="352"/>
      <c r="AS62" s="353"/>
      <c r="AT62" s="352"/>
      <c r="AU62" s="352"/>
      <c r="AV62" s="352"/>
      <c r="AW62" s="352"/>
      <c r="BA62" s="352"/>
      <c r="BJ62" s="352"/>
    </row>
    <row r="63" spans="2:62" ht="12.5" customHeight="1" x14ac:dyDescent="0.25">
      <c r="B63" s="106" t="s">
        <v>123</v>
      </c>
      <c r="C63" s="376"/>
      <c r="D63" s="361"/>
      <c r="E63" s="361">
        <v>257831</v>
      </c>
      <c r="F63" s="364">
        <v>323591</v>
      </c>
      <c r="G63" s="382">
        <v>257831</v>
      </c>
      <c r="H63" s="382">
        <v>257831</v>
      </c>
      <c r="I63" s="382">
        <v>257831</v>
      </c>
      <c r="J63" s="665">
        <v>257831</v>
      </c>
      <c r="K63" s="362">
        <f>'ESTAD RESUL JULIO 2025'!K63</f>
        <v>259958</v>
      </c>
      <c r="L63" s="665"/>
      <c r="M63" s="665"/>
      <c r="N63" s="666"/>
      <c r="O63" s="666"/>
      <c r="P63" s="666"/>
      <c r="Q63" s="382">
        <v>0</v>
      </c>
      <c r="R63" s="370">
        <f>SUM(E63:P63)</f>
        <v>1872704</v>
      </c>
      <c r="S63" s="668">
        <f>+Q63-R63</f>
        <v>-1872704</v>
      </c>
      <c r="T63" s="657"/>
      <c r="AA63" s="775"/>
      <c r="AB63" s="782"/>
      <c r="AC63" s="783"/>
      <c r="AD63" s="775"/>
      <c r="AE63" s="775"/>
      <c r="AF63" s="775"/>
      <c r="AG63" s="454"/>
      <c r="AH63" s="786"/>
      <c r="AI63" s="788"/>
      <c r="AJ63" s="791"/>
      <c r="AK63" s="791"/>
      <c r="AL63" s="785"/>
      <c r="AM63" s="785"/>
      <c r="AN63" s="785"/>
      <c r="AO63" s="787"/>
      <c r="AP63" s="787"/>
      <c r="AQ63" s="789"/>
      <c r="AR63" s="454"/>
      <c r="AS63" s="454"/>
      <c r="AT63" s="454"/>
      <c r="AU63" s="454"/>
      <c r="AV63" s="454"/>
      <c r="AW63" s="454"/>
      <c r="BA63" s="352"/>
      <c r="BJ63" s="352"/>
    </row>
    <row r="64" spans="2:62" x14ac:dyDescent="0.25">
      <c r="B64" s="271" t="s">
        <v>124</v>
      </c>
      <c r="C64" s="384"/>
      <c r="D64" s="385"/>
      <c r="E64" s="669"/>
      <c r="F64" s="669"/>
      <c r="G64" s="385">
        <v>252</v>
      </c>
      <c r="H64" s="385"/>
      <c r="I64" s="385">
        <f>2321+503</f>
        <v>2824</v>
      </c>
      <c r="J64" s="385">
        <v>0</v>
      </c>
      <c r="K64" s="362">
        <f>'ESTAD RESUL JULIO 2025'!K64</f>
        <v>0</v>
      </c>
      <c r="L64" s="385"/>
      <c r="M64" s="385"/>
      <c r="N64" s="386"/>
      <c r="O64" s="386"/>
      <c r="P64" s="386"/>
      <c r="Q64" s="382">
        <v>0</v>
      </c>
      <c r="R64" s="670">
        <f>SUM(E64:P64)</f>
        <v>3076</v>
      </c>
      <c r="S64" s="670">
        <f>+Q64-R64</f>
        <v>-3076</v>
      </c>
      <c r="T64" s="670"/>
      <c r="AA64" s="771"/>
      <c r="AB64" s="780"/>
      <c r="AC64" s="781"/>
      <c r="AD64" s="776"/>
      <c r="AE64" s="776"/>
      <c r="AF64" s="776"/>
      <c r="AG64" s="352"/>
      <c r="AH64" s="787"/>
      <c r="AI64" s="788"/>
      <c r="AJ64" s="788"/>
      <c r="AK64" s="788"/>
      <c r="AL64" s="785"/>
      <c r="AM64" s="785"/>
      <c r="AN64" s="785"/>
      <c r="AO64" s="786"/>
      <c r="AP64" s="786"/>
      <c r="AQ64" s="786"/>
      <c r="AR64" s="352"/>
      <c r="AS64" s="352"/>
      <c r="AT64" s="352"/>
      <c r="AU64" s="352"/>
      <c r="AV64" s="352"/>
      <c r="AW64" s="352"/>
      <c r="BA64" s="352"/>
      <c r="BJ64" s="352"/>
    </row>
    <row r="65" spans="2:62" x14ac:dyDescent="0.25">
      <c r="B65" s="415" t="s">
        <v>1410</v>
      </c>
      <c r="C65" s="353"/>
      <c r="D65" s="353"/>
      <c r="E65" s="353"/>
      <c r="F65" s="387"/>
      <c r="G65" s="387"/>
      <c r="H65" s="387"/>
      <c r="I65" s="387">
        <v>248452.74</v>
      </c>
      <c r="J65" s="352">
        <v>0</v>
      </c>
      <c r="K65" s="362">
        <f>'ESTAD RESUL JULIO 2025'!K65</f>
        <v>0</v>
      </c>
      <c r="O65" s="388"/>
      <c r="P65" s="388"/>
      <c r="R65" s="671"/>
      <c r="T65" s="667"/>
      <c r="AA65" s="771" t="s">
        <v>104</v>
      </c>
      <c r="AB65" s="780"/>
      <c r="AC65" s="781">
        <f>AC45/AC44</f>
        <v>0.9829333509653061</v>
      </c>
      <c r="AD65" s="771"/>
      <c r="AE65" s="771"/>
      <c r="AF65" s="771"/>
      <c r="AG65" s="352"/>
      <c r="AH65" s="787" t="s">
        <v>104</v>
      </c>
      <c r="AI65" s="788"/>
      <c r="AJ65" s="788">
        <f>R55/R8</f>
        <v>0</v>
      </c>
      <c r="AK65" s="788"/>
      <c r="AL65" s="785"/>
      <c r="AM65" s="785"/>
      <c r="AN65" s="785"/>
      <c r="AO65" s="787"/>
      <c r="AP65" s="787"/>
      <c r="AQ65" s="787"/>
      <c r="AR65" s="352"/>
      <c r="AS65" s="352"/>
      <c r="AT65" s="352"/>
      <c r="AU65" s="352"/>
      <c r="AV65" s="352"/>
      <c r="AW65" s="352"/>
      <c r="BA65" s="352"/>
      <c r="BJ65" s="352"/>
    </row>
    <row r="66" spans="2:62" x14ac:dyDescent="0.25">
      <c r="B66" s="672" t="s">
        <v>566</v>
      </c>
      <c r="C66" s="408">
        <f>+C8-C57</f>
        <v>-0.21000003814697266</v>
      </c>
      <c r="D66" s="408">
        <f>+D8-D57</f>
        <v>-1.7500001937150955E-2</v>
      </c>
      <c r="E66" s="408">
        <f t="shared" ref="E66:J66" si="2">+E8-E57+E59</f>
        <v>56589.369999999704</v>
      </c>
      <c r="F66" s="408">
        <f t="shared" si="2"/>
        <v>506954.73999999848</v>
      </c>
      <c r="G66" s="408">
        <f t="shared" si="2"/>
        <v>32293.159999998519</v>
      </c>
      <c r="H66" s="408">
        <f t="shared" si="2"/>
        <v>6280234.0299999984</v>
      </c>
      <c r="I66" s="408">
        <f t="shared" si="2"/>
        <v>558867.5699999996</v>
      </c>
      <c r="J66" s="408">
        <f t="shared" si="2"/>
        <v>3501381.36</v>
      </c>
      <c r="K66" s="362">
        <f>'ESTAD RESUL JULIO 2025'!K66</f>
        <v>1166398.76</v>
      </c>
      <c r="L66" s="408"/>
      <c r="M66" s="408">
        <f>+M8-M57+M59</f>
        <v>0</v>
      </c>
      <c r="N66" s="673">
        <f>+N8-N57+N59</f>
        <v>0</v>
      </c>
      <c r="O66" s="407">
        <f>+O8-O57+O59</f>
        <v>0</v>
      </c>
      <c r="P66" s="407">
        <f>+P8-P57+P59</f>
        <v>0</v>
      </c>
      <c r="Q66" s="356">
        <v>0</v>
      </c>
      <c r="R66" s="370">
        <f>+R8-R57+R59</f>
        <v>11854266.250000006</v>
      </c>
      <c r="S66" s="389">
        <f>+S8-S57+S59</f>
        <v>-11546703.289166691</v>
      </c>
      <c r="T66" s="44">
        <f>+T57-T8+T59</f>
        <v>11854266.37250003</v>
      </c>
      <c r="AA66" s="771"/>
      <c r="AB66" s="780"/>
      <c r="AC66" s="771"/>
      <c r="AD66" s="776"/>
      <c r="AE66" s="776"/>
      <c r="AF66" s="776"/>
      <c r="AG66" s="352"/>
      <c r="AH66" s="789"/>
      <c r="AI66" s="788"/>
      <c r="AJ66" s="788"/>
      <c r="AK66" s="788"/>
      <c r="AL66" s="785"/>
      <c r="AM66" s="785"/>
      <c r="AN66" s="785"/>
      <c r="AO66" s="787"/>
      <c r="AP66" s="787"/>
      <c r="AQ66" s="787"/>
      <c r="AR66" s="352"/>
      <c r="AS66" s="352"/>
      <c r="AT66" s="352"/>
      <c r="AU66" s="352"/>
      <c r="AV66" s="352"/>
      <c r="AW66" s="352"/>
      <c r="BA66" s="454"/>
      <c r="BJ66" s="352"/>
    </row>
    <row r="67" spans="2:62" x14ac:dyDescent="0.25">
      <c r="B67" s="289"/>
      <c r="C67" s="474"/>
      <c r="D67" s="474"/>
      <c r="E67" s="474"/>
      <c r="F67" s="674">
        <f>SUM(E66:F66)</f>
        <v>563544.10999999824</v>
      </c>
      <c r="G67" s="474">
        <f>SUM(E66:G66)</f>
        <v>595837.26999999676</v>
      </c>
      <c r="H67" s="474">
        <f>SUM(E66:H66)</f>
        <v>6876071.2999999952</v>
      </c>
      <c r="I67" s="474">
        <f>SUM(E66:I66)</f>
        <v>7434938.8699999945</v>
      </c>
      <c r="J67" s="474"/>
      <c r="K67" s="404"/>
      <c r="L67" s="474"/>
      <c r="M67" s="440"/>
      <c r="N67" s="664"/>
      <c r="O67" s="474"/>
      <c r="P67" s="474"/>
      <c r="Q67" s="440"/>
      <c r="R67" s="440"/>
      <c r="S67" s="405"/>
      <c r="T67" s="145"/>
      <c r="AA67" s="771" t="s">
        <v>1238</v>
      </c>
      <c r="AB67" s="780"/>
      <c r="AC67" s="781">
        <f>R56/Q56</f>
        <v>0.9829333509653061</v>
      </c>
      <c r="AD67" s="771"/>
      <c r="AE67" s="771"/>
      <c r="AF67" s="771"/>
      <c r="AG67" s="352"/>
      <c r="AH67" s="787"/>
      <c r="AI67" s="788"/>
      <c r="AJ67" s="787"/>
      <c r="AK67" s="787"/>
      <c r="AL67" s="785"/>
      <c r="AM67" s="785"/>
      <c r="AN67" s="785"/>
      <c r="AO67" s="787"/>
      <c r="AP67" s="787"/>
      <c r="AQ67" s="787"/>
      <c r="AR67" s="352"/>
      <c r="AS67" s="352"/>
      <c r="AT67" s="352"/>
      <c r="AU67" s="352"/>
      <c r="AV67" s="352"/>
      <c r="AW67" s="352"/>
      <c r="BA67" s="352"/>
      <c r="BJ67" s="454"/>
    </row>
    <row r="68" spans="2:62" ht="21" customHeight="1" x14ac:dyDescent="0.25">
      <c r="B68" s="289"/>
      <c r="C68" s="474"/>
      <c r="D68" s="474"/>
      <c r="E68" s="474"/>
      <c r="F68" s="474"/>
      <c r="G68" s="474"/>
      <c r="H68" s="474"/>
      <c r="I68" s="474">
        <f>SUM(E66:I66)</f>
        <v>7434938.8699999945</v>
      </c>
      <c r="J68" s="440">
        <f>SUM(E66:J66)</f>
        <v>10936320.229999995</v>
      </c>
      <c r="K68" s="675"/>
      <c r="L68" s="440"/>
      <c r="M68" s="474"/>
      <c r="N68" s="664" t="s">
        <v>33</v>
      </c>
      <c r="O68" s="474" t="s">
        <v>33</v>
      </c>
      <c r="P68" s="474"/>
      <c r="Q68" s="474"/>
      <c r="R68" s="440"/>
      <c r="S68" s="405">
        <f>+R66+S66</f>
        <v>307562.96083331481</v>
      </c>
      <c r="T68" s="145"/>
      <c r="AA68" s="774"/>
      <c r="AB68" s="780"/>
      <c r="AC68" s="772"/>
      <c r="AD68" s="778"/>
      <c r="AE68" s="778"/>
      <c r="AF68" s="778"/>
      <c r="AG68" s="352"/>
      <c r="AH68" s="789"/>
      <c r="AI68" s="788"/>
      <c r="AJ68" s="787"/>
      <c r="AK68" s="787"/>
      <c r="AL68" s="787"/>
      <c r="AM68" s="787"/>
      <c r="AN68" s="787"/>
      <c r="AO68" s="787"/>
      <c r="AP68" s="787"/>
      <c r="AQ68" s="787"/>
      <c r="AR68" s="454"/>
      <c r="AS68" s="454"/>
      <c r="AT68" s="454"/>
      <c r="AU68" s="454"/>
      <c r="AV68" s="454"/>
      <c r="AW68" s="454"/>
      <c r="BA68" s="352"/>
      <c r="BJ68" s="352"/>
    </row>
    <row r="69" spans="2:62" x14ac:dyDescent="0.25">
      <c r="B69" s="2" t="s">
        <v>456</v>
      </c>
      <c r="F69" s="391" t="s">
        <v>40</v>
      </c>
      <c r="K69" s="3" t="s">
        <v>40</v>
      </c>
      <c r="M69" s="353"/>
      <c r="Q69" s="353"/>
      <c r="R69" s="353">
        <v>-41875789.93</v>
      </c>
      <c r="AA69" s="454"/>
      <c r="AB69" s="457"/>
      <c r="AC69" s="454"/>
      <c r="AD69" s="454"/>
      <c r="AE69" s="454"/>
      <c r="AF69" s="454"/>
      <c r="AG69" s="454"/>
      <c r="AH69" s="787"/>
      <c r="AI69" s="790"/>
      <c r="AJ69" s="787"/>
      <c r="AK69" s="787"/>
      <c r="AL69" s="786"/>
      <c r="AM69" s="786"/>
      <c r="AN69" s="786"/>
      <c r="AO69" s="786"/>
      <c r="AP69" s="786"/>
      <c r="AQ69" s="786"/>
      <c r="AR69" s="352"/>
      <c r="AS69" s="352"/>
      <c r="AT69" s="352"/>
      <c r="AU69" s="352"/>
      <c r="AV69" s="352"/>
      <c r="AW69" s="352"/>
      <c r="BA69" s="352"/>
      <c r="BB69" s="352"/>
      <c r="BC69" s="352"/>
      <c r="BD69" s="352"/>
      <c r="BE69" s="353"/>
      <c r="BF69" s="352"/>
      <c r="BG69" s="352"/>
      <c r="BH69" s="352"/>
      <c r="BI69" s="352"/>
      <c r="BJ69" s="352"/>
    </row>
    <row r="70" spans="2:62" x14ac:dyDescent="0.25">
      <c r="B70" s="2" t="s">
        <v>119</v>
      </c>
      <c r="F70" s="352" t="s">
        <v>48</v>
      </c>
      <c r="J70" s="353"/>
      <c r="K70" s="1" t="s">
        <v>48</v>
      </c>
      <c r="L70" s="353"/>
      <c r="O70" s="352" t="s">
        <v>33</v>
      </c>
      <c r="R70" s="353">
        <f>+R68-R69</f>
        <v>41875789.93</v>
      </c>
      <c r="AA70" s="352"/>
      <c r="AB70" s="457"/>
      <c r="AC70" s="352"/>
      <c r="AD70" s="352"/>
      <c r="AE70" s="352"/>
      <c r="AF70" s="352"/>
      <c r="AG70" s="352"/>
      <c r="AH70" s="787"/>
      <c r="AI70" s="790"/>
      <c r="AJ70" s="786"/>
      <c r="AK70" s="786"/>
      <c r="AL70" s="787"/>
      <c r="AM70" s="787"/>
      <c r="AN70" s="787"/>
      <c r="AO70" s="787"/>
      <c r="AP70" s="787"/>
      <c r="AQ70" s="787"/>
      <c r="AR70" s="352"/>
      <c r="AS70" s="352"/>
      <c r="AT70" s="352"/>
      <c r="AU70" s="352"/>
      <c r="AV70" s="352"/>
      <c r="AW70" s="352"/>
      <c r="BA70" s="352"/>
      <c r="BB70" s="352"/>
      <c r="BC70" s="352"/>
      <c r="BD70" s="352"/>
      <c r="BE70" s="352"/>
      <c r="BF70" s="352"/>
      <c r="BG70" s="352"/>
      <c r="BH70" s="352"/>
      <c r="BI70" s="352"/>
      <c r="BJ70" s="352"/>
    </row>
    <row r="71" spans="2:62" x14ac:dyDescent="0.25">
      <c r="I71" s="353"/>
      <c r="P71" s="370"/>
      <c r="R71" s="353" t="s">
        <v>33</v>
      </c>
      <c r="AA71" s="352"/>
      <c r="AB71" s="457"/>
      <c r="AC71" s="352"/>
      <c r="AD71" s="42"/>
      <c r="AE71" s="42"/>
      <c r="AF71" s="42"/>
      <c r="AG71" s="352"/>
      <c r="AH71" s="789"/>
      <c r="AI71" s="790"/>
      <c r="AJ71" s="787"/>
      <c r="AK71" s="787"/>
      <c r="AL71" s="787"/>
      <c r="AM71" s="787"/>
      <c r="AN71" s="787"/>
      <c r="AO71" s="787"/>
      <c r="AP71" s="787"/>
      <c r="AQ71" s="787"/>
      <c r="AR71" s="352"/>
      <c r="AS71" s="352"/>
      <c r="AT71" s="352"/>
      <c r="AU71" s="352"/>
      <c r="AV71" s="352"/>
      <c r="AW71" s="352"/>
    </row>
    <row r="72" spans="2:62" hidden="1" x14ac:dyDescent="0.25">
      <c r="O72" s="388" t="s">
        <v>33</v>
      </c>
      <c r="AA72" s="352"/>
      <c r="AD72" s="352"/>
      <c r="AE72" s="352"/>
      <c r="AF72" s="352"/>
      <c r="AG72" s="352"/>
      <c r="AH72" s="787"/>
      <c r="AI72" s="787"/>
      <c r="AJ72" s="787"/>
      <c r="AK72" s="787"/>
      <c r="AL72" s="787"/>
      <c r="AM72" s="787"/>
      <c r="AN72" s="787"/>
      <c r="AO72" s="787"/>
      <c r="AP72" s="787"/>
      <c r="AQ72" s="787"/>
      <c r="AR72" s="352"/>
      <c r="AS72" s="352"/>
      <c r="AT72" s="352"/>
      <c r="AU72" s="352"/>
      <c r="AV72" s="352"/>
      <c r="AW72" s="352"/>
    </row>
    <row r="73" spans="2:62" ht="17.5" hidden="1" x14ac:dyDescent="0.25">
      <c r="B73" s="49" t="s">
        <v>114</v>
      </c>
      <c r="C73" s="48"/>
      <c r="D73" s="436"/>
      <c r="E73" s="45"/>
      <c r="F73" s="46"/>
      <c r="G73" s="46"/>
      <c r="H73" s="392"/>
      <c r="I73" s="392"/>
      <c r="J73" s="392"/>
      <c r="K73" s="392"/>
      <c r="L73" s="392"/>
      <c r="M73" s="392"/>
      <c r="N73" s="393"/>
      <c r="O73" s="392"/>
      <c r="P73" s="392"/>
      <c r="Q73" s="392"/>
      <c r="R73" s="394"/>
      <c r="AA73" s="454"/>
      <c r="AD73" s="454"/>
      <c r="AE73" s="454"/>
      <c r="AF73" s="454"/>
      <c r="AG73" s="454"/>
      <c r="AH73" s="786"/>
      <c r="AI73" s="787"/>
      <c r="AJ73" s="787"/>
      <c r="AK73" s="787"/>
      <c r="AL73" s="787"/>
      <c r="AM73" s="787"/>
      <c r="AN73" s="787"/>
      <c r="AO73" s="787"/>
      <c r="AP73" s="787"/>
      <c r="AQ73" s="787"/>
      <c r="AR73" s="454"/>
      <c r="AS73" s="454"/>
      <c r="AT73" s="454"/>
      <c r="AU73" s="454"/>
      <c r="AV73" s="454"/>
      <c r="AW73" s="454"/>
    </row>
    <row r="74" spans="2:62" hidden="1" x14ac:dyDescent="0.25">
      <c r="B74" s="50" t="s">
        <v>89</v>
      </c>
      <c r="C74" s="47">
        <v>16288728</v>
      </c>
      <c r="D74" s="437">
        <v>16288728</v>
      </c>
      <c r="E74" s="45">
        <f>+D74/12</f>
        <v>1357394</v>
      </c>
      <c r="F74" s="46">
        <v>0</v>
      </c>
      <c r="G74" s="46">
        <v>0</v>
      </c>
      <c r="AA74" s="454"/>
      <c r="AD74" s="454"/>
      <c r="AE74" s="454"/>
      <c r="AF74" s="454"/>
      <c r="AG74" s="454"/>
      <c r="AH74" s="786"/>
      <c r="AI74" s="787"/>
      <c r="AJ74" s="786"/>
      <c r="AK74" s="786"/>
      <c r="AL74" s="786"/>
      <c r="AM74" s="786"/>
      <c r="AN74" s="786"/>
      <c r="AO74" s="786"/>
      <c r="AP74" s="786"/>
      <c r="AQ74" s="786"/>
      <c r="AR74" s="454"/>
      <c r="AS74" s="454"/>
      <c r="AT74" s="454"/>
      <c r="AU74" s="454"/>
      <c r="AV74" s="454"/>
      <c r="AW74" s="454"/>
    </row>
    <row r="75" spans="2:62" hidden="1" x14ac:dyDescent="0.25">
      <c r="B75" s="50" t="s">
        <v>115</v>
      </c>
      <c r="C75" s="47">
        <v>4784604</v>
      </c>
      <c r="D75" s="437">
        <v>4784604</v>
      </c>
      <c r="E75" s="45">
        <f>+D75/12</f>
        <v>398717</v>
      </c>
      <c r="F75" s="46">
        <v>1584693</v>
      </c>
      <c r="G75" s="46">
        <v>0</v>
      </c>
      <c r="H75" s="391"/>
      <c r="I75" s="391"/>
      <c r="J75" s="395"/>
      <c r="K75" s="391"/>
      <c r="L75" s="391"/>
      <c r="M75" s="391"/>
      <c r="P75" s="381"/>
      <c r="AA75" s="352"/>
      <c r="AD75" s="352"/>
      <c r="AE75" s="352"/>
      <c r="AF75" s="352"/>
      <c r="AG75" s="352"/>
      <c r="AH75" s="787"/>
      <c r="AI75" s="787"/>
      <c r="AJ75" s="786"/>
      <c r="AK75" s="786"/>
      <c r="AL75" s="786"/>
      <c r="AM75" s="786"/>
      <c r="AN75" s="786"/>
      <c r="AO75" s="786"/>
      <c r="AP75" s="786"/>
      <c r="AQ75" s="786"/>
      <c r="AR75" s="352"/>
      <c r="AS75" s="352"/>
      <c r="AT75" s="352"/>
      <c r="AU75" s="352"/>
      <c r="AV75" s="352"/>
      <c r="AW75" s="352"/>
    </row>
    <row r="76" spans="2:62" hidden="1" x14ac:dyDescent="0.25">
      <c r="B76" s="50" t="s">
        <v>116</v>
      </c>
      <c r="C76" s="47">
        <v>3000000</v>
      </c>
      <c r="D76" s="437">
        <v>3000000</v>
      </c>
      <c r="E76" s="45">
        <f>+D76/12</f>
        <v>250000</v>
      </c>
      <c r="F76" s="46">
        <v>0</v>
      </c>
      <c r="G76" s="46">
        <v>0</v>
      </c>
      <c r="J76" s="396"/>
      <c r="AA76" s="352"/>
      <c r="AD76" s="453"/>
      <c r="AE76" s="453"/>
      <c r="AF76" s="453"/>
      <c r="AG76" s="352"/>
      <c r="AH76" s="787"/>
      <c r="AI76" s="787"/>
      <c r="AJ76" s="787"/>
      <c r="AK76" s="787"/>
      <c r="AL76" s="787"/>
      <c r="AM76" s="787"/>
      <c r="AN76" s="787"/>
      <c r="AO76" s="787"/>
      <c r="AP76" s="787"/>
      <c r="AQ76" s="787"/>
      <c r="AR76" s="352"/>
      <c r="AS76" s="352"/>
      <c r="AT76" s="352"/>
      <c r="AU76" s="352"/>
      <c r="AV76" s="352"/>
      <c r="AW76" s="352"/>
    </row>
    <row r="77" spans="2:62" ht="13.5" hidden="1" x14ac:dyDescent="0.3">
      <c r="B77" s="51" t="s">
        <v>117</v>
      </c>
      <c r="C77" s="397">
        <f>SUM(C74:C76)</f>
        <v>24073332</v>
      </c>
      <c r="D77" s="438">
        <f>SUM(D74:D76)</f>
        <v>24073332</v>
      </c>
      <c r="E77" s="398">
        <f>SUM(E74:E76)</f>
        <v>2006111</v>
      </c>
      <c r="F77" s="398">
        <f>SUM(F74:F76)</f>
        <v>1584693</v>
      </c>
      <c r="G77" s="399">
        <f>SUM(G74:G76)</f>
        <v>0</v>
      </c>
      <c r="AA77" s="454"/>
      <c r="AD77" s="454"/>
      <c r="AE77" s="454"/>
      <c r="AF77" s="454"/>
      <c r="AG77" s="454"/>
      <c r="AH77" s="786"/>
      <c r="AI77" s="786"/>
      <c r="AJ77" s="786"/>
      <c r="AK77" s="786"/>
      <c r="AL77" s="786"/>
      <c r="AM77" s="786"/>
      <c r="AN77" s="786"/>
      <c r="AO77" s="786"/>
      <c r="AP77" s="786"/>
      <c r="AQ77" s="786"/>
      <c r="AR77" s="454"/>
      <c r="AS77" s="454"/>
      <c r="AT77" s="454"/>
      <c r="AU77" s="454"/>
      <c r="AV77" s="454"/>
      <c r="AW77" s="454"/>
    </row>
    <row r="78" spans="2:62" hidden="1" x14ac:dyDescent="0.25">
      <c r="AA78" s="454"/>
      <c r="AD78" s="454"/>
      <c r="AE78" s="454"/>
      <c r="AF78" s="454"/>
      <c r="AG78" s="454"/>
      <c r="AH78" s="786"/>
      <c r="AI78" s="786"/>
      <c r="AJ78" s="786"/>
      <c r="AK78" s="786"/>
      <c r="AL78" s="786"/>
      <c r="AM78" s="786"/>
      <c r="AN78" s="786"/>
      <c r="AO78" s="786"/>
      <c r="AP78" s="786"/>
      <c r="AQ78" s="786"/>
      <c r="AR78" s="454"/>
      <c r="AS78" s="454"/>
      <c r="AT78" s="454"/>
      <c r="AU78" s="454"/>
      <c r="AV78" s="454"/>
      <c r="AW78" s="454"/>
    </row>
    <row r="79" spans="2:62" hidden="1" x14ac:dyDescent="0.25">
      <c r="AA79" s="454"/>
      <c r="AD79" s="454"/>
      <c r="AE79" s="454"/>
      <c r="AF79" s="454"/>
      <c r="AG79" s="454"/>
      <c r="AH79" s="786"/>
      <c r="AI79" s="786"/>
      <c r="AJ79" s="786"/>
      <c r="AK79" s="786"/>
      <c r="AL79" s="786"/>
      <c r="AM79" s="786"/>
      <c r="AN79" s="786"/>
      <c r="AO79" s="786"/>
      <c r="AP79" s="786"/>
      <c r="AQ79" s="786"/>
      <c r="AR79" s="454"/>
      <c r="AS79" s="454"/>
      <c r="AT79" s="454"/>
      <c r="AU79" s="454"/>
      <c r="AV79" s="454"/>
      <c r="AW79" s="454"/>
    </row>
    <row r="80" spans="2:62" x14ac:dyDescent="0.25">
      <c r="B80" s="1" t="s">
        <v>1511</v>
      </c>
      <c r="E80" s="1031">
        <v>45658</v>
      </c>
      <c r="F80" s="1031">
        <v>45689</v>
      </c>
      <c r="G80" s="1031">
        <v>45717</v>
      </c>
      <c r="H80" s="1031">
        <v>45748</v>
      </c>
      <c r="I80" s="1031">
        <v>45778</v>
      </c>
      <c r="J80" s="1031">
        <v>45809</v>
      </c>
      <c r="K80" s="1031">
        <v>45839</v>
      </c>
      <c r="L80" s="1031">
        <v>45870</v>
      </c>
      <c r="M80" s="1031">
        <v>45901</v>
      </c>
      <c r="N80" s="1031">
        <v>45931</v>
      </c>
      <c r="O80" s="1031">
        <v>45962</v>
      </c>
      <c r="P80" s="1031">
        <v>45992</v>
      </c>
      <c r="AA80" s="454"/>
      <c r="AD80" s="456"/>
      <c r="AE80" s="456"/>
      <c r="AF80" s="456"/>
      <c r="AG80" s="454"/>
      <c r="AH80" s="786"/>
      <c r="AI80" s="786"/>
      <c r="AJ80" s="786"/>
      <c r="AK80" s="786"/>
      <c r="AL80" s="786"/>
      <c r="AM80" s="786"/>
      <c r="AN80" s="786"/>
      <c r="AO80" s="786"/>
      <c r="AP80" s="786"/>
      <c r="AQ80" s="786"/>
      <c r="AR80" s="454"/>
      <c r="AS80" s="454"/>
      <c r="AT80" s="454"/>
      <c r="AU80" s="454"/>
      <c r="AV80" s="454"/>
      <c r="AW80" s="454"/>
    </row>
    <row r="81" spans="2:49" x14ac:dyDescent="0.25">
      <c r="B81" s="1" t="s">
        <v>1505</v>
      </c>
      <c r="E81" s="353">
        <f t="shared" ref="E81:K81" si="3">E8</f>
        <v>28701567</v>
      </c>
      <c r="F81" s="353">
        <f t="shared" si="3"/>
        <v>28701567</v>
      </c>
      <c r="G81" s="353">
        <f t="shared" si="3"/>
        <v>28701567</v>
      </c>
      <c r="H81" s="353">
        <f t="shared" si="3"/>
        <v>32837635</v>
      </c>
      <c r="I81" s="353">
        <f t="shared" si="3"/>
        <v>29735584</v>
      </c>
      <c r="J81" s="353">
        <f t="shared" si="3"/>
        <v>29735584</v>
      </c>
      <c r="K81" s="353">
        <f t="shared" si="3"/>
        <v>29735584</v>
      </c>
      <c r="AA81" s="454"/>
      <c r="AD81" s="456"/>
      <c r="AE81" s="456"/>
      <c r="AF81" s="456"/>
      <c r="AG81" s="454"/>
      <c r="AH81" s="786"/>
      <c r="AI81" s="786"/>
      <c r="AJ81" s="786"/>
      <c r="AK81" s="786"/>
      <c r="AL81" s="786"/>
      <c r="AM81" s="786"/>
      <c r="AN81" s="786"/>
      <c r="AO81" s="786"/>
      <c r="AP81" s="786"/>
      <c r="AQ81" s="786"/>
      <c r="AR81" s="454"/>
      <c r="AS81" s="454"/>
      <c r="AT81" s="454"/>
      <c r="AU81" s="454"/>
      <c r="AV81" s="454"/>
      <c r="AW81" s="454"/>
    </row>
    <row r="82" spans="2:49" x14ac:dyDescent="0.25">
      <c r="B82" s="1" t="s">
        <v>1506</v>
      </c>
      <c r="E82" s="353">
        <f>E81+E83</f>
        <v>29152795.690000001</v>
      </c>
      <c r="F82" s="353">
        <f t="shared" ref="F82:K82" si="4">F81+F83</f>
        <v>29173670.34</v>
      </c>
      <c r="G82" s="353">
        <f t="shared" si="4"/>
        <v>29157246.260000002</v>
      </c>
      <c r="H82" s="353">
        <f t="shared" si="4"/>
        <v>33248832.129999999</v>
      </c>
      <c r="I82" s="353">
        <f t="shared" si="4"/>
        <v>30448613.050000001</v>
      </c>
      <c r="J82" s="353">
        <f t="shared" si="4"/>
        <v>30150255.359999999</v>
      </c>
      <c r="K82" s="353">
        <f t="shared" si="4"/>
        <v>30337759.760000002</v>
      </c>
      <c r="P82" s="388"/>
      <c r="AA82" s="454"/>
      <c r="AG82" s="454"/>
      <c r="AH82" s="786"/>
      <c r="AI82" s="786"/>
      <c r="AJ82" s="786"/>
      <c r="AK82" s="786"/>
      <c r="AL82" s="786"/>
      <c r="AM82" s="786"/>
      <c r="AN82" s="786"/>
      <c r="AO82" s="786"/>
      <c r="AP82" s="786"/>
      <c r="AQ82" s="786"/>
      <c r="AR82" s="454"/>
      <c r="AS82" s="454"/>
      <c r="AT82" s="454"/>
      <c r="AU82" s="454"/>
      <c r="AV82" s="454"/>
      <c r="AW82" s="454"/>
    </row>
    <row r="83" spans="2:49" x14ac:dyDescent="0.25">
      <c r="B83" s="1" t="s">
        <v>813</v>
      </c>
      <c r="E83" s="353">
        <f>E59</f>
        <v>451228.69</v>
      </c>
      <c r="F83" s="353">
        <f t="shared" ref="F83:K83" si="5">F59</f>
        <v>472103.33999999997</v>
      </c>
      <c r="G83" s="353">
        <f t="shared" si="5"/>
        <v>455679.26</v>
      </c>
      <c r="H83" s="353">
        <f t="shared" si="5"/>
        <v>411197.13</v>
      </c>
      <c r="I83" s="353">
        <f t="shared" si="5"/>
        <v>713029.05</v>
      </c>
      <c r="J83" s="353">
        <f t="shared" si="5"/>
        <v>414671.35999999999</v>
      </c>
      <c r="K83" s="353">
        <f t="shared" si="5"/>
        <v>602175.76</v>
      </c>
      <c r="AA83" s="352"/>
      <c r="AD83" s="352"/>
      <c r="AE83" s="352"/>
      <c r="AF83" s="352"/>
      <c r="AG83" s="352"/>
      <c r="AH83" s="352"/>
      <c r="AI83" s="352"/>
      <c r="AJ83" s="352"/>
      <c r="AK83" s="352"/>
      <c r="AL83" s="352"/>
      <c r="AM83" s="352"/>
      <c r="AN83" s="352"/>
      <c r="AO83" s="352"/>
      <c r="AP83" s="352"/>
      <c r="AQ83" s="352"/>
      <c r="AR83" s="352"/>
      <c r="AS83" s="352"/>
      <c r="AT83" s="352"/>
      <c r="AU83" s="352"/>
      <c r="AV83" s="352"/>
      <c r="AW83" s="352"/>
    </row>
    <row r="84" spans="2:49" x14ac:dyDescent="0.25">
      <c r="B84" s="1"/>
      <c r="E84" s="353"/>
      <c r="F84" s="353"/>
      <c r="G84" s="353"/>
      <c r="H84" s="353"/>
      <c r="I84" s="353"/>
      <c r="J84" s="353"/>
      <c r="K84" s="353"/>
      <c r="AA84" s="352"/>
      <c r="AD84" s="352"/>
      <c r="AE84" s="352"/>
      <c r="AF84" s="352"/>
      <c r="AG84" s="352"/>
      <c r="AH84" s="352"/>
      <c r="AI84" s="352"/>
      <c r="AJ84" s="352"/>
      <c r="AK84" s="352"/>
      <c r="AL84" s="352"/>
      <c r="AM84" s="352"/>
      <c r="AN84" s="352"/>
      <c r="AO84" s="352"/>
      <c r="AP84" s="352"/>
      <c r="AQ84" s="352"/>
      <c r="AR84" s="352"/>
      <c r="AS84" s="352"/>
      <c r="AT84" s="352"/>
      <c r="AU84" s="352"/>
      <c r="AV84" s="352"/>
      <c r="AW84" s="352"/>
    </row>
    <row r="85" spans="2:49" ht="13" x14ac:dyDescent="0.3">
      <c r="B85" s="1125" t="s">
        <v>1589</v>
      </c>
      <c r="C85" s="1126"/>
      <c r="D85" s="1126"/>
      <c r="E85" s="1127">
        <v>45658</v>
      </c>
      <c r="F85" s="1127">
        <v>45689</v>
      </c>
      <c r="G85" s="1127">
        <v>45717</v>
      </c>
      <c r="H85" s="1127">
        <v>45748</v>
      </c>
      <c r="I85" s="1127">
        <v>45778</v>
      </c>
      <c r="J85" s="1127">
        <v>45809</v>
      </c>
      <c r="K85" s="1127">
        <v>45839</v>
      </c>
      <c r="AA85" s="454"/>
      <c r="AG85" s="454"/>
      <c r="AH85" s="454"/>
      <c r="AI85" s="454"/>
      <c r="AJ85" s="454"/>
      <c r="AK85" s="454"/>
      <c r="AL85" s="454"/>
      <c r="AM85" s="454"/>
      <c r="AN85" s="454"/>
      <c r="AO85" s="454"/>
      <c r="AP85" s="454"/>
      <c r="AQ85" s="454"/>
      <c r="AR85" s="454"/>
      <c r="AS85" s="454"/>
      <c r="AT85" s="454"/>
      <c r="AU85" s="454"/>
      <c r="AV85" s="454"/>
      <c r="AW85" s="454"/>
    </row>
    <row r="86" spans="2:49" x14ac:dyDescent="0.25">
      <c r="B86" s="264" t="s">
        <v>781</v>
      </c>
      <c r="C86" s="356"/>
      <c r="D86" s="356"/>
      <c r="E86" s="364">
        <f t="shared" ref="E86:K86" si="6">D8</f>
        <v>29736827.25</v>
      </c>
      <c r="F86" s="364">
        <f t="shared" si="6"/>
        <v>28701567</v>
      </c>
      <c r="G86" s="364">
        <f t="shared" si="6"/>
        <v>28701567</v>
      </c>
      <c r="H86" s="364">
        <f t="shared" si="6"/>
        <v>28701567</v>
      </c>
      <c r="I86" s="364">
        <f t="shared" si="6"/>
        <v>32837635</v>
      </c>
      <c r="J86" s="364">
        <f t="shared" si="6"/>
        <v>29735584</v>
      </c>
      <c r="K86" s="364">
        <f t="shared" si="6"/>
        <v>29735584</v>
      </c>
      <c r="AA86" s="352"/>
      <c r="AG86" s="352"/>
      <c r="AH86" s="352"/>
      <c r="AI86" s="352"/>
      <c r="AJ86" s="352"/>
      <c r="AK86" s="352"/>
      <c r="AL86" s="352"/>
      <c r="AM86" s="352"/>
      <c r="AN86" s="352"/>
      <c r="AO86" s="352"/>
      <c r="AP86" s="352"/>
      <c r="AQ86" s="352"/>
      <c r="AR86" s="352"/>
      <c r="AS86" s="352"/>
      <c r="AT86" s="352"/>
      <c r="AU86" s="352"/>
      <c r="AV86" s="352"/>
      <c r="AW86" s="352"/>
    </row>
    <row r="87" spans="2:49" x14ac:dyDescent="0.25">
      <c r="B87" s="1123" t="s">
        <v>1231</v>
      </c>
      <c r="C87" s="1124"/>
      <c r="D87" s="1124"/>
      <c r="E87" s="676">
        <f>E57</f>
        <v>29096206.32</v>
      </c>
      <c r="F87" s="676">
        <f t="shared" ref="F87:K87" si="7">F57</f>
        <v>28666715.600000001</v>
      </c>
      <c r="G87" s="676">
        <f t="shared" si="7"/>
        <v>29124953.100000001</v>
      </c>
      <c r="H87" s="676">
        <f t="shared" si="7"/>
        <v>26968598.100000001</v>
      </c>
      <c r="I87" s="676">
        <f t="shared" si="7"/>
        <v>29889745.48</v>
      </c>
      <c r="J87" s="676">
        <f t="shared" si="7"/>
        <v>26648874</v>
      </c>
      <c r="K87" s="676">
        <f t="shared" si="7"/>
        <v>29171361</v>
      </c>
      <c r="AA87" s="352"/>
      <c r="AG87" s="352"/>
      <c r="AH87" s="352"/>
      <c r="AI87" s="352"/>
      <c r="AJ87" s="352"/>
      <c r="AK87" s="352"/>
      <c r="AL87" s="352"/>
      <c r="AM87" s="352"/>
      <c r="AN87" s="352"/>
      <c r="AO87" s="352"/>
      <c r="AP87" s="352"/>
      <c r="AQ87" s="352"/>
      <c r="AR87" s="352"/>
      <c r="AS87" s="352"/>
      <c r="AT87" s="352"/>
      <c r="AU87" s="352"/>
      <c r="AV87" s="352"/>
      <c r="AW87" s="352"/>
    </row>
    <row r="88" spans="2:49" x14ac:dyDescent="0.25">
      <c r="B88" s="264" t="s">
        <v>1508</v>
      </c>
      <c r="C88" s="356"/>
      <c r="D88" s="356"/>
      <c r="E88" s="364">
        <f>E82-E87</f>
        <v>56589.370000001043</v>
      </c>
      <c r="F88" s="364">
        <f t="shared" ref="F88:P88" si="8">F82-F87</f>
        <v>506954.73999999836</v>
      </c>
      <c r="G88" s="364">
        <f t="shared" si="8"/>
        <v>32293.160000000149</v>
      </c>
      <c r="H88" s="364">
        <f t="shared" si="8"/>
        <v>6280234.0299999975</v>
      </c>
      <c r="I88" s="364">
        <f t="shared" si="8"/>
        <v>558867.5700000003</v>
      </c>
      <c r="J88" s="364">
        <f t="shared" si="8"/>
        <v>3501381.3599999994</v>
      </c>
      <c r="K88" s="364">
        <f t="shared" si="8"/>
        <v>1166398.7600000016</v>
      </c>
      <c r="L88" s="353">
        <f t="shared" si="8"/>
        <v>0</v>
      </c>
      <c r="M88" s="353">
        <f t="shared" si="8"/>
        <v>0</v>
      </c>
      <c r="N88" s="353">
        <f t="shared" si="8"/>
        <v>0</v>
      </c>
      <c r="O88" s="353">
        <f t="shared" si="8"/>
        <v>0</v>
      </c>
      <c r="P88" s="353">
        <f t="shared" si="8"/>
        <v>0</v>
      </c>
      <c r="AA88" s="460"/>
      <c r="AD88" s="459"/>
      <c r="AE88" s="459"/>
      <c r="AF88" s="459"/>
      <c r="AG88" s="460"/>
      <c r="AH88" s="460"/>
      <c r="AI88" s="460"/>
      <c r="AJ88" s="460"/>
      <c r="AK88" s="460"/>
      <c r="AL88" s="460"/>
      <c r="AM88" s="460"/>
      <c r="AN88" s="460"/>
      <c r="AO88" s="460"/>
      <c r="AP88" s="460"/>
      <c r="AQ88" s="460"/>
      <c r="AR88" s="460"/>
      <c r="AS88" s="460"/>
      <c r="AT88" s="460"/>
      <c r="AU88" s="460"/>
      <c r="AV88" s="460"/>
      <c r="AW88" s="460"/>
    </row>
    <row r="89" spans="2:49" x14ac:dyDescent="0.25">
      <c r="AA89" s="461"/>
      <c r="AG89" s="461"/>
      <c r="AH89" s="461"/>
      <c r="AI89" s="461"/>
      <c r="AJ89" s="461"/>
      <c r="AK89" s="461"/>
      <c r="AL89" s="461"/>
      <c r="AM89" s="461"/>
      <c r="AN89" s="461"/>
      <c r="AO89" s="461"/>
      <c r="AP89" s="461"/>
      <c r="AQ89" s="461"/>
      <c r="AR89" s="461"/>
      <c r="AS89" s="461"/>
      <c r="AT89" s="461"/>
      <c r="AU89" s="461"/>
      <c r="AV89" s="461"/>
      <c r="AW89" s="461"/>
    </row>
    <row r="90" spans="2:49" x14ac:dyDescent="0.25">
      <c r="AA90" s="461"/>
      <c r="AD90" s="459"/>
      <c r="AE90" s="459"/>
      <c r="AF90" s="459"/>
      <c r="AG90" s="461"/>
      <c r="AH90" s="461"/>
      <c r="AI90" s="461"/>
      <c r="AJ90" s="461"/>
      <c r="AK90" s="461"/>
      <c r="AL90" s="461"/>
      <c r="AM90" s="461"/>
      <c r="AN90" s="461"/>
      <c r="AO90" s="461"/>
      <c r="AP90" s="461"/>
      <c r="AQ90" s="461"/>
      <c r="AR90" s="461"/>
      <c r="AS90" s="461"/>
      <c r="AT90" s="461"/>
      <c r="AU90" s="461"/>
      <c r="AV90" s="461"/>
      <c r="AW90" s="461"/>
    </row>
    <row r="91" spans="2:49" ht="13" x14ac:dyDescent="0.3">
      <c r="B91" s="1125" t="s">
        <v>1509</v>
      </c>
      <c r="C91" s="1126"/>
      <c r="D91" s="1126"/>
      <c r="E91" s="1127">
        <v>45658</v>
      </c>
      <c r="F91" s="1127">
        <v>45689</v>
      </c>
      <c r="G91" s="1127">
        <v>45717</v>
      </c>
      <c r="H91" s="1127">
        <v>45748</v>
      </c>
      <c r="I91" s="1127">
        <v>45778</v>
      </c>
      <c r="J91" s="1127">
        <v>45809</v>
      </c>
      <c r="K91" s="1127">
        <v>45839</v>
      </c>
      <c r="AA91" s="461"/>
      <c r="AG91" s="461"/>
      <c r="AH91" s="461"/>
      <c r="AI91" s="461"/>
      <c r="AJ91" s="461"/>
      <c r="AK91" s="461"/>
      <c r="AL91" s="461"/>
      <c r="AM91" s="461"/>
      <c r="AN91" s="461"/>
      <c r="AO91" s="461"/>
      <c r="AP91" s="461"/>
      <c r="AQ91" s="461"/>
      <c r="AR91" s="461"/>
      <c r="AS91" s="461"/>
      <c r="AT91" s="461"/>
      <c r="AU91" s="461"/>
      <c r="AV91" s="461"/>
      <c r="AW91" s="461"/>
    </row>
    <row r="92" spans="2:49" ht="13" x14ac:dyDescent="0.3">
      <c r="B92" s="1128" t="s">
        <v>798</v>
      </c>
      <c r="C92" s="1129"/>
      <c r="D92" s="1129"/>
      <c r="E92" s="1130">
        <f>E60</f>
        <v>69013</v>
      </c>
      <c r="F92" s="1130">
        <f t="shared" ref="F92:K93" si="9">F60</f>
        <v>95407</v>
      </c>
      <c r="G92" s="1130">
        <f t="shared" si="9"/>
        <v>139518</v>
      </c>
      <c r="H92" s="1130">
        <f t="shared" si="9"/>
        <v>92495</v>
      </c>
      <c r="I92" s="1130">
        <f t="shared" si="9"/>
        <v>136086</v>
      </c>
      <c r="J92" s="1130">
        <f t="shared" si="9"/>
        <v>108094</v>
      </c>
      <c r="K92" s="1130">
        <f t="shared" si="9"/>
        <v>249985</v>
      </c>
      <c r="AA92" s="461"/>
      <c r="AD92" s="461"/>
      <c r="AE92" s="461"/>
      <c r="AF92" s="461"/>
      <c r="AG92" s="461"/>
      <c r="AH92" s="461"/>
      <c r="AI92" s="461"/>
      <c r="AJ92" s="461"/>
      <c r="AK92" s="461"/>
      <c r="AL92" s="461"/>
      <c r="AM92" s="461"/>
      <c r="AN92" s="461"/>
      <c r="AO92" s="461"/>
      <c r="AP92" s="461"/>
      <c r="AQ92" s="461"/>
      <c r="AR92" s="461"/>
      <c r="AS92" s="461"/>
      <c r="AT92" s="461"/>
      <c r="AU92" s="461"/>
      <c r="AV92" s="461"/>
      <c r="AW92" s="461"/>
    </row>
    <row r="93" spans="2:49" ht="13" x14ac:dyDescent="0.3">
      <c r="B93" s="1125" t="s">
        <v>799</v>
      </c>
      <c r="C93" s="1126"/>
      <c r="D93" s="1126"/>
      <c r="E93" s="1131">
        <f>E61</f>
        <v>124384.69</v>
      </c>
      <c r="F93" s="1131">
        <f t="shared" si="9"/>
        <v>53105.340000000004</v>
      </c>
      <c r="G93" s="1131">
        <f t="shared" si="9"/>
        <v>58078.26</v>
      </c>
      <c r="H93" s="1131">
        <f t="shared" si="9"/>
        <v>60871.13</v>
      </c>
      <c r="I93" s="1131">
        <f t="shared" si="9"/>
        <v>67835.31</v>
      </c>
      <c r="J93" s="1131">
        <f t="shared" si="9"/>
        <v>48746.36</v>
      </c>
      <c r="K93" s="1131">
        <f t="shared" si="9"/>
        <v>92232.760000000009</v>
      </c>
      <c r="AA93" s="461"/>
      <c r="AD93" s="459"/>
      <c r="AE93" s="459"/>
      <c r="AF93" s="459"/>
      <c r="AG93" s="461"/>
      <c r="AH93" s="461"/>
      <c r="AI93" s="461"/>
      <c r="AJ93" s="461"/>
      <c r="AK93" s="461"/>
      <c r="AL93" s="461"/>
      <c r="AM93" s="461"/>
      <c r="AN93" s="461"/>
      <c r="AO93" s="461"/>
      <c r="AP93" s="461"/>
      <c r="AQ93" s="461"/>
      <c r="AR93" s="461"/>
      <c r="AS93" s="461"/>
      <c r="AT93" s="461"/>
      <c r="AU93" s="461"/>
      <c r="AV93" s="461"/>
      <c r="AW93" s="461"/>
    </row>
    <row r="94" spans="2:49" ht="13" x14ac:dyDescent="0.3">
      <c r="B94" s="1128" t="s">
        <v>1507</v>
      </c>
      <c r="C94" s="1129"/>
      <c r="D94" s="1129"/>
      <c r="E94" s="1130">
        <f>E63</f>
        <v>257831</v>
      </c>
      <c r="F94" s="1130">
        <f t="shared" ref="F94:K94" si="10">F63</f>
        <v>323591</v>
      </c>
      <c r="G94" s="1130">
        <f t="shared" si="10"/>
        <v>257831</v>
      </c>
      <c r="H94" s="1130">
        <f t="shared" si="10"/>
        <v>257831</v>
      </c>
      <c r="I94" s="1130">
        <f t="shared" si="10"/>
        <v>257831</v>
      </c>
      <c r="J94" s="1130">
        <f t="shared" si="10"/>
        <v>257831</v>
      </c>
      <c r="K94" s="1130">
        <f t="shared" si="10"/>
        <v>259958</v>
      </c>
      <c r="AA94" s="461"/>
      <c r="AG94" s="461"/>
      <c r="AH94" s="461"/>
      <c r="AI94" s="461"/>
      <c r="AJ94" s="461"/>
      <c r="AK94" s="461"/>
      <c r="AL94" s="461"/>
      <c r="AM94" s="461"/>
      <c r="AN94" s="461"/>
      <c r="AO94" s="461"/>
      <c r="AP94" s="461"/>
      <c r="AQ94" s="461"/>
      <c r="AR94" s="461"/>
      <c r="AS94" s="461"/>
      <c r="AT94" s="461"/>
      <c r="AU94" s="461"/>
      <c r="AV94" s="461"/>
      <c r="AW94" s="461"/>
    </row>
    <row r="95" spans="2:49" ht="13" x14ac:dyDescent="0.3">
      <c r="B95" s="1125" t="s">
        <v>124</v>
      </c>
      <c r="C95" s="1126"/>
      <c r="D95" s="1126"/>
      <c r="E95" s="1131">
        <f>E65</f>
        <v>0</v>
      </c>
      <c r="F95" s="1131">
        <f t="shared" ref="F95:K95" si="11">F65</f>
        <v>0</v>
      </c>
      <c r="G95" s="1131">
        <f t="shared" si="11"/>
        <v>0</v>
      </c>
      <c r="H95" s="1131">
        <f t="shared" si="11"/>
        <v>0</v>
      </c>
      <c r="I95" s="1131">
        <f t="shared" si="11"/>
        <v>248452.74</v>
      </c>
      <c r="J95" s="1131">
        <f t="shared" si="11"/>
        <v>0</v>
      </c>
      <c r="K95" s="1131">
        <f t="shared" si="11"/>
        <v>0</v>
      </c>
      <c r="AA95" s="352"/>
      <c r="AD95" s="352"/>
      <c r="AE95" s="352"/>
      <c r="AF95" s="352"/>
      <c r="AG95" s="352"/>
      <c r="AH95" s="352"/>
      <c r="AI95" s="352"/>
      <c r="AJ95" s="352"/>
      <c r="AK95" s="352"/>
      <c r="AL95" s="352"/>
      <c r="AM95" s="352"/>
      <c r="AN95" s="352"/>
      <c r="AO95" s="352"/>
      <c r="AP95" s="352"/>
      <c r="AQ95" s="352"/>
      <c r="AR95" s="352"/>
      <c r="AS95" s="352"/>
      <c r="AT95" s="352"/>
      <c r="AU95" s="352"/>
      <c r="AV95" s="352"/>
      <c r="AW95" s="352"/>
    </row>
    <row r="96" spans="2:49" x14ac:dyDescent="0.25">
      <c r="B96" s="1" t="s">
        <v>1510</v>
      </c>
      <c r="AA96" s="352"/>
      <c r="AD96" s="352"/>
      <c r="AE96" s="352"/>
      <c r="AF96" s="352"/>
      <c r="AG96" s="352"/>
      <c r="AH96" s="352"/>
      <c r="AI96" s="352"/>
      <c r="AJ96" s="352"/>
      <c r="AK96" s="352"/>
      <c r="AL96" s="352"/>
      <c r="AM96" s="352"/>
      <c r="AN96" s="352"/>
      <c r="AO96" s="352"/>
      <c r="AP96" s="352"/>
      <c r="AQ96" s="352"/>
      <c r="AR96" s="352"/>
      <c r="AS96" s="352"/>
      <c r="AT96" s="352"/>
      <c r="AU96" s="352"/>
      <c r="AV96" s="352"/>
      <c r="AW96" s="352"/>
    </row>
    <row r="97" spans="2:49" x14ac:dyDescent="0.25">
      <c r="AA97" s="352"/>
      <c r="AD97" s="352"/>
      <c r="AE97" s="352"/>
      <c r="AF97" s="352"/>
      <c r="AG97" s="352"/>
      <c r="AH97" s="352"/>
      <c r="AI97" s="352"/>
      <c r="AJ97" s="352"/>
      <c r="AK97" s="352"/>
      <c r="AL97" s="352"/>
      <c r="AM97" s="352"/>
      <c r="AN97" s="352"/>
      <c r="AO97" s="352"/>
      <c r="AP97" s="352"/>
      <c r="AQ97" s="352"/>
      <c r="AR97" s="352"/>
      <c r="AS97" s="352"/>
      <c r="AT97" s="352"/>
      <c r="AU97" s="352"/>
      <c r="AV97" s="352"/>
      <c r="AW97" s="352"/>
    </row>
    <row r="98" spans="2:49" x14ac:dyDescent="0.25">
      <c r="B98" s="1"/>
      <c r="E98" s="1031">
        <v>45658</v>
      </c>
      <c r="F98" s="1031">
        <v>45689</v>
      </c>
      <c r="G98" s="1031">
        <v>45717</v>
      </c>
      <c r="H98" s="1031">
        <v>45748</v>
      </c>
      <c r="I98" s="1031">
        <v>45778</v>
      </c>
      <c r="J98" s="1031">
        <v>45809</v>
      </c>
      <c r="K98" s="1031">
        <v>45839</v>
      </c>
      <c r="AA98" s="352"/>
      <c r="AD98" s="352"/>
      <c r="AE98" s="352"/>
      <c r="AF98" s="352"/>
      <c r="AG98" s="352"/>
      <c r="AH98" s="352"/>
      <c r="AI98" s="352"/>
      <c r="AJ98" s="352"/>
      <c r="AK98" s="352"/>
      <c r="AL98" s="352"/>
      <c r="AM98" s="352"/>
      <c r="AN98" s="352"/>
      <c r="AO98" s="352"/>
      <c r="AP98" s="352"/>
      <c r="AQ98" s="352"/>
      <c r="AR98" s="352"/>
      <c r="AS98" s="352"/>
      <c r="AT98" s="352"/>
      <c r="AU98" s="352"/>
      <c r="AV98" s="352"/>
      <c r="AW98" s="352"/>
    </row>
    <row r="99" spans="2:49" hidden="1" x14ac:dyDescent="0.25">
      <c r="B99" s="1" t="s">
        <v>1512</v>
      </c>
      <c r="E99" s="353">
        <f>E87</f>
        <v>29096206.32</v>
      </c>
      <c r="F99" s="353">
        <f t="shared" ref="F99:K99" si="12">F87</f>
        <v>28666715.600000001</v>
      </c>
      <c r="G99" s="353">
        <f t="shared" si="12"/>
        <v>29124953.100000001</v>
      </c>
      <c r="H99" s="353">
        <f t="shared" si="12"/>
        <v>26968598.100000001</v>
      </c>
      <c r="I99" s="353">
        <f t="shared" si="12"/>
        <v>29889745.48</v>
      </c>
      <c r="J99" s="353">
        <f t="shared" si="12"/>
        <v>26648874</v>
      </c>
      <c r="K99" s="353">
        <f t="shared" si="12"/>
        <v>29171361</v>
      </c>
      <c r="AA99" s="352"/>
      <c r="AD99" s="352"/>
      <c r="AE99" s="352"/>
      <c r="AF99" s="352"/>
      <c r="AG99" s="352"/>
      <c r="AH99" s="352"/>
      <c r="AI99" s="352"/>
      <c r="AJ99" s="352"/>
      <c r="AK99" s="352"/>
      <c r="AL99" s="352"/>
      <c r="AM99" s="352"/>
      <c r="AN99" s="352"/>
      <c r="AO99" s="352"/>
      <c r="AP99" s="352"/>
      <c r="AQ99" s="352"/>
      <c r="AR99" s="352"/>
      <c r="AS99" s="352"/>
      <c r="AT99" s="352"/>
      <c r="AU99" s="352"/>
      <c r="AV99" s="352"/>
      <c r="AW99" s="352"/>
    </row>
    <row r="100" spans="2:49" hidden="1" x14ac:dyDescent="0.25">
      <c r="B100" s="1" t="s">
        <v>1513</v>
      </c>
      <c r="E100" s="353">
        <f>E86</f>
        <v>29736827.25</v>
      </c>
      <c r="F100" s="353">
        <f t="shared" ref="F100:K100" si="13">F86</f>
        <v>28701567</v>
      </c>
      <c r="G100" s="353">
        <f t="shared" si="13"/>
        <v>28701567</v>
      </c>
      <c r="H100" s="353">
        <f t="shared" si="13"/>
        <v>28701567</v>
      </c>
      <c r="I100" s="353">
        <f t="shared" si="13"/>
        <v>32837635</v>
      </c>
      <c r="J100" s="353">
        <f t="shared" si="13"/>
        <v>29735584</v>
      </c>
      <c r="K100" s="353">
        <f t="shared" si="13"/>
        <v>29735584</v>
      </c>
      <c r="AA100" s="352"/>
      <c r="AB100" s="352" t="s">
        <v>790</v>
      </c>
      <c r="AC100" s="353">
        <f>3454978+664608</f>
        <v>4119586</v>
      </c>
      <c r="AD100" s="352"/>
      <c r="AE100" s="352"/>
      <c r="AF100" s="352"/>
      <c r="AG100" s="352"/>
      <c r="AH100" s="352"/>
      <c r="AI100" s="352"/>
      <c r="AJ100" s="352"/>
      <c r="AK100" s="352"/>
      <c r="AL100" s="352"/>
      <c r="AM100" s="352"/>
      <c r="AN100" s="352"/>
      <c r="AO100" s="352"/>
      <c r="AP100" s="352"/>
      <c r="AQ100" s="352"/>
      <c r="AR100" s="352"/>
      <c r="AS100" s="352"/>
      <c r="AT100" s="352"/>
      <c r="AU100" s="352"/>
      <c r="AV100" s="352"/>
      <c r="AW100" s="352"/>
    </row>
    <row r="101" spans="2:49" x14ac:dyDescent="0.25">
      <c r="B101" s="1" t="s">
        <v>1523</v>
      </c>
      <c r="E101" s="1032">
        <v>0.95</v>
      </c>
      <c r="F101" s="1032">
        <v>0.95</v>
      </c>
      <c r="G101" s="1032">
        <v>0.95</v>
      </c>
      <c r="H101" s="1032">
        <v>0.95</v>
      </c>
      <c r="I101" s="1032">
        <v>0.95</v>
      </c>
      <c r="J101" s="1032">
        <v>0.95</v>
      </c>
      <c r="K101" s="1032">
        <v>0.95</v>
      </c>
      <c r="AA101" s="352"/>
      <c r="AB101" s="352"/>
      <c r="AC101" s="353"/>
      <c r="AD101" s="352"/>
      <c r="AE101" s="352"/>
      <c r="AF101" s="352"/>
      <c r="AG101" s="352"/>
      <c r="AH101" s="352"/>
      <c r="AI101" s="352"/>
      <c r="AJ101" s="352"/>
      <c r="AK101" s="352"/>
      <c r="AL101" s="352"/>
      <c r="AM101" s="352"/>
      <c r="AN101" s="352"/>
      <c r="AO101" s="352"/>
      <c r="AP101" s="352"/>
      <c r="AQ101" s="352"/>
      <c r="AR101" s="352"/>
      <c r="AS101" s="352"/>
      <c r="AT101" s="352"/>
      <c r="AU101" s="352"/>
      <c r="AV101" s="352"/>
      <c r="AW101" s="352"/>
    </row>
    <row r="102" spans="2:49" x14ac:dyDescent="0.25">
      <c r="B102" s="1" t="s">
        <v>1514</v>
      </c>
      <c r="E102" s="1033">
        <f>E99/E100</f>
        <v>0.97845698451236085</v>
      </c>
      <c r="F102" s="1033">
        <f t="shared" ref="F102:K102" si="14">F99/F100</f>
        <v>0.99878573180342389</v>
      </c>
      <c r="G102" s="1033">
        <f t="shared" si="14"/>
        <v>1.0147513235078769</v>
      </c>
      <c r="H102" s="1033">
        <f t="shared" si="14"/>
        <v>0.93962110500796003</v>
      </c>
      <c r="I102" s="1033">
        <f t="shared" si="14"/>
        <v>0.91022832429923772</v>
      </c>
      <c r="J102" s="1033">
        <f t="shared" si="14"/>
        <v>0.89619474095413765</v>
      </c>
      <c r="K102" s="1033">
        <f t="shared" si="14"/>
        <v>0.98102532642372187</v>
      </c>
      <c r="AA102" s="352"/>
      <c r="AB102" s="352"/>
      <c r="AC102" s="353"/>
      <c r="AD102" s="352"/>
      <c r="AE102" s="352"/>
      <c r="AF102" s="352"/>
      <c r="AG102" s="352"/>
      <c r="AH102" s="352"/>
      <c r="AI102" s="352"/>
      <c r="AJ102" s="352"/>
      <c r="AK102" s="352"/>
      <c r="AL102" s="352"/>
      <c r="AM102" s="352"/>
      <c r="AN102" s="352"/>
      <c r="AO102" s="352"/>
      <c r="AP102" s="352"/>
      <c r="AQ102" s="352"/>
      <c r="AR102" s="352"/>
      <c r="AS102" s="352"/>
      <c r="AT102" s="352"/>
      <c r="AU102" s="352"/>
      <c r="AV102" s="352"/>
      <c r="AW102" s="352"/>
    </row>
    <row r="103" spans="2:49" x14ac:dyDescent="0.25">
      <c r="B103" s="1" t="s">
        <v>1522</v>
      </c>
      <c r="E103" s="1033">
        <v>1.05</v>
      </c>
      <c r="F103" s="1033">
        <v>1.05</v>
      </c>
      <c r="G103" s="1033">
        <v>1.05</v>
      </c>
      <c r="H103" s="1033">
        <v>1.05</v>
      </c>
      <c r="I103" s="1033">
        <v>1.05</v>
      </c>
      <c r="J103" s="1033">
        <v>1.05</v>
      </c>
      <c r="K103" s="1033">
        <v>1.05</v>
      </c>
      <c r="AA103" s="352"/>
      <c r="AB103" s="352"/>
      <c r="AC103" s="353"/>
      <c r="AD103" s="352"/>
      <c r="AE103" s="352"/>
      <c r="AF103" s="352"/>
      <c r="AG103" s="352"/>
      <c r="AH103" s="352"/>
      <c r="AI103" s="352"/>
      <c r="AJ103" s="352"/>
      <c r="AK103" s="352"/>
      <c r="AL103" s="352"/>
      <c r="AM103" s="352"/>
      <c r="AN103" s="352"/>
      <c r="AO103" s="352"/>
      <c r="AP103" s="352"/>
      <c r="AQ103" s="352"/>
      <c r="AR103" s="352"/>
      <c r="AS103" s="352"/>
      <c r="AT103" s="352"/>
      <c r="AU103" s="352"/>
      <c r="AV103" s="352"/>
      <c r="AW103" s="352"/>
    </row>
    <row r="104" spans="2:49" x14ac:dyDescent="0.25">
      <c r="AA104" s="352"/>
      <c r="AB104" s="352" t="s">
        <v>124</v>
      </c>
      <c r="AC104" s="353" t="str">
        <f>Q20</f>
        <v xml:space="preserve"> </v>
      </c>
      <c r="AD104" s="352"/>
      <c r="AE104" s="352"/>
      <c r="AF104" s="352"/>
      <c r="AG104" s="352"/>
      <c r="AH104" s="352"/>
      <c r="AI104" s="352"/>
      <c r="AJ104" s="352"/>
      <c r="AK104" s="352"/>
      <c r="AL104" s="352"/>
      <c r="AM104" s="352"/>
      <c r="AN104" s="352"/>
      <c r="AO104" s="352"/>
      <c r="AP104" s="352"/>
      <c r="AQ104" s="352"/>
      <c r="AR104" s="352"/>
      <c r="AS104" s="352"/>
      <c r="AT104" s="352"/>
      <c r="AU104" s="352"/>
      <c r="AV104" s="352"/>
      <c r="AW104" s="352"/>
    </row>
    <row r="105" spans="2:49" hidden="1" x14ac:dyDescent="0.25">
      <c r="B105" s="753" t="s">
        <v>1515</v>
      </c>
      <c r="E105" s="353">
        <f>D30</f>
        <v>15852592.94916667</v>
      </c>
      <c r="F105" s="353">
        <v>15852592.94916667</v>
      </c>
      <c r="G105" s="353">
        <v>15852592.94916667</v>
      </c>
      <c r="H105" s="353">
        <v>15852592.94916667</v>
      </c>
      <c r="I105" s="353">
        <v>15852592.94916667</v>
      </c>
      <c r="J105" s="353">
        <v>15852592.94916667</v>
      </c>
      <c r="K105" s="353">
        <v>15852592.94916667</v>
      </c>
      <c r="AA105" s="352"/>
      <c r="AB105" s="352"/>
      <c r="AC105" s="353"/>
      <c r="AD105" s="352"/>
      <c r="AE105" s="352"/>
      <c r="AF105" s="352"/>
      <c r="AG105" s="352"/>
      <c r="AH105" s="352"/>
      <c r="AI105" s="352"/>
      <c r="AJ105" s="352"/>
      <c r="AK105" s="352"/>
      <c r="AL105" s="352"/>
      <c r="AM105" s="352"/>
      <c r="AN105" s="352"/>
      <c r="AO105" s="352"/>
      <c r="AP105" s="352"/>
      <c r="AQ105" s="352"/>
      <c r="AR105" s="352"/>
      <c r="AS105" s="352"/>
      <c r="AT105" s="352"/>
      <c r="AU105" s="352"/>
      <c r="AV105" s="352"/>
      <c r="AW105" s="352"/>
    </row>
    <row r="106" spans="2:49" hidden="1" x14ac:dyDescent="0.25">
      <c r="B106" s="753" t="s">
        <v>1234</v>
      </c>
      <c r="E106" s="353">
        <f>E30</f>
        <v>15421012</v>
      </c>
      <c r="F106" s="353">
        <f t="shared" ref="F106:K106" si="15">F30</f>
        <v>16330219</v>
      </c>
      <c r="G106" s="353">
        <f t="shared" si="15"/>
        <v>15266574</v>
      </c>
      <c r="H106" s="353">
        <f t="shared" si="15"/>
        <v>15112897</v>
      </c>
      <c r="I106" s="353">
        <f t="shared" si="15"/>
        <v>15878337</v>
      </c>
      <c r="J106" s="353">
        <f t="shared" si="15"/>
        <v>15128782</v>
      </c>
      <c r="K106" s="353">
        <f t="shared" si="15"/>
        <v>15443992</v>
      </c>
      <c r="AA106" s="352"/>
      <c r="AB106" s="352" t="s">
        <v>791</v>
      </c>
      <c r="AC106" s="353">
        <f>5896446</f>
        <v>5896446</v>
      </c>
      <c r="AD106" s="352"/>
      <c r="AE106" s="352"/>
      <c r="AF106" s="352"/>
      <c r="AG106" s="352"/>
      <c r="AH106" s="352"/>
      <c r="AI106" s="352"/>
      <c r="AJ106" s="352"/>
      <c r="AK106" s="352"/>
      <c r="AL106" s="352"/>
      <c r="AM106" s="352"/>
      <c r="AN106" s="352"/>
      <c r="AO106" s="352"/>
      <c r="AP106" s="352"/>
      <c r="AQ106" s="352"/>
      <c r="AR106" s="352"/>
      <c r="AS106" s="352"/>
      <c r="AT106" s="352"/>
      <c r="AU106" s="352"/>
      <c r="AV106" s="352"/>
      <c r="AW106" s="352"/>
    </row>
    <row r="107" spans="2:49" x14ac:dyDescent="0.25">
      <c r="B107" s="753" t="s">
        <v>1519</v>
      </c>
      <c r="E107" s="1033">
        <f>E106/E105</f>
        <v>0.97277537179245133</v>
      </c>
      <c r="F107" s="1033">
        <f t="shared" ref="F107:K107" si="16">F106/F105</f>
        <v>1.0301292067717185</v>
      </c>
      <c r="G107" s="1033">
        <f t="shared" si="16"/>
        <v>0.96303324313909944</v>
      </c>
      <c r="H107" s="1033">
        <f t="shared" si="16"/>
        <v>0.95333911925080028</v>
      </c>
      <c r="I107" s="1033">
        <f t="shared" si="16"/>
        <v>1.0016239646672238</v>
      </c>
      <c r="J107" s="1033">
        <f t="shared" si="16"/>
        <v>0.95434116352525666</v>
      </c>
      <c r="K107" s="1033">
        <f t="shared" si="16"/>
        <v>0.97422497691848264</v>
      </c>
      <c r="AA107" s="352"/>
      <c r="AB107" s="352"/>
      <c r="AC107" s="455">
        <f>SUM(AC90:AC106)</f>
        <v>10016032</v>
      </c>
      <c r="AD107" s="352"/>
      <c r="AE107" s="352"/>
      <c r="AF107" s="352"/>
      <c r="AG107" s="352"/>
      <c r="AH107" s="352"/>
      <c r="AI107" s="352"/>
      <c r="AJ107" s="352"/>
      <c r="AK107" s="352"/>
      <c r="AL107" s="352"/>
      <c r="AM107" s="352"/>
      <c r="AN107" s="352"/>
      <c r="AO107" s="352"/>
      <c r="AP107" s="352"/>
      <c r="AQ107" s="352"/>
      <c r="AR107" s="352"/>
      <c r="AS107" s="352"/>
      <c r="AT107" s="352"/>
      <c r="AU107" s="352"/>
      <c r="AV107" s="352"/>
      <c r="AW107" s="352"/>
    </row>
    <row r="108" spans="2:49" x14ac:dyDescent="0.25">
      <c r="B108" s="753"/>
      <c r="AA108" s="352"/>
      <c r="AB108" s="1"/>
      <c r="AC108" s="462"/>
      <c r="AD108" s="1"/>
      <c r="AE108" s="1"/>
      <c r="AF108" s="1"/>
      <c r="AG108" s="1"/>
      <c r="AH108" s="352"/>
      <c r="AI108" s="352"/>
      <c r="AJ108" s="352"/>
      <c r="AK108" s="352"/>
      <c r="AL108" s="352"/>
      <c r="AM108" s="352"/>
      <c r="AN108" s="352"/>
      <c r="AO108" s="352"/>
      <c r="AP108" s="352"/>
      <c r="AQ108" s="352"/>
      <c r="AR108" s="352"/>
      <c r="AS108" s="352"/>
      <c r="AT108" s="352"/>
      <c r="AU108" s="352"/>
      <c r="AV108" s="352"/>
      <c r="AW108" s="352"/>
    </row>
    <row r="109" spans="2:49" hidden="1" x14ac:dyDescent="0.25">
      <c r="B109" s="753" t="s">
        <v>1413</v>
      </c>
      <c r="E109" s="353">
        <v>5139951.5266666664</v>
      </c>
      <c r="F109" s="353">
        <v>5139951.5266666664</v>
      </c>
      <c r="G109" s="353">
        <v>5139951.5266666664</v>
      </c>
      <c r="H109" s="353">
        <v>5139951.5266666664</v>
      </c>
      <c r="I109" s="353">
        <v>5139951.5266666664</v>
      </c>
      <c r="J109" s="353">
        <v>5139951.5266666664</v>
      </c>
      <c r="K109" s="353">
        <v>5139951.5266666664</v>
      </c>
      <c r="AA109" s="352"/>
      <c r="AB109" s="1663">
        <f>AU50</f>
        <v>0</v>
      </c>
      <c r="AC109" s="1663"/>
      <c r="AD109" s="1"/>
      <c r="AE109" s="1"/>
      <c r="AF109" s="1"/>
      <c r="AG109" s="1"/>
      <c r="AH109" s="352"/>
      <c r="AI109" s="352"/>
      <c r="AJ109" s="454"/>
      <c r="AK109" s="454"/>
      <c r="AL109" s="454"/>
      <c r="AM109" s="352"/>
      <c r="AN109" s="352"/>
      <c r="AO109" s="352"/>
      <c r="AP109" s="352"/>
      <c r="AQ109" s="352"/>
      <c r="AR109" s="454"/>
      <c r="AS109" s="352"/>
      <c r="AT109" s="352"/>
      <c r="AU109" s="352"/>
      <c r="AV109" s="352"/>
      <c r="AW109" s="352"/>
    </row>
    <row r="110" spans="2:49" hidden="1" x14ac:dyDescent="0.25">
      <c r="B110" s="753" t="s">
        <v>788</v>
      </c>
      <c r="E110" s="353">
        <f>E19</f>
        <v>5790522</v>
      </c>
      <c r="F110" s="353">
        <f t="shared" ref="F110:K110" si="17">F19</f>
        <v>4897597</v>
      </c>
      <c r="G110" s="353">
        <f t="shared" si="17"/>
        <v>5238649</v>
      </c>
      <c r="H110" s="353">
        <f t="shared" si="17"/>
        <v>3483963</v>
      </c>
      <c r="I110" s="353">
        <f t="shared" si="17"/>
        <v>4352282</v>
      </c>
      <c r="J110" s="353">
        <f t="shared" si="17"/>
        <v>4238142</v>
      </c>
      <c r="K110" s="353">
        <f t="shared" si="17"/>
        <v>4430519</v>
      </c>
      <c r="AA110" s="352"/>
      <c r="AB110" s="1664" t="s">
        <v>792</v>
      </c>
      <c r="AC110" s="1664"/>
      <c r="AD110" s="1"/>
      <c r="AE110" s="1"/>
      <c r="AF110" s="1"/>
      <c r="AG110" s="1"/>
      <c r="AH110" s="352"/>
      <c r="AI110" s="352"/>
      <c r="AJ110" s="1663" t="str">
        <f>AH58</f>
        <v>Mantenimiento</v>
      </c>
      <c r="AK110" s="1663"/>
      <c r="AL110" s="1663"/>
      <c r="AM110" s="352"/>
      <c r="AN110" s="352"/>
      <c r="AO110" s="352"/>
      <c r="AP110" s="352"/>
      <c r="AQ110" s="352"/>
      <c r="AR110" s="454"/>
      <c r="AS110" s="352"/>
      <c r="AT110" s="352"/>
      <c r="AU110" s="352"/>
      <c r="AV110" s="352"/>
      <c r="AW110" s="352"/>
    </row>
    <row r="111" spans="2:49" x14ac:dyDescent="0.25">
      <c r="B111" s="753" t="s">
        <v>1517</v>
      </c>
      <c r="E111" s="1034">
        <f>E110/E109</f>
        <v>1.1265713246434521</v>
      </c>
      <c r="F111" s="1034">
        <f t="shared" ref="F111:K111" si="18">F110/F109</f>
        <v>0.95284886921417389</v>
      </c>
      <c r="G111" s="1034">
        <f t="shared" si="18"/>
        <v>1.0192020241477531</v>
      </c>
      <c r="H111" s="1034">
        <f t="shared" si="18"/>
        <v>0.67782020548730759</v>
      </c>
      <c r="I111" s="1034">
        <f t="shared" si="18"/>
        <v>0.84675545623725335</v>
      </c>
      <c r="J111" s="1034">
        <f t="shared" si="18"/>
        <v>0.82454902113609951</v>
      </c>
      <c r="K111" s="1034">
        <f t="shared" si="18"/>
        <v>0.86197680600954152</v>
      </c>
      <c r="AA111" s="352"/>
      <c r="AB111" s="1"/>
      <c r="AC111" s="1"/>
      <c r="AD111" s="1"/>
      <c r="AE111" s="1"/>
      <c r="AF111" s="1"/>
      <c r="AG111" s="1"/>
      <c r="AH111" s="454"/>
      <c r="AI111" s="454"/>
      <c r="AJ111" s="1664" t="s">
        <v>793</v>
      </c>
      <c r="AK111" s="1664"/>
      <c r="AL111" s="1664"/>
      <c r="AM111" s="454"/>
      <c r="AN111" s="454"/>
      <c r="AO111" s="454"/>
      <c r="AP111" s="454"/>
      <c r="AQ111" s="454"/>
      <c r="AR111" s="454"/>
      <c r="AS111" s="352"/>
      <c r="AT111" s="352"/>
      <c r="AU111" s="352"/>
      <c r="AV111" s="352"/>
      <c r="AW111" s="352"/>
    </row>
    <row r="112" spans="2:49" x14ac:dyDescent="0.25">
      <c r="B112" s="753"/>
      <c r="AA112" s="352"/>
      <c r="AB112" s="1"/>
      <c r="AC112" s="1"/>
      <c r="AD112" s="1"/>
      <c r="AE112" s="1"/>
      <c r="AF112" s="1"/>
      <c r="AG112" s="1"/>
      <c r="AH112" s="454"/>
      <c r="AI112" s="454"/>
      <c r="AJ112" s="1"/>
      <c r="AK112" s="1"/>
      <c r="AL112" s="1"/>
      <c r="AM112" s="454"/>
      <c r="AN112" s="454"/>
      <c r="AO112" s="454"/>
      <c r="AP112" s="454"/>
      <c r="AQ112" s="454"/>
      <c r="AR112" s="352"/>
      <c r="AS112" s="352"/>
      <c r="AT112" s="352"/>
      <c r="AU112" s="352"/>
      <c r="AV112" s="352"/>
      <c r="AW112" s="352"/>
    </row>
    <row r="113" spans="2:49" hidden="1" x14ac:dyDescent="0.25">
      <c r="B113" s="753" t="s">
        <v>1414</v>
      </c>
      <c r="E113" s="353">
        <f>D44</f>
        <v>5264313.125</v>
      </c>
      <c r="F113" s="353">
        <v>5264313.125</v>
      </c>
      <c r="G113" s="353">
        <v>5264313.125</v>
      </c>
      <c r="H113" s="353">
        <v>5264313.125</v>
      </c>
      <c r="I113" s="353">
        <v>5264313.125</v>
      </c>
      <c r="J113" s="353">
        <v>5264313.125</v>
      </c>
      <c r="K113" s="353">
        <v>5264313.125</v>
      </c>
      <c r="AA113" s="352"/>
      <c r="AB113" s="1663" t="s">
        <v>794</v>
      </c>
      <c r="AC113" s="1663"/>
      <c r="AD113" s="1"/>
      <c r="AE113" s="1"/>
      <c r="AF113" s="1"/>
      <c r="AG113" s="1"/>
      <c r="AH113" s="1667" t="s">
        <v>795</v>
      </c>
      <c r="AI113" s="454"/>
      <c r="AJ113" s="1"/>
      <c r="AK113" s="1"/>
      <c r="AL113" s="1"/>
      <c r="AM113" s="463"/>
      <c r="AN113" s="463"/>
      <c r="AO113" s="1"/>
      <c r="AP113" s="1"/>
      <c r="AQ113" s="1668" t="e">
        <f>AJ110+AJ114+AJ118+AJ122+AJ126+AJ130+AJ134+AJ138</f>
        <v>#VALUE!</v>
      </c>
      <c r="AR113" s="352"/>
      <c r="AS113" s="352"/>
      <c r="AT113" s="352"/>
      <c r="AU113" s="352"/>
      <c r="AV113" s="352"/>
      <c r="AW113" s="352"/>
    </row>
    <row r="114" spans="2:49" hidden="1" x14ac:dyDescent="0.25">
      <c r="B114" s="768" t="s">
        <v>1415</v>
      </c>
      <c r="E114" s="353">
        <f>E44</f>
        <v>4811271.88</v>
      </c>
      <c r="F114" s="353">
        <f t="shared" ref="F114:K114" si="19">F44</f>
        <v>4367129</v>
      </c>
      <c r="G114" s="353">
        <f t="shared" si="19"/>
        <v>5020752</v>
      </c>
      <c r="H114" s="353">
        <f t="shared" si="19"/>
        <v>4357863</v>
      </c>
      <c r="I114" s="353">
        <f t="shared" si="19"/>
        <v>6081028</v>
      </c>
      <c r="J114" s="353">
        <f t="shared" si="19"/>
        <v>3315204</v>
      </c>
      <c r="K114" s="353">
        <f t="shared" si="19"/>
        <v>5961092</v>
      </c>
      <c r="AA114" s="352"/>
      <c r="AB114" s="1663">
        <f>AU51</f>
        <v>0</v>
      </c>
      <c r="AC114" s="1663"/>
      <c r="AD114" s="352"/>
      <c r="AE114" s="352"/>
      <c r="AF114" s="352"/>
      <c r="AG114" s="1669" t="e">
        <f>AB109+AB114+AB117+AB121+AB125+AB129+AB133+AB137+AB142+AC149</f>
        <v>#VALUE!</v>
      </c>
      <c r="AH114" s="1667"/>
      <c r="AI114" s="352"/>
      <c r="AJ114" s="1663" t="str">
        <f>AH60</f>
        <v>Riesgos y Seguridad</v>
      </c>
      <c r="AK114" s="1663"/>
      <c r="AL114" s="1663"/>
      <c r="AM114" s="464"/>
      <c r="AN114" s="464"/>
      <c r="AO114" s="1"/>
      <c r="AP114" s="1"/>
      <c r="AQ114" s="1668"/>
      <c r="AR114" s="1665" t="s">
        <v>796</v>
      </c>
      <c r="AS114" s="352"/>
      <c r="AT114" s="352"/>
      <c r="AU114" s="352"/>
      <c r="AV114" s="352"/>
      <c r="AW114" s="352"/>
    </row>
    <row r="115" spans="2:49" x14ac:dyDescent="0.25">
      <c r="B115" s="753" t="s">
        <v>1516</v>
      </c>
      <c r="E115" s="1034">
        <f>E114/E113</f>
        <v>0.91394105285103078</v>
      </c>
      <c r="F115" s="1034">
        <f t="shared" ref="F115:K115" si="20">F114/F113</f>
        <v>0.82957242403775133</v>
      </c>
      <c r="G115" s="1034">
        <f t="shared" si="20"/>
        <v>0.95373354144848665</v>
      </c>
      <c r="H115" s="1034">
        <f t="shared" si="20"/>
        <v>0.82781227038047822</v>
      </c>
      <c r="I115" s="1034">
        <f t="shared" si="20"/>
        <v>1.1551417736003309</v>
      </c>
      <c r="J115" s="1034">
        <f t="shared" si="20"/>
        <v>0.62975053369379508</v>
      </c>
      <c r="K115" s="1034">
        <f t="shared" si="20"/>
        <v>1.1323589342911664</v>
      </c>
      <c r="AA115" s="352"/>
      <c r="AB115" s="1"/>
      <c r="AC115" s="1"/>
      <c r="AD115" s="1"/>
      <c r="AE115" s="1"/>
      <c r="AF115" s="1"/>
      <c r="AG115" s="1669"/>
      <c r="AH115" s="1667"/>
      <c r="AI115" s="352"/>
      <c r="AJ115" s="1666" t="s">
        <v>797</v>
      </c>
      <c r="AK115" s="1666"/>
      <c r="AL115" s="1666"/>
      <c r="AM115" s="1"/>
      <c r="AN115" s="1"/>
      <c r="AO115" s="1"/>
      <c r="AP115" s="1"/>
      <c r="AQ115" s="1668"/>
      <c r="AR115" s="1665"/>
      <c r="AS115" s="352"/>
      <c r="AT115" s="352"/>
      <c r="AU115" s="352"/>
      <c r="AV115" s="352"/>
      <c r="AW115" s="352"/>
    </row>
    <row r="116" spans="2:49" x14ac:dyDescent="0.25">
      <c r="B116" s="753"/>
      <c r="AA116" s="352"/>
      <c r="AB116" s="1"/>
      <c r="AC116" s="1"/>
      <c r="AD116" s="1"/>
      <c r="AE116" s="1"/>
      <c r="AF116" s="1"/>
      <c r="AG116" s="1669"/>
      <c r="AH116" s="1667"/>
      <c r="AI116" s="352"/>
      <c r="AJ116" s="1"/>
      <c r="AK116" s="1"/>
      <c r="AL116" s="1"/>
      <c r="AM116" s="1"/>
      <c r="AN116" s="1"/>
      <c r="AO116" s="1"/>
      <c r="AP116" s="1"/>
      <c r="AQ116" s="1668"/>
      <c r="AR116" s="1665"/>
      <c r="AS116" s="352"/>
      <c r="AT116" s="352"/>
      <c r="AU116" s="352"/>
      <c r="AV116" s="352"/>
      <c r="AW116" s="352"/>
    </row>
    <row r="117" spans="2:49" hidden="1" x14ac:dyDescent="0.25">
      <c r="B117" s="753" t="s">
        <v>1416</v>
      </c>
      <c r="E117" s="353">
        <f>D56</f>
        <v>3479969.6666666665</v>
      </c>
      <c r="F117" s="353">
        <v>3479969.6666666665</v>
      </c>
      <c r="G117" s="353">
        <v>3479969.6666666665</v>
      </c>
      <c r="H117" s="353">
        <v>3479969.6666666665</v>
      </c>
      <c r="I117" s="353">
        <v>3479969.6666666665</v>
      </c>
      <c r="J117" s="353">
        <v>3479969.6666666665</v>
      </c>
      <c r="K117" s="353">
        <v>3479969.6666666665</v>
      </c>
      <c r="AA117" s="352"/>
      <c r="AB117" s="1663">
        <f>Q14</f>
        <v>1050000</v>
      </c>
      <c r="AC117" s="1663"/>
      <c r="AD117" s="1"/>
      <c r="AE117" s="1"/>
      <c r="AF117" s="1"/>
      <c r="AG117" s="1669"/>
      <c r="AH117" s="1667"/>
      <c r="AI117" s="352"/>
      <c r="AJ117" s="1"/>
      <c r="AK117" s="1"/>
      <c r="AL117" s="352"/>
      <c r="AM117" s="463"/>
      <c r="AN117" s="463"/>
      <c r="AO117" s="1"/>
      <c r="AP117" s="1"/>
      <c r="AQ117" s="1668"/>
      <c r="AR117" s="1665"/>
      <c r="AS117" s="352"/>
      <c r="AT117" s="352"/>
      <c r="AU117" s="352"/>
      <c r="AV117" s="352"/>
      <c r="AW117" s="352"/>
    </row>
    <row r="118" spans="2:49" hidden="1" x14ac:dyDescent="0.25">
      <c r="B118" s="753" t="s">
        <v>1417</v>
      </c>
      <c r="E118" s="353">
        <f>E56</f>
        <v>3073400.44</v>
      </c>
      <c r="F118" s="353">
        <f t="shared" ref="F118:K118" si="21">F56</f>
        <v>3071770.6</v>
      </c>
      <c r="G118" s="353">
        <f t="shared" si="21"/>
        <v>3260328.1</v>
      </c>
      <c r="H118" s="353">
        <f t="shared" si="21"/>
        <v>4013875.1</v>
      </c>
      <c r="I118" s="353">
        <f t="shared" si="21"/>
        <v>3401383.48</v>
      </c>
      <c r="J118" s="353">
        <f>J56</f>
        <v>3787532</v>
      </c>
      <c r="K118" s="353">
        <f t="shared" si="21"/>
        <v>3335758</v>
      </c>
      <c r="AA118" s="352"/>
      <c r="AB118" s="1666" t="s">
        <v>798</v>
      </c>
      <c r="AC118" s="1666"/>
      <c r="AD118" s="352"/>
      <c r="AE118" s="352"/>
      <c r="AF118" s="352"/>
      <c r="AG118" s="1669"/>
      <c r="AH118" s="1667"/>
      <c r="AI118" s="454"/>
      <c r="AJ118" s="1663" t="str">
        <f>AH62</f>
        <v>Ambiental</v>
      </c>
      <c r="AK118" s="1663"/>
      <c r="AL118" s="1663"/>
      <c r="AM118" s="465"/>
      <c r="AN118" s="465"/>
      <c r="AO118" s="352"/>
      <c r="AP118" s="352"/>
      <c r="AQ118" s="1668"/>
      <c r="AR118" s="1665"/>
      <c r="AS118" s="352"/>
      <c r="AT118" s="352"/>
      <c r="AU118" s="352"/>
      <c r="AV118" s="352"/>
      <c r="AW118" s="352"/>
    </row>
    <row r="119" spans="2:49" x14ac:dyDescent="0.25">
      <c r="B119" s="753" t="s">
        <v>1518</v>
      </c>
      <c r="E119" s="1034">
        <f>E118/E117</f>
        <v>0.88316874409537482</v>
      </c>
      <c r="F119" s="1034">
        <f t="shared" ref="F119:K119" si="22">F118/F117</f>
        <v>0.88270039518543708</v>
      </c>
      <c r="G119" s="1034">
        <f t="shared" si="22"/>
        <v>0.93688405713114942</v>
      </c>
      <c r="H119" s="1034">
        <f t="shared" si="22"/>
        <v>1.1534224388354344</v>
      </c>
      <c r="I119" s="1034">
        <f t="shared" si="22"/>
        <v>0.9774175656128804</v>
      </c>
      <c r="J119" s="1034">
        <f t="shared" si="22"/>
        <v>1.0883807512115289</v>
      </c>
      <c r="K119" s="1034">
        <f t="shared" si="22"/>
        <v>0.95855950468533779</v>
      </c>
      <c r="AA119" s="352"/>
      <c r="AB119" s="1"/>
      <c r="AC119" s="1"/>
      <c r="AD119" s="1"/>
      <c r="AE119" s="1"/>
      <c r="AF119" s="1"/>
      <c r="AG119" s="1669"/>
      <c r="AH119" s="1667"/>
      <c r="AI119" s="352"/>
      <c r="AJ119" s="1664" t="s">
        <v>97</v>
      </c>
      <c r="AK119" s="1664"/>
      <c r="AL119" s="1664"/>
      <c r="AM119" s="1"/>
      <c r="AN119" s="1"/>
      <c r="AO119" s="1"/>
      <c r="AP119" s="1"/>
      <c r="AQ119" s="1668"/>
      <c r="AR119" s="1665"/>
      <c r="AS119" s="352"/>
      <c r="AT119" s="352"/>
      <c r="AU119" s="352"/>
      <c r="AV119" s="352"/>
      <c r="AW119" s="352"/>
    </row>
    <row r="120" spans="2:49" x14ac:dyDescent="0.25">
      <c r="B120" s="756"/>
      <c r="AA120" s="352"/>
      <c r="AB120" s="1"/>
      <c r="AC120" s="352"/>
      <c r="AD120" s="1"/>
      <c r="AE120" s="1"/>
      <c r="AF120" s="1"/>
      <c r="AG120" s="1669"/>
      <c r="AH120" s="1667"/>
      <c r="AI120" s="352"/>
      <c r="AJ120" s="1"/>
      <c r="AK120" s="1"/>
      <c r="AL120" s="1"/>
      <c r="AM120" s="352"/>
      <c r="AN120" s="352"/>
      <c r="AO120" s="1"/>
      <c r="AP120" s="1"/>
      <c r="AQ120" s="1668"/>
      <c r="AR120" s="1665"/>
      <c r="AS120" s="352"/>
      <c r="AT120" s="352"/>
      <c r="AU120" s="352"/>
      <c r="AV120" s="352"/>
      <c r="AW120" s="352"/>
    </row>
    <row r="121" spans="2:49" x14ac:dyDescent="0.25">
      <c r="B121" s="753" t="s">
        <v>1418</v>
      </c>
      <c r="E121" s="352">
        <v>0</v>
      </c>
      <c r="F121" s="352">
        <v>0</v>
      </c>
      <c r="G121" s="352">
        <v>0</v>
      </c>
      <c r="H121" s="352">
        <v>0</v>
      </c>
      <c r="I121" s="352">
        <v>0</v>
      </c>
      <c r="J121" s="352">
        <v>0</v>
      </c>
      <c r="K121" s="352">
        <v>0</v>
      </c>
      <c r="AA121" s="352"/>
      <c r="AB121" s="1663">
        <f>Q15</f>
        <v>6941666.666666666</v>
      </c>
      <c r="AC121" s="1663"/>
      <c r="AD121" s="1"/>
      <c r="AE121" s="1"/>
      <c r="AF121" s="1"/>
      <c r="AG121" s="1669"/>
      <c r="AH121" s="1667"/>
      <c r="AI121" s="352"/>
      <c r="AJ121" s="1"/>
      <c r="AK121" s="1"/>
      <c r="AL121" s="1"/>
      <c r="AM121" s="463"/>
      <c r="AN121" s="463"/>
      <c r="AO121" s="1"/>
      <c r="AP121" s="1"/>
      <c r="AQ121" s="1668"/>
      <c r="AR121" s="1665"/>
      <c r="AS121" s="352"/>
      <c r="AT121" s="352"/>
      <c r="AU121" s="352"/>
      <c r="AV121" s="352"/>
      <c r="AW121" s="352"/>
    </row>
    <row r="122" spans="2:49" x14ac:dyDescent="0.25">
      <c r="B122" s="753" t="s">
        <v>1419</v>
      </c>
      <c r="E122" s="353">
        <f>E34</f>
        <v>0</v>
      </c>
      <c r="F122" s="353">
        <f t="shared" ref="F122:P122" si="23">F34</f>
        <v>0</v>
      </c>
      <c r="G122" s="353">
        <f t="shared" si="23"/>
        <v>338650</v>
      </c>
      <c r="H122" s="353">
        <f t="shared" si="23"/>
        <v>0</v>
      </c>
      <c r="I122" s="353">
        <f t="shared" si="23"/>
        <v>176715</v>
      </c>
      <c r="J122" s="353">
        <f t="shared" si="23"/>
        <v>179214</v>
      </c>
      <c r="K122" s="353">
        <f t="shared" si="23"/>
        <v>0</v>
      </c>
      <c r="L122" s="353">
        <f t="shared" si="23"/>
        <v>0</v>
      </c>
      <c r="M122" s="353">
        <f t="shared" si="23"/>
        <v>0</v>
      </c>
      <c r="N122" s="353">
        <f t="shared" si="23"/>
        <v>0</v>
      </c>
      <c r="O122" s="353">
        <f t="shared" si="23"/>
        <v>0</v>
      </c>
      <c r="P122" s="353">
        <f t="shared" si="23"/>
        <v>0</v>
      </c>
      <c r="AA122" s="352"/>
      <c r="AB122" s="1664" t="s">
        <v>799</v>
      </c>
      <c r="AC122" s="1664"/>
      <c r="AD122" s="1"/>
      <c r="AE122" s="1"/>
      <c r="AF122" s="1"/>
      <c r="AG122" s="1669"/>
      <c r="AH122" s="1667"/>
      <c r="AI122" s="352"/>
      <c r="AJ122" s="1663">
        <f>AH64</f>
        <v>0</v>
      </c>
      <c r="AK122" s="1663"/>
      <c r="AL122" s="1663"/>
      <c r="AM122" s="464"/>
      <c r="AN122" s="464"/>
      <c r="AO122" s="1"/>
      <c r="AP122" s="1"/>
      <c r="AQ122" s="1668"/>
      <c r="AR122" s="1665"/>
      <c r="AS122" s="352"/>
      <c r="AT122" s="352"/>
      <c r="AU122" s="352"/>
      <c r="AV122" s="352"/>
      <c r="AW122" s="352"/>
    </row>
    <row r="123" spans="2:49" x14ac:dyDescent="0.25">
      <c r="E123" s="352" t="e">
        <f>E122/E121</f>
        <v>#DIV/0!</v>
      </c>
      <c r="F123" s="352" t="e">
        <f t="shared" ref="F123:K123" si="24">F122/F121</f>
        <v>#DIV/0!</v>
      </c>
      <c r="G123" s="352" t="e">
        <f t="shared" si="24"/>
        <v>#DIV/0!</v>
      </c>
      <c r="H123" s="352" t="e">
        <f t="shared" si="24"/>
        <v>#DIV/0!</v>
      </c>
      <c r="I123" s="352" t="e">
        <f t="shared" si="24"/>
        <v>#DIV/0!</v>
      </c>
      <c r="J123" s="352" t="e">
        <f t="shared" si="24"/>
        <v>#DIV/0!</v>
      </c>
      <c r="K123" s="352" t="e">
        <f t="shared" si="24"/>
        <v>#DIV/0!</v>
      </c>
      <c r="AA123" s="352"/>
      <c r="AB123" s="1"/>
      <c r="AC123" s="1"/>
      <c r="AD123" s="1"/>
      <c r="AE123" s="1"/>
      <c r="AF123" s="1"/>
      <c r="AG123" s="1669"/>
      <c r="AH123" s="1667"/>
      <c r="AI123" s="352"/>
      <c r="AJ123" s="1666" t="s">
        <v>800</v>
      </c>
      <c r="AK123" s="1666"/>
      <c r="AL123" s="1666"/>
      <c r="AM123" s="1"/>
      <c r="AN123" s="1"/>
      <c r="AO123" s="1"/>
      <c r="AP123" s="1"/>
      <c r="AQ123" s="1668"/>
      <c r="AR123" s="1665"/>
      <c r="AS123" s="352"/>
      <c r="AT123" s="352"/>
      <c r="AU123" s="352"/>
      <c r="AV123" s="352"/>
      <c r="AW123" s="352"/>
    </row>
    <row r="124" spans="2:49" x14ac:dyDescent="0.25">
      <c r="AA124" s="352"/>
      <c r="AB124" s="1"/>
      <c r="AC124" s="1"/>
      <c r="AD124" s="1"/>
      <c r="AE124" s="1"/>
      <c r="AF124" s="1"/>
      <c r="AG124" s="1669"/>
      <c r="AH124" s="1667"/>
      <c r="AI124" s="352"/>
      <c r="AJ124" s="454"/>
      <c r="AK124" s="454"/>
      <c r="AL124" s="454"/>
      <c r="AM124" s="1"/>
      <c r="AN124" s="1"/>
      <c r="AO124" s="1"/>
      <c r="AP124" s="1"/>
      <c r="AQ124" s="1668"/>
      <c r="AR124" s="1665"/>
      <c r="AS124" s="352"/>
      <c r="AT124" s="352"/>
      <c r="AU124" s="352"/>
      <c r="AV124" s="352"/>
      <c r="AW124" s="352"/>
    </row>
    <row r="125" spans="2:49" x14ac:dyDescent="0.25">
      <c r="B125" s="1" t="s">
        <v>1520</v>
      </c>
      <c r="E125" s="1031">
        <v>45658</v>
      </c>
      <c r="F125" s="1031">
        <v>45689</v>
      </c>
      <c r="G125" s="1031">
        <v>45717</v>
      </c>
      <c r="H125" s="1031">
        <v>45748</v>
      </c>
      <c r="I125" s="1031">
        <v>45778</v>
      </c>
      <c r="J125" s="1031">
        <v>45809</v>
      </c>
      <c r="K125" s="1031">
        <v>45839</v>
      </c>
      <c r="AA125" s="352"/>
      <c r="AB125" s="1663">
        <f>Q18</f>
        <v>0</v>
      </c>
      <c r="AC125" s="1663"/>
      <c r="AD125" s="352"/>
      <c r="AE125" s="352"/>
      <c r="AF125" s="352"/>
      <c r="AG125" s="1669"/>
      <c r="AH125" s="1667"/>
      <c r="AI125" s="352"/>
      <c r="AJ125" s="1"/>
      <c r="AK125" s="1"/>
      <c r="AL125" s="1"/>
      <c r="AM125" s="463"/>
      <c r="AN125" s="463"/>
      <c r="AO125" s="352"/>
      <c r="AP125" s="352"/>
      <c r="AQ125" s="1668"/>
      <c r="AR125" s="1665"/>
      <c r="AS125" s="352"/>
      <c r="AT125" s="352"/>
      <c r="AU125" s="352"/>
      <c r="AV125" s="352"/>
      <c r="AW125" s="352"/>
    </row>
    <row r="126" spans="2:49" x14ac:dyDescent="0.25">
      <c r="B126" s="1" t="s">
        <v>1521</v>
      </c>
      <c r="K126" s="1033">
        <v>0.9587268041398348</v>
      </c>
      <c r="AA126" s="352"/>
      <c r="AB126" s="1664" t="s">
        <v>801</v>
      </c>
      <c r="AC126" s="1664"/>
      <c r="AD126" s="352"/>
      <c r="AE126" s="352"/>
      <c r="AF126" s="352"/>
      <c r="AG126" s="1669"/>
      <c r="AH126" s="1667"/>
      <c r="AI126" s="352"/>
      <c r="AJ126" s="1663">
        <f>AH66</f>
        <v>0</v>
      </c>
      <c r="AK126" s="1663"/>
      <c r="AL126" s="1663"/>
      <c r="AM126" s="465"/>
      <c r="AN126" s="465"/>
      <c r="AO126" s="352"/>
      <c r="AP126" s="352"/>
      <c r="AQ126" s="1668"/>
      <c r="AR126" s="1665"/>
      <c r="AS126" s="352"/>
      <c r="AT126" s="352"/>
      <c r="AU126" s="352"/>
      <c r="AV126" s="352"/>
      <c r="AW126" s="352"/>
    </row>
    <row r="127" spans="2:49" x14ac:dyDescent="0.25">
      <c r="AA127" s="352"/>
      <c r="AB127" s="454"/>
      <c r="AC127" s="454"/>
      <c r="AD127" s="454"/>
      <c r="AE127" s="454"/>
      <c r="AF127" s="454"/>
      <c r="AG127" s="1669"/>
      <c r="AH127" s="1667"/>
      <c r="AI127" s="454"/>
      <c r="AJ127" s="1663" t="s">
        <v>113</v>
      </c>
      <c r="AK127" s="1663"/>
      <c r="AL127" s="1663"/>
      <c r="AM127" s="454"/>
      <c r="AN127" s="454"/>
      <c r="AO127" s="454"/>
      <c r="AP127" s="454"/>
      <c r="AQ127" s="1668"/>
      <c r="AR127" s="1665"/>
      <c r="AS127" s="352"/>
      <c r="AT127" s="352"/>
      <c r="AU127" s="352"/>
      <c r="AV127" s="352"/>
      <c r="AW127" s="352"/>
    </row>
    <row r="128" spans="2:49" x14ac:dyDescent="0.25">
      <c r="AA128" s="352"/>
      <c r="AB128" s="1"/>
      <c r="AC128" s="1"/>
      <c r="AD128" s="352"/>
      <c r="AE128" s="352"/>
      <c r="AF128" s="352"/>
      <c r="AG128" s="1669"/>
      <c r="AH128" s="1667"/>
      <c r="AI128" s="352"/>
      <c r="AJ128" s="352"/>
      <c r="AK128" s="352"/>
      <c r="AL128" s="352"/>
      <c r="AM128" s="1"/>
      <c r="AN128" s="1"/>
      <c r="AO128" s="352"/>
      <c r="AP128" s="352"/>
      <c r="AQ128" s="1668"/>
      <c r="AR128" s="1665"/>
      <c r="AS128" s="352"/>
      <c r="AT128" s="352"/>
      <c r="AU128" s="352"/>
      <c r="AV128" s="352"/>
      <c r="AW128" s="352"/>
    </row>
    <row r="129" spans="27:49" x14ac:dyDescent="0.25">
      <c r="AA129" s="352"/>
      <c r="AB129" s="1663">
        <f>AU52</f>
        <v>0</v>
      </c>
      <c r="AC129" s="1663"/>
      <c r="AD129" s="352"/>
      <c r="AE129" s="352"/>
      <c r="AF129" s="352"/>
      <c r="AG129" s="1669"/>
      <c r="AH129" s="1667"/>
      <c r="AI129" s="352"/>
      <c r="AJ129" s="454"/>
      <c r="AK129" s="454"/>
      <c r="AL129" s="454"/>
      <c r="AM129" s="463"/>
      <c r="AN129" s="463"/>
      <c r="AO129" s="352"/>
      <c r="AP129" s="352"/>
      <c r="AQ129" s="1668"/>
      <c r="AR129" s="1665"/>
      <c r="AS129" s="352"/>
      <c r="AT129" s="352"/>
      <c r="AU129" s="352"/>
      <c r="AV129" s="352"/>
      <c r="AW129" s="352"/>
    </row>
    <row r="130" spans="27:49" x14ac:dyDescent="0.25">
      <c r="AA130" s="352"/>
      <c r="AB130" s="1663" t="s">
        <v>802</v>
      </c>
      <c r="AC130" s="1663"/>
      <c r="AD130" s="352"/>
      <c r="AE130" s="352"/>
      <c r="AF130" s="352"/>
      <c r="AG130" s="466"/>
      <c r="AH130" s="1667"/>
      <c r="AI130" s="352"/>
      <c r="AJ130" s="1670">
        <v>7358809</v>
      </c>
      <c r="AK130" s="1670"/>
      <c r="AL130" s="1670"/>
      <c r="AM130" s="463"/>
      <c r="AN130" s="463"/>
      <c r="AO130" s="352"/>
      <c r="AP130" s="352"/>
      <c r="AQ130" s="1668"/>
      <c r="AR130" s="352"/>
      <c r="AS130" s="352"/>
      <c r="AT130" s="352"/>
      <c r="AU130" s="352"/>
      <c r="AV130" s="352"/>
      <c r="AW130" s="352"/>
    </row>
    <row r="131" spans="27:49" x14ac:dyDescent="0.25">
      <c r="AA131" s="352"/>
      <c r="AB131" s="1671"/>
      <c r="AC131" s="1671"/>
      <c r="AD131" s="352"/>
      <c r="AE131" s="352"/>
      <c r="AF131" s="352"/>
      <c r="AG131" s="352"/>
      <c r="AH131" s="352"/>
      <c r="AI131" s="352"/>
      <c r="AJ131" s="1663" t="s">
        <v>803</v>
      </c>
      <c r="AK131" s="1663"/>
      <c r="AL131" s="1663"/>
      <c r="AM131" s="352"/>
      <c r="AN131" s="352"/>
      <c r="AO131" s="352"/>
      <c r="AP131" s="352"/>
      <c r="AQ131" s="466"/>
      <c r="AR131" s="352"/>
      <c r="AS131" s="352"/>
      <c r="AT131" s="352"/>
      <c r="AU131" s="352"/>
      <c r="AV131" s="352"/>
      <c r="AW131" s="352"/>
    </row>
    <row r="132" spans="27:49" x14ac:dyDescent="0.25">
      <c r="AA132" s="352"/>
      <c r="AB132" s="459"/>
      <c r="AC132" s="454"/>
      <c r="AD132" s="454"/>
      <c r="AE132" s="454"/>
      <c r="AF132" s="454"/>
      <c r="AG132" s="454"/>
      <c r="AH132" s="468">
        <v>45200</v>
      </c>
      <c r="AI132" s="454"/>
      <c r="AJ132" s="352"/>
      <c r="AK132" s="352"/>
      <c r="AL132" s="352"/>
      <c r="AM132" s="454"/>
      <c r="AN132" s="454"/>
      <c r="AO132" s="454"/>
      <c r="AP132" s="454"/>
      <c r="AQ132" s="454"/>
      <c r="AR132" s="468">
        <v>45200</v>
      </c>
      <c r="AS132" s="352"/>
      <c r="AT132" s="352"/>
      <c r="AU132" s="352"/>
      <c r="AV132" s="352"/>
      <c r="AW132" s="352"/>
    </row>
    <row r="133" spans="27:49" x14ac:dyDescent="0.25">
      <c r="AA133" s="1"/>
      <c r="AB133" s="469" t="str">
        <f>Q20</f>
        <v xml:space="preserve"> </v>
      </c>
      <c r="AC133" s="1"/>
      <c r="AD133" s="352"/>
      <c r="AE133" s="352"/>
      <c r="AF133" s="352"/>
      <c r="AG133" s="352"/>
      <c r="AH133" s="352"/>
      <c r="AI133" s="352"/>
      <c r="AJ133" s="352"/>
      <c r="AK133" s="352"/>
      <c r="AL133" s="352"/>
      <c r="AM133" s="467"/>
      <c r="AN133" s="467"/>
      <c r="AO133" s="352"/>
      <c r="AP133" s="352"/>
      <c r="AQ133" s="352"/>
      <c r="AR133" s="352"/>
      <c r="AS133" s="352"/>
      <c r="AT133" s="352"/>
      <c r="AU133" s="352"/>
      <c r="AV133" s="352"/>
      <c r="AW133" s="352"/>
    </row>
    <row r="134" spans="27:49" x14ac:dyDescent="0.25">
      <c r="AA134" s="470"/>
      <c r="AB134" s="1672" t="s">
        <v>124</v>
      </c>
      <c r="AC134" s="1672"/>
      <c r="AD134" s="352"/>
      <c r="AE134" s="352"/>
      <c r="AF134" s="352"/>
      <c r="AG134" s="352"/>
      <c r="AH134" s="352"/>
      <c r="AI134" s="352"/>
      <c r="AJ134" s="1663">
        <v>3039759</v>
      </c>
      <c r="AK134" s="1663"/>
      <c r="AL134" s="1663"/>
      <c r="AM134" s="352"/>
      <c r="AN134" s="352"/>
      <c r="AO134" s="352"/>
      <c r="AP134" s="352"/>
      <c r="AQ134" s="352"/>
      <c r="AR134" s="352"/>
      <c r="AS134" s="352"/>
      <c r="AT134" s="352"/>
      <c r="AU134" s="352"/>
      <c r="AV134" s="352"/>
      <c r="AW134" s="352"/>
    </row>
    <row r="135" spans="27:49" x14ac:dyDescent="0.25">
      <c r="AA135" s="352"/>
      <c r="AB135" s="352"/>
      <c r="AC135" s="352"/>
      <c r="AD135" s="352"/>
      <c r="AE135" s="352"/>
      <c r="AF135" s="352"/>
      <c r="AG135" s="352"/>
      <c r="AH135" s="352"/>
      <c r="AI135" s="352"/>
      <c r="AJ135" s="1657" t="s">
        <v>804</v>
      </c>
      <c r="AK135" s="1657"/>
      <c r="AL135" s="1657"/>
      <c r="AM135" s="352"/>
      <c r="AN135" s="352"/>
      <c r="AO135" s="352"/>
      <c r="AP135" s="352"/>
      <c r="AQ135" s="352"/>
      <c r="AR135" s="352"/>
      <c r="AS135" s="352"/>
      <c r="AT135" s="352"/>
      <c r="AU135" s="352"/>
      <c r="AV135" s="352"/>
      <c r="AW135" s="352"/>
    </row>
    <row r="136" spans="27:49" x14ac:dyDescent="0.25">
      <c r="AA136" s="352"/>
      <c r="AB136" s="1670" t="s">
        <v>791</v>
      </c>
      <c r="AC136" s="1670"/>
      <c r="AD136" s="352"/>
      <c r="AE136" s="352"/>
      <c r="AF136" s="352"/>
      <c r="AG136" s="352"/>
      <c r="AH136" s="352"/>
      <c r="AI136" s="352"/>
      <c r="AJ136" s="352"/>
      <c r="AK136" s="352"/>
      <c r="AL136" s="352"/>
      <c r="AM136" s="352"/>
      <c r="AN136" s="352"/>
      <c r="AO136" s="352"/>
      <c r="AP136" s="352"/>
      <c r="AQ136" s="352"/>
      <c r="AR136" s="352"/>
      <c r="AS136" s="352"/>
      <c r="AT136" s="352"/>
      <c r="AU136" s="352"/>
      <c r="AV136" s="352"/>
      <c r="AW136" s="352"/>
    </row>
    <row r="137" spans="27:49" x14ac:dyDescent="0.25">
      <c r="AA137" s="352"/>
      <c r="AB137" s="1663">
        <v>7063111</v>
      </c>
      <c r="AC137" s="1663"/>
      <c r="AD137" s="352"/>
      <c r="AE137" s="352"/>
      <c r="AF137" s="352"/>
      <c r="AG137" s="352"/>
      <c r="AH137" s="352"/>
      <c r="AI137" s="352"/>
      <c r="AJ137" s="471"/>
      <c r="AK137" s="471"/>
      <c r="AL137" s="471"/>
      <c r="AM137" s="467"/>
      <c r="AN137" s="467"/>
      <c r="AO137" s="352"/>
      <c r="AP137" s="352"/>
      <c r="AQ137" s="352"/>
      <c r="AR137" s="352"/>
      <c r="AS137" s="352"/>
      <c r="AT137" s="352"/>
      <c r="AU137" s="352"/>
      <c r="AV137" s="352"/>
      <c r="AW137" s="352"/>
    </row>
    <row r="138" spans="27:49" x14ac:dyDescent="0.25">
      <c r="AA138" s="352"/>
      <c r="AB138" s="352"/>
      <c r="AC138" s="352"/>
      <c r="AD138" s="352"/>
      <c r="AE138" s="352"/>
      <c r="AF138" s="352"/>
      <c r="AG138" s="352"/>
      <c r="AH138" s="352"/>
      <c r="AI138" s="352"/>
      <c r="AJ138" s="1673">
        <v>6685800</v>
      </c>
      <c r="AK138" s="1673"/>
      <c r="AL138" s="1673"/>
      <c r="AM138" s="452"/>
      <c r="AN138" s="452"/>
      <c r="AO138" s="352"/>
      <c r="AP138" s="352"/>
      <c r="AQ138" s="352"/>
      <c r="AR138" s="352"/>
      <c r="AS138" s="352"/>
      <c r="AT138" s="352"/>
      <c r="AU138" s="352"/>
      <c r="AV138" s="352"/>
      <c r="AW138" s="352"/>
    </row>
    <row r="139" spans="27:49" x14ac:dyDescent="0.25">
      <c r="AA139" s="352"/>
      <c r="AB139" s="352"/>
      <c r="AC139" s="352"/>
      <c r="AD139" s="352"/>
      <c r="AE139" s="352"/>
      <c r="AF139" s="352"/>
      <c r="AG139" s="352"/>
      <c r="AH139" s="352"/>
      <c r="AI139" s="352"/>
      <c r="AJ139" s="1674" t="s">
        <v>805</v>
      </c>
      <c r="AK139" s="1674"/>
      <c r="AL139" s="1674"/>
      <c r="AM139" s="352"/>
      <c r="AN139" s="352"/>
      <c r="AO139" s="352"/>
      <c r="AP139" s="352"/>
      <c r="AQ139" s="352"/>
      <c r="AR139" s="352"/>
      <c r="AS139" s="352"/>
      <c r="AT139" s="352"/>
      <c r="AU139" s="352"/>
      <c r="AV139" s="352"/>
      <c r="AW139" s="352"/>
    </row>
    <row r="140" spans="27:49" x14ac:dyDescent="0.25">
      <c r="AA140" s="352"/>
      <c r="AB140" s="352"/>
      <c r="AC140" s="352"/>
      <c r="AD140" s="352"/>
      <c r="AE140" s="352"/>
      <c r="AF140" s="352"/>
      <c r="AG140" s="352"/>
      <c r="AH140" s="352"/>
      <c r="AI140" s="352"/>
      <c r="AJ140" s="1674"/>
      <c r="AK140" s="1674"/>
      <c r="AL140" s="1674"/>
      <c r="AM140" s="352"/>
      <c r="AN140" s="352"/>
      <c r="AO140" s="352"/>
      <c r="AP140" s="352"/>
      <c r="AQ140" s="352"/>
      <c r="AR140" s="352"/>
      <c r="AS140" s="352"/>
      <c r="AT140" s="352"/>
      <c r="AU140" s="352"/>
      <c r="AV140" s="352"/>
      <c r="AW140" s="352"/>
    </row>
    <row r="141" spans="27:49" x14ac:dyDescent="0.25">
      <c r="AA141" s="352"/>
      <c r="AB141" s="1657" t="s">
        <v>806</v>
      </c>
      <c r="AC141" s="1657"/>
      <c r="AD141" s="352"/>
      <c r="AE141" s="352"/>
      <c r="AF141" s="352"/>
      <c r="AG141" s="352"/>
      <c r="AH141" s="352"/>
      <c r="AI141" s="352"/>
      <c r="AJ141" s="471"/>
      <c r="AK141" s="471"/>
      <c r="AL141" s="471"/>
      <c r="AM141" s="352"/>
      <c r="AN141" s="352"/>
      <c r="AO141" s="352"/>
      <c r="AP141" s="352"/>
      <c r="AQ141" s="352"/>
      <c r="AR141" s="352"/>
      <c r="AS141" s="352"/>
      <c r="AT141" s="352"/>
      <c r="AU141" s="352"/>
      <c r="AV141" s="352"/>
      <c r="AW141" s="352"/>
    </row>
    <row r="142" spans="27:49" x14ac:dyDescent="0.25">
      <c r="AA142" s="352"/>
      <c r="AB142" s="1670">
        <v>7358809</v>
      </c>
      <c r="AC142" s="1670"/>
      <c r="AD142" s="352"/>
      <c r="AE142" s="352"/>
      <c r="AF142" s="352"/>
      <c r="AG142" s="352"/>
      <c r="AH142" s="352"/>
      <c r="AI142" s="352"/>
      <c r="AJ142" s="471"/>
      <c r="AK142" s="471"/>
      <c r="AL142" s="471"/>
      <c r="AM142" s="352"/>
      <c r="AN142" s="352"/>
      <c r="AO142" s="352"/>
      <c r="AP142" s="352"/>
      <c r="AQ142" s="352"/>
      <c r="AR142" s="352"/>
      <c r="AS142" s="352"/>
      <c r="AT142" s="352"/>
      <c r="AU142" s="352"/>
      <c r="AV142" s="352"/>
      <c r="AW142" s="352"/>
    </row>
    <row r="143" spans="27:49" x14ac:dyDescent="0.25">
      <c r="AA143" s="352"/>
      <c r="AB143" s="352"/>
      <c r="AC143" s="352"/>
      <c r="AD143" s="352"/>
      <c r="AE143" s="352"/>
      <c r="AF143" s="352"/>
      <c r="AG143" s="352"/>
      <c r="AH143" s="352"/>
      <c r="AI143" s="352"/>
      <c r="AJ143" s="1675">
        <v>1541050</v>
      </c>
      <c r="AK143" s="1675"/>
      <c r="AL143" s="1675"/>
      <c r="AM143" s="352"/>
      <c r="AN143" s="352"/>
      <c r="AO143" s="352"/>
      <c r="AP143" s="352"/>
      <c r="AQ143" s="352"/>
      <c r="AR143" s="352"/>
      <c r="AS143" s="352"/>
      <c r="AT143" s="352"/>
      <c r="AU143" s="352"/>
      <c r="AV143" s="352"/>
      <c r="AW143" s="352"/>
    </row>
    <row r="144" spans="27:49" x14ac:dyDescent="0.25">
      <c r="AA144" s="352"/>
      <c r="AB144" s="352"/>
      <c r="AC144" s="352"/>
      <c r="AD144" s="352"/>
      <c r="AE144" s="352"/>
      <c r="AF144" s="352"/>
      <c r="AG144" s="352"/>
      <c r="AH144" s="352"/>
      <c r="AI144" s="352"/>
      <c r="AJ144" s="1676" t="s">
        <v>807</v>
      </c>
      <c r="AK144" s="1676"/>
      <c r="AL144" s="1676"/>
      <c r="AM144" s="352"/>
      <c r="AN144" s="352"/>
      <c r="AO144" s="352"/>
      <c r="AP144" s="352"/>
      <c r="AQ144" s="352"/>
      <c r="AR144" s="352"/>
      <c r="AS144" s="352"/>
      <c r="AT144" s="352"/>
      <c r="AU144" s="352"/>
      <c r="AV144" s="352"/>
      <c r="AW144" s="352"/>
    </row>
    <row r="145" spans="27:49" x14ac:dyDescent="0.25">
      <c r="AA145" s="352"/>
      <c r="AB145" s="352"/>
      <c r="AC145" s="352"/>
      <c r="AD145" s="352"/>
      <c r="AE145" s="352"/>
      <c r="AF145" s="352"/>
      <c r="AG145" s="352"/>
      <c r="AH145" s="352"/>
      <c r="AI145" s="352"/>
      <c r="AJ145" s="1676"/>
      <c r="AK145" s="1676"/>
      <c r="AL145" s="1676"/>
      <c r="AM145" s="352"/>
      <c r="AN145" s="352"/>
      <c r="AO145" s="352"/>
      <c r="AP145" s="352"/>
      <c r="AQ145" s="352"/>
      <c r="AR145" s="352"/>
      <c r="AS145" s="352"/>
      <c r="AT145" s="352"/>
      <c r="AU145" s="352"/>
      <c r="AV145" s="352"/>
      <c r="AW145" s="352"/>
    </row>
    <row r="146" spans="27:49" x14ac:dyDescent="0.25">
      <c r="AA146" s="352"/>
      <c r="AB146" s="1657" t="s">
        <v>808</v>
      </c>
      <c r="AC146" s="1657"/>
      <c r="AD146" s="352"/>
      <c r="AE146" s="352"/>
      <c r="AF146" s="352"/>
      <c r="AG146" s="352"/>
      <c r="AH146" s="352"/>
      <c r="AI146" s="352"/>
      <c r="AJ146" s="1676"/>
      <c r="AK146" s="1676"/>
      <c r="AL146" s="1676"/>
      <c r="AM146" s="352"/>
      <c r="AN146" s="352"/>
      <c r="AO146" s="352"/>
      <c r="AP146" s="352"/>
      <c r="AQ146" s="352"/>
      <c r="AR146" s="352"/>
      <c r="AS146" s="352"/>
      <c r="AT146" s="352"/>
      <c r="AU146" s="352"/>
      <c r="AV146" s="352"/>
      <c r="AW146" s="352"/>
    </row>
    <row r="147" spans="27:49" x14ac:dyDescent="0.25">
      <c r="AA147" s="352"/>
      <c r="AB147" s="1677" t="s">
        <v>809</v>
      </c>
      <c r="AC147" s="1677"/>
      <c r="AD147" s="352"/>
      <c r="AE147" s="352"/>
      <c r="AF147" s="352"/>
      <c r="AG147" s="352"/>
      <c r="AH147" s="352"/>
      <c r="AI147" s="352"/>
      <c r="AJ147" s="471"/>
      <c r="AK147" s="471"/>
      <c r="AL147" s="471"/>
      <c r="AM147" s="352"/>
      <c r="AN147" s="352"/>
      <c r="AO147" s="352"/>
      <c r="AP147" s="352"/>
      <c r="AQ147" s="352"/>
      <c r="AR147" s="352"/>
      <c r="AS147" s="352"/>
      <c r="AT147" s="352"/>
      <c r="AU147" s="352"/>
      <c r="AV147" s="352"/>
      <c r="AW147" s="352"/>
    </row>
    <row r="148" spans="27:49" x14ac:dyDescent="0.25">
      <c r="AA148" s="352"/>
      <c r="AB148" s="1677"/>
      <c r="AC148" s="1677"/>
      <c r="AD148" s="352"/>
      <c r="AE148" s="352"/>
      <c r="AF148" s="352"/>
      <c r="AG148" s="352"/>
      <c r="AH148" s="352"/>
      <c r="AI148" s="352"/>
      <c r="AJ148" s="352"/>
      <c r="AK148" s="352"/>
      <c r="AL148" s="352"/>
      <c r="AM148" s="352"/>
      <c r="AN148" s="352"/>
      <c r="AO148" s="352"/>
      <c r="AP148" s="352"/>
      <c r="AQ148" s="352"/>
      <c r="AR148" s="352"/>
      <c r="AS148" s="352"/>
      <c r="AT148" s="352"/>
      <c r="AU148" s="352"/>
      <c r="AV148" s="352"/>
      <c r="AW148" s="352"/>
    </row>
    <row r="149" spans="27:49" x14ac:dyDescent="0.25">
      <c r="AA149" s="352"/>
      <c r="AB149" s="472" t="s">
        <v>810</v>
      </c>
      <c r="AC149" s="473">
        <f>10142698-6685800</f>
        <v>3456898</v>
      </c>
      <c r="AD149" s="352"/>
      <c r="AE149" s="352"/>
      <c r="AF149" s="352"/>
      <c r="AG149" s="352"/>
      <c r="AH149" s="352"/>
      <c r="AI149" s="352"/>
      <c r="AJ149" s="352"/>
      <c r="AK149" s="352"/>
      <c r="AL149" s="352"/>
      <c r="AM149" s="352"/>
      <c r="AN149" s="352"/>
      <c r="AO149" s="352"/>
      <c r="AP149" s="352"/>
      <c r="AQ149" s="352"/>
      <c r="AR149" s="352"/>
      <c r="AS149" s="352"/>
      <c r="AT149" s="352"/>
      <c r="AU149" s="352"/>
      <c r="AV149" s="352"/>
      <c r="AW149" s="352"/>
    </row>
    <row r="150" spans="27:49" x14ac:dyDescent="0.25">
      <c r="AA150" s="352"/>
      <c r="AB150" s="352"/>
      <c r="AC150" s="352"/>
      <c r="AD150" s="352"/>
      <c r="AE150" s="352"/>
      <c r="AF150" s="352"/>
      <c r="AG150" s="352"/>
      <c r="AH150" s="352"/>
      <c r="AI150" s="352"/>
      <c r="AJ150" s="352"/>
      <c r="AK150" s="352"/>
      <c r="AL150" s="352"/>
      <c r="AM150" s="352"/>
      <c r="AN150" s="352"/>
      <c r="AO150" s="352"/>
      <c r="AP150" s="352"/>
      <c r="AQ150" s="352"/>
      <c r="AR150" s="352"/>
      <c r="AS150" s="352"/>
      <c r="AT150" s="352"/>
      <c r="AU150" s="352"/>
      <c r="AV150" s="352"/>
      <c r="AW150" s="352"/>
    </row>
    <row r="151" spans="27:49" x14ac:dyDescent="0.25">
      <c r="AA151" s="352"/>
      <c r="AB151" s="352"/>
      <c r="AC151" s="352"/>
      <c r="AD151" s="352"/>
      <c r="AE151" s="352"/>
      <c r="AF151" s="352"/>
      <c r="AG151" s="352"/>
      <c r="AH151" s="352"/>
      <c r="AI151" s="352"/>
      <c r="AJ151" s="352"/>
      <c r="AK151" s="352"/>
      <c r="AL151" s="352"/>
      <c r="AM151" s="352"/>
      <c r="AN151" s="352"/>
      <c r="AO151" s="352"/>
      <c r="AP151" s="352"/>
      <c r="AQ151" s="352"/>
      <c r="AR151" s="352"/>
      <c r="AS151" s="352"/>
      <c r="AT151" s="352"/>
      <c r="AU151" s="352"/>
      <c r="AV151" s="352"/>
      <c r="AW151" s="352"/>
    </row>
    <row r="152" spans="27:49" x14ac:dyDescent="0.25">
      <c r="AA152" s="352"/>
      <c r="AB152" s="352"/>
      <c r="AC152" s="352"/>
      <c r="AD152" s="352"/>
      <c r="AE152" s="352"/>
      <c r="AF152" s="352"/>
      <c r="AG152" s="352"/>
      <c r="AH152" s="352"/>
      <c r="AI152" s="352"/>
      <c r="AJ152" s="352"/>
      <c r="AK152" s="352"/>
      <c r="AL152" s="352"/>
      <c r="AM152" s="352"/>
      <c r="AN152" s="352"/>
      <c r="AO152" s="352"/>
      <c r="AP152" s="352"/>
      <c r="AQ152" s="352"/>
      <c r="AR152" s="352"/>
      <c r="AS152" s="352"/>
      <c r="AT152" s="352"/>
      <c r="AU152" s="352"/>
      <c r="AV152" s="352"/>
      <c r="AW152" s="352"/>
    </row>
    <row r="153" spans="27:49" x14ac:dyDescent="0.25">
      <c r="AA153" s="352"/>
      <c r="AB153" s="352"/>
      <c r="AC153" s="352"/>
      <c r="AD153" s="352"/>
      <c r="AE153" s="352"/>
      <c r="AF153" s="352"/>
      <c r="AG153" s="352"/>
      <c r="AH153" s="352"/>
      <c r="AI153" s="352"/>
      <c r="AJ153" s="352"/>
      <c r="AK153" s="352"/>
      <c r="AL153" s="352"/>
      <c r="AM153" s="352"/>
      <c r="AN153" s="352"/>
      <c r="AO153" s="352"/>
      <c r="AP153" s="352"/>
      <c r="AQ153" s="352"/>
      <c r="AR153" s="352"/>
      <c r="AS153" s="352"/>
      <c r="AT153" s="352"/>
      <c r="AU153" s="352"/>
      <c r="AV153" s="352"/>
      <c r="AW153" s="352"/>
    </row>
    <row r="154" spans="27:49" x14ac:dyDescent="0.25">
      <c r="AA154" s="352"/>
      <c r="AB154" s="352"/>
      <c r="AC154" s="352"/>
      <c r="AD154" s="352"/>
      <c r="AE154" s="352"/>
      <c r="AF154" s="352"/>
      <c r="AG154" s="352"/>
      <c r="AH154" s="352"/>
      <c r="AI154" s="352"/>
      <c r="AJ154" s="352"/>
      <c r="AK154" s="352"/>
      <c r="AL154" s="352"/>
      <c r="AM154" s="352"/>
      <c r="AN154" s="352"/>
      <c r="AO154" s="352"/>
      <c r="AP154" s="352"/>
      <c r="AQ154" s="352"/>
      <c r="AR154" s="352"/>
      <c r="AS154" s="352"/>
      <c r="AT154" s="352"/>
      <c r="AU154" s="352"/>
      <c r="AV154" s="352"/>
      <c r="AW154" s="352"/>
    </row>
    <row r="155" spans="27:49" x14ac:dyDescent="0.25">
      <c r="AA155" s="352"/>
      <c r="AB155" s="352"/>
      <c r="AC155" s="352"/>
      <c r="AD155" s="352"/>
      <c r="AE155" s="352"/>
      <c r="AF155" s="352"/>
      <c r="AG155" s="352"/>
      <c r="AH155" s="352"/>
      <c r="AI155" s="352"/>
      <c r="AJ155" s="352"/>
      <c r="AK155" s="352"/>
      <c r="AL155" s="352"/>
      <c r="AM155" s="352"/>
      <c r="AN155" s="352"/>
      <c r="AO155" s="352"/>
      <c r="AP155" s="352"/>
      <c r="AQ155" s="352"/>
      <c r="AR155" s="352"/>
      <c r="AS155" s="352"/>
      <c r="AT155" s="352"/>
      <c r="AU155" s="352"/>
      <c r="AV155" s="352"/>
      <c r="AW155" s="352"/>
    </row>
  </sheetData>
  <mergeCells count="50">
    <mergeCell ref="AB142:AC142"/>
    <mergeCell ref="AJ143:AL143"/>
    <mergeCell ref="AJ144:AL146"/>
    <mergeCell ref="AB146:AC146"/>
    <mergeCell ref="AB147:AC148"/>
    <mergeCell ref="AB141:AC141"/>
    <mergeCell ref="AB130:AC130"/>
    <mergeCell ref="AJ130:AL130"/>
    <mergeCell ref="AB131:AC131"/>
    <mergeCell ref="AJ131:AL131"/>
    <mergeCell ref="AB134:AC134"/>
    <mergeCell ref="AJ134:AL134"/>
    <mergeCell ref="AJ135:AL135"/>
    <mergeCell ref="AB136:AC136"/>
    <mergeCell ref="AB137:AC137"/>
    <mergeCell ref="AJ138:AL138"/>
    <mergeCell ref="AJ139:AL140"/>
    <mergeCell ref="AJ123:AL123"/>
    <mergeCell ref="AB125:AC125"/>
    <mergeCell ref="AB126:AC126"/>
    <mergeCell ref="AJ126:AL126"/>
    <mergeCell ref="AJ127:AL127"/>
    <mergeCell ref="AR114:AR129"/>
    <mergeCell ref="AJ115:AL115"/>
    <mergeCell ref="AB117:AC117"/>
    <mergeCell ref="AB118:AC118"/>
    <mergeCell ref="AJ118:AL118"/>
    <mergeCell ref="AJ119:AL119"/>
    <mergeCell ref="AH113:AH130"/>
    <mergeCell ref="AB121:AC121"/>
    <mergeCell ref="AB122:AC122"/>
    <mergeCell ref="AJ122:AL122"/>
    <mergeCell ref="AB129:AC129"/>
    <mergeCell ref="AQ113:AQ130"/>
    <mergeCell ref="AB114:AC114"/>
    <mergeCell ref="AG114:AG129"/>
    <mergeCell ref="AJ114:AL114"/>
    <mergeCell ref="AB113:AC113"/>
    <mergeCell ref="AA32:AA33"/>
    <mergeCell ref="AB109:AC109"/>
    <mergeCell ref="AB110:AC110"/>
    <mergeCell ref="AJ110:AL110"/>
    <mergeCell ref="AJ111:AL111"/>
    <mergeCell ref="B1:S1"/>
    <mergeCell ref="B3:S3"/>
    <mergeCell ref="AB7:AG7"/>
    <mergeCell ref="AR14:AR15"/>
    <mergeCell ref="AA15:AA16"/>
    <mergeCell ref="AI15:AI16"/>
    <mergeCell ref="AJ15:AJ16"/>
  </mergeCells>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193C6-412D-4481-9770-76276146307B}">
  <dimension ref="A1:BJ155"/>
  <sheetViews>
    <sheetView topLeftCell="A18" zoomScale="63" zoomScaleNormal="63" workbookViewId="0">
      <selection activeCell="AB34" sqref="AB34"/>
    </sheetView>
  </sheetViews>
  <sheetFormatPr baseColWidth="10" defaultColWidth="10.90625" defaultRowHeight="13" x14ac:dyDescent="0.3"/>
  <cols>
    <col min="1" max="1" width="3.54296875" style="70" customWidth="1"/>
    <col min="2" max="2" width="24.6328125" style="70" customWidth="1"/>
    <col min="3" max="3" width="14.81640625" style="1180" hidden="1" customWidth="1"/>
    <col min="4" max="4" width="10.453125" style="1180" hidden="1" customWidth="1"/>
    <col min="5" max="5" width="11.7265625" style="1180" hidden="1" customWidth="1"/>
    <col min="6" max="6" width="12.54296875" style="1180" hidden="1" customWidth="1"/>
    <col min="7" max="7" width="11.81640625" style="1180" hidden="1" customWidth="1"/>
    <col min="8" max="8" width="12" style="1180" hidden="1" customWidth="1"/>
    <col min="9" max="9" width="12.1796875" style="1180" hidden="1" customWidth="1"/>
    <col min="10" max="10" width="11.7265625" style="1180" hidden="1" customWidth="1"/>
    <col min="11" max="12" width="15.7265625" style="1180" customWidth="1"/>
    <col min="13" max="13" width="15.7265625" style="1180" hidden="1" customWidth="1"/>
    <col min="14" max="14" width="15.7265625" style="1181" hidden="1" customWidth="1"/>
    <col min="15" max="15" width="10" style="1180" customWidth="1"/>
    <col min="16" max="16" width="6.81640625" style="1180" customWidth="1"/>
    <col min="17" max="17" width="13.453125" style="1180" customWidth="1"/>
    <col min="18" max="18" width="15.54296875" style="1182" customWidth="1"/>
    <col min="19" max="19" width="15.453125" style="1370" customWidth="1"/>
    <col min="20" max="20" width="10.90625" style="70"/>
    <col min="21" max="25" width="0" style="70" hidden="1" customWidth="1"/>
    <col min="26" max="28" width="10.90625" style="70"/>
    <col min="29" max="32" width="11.54296875" style="70" customWidth="1"/>
    <col min="33" max="35" width="10.90625" style="70"/>
    <col min="36" max="37" width="12.7265625" style="70" customWidth="1"/>
    <col min="38" max="38" width="12.6328125" style="70" customWidth="1"/>
    <col min="39" max="16384" width="10.90625" style="70"/>
  </cols>
  <sheetData>
    <row r="1" spans="1:49" x14ac:dyDescent="0.3">
      <c r="B1" s="1705" t="s">
        <v>218</v>
      </c>
      <c r="C1" s="1706"/>
      <c r="D1" s="1706"/>
      <c r="E1" s="1706"/>
      <c r="F1" s="1706"/>
      <c r="G1" s="1706"/>
      <c r="H1" s="1706"/>
      <c r="I1" s="1706"/>
      <c r="J1" s="1706"/>
      <c r="K1" s="1706"/>
      <c r="L1" s="1706"/>
      <c r="M1" s="1706"/>
      <c r="N1" s="1706"/>
      <c r="O1" s="1706"/>
      <c r="P1" s="1706"/>
      <c r="Q1" s="1706"/>
      <c r="R1" s="1706"/>
      <c r="S1" s="1707"/>
    </row>
    <row r="2" spans="1:49" ht="9" customHeight="1" x14ac:dyDescent="0.3">
      <c r="B2" s="1179"/>
      <c r="S2" s="1183"/>
    </row>
    <row r="3" spans="1:49" x14ac:dyDescent="0.3">
      <c r="B3" s="1708" t="s">
        <v>1613</v>
      </c>
      <c r="C3" s="1709"/>
      <c r="D3" s="1709"/>
      <c r="E3" s="1709"/>
      <c r="F3" s="1709"/>
      <c r="G3" s="1709"/>
      <c r="H3" s="1709"/>
      <c r="I3" s="1709"/>
      <c r="J3" s="1709"/>
      <c r="K3" s="1709"/>
      <c r="L3" s="1709"/>
      <c r="M3" s="1709"/>
      <c r="N3" s="1709"/>
      <c r="O3" s="1709"/>
      <c r="P3" s="1709"/>
      <c r="Q3" s="1709"/>
      <c r="R3" s="1709"/>
      <c r="S3" s="1710"/>
    </row>
    <row r="4" spans="1:49" x14ac:dyDescent="0.3">
      <c r="B4" s="1184"/>
      <c r="C4" s="1185"/>
      <c r="D4" s="1185"/>
      <c r="E4" s="1185"/>
      <c r="F4" s="1185"/>
      <c r="G4" s="1185"/>
      <c r="H4" s="1185"/>
      <c r="I4" s="1185"/>
      <c r="J4" s="1185"/>
      <c r="K4" s="1185"/>
      <c r="L4" s="1185"/>
      <c r="M4" s="1185"/>
      <c r="N4" s="1186"/>
      <c r="O4" s="1185"/>
      <c r="P4" s="1185"/>
      <c r="Q4" s="1185"/>
      <c r="R4" s="1187"/>
      <c r="S4" s="1188"/>
    </row>
    <row r="5" spans="1:49" ht="23.25" customHeight="1" x14ac:dyDescent="0.3">
      <c r="A5" s="70">
        <v>12</v>
      </c>
      <c r="B5" s="1189">
        <v>8</v>
      </c>
      <c r="C5" s="1190" t="s">
        <v>1408</v>
      </c>
      <c r="D5" s="1191" t="s">
        <v>1221</v>
      </c>
      <c r="E5" s="1192" t="s">
        <v>14</v>
      </c>
      <c r="F5" s="1192" t="s">
        <v>15</v>
      </c>
      <c r="G5" s="1192" t="s">
        <v>1222</v>
      </c>
      <c r="H5" s="1192" t="s">
        <v>16</v>
      </c>
      <c r="I5" s="1192" t="s">
        <v>17</v>
      </c>
      <c r="J5" s="1192" t="s">
        <v>18</v>
      </c>
      <c r="K5" s="1192" t="s">
        <v>19</v>
      </c>
      <c r="L5" s="1192" t="s">
        <v>20</v>
      </c>
      <c r="M5" s="1192" t="s">
        <v>21</v>
      </c>
      <c r="N5" s="1193" t="s">
        <v>22</v>
      </c>
      <c r="O5" s="1192" t="s">
        <v>23</v>
      </c>
      <c r="P5" s="1192" t="s">
        <v>24</v>
      </c>
      <c r="Q5" s="1194" t="s">
        <v>25</v>
      </c>
      <c r="R5" s="1195" t="s">
        <v>26</v>
      </c>
      <c r="S5" s="1196" t="s">
        <v>46</v>
      </c>
      <c r="T5" s="1125" t="s">
        <v>1223</v>
      </c>
    </row>
    <row r="6" spans="1:49" x14ac:dyDescent="0.3">
      <c r="B6" s="1197" t="s">
        <v>45</v>
      </c>
      <c r="C6" s="1131">
        <v>353308839</v>
      </c>
      <c r="D6" s="1131">
        <f>+C6/12</f>
        <v>29442403.25</v>
      </c>
      <c r="E6" s="1131">
        <f>-287015+28701567</f>
        <v>28414552</v>
      </c>
      <c r="F6" s="1131">
        <v>28414552</v>
      </c>
      <c r="G6" s="1131">
        <v>28414552</v>
      </c>
      <c r="H6" s="1131">
        <f>+H8-H7</f>
        <v>32509259</v>
      </c>
      <c r="I6" s="1131">
        <f>29735584-I7</f>
        <v>29438226</v>
      </c>
      <c r="J6" s="1131">
        <f>+J8-J7</f>
        <v>29438226</v>
      </c>
      <c r="K6" s="1131">
        <f>'ESTAD RESUL JULIO 2025'!K6</f>
        <v>29438226</v>
      </c>
      <c r="L6" s="1131">
        <f>'ESTAD RESULT AGOS 2025'!L6</f>
        <v>29438226</v>
      </c>
      <c r="M6" s="1131"/>
      <c r="N6" s="1198"/>
      <c r="O6" s="1198"/>
      <c r="P6" s="1198"/>
      <c r="Q6" s="1177">
        <f>+D6*$B$5</f>
        <v>235539226</v>
      </c>
      <c r="R6" s="1177">
        <f>SUM(E6:P6)</f>
        <v>235505819</v>
      </c>
      <c r="S6" s="1199">
        <f>+Q6-R6</f>
        <v>33407</v>
      </c>
      <c r="T6" s="1200">
        <f>+Q6-R6</f>
        <v>33407</v>
      </c>
      <c r="AA6" s="1180"/>
      <c r="AB6" s="1180"/>
      <c r="AC6" s="1180"/>
      <c r="AD6" s="1180"/>
      <c r="AE6" s="1180"/>
      <c r="AF6" s="1180"/>
      <c r="AG6" s="1180"/>
      <c r="AH6" s="1180"/>
      <c r="AI6" s="1180"/>
      <c r="AJ6" s="1180"/>
      <c r="AK6" s="1180"/>
      <c r="AL6" s="1180"/>
      <c r="AM6" s="1180"/>
      <c r="AN6" s="1180"/>
      <c r="AO6" s="1180"/>
      <c r="AP6" s="1180"/>
      <c r="AQ6" s="1180"/>
      <c r="AR6" s="1180"/>
      <c r="AS6" s="1180"/>
      <c r="AT6" s="1180"/>
      <c r="AU6" s="1180"/>
      <c r="AV6" s="1180"/>
      <c r="AW6" s="1180"/>
    </row>
    <row r="7" spans="1:49" x14ac:dyDescent="0.3">
      <c r="B7" s="1189" t="s">
        <v>120</v>
      </c>
      <c r="C7" s="1177">
        <v>3533088</v>
      </c>
      <c r="D7" s="1131">
        <f>+C7/12</f>
        <v>294424</v>
      </c>
      <c r="E7" s="1177">
        <v>287015</v>
      </c>
      <c r="F7" s="1177">
        <v>287015</v>
      </c>
      <c r="G7" s="1177">
        <v>287015</v>
      </c>
      <c r="H7" s="1177">
        <v>328376</v>
      </c>
      <c r="I7" s="1177">
        <v>297358</v>
      </c>
      <c r="J7" s="1177">
        <v>297358</v>
      </c>
      <c r="K7" s="1131">
        <f>'ESTAD RESUL JULIO 2025'!K7</f>
        <v>297358</v>
      </c>
      <c r="L7" s="1177">
        <f>'ESTAD RESULT AGOS 2025'!L7</f>
        <v>297358</v>
      </c>
      <c r="M7" s="1177"/>
      <c r="N7" s="1201"/>
      <c r="O7" s="1201"/>
      <c r="P7" s="1201"/>
      <c r="Q7" s="1177">
        <f>+D7*$B$5</f>
        <v>2355392</v>
      </c>
      <c r="R7" s="1177">
        <f>SUM(E7:P7)</f>
        <v>2378853</v>
      </c>
      <c r="S7" s="1199">
        <f>+Q7-R7</f>
        <v>-23461</v>
      </c>
      <c r="T7" s="1200">
        <f>+Q7-R7</f>
        <v>-23461</v>
      </c>
      <c r="AA7" s="1180"/>
      <c r="AB7" s="1681" t="s">
        <v>776</v>
      </c>
      <c r="AC7" s="1681"/>
      <c r="AD7" s="1681"/>
      <c r="AE7" s="1681"/>
      <c r="AF7" s="1681"/>
      <c r="AG7" s="1681"/>
      <c r="AH7" s="1180"/>
      <c r="AI7" s="1180"/>
      <c r="AJ7" s="1180"/>
      <c r="AK7" s="1180"/>
      <c r="AL7" s="1180"/>
      <c r="AM7" s="1180"/>
      <c r="AN7" s="1180"/>
      <c r="AO7" s="1180"/>
      <c r="AP7" s="1180"/>
      <c r="AQ7" s="1180"/>
      <c r="AR7" s="1180"/>
      <c r="AS7" s="1180"/>
      <c r="AT7" s="1180"/>
      <c r="AU7" s="1180"/>
      <c r="AV7" s="1180"/>
      <c r="AW7" s="1180"/>
    </row>
    <row r="8" spans="1:49" ht="15" thickBot="1" x14ac:dyDescent="0.4">
      <c r="B8" s="1203" t="s">
        <v>125</v>
      </c>
      <c r="C8" s="1204">
        <f>+C6+C7</f>
        <v>356841927</v>
      </c>
      <c r="D8" s="1204">
        <f>SUM(D6:D7)</f>
        <v>29736827.25</v>
      </c>
      <c r="E8" s="1204">
        <f>SUM(E6:E7)</f>
        <v>28701567</v>
      </c>
      <c r="F8" s="1204">
        <f>SUM(F6:F7)</f>
        <v>28701567</v>
      </c>
      <c r="G8" s="1204">
        <f>SUM(G6:G7)</f>
        <v>28701567</v>
      </c>
      <c r="H8" s="1204">
        <v>32837635</v>
      </c>
      <c r="I8" s="1204">
        <f>+I6+I7</f>
        <v>29735584</v>
      </c>
      <c r="J8" s="1204">
        <v>29735584</v>
      </c>
      <c r="K8" s="1205">
        <f>'ESTAD RESUL JULIO 2025'!K8</f>
        <v>29735584</v>
      </c>
      <c r="L8" s="1204">
        <f>'ESTAD RESULT AGOS 2025'!L8</f>
        <v>29735584</v>
      </c>
      <c r="M8" s="1204">
        <f>SUM(M6:M7)</f>
        <v>0</v>
      </c>
      <c r="N8" s="1206">
        <f>SUM(N6:N7)</f>
        <v>0</v>
      </c>
      <c r="O8" s="1206">
        <f>SUM(O6:O7)</f>
        <v>0</v>
      </c>
      <c r="P8" s="1206">
        <f>SUM(P6:P7)</f>
        <v>0</v>
      </c>
      <c r="Q8" s="1207">
        <f t="shared" ref="Q8:Q55" si="0">+D8*$B$5</f>
        <v>237894618</v>
      </c>
      <c r="R8" s="1204">
        <f>SUM(R6:R7)</f>
        <v>237884672</v>
      </c>
      <c r="S8" s="1208">
        <f>+Q8-R8</f>
        <v>9946</v>
      </c>
      <c r="T8" s="1209">
        <f>+Q8-R8</f>
        <v>9946</v>
      </c>
      <c r="AA8" s="1180"/>
      <c r="AB8" s="1180"/>
      <c r="AC8" s="1180"/>
      <c r="AD8" s="1180"/>
      <c r="AE8" s="1180"/>
      <c r="AF8" s="1180"/>
      <c r="AG8" s="1182">
        <f>281797442-AD10</f>
        <v>43902824</v>
      </c>
      <c r="AH8" s="1180"/>
      <c r="AI8" s="1180"/>
      <c r="AJ8" s="1180"/>
      <c r="AK8" s="1180"/>
      <c r="AL8" s="1180"/>
      <c r="AM8" s="1180"/>
      <c r="AN8" s="1180"/>
      <c r="AO8" s="1180"/>
      <c r="AP8" s="1180"/>
      <c r="AQ8" s="1180"/>
      <c r="AR8" s="1180"/>
      <c r="AS8" s="1180"/>
      <c r="AT8" s="1180"/>
      <c r="AU8" s="1180"/>
      <c r="AV8" s="1180"/>
      <c r="AW8" s="1180"/>
    </row>
    <row r="9" spans="1:49" ht="16" thickTop="1" x14ac:dyDescent="0.3">
      <c r="B9" s="1210" t="s">
        <v>77</v>
      </c>
      <c r="C9" s="1211"/>
      <c r="D9" s="1212" t="s">
        <v>33</v>
      </c>
      <c r="E9" s="1212" t="s">
        <v>33</v>
      </c>
      <c r="F9" s="1213"/>
      <c r="G9" s="1213"/>
      <c r="H9" s="1213"/>
      <c r="I9" s="1213"/>
      <c r="J9" s="1213"/>
      <c r="K9" s="1214"/>
      <c r="L9" s="1213"/>
      <c r="M9" s="1213"/>
      <c r="N9" s="1175"/>
      <c r="O9" s="1175"/>
      <c r="P9" s="1175"/>
      <c r="Q9" s="1174" t="s">
        <v>33</v>
      </c>
      <c r="R9" s="1174"/>
      <c r="S9" s="1215"/>
      <c r="T9" s="1200" t="s">
        <v>33</v>
      </c>
      <c r="AA9" s="1216"/>
      <c r="AB9" s="1216"/>
      <c r="AC9" s="1216"/>
      <c r="AD9" s="1216"/>
      <c r="AE9" s="1216"/>
      <c r="AF9" s="1216"/>
      <c r="AG9" s="1216"/>
      <c r="AH9" s="1216"/>
      <c r="AI9" s="1217"/>
      <c r="AJ9" s="1217"/>
      <c r="AK9" s="1217"/>
      <c r="AL9" s="1217"/>
      <c r="AM9" s="1217"/>
      <c r="AN9" s="1217"/>
      <c r="AO9" s="1217"/>
      <c r="AP9" s="1217"/>
      <c r="AQ9" s="1180"/>
      <c r="AR9" s="1180"/>
      <c r="AS9" s="1218"/>
      <c r="AT9" s="1180"/>
      <c r="AU9" s="1182"/>
      <c r="AW9" s="1180"/>
    </row>
    <row r="10" spans="1:49" ht="16.5" customHeight="1" x14ac:dyDescent="0.3">
      <c r="B10" s="1219" t="s">
        <v>78</v>
      </c>
      <c r="C10" s="1220"/>
      <c r="D10" s="1221"/>
      <c r="E10" s="1221"/>
      <c r="F10" s="1222"/>
      <c r="G10" s="1222"/>
      <c r="H10" s="1222"/>
      <c r="I10" s="1222"/>
      <c r="J10" s="1222"/>
      <c r="K10" s="1131"/>
      <c r="L10" s="1222"/>
      <c r="M10" s="1222"/>
      <c r="N10" s="1223"/>
      <c r="O10" s="1223"/>
      <c r="P10" s="1223"/>
      <c r="Q10" s="1177" t="s">
        <v>33</v>
      </c>
      <c r="R10" s="1178"/>
      <c r="S10" s="1224"/>
      <c r="T10" s="1200" t="s">
        <v>33</v>
      </c>
      <c r="AA10" s="1216"/>
      <c r="AB10" s="1216" t="s">
        <v>777</v>
      </c>
      <c r="AC10" s="1225"/>
      <c r="AD10" s="1226">
        <f>Q8</f>
        <v>237894618</v>
      </c>
      <c r="AE10" s="1226"/>
      <c r="AF10" s="1226"/>
      <c r="AG10" s="1216"/>
      <c r="AH10" s="1216"/>
      <c r="AI10" s="1217" t="s">
        <v>1411</v>
      </c>
      <c r="AJ10" s="1227"/>
      <c r="AK10" s="1227"/>
      <c r="AL10" s="1228">
        <f>Q57</f>
        <v>237894618.14000002</v>
      </c>
      <c r="AM10" s="1217"/>
      <c r="AN10" s="1217"/>
      <c r="AO10" s="1217"/>
      <c r="AP10" s="1217"/>
      <c r="AQ10" s="1180"/>
      <c r="AR10" s="1180"/>
      <c r="AS10" s="1218"/>
      <c r="AT10" s="1180"/>
      <c r="AU10" s="1229"/>
      <c r="AW10" s="1180"/>
    </row>
    <row r="11" spans="1:49" x14ac:dyDescent="0.3">
      <c r="B11" s="1230" t="s">
        <v>79</v>
      </c>
      <c r="C11" s="1231">
        <v>33199438.319999997</v>
      </c>
      <c r="D11" s="1232">
        <f>+C11/12</f>
        <v>2766619.86</v>
      </c>
      <c r="E11" s="1232">
        <v>2766619</v>
      </c>
      <c r="F11" s="1233">
        <v>2766619</v>
      </c>
      <c r="G11" s="1233">
        <v>2766619</v>
      </c>
      <c r="H11" s="1233">
        <v>2766619</v>
      </c>
      <c r="I11" s="1233">
        <v>2827988</v>
      </c>
      <c r="J11" s="1233">
        <v>2766620</v>
      </c>
      <c r="K11" s="1233">
        <f>'ESTAD RESUL JULIO 2025'!K11</f>
        <v>2766620</v>
      </c>
      <c r="L11" s="1233">
        <f>'ESTAD RESULT AGOS 2025'!L11</f>
        <v>2766620</v>
      </c>
      <c r="M11" s="1233"/>
      <c r="N11" s="1234"/>
      <c r="O11" s="1234"/>
      <c r="P11" s="1234"/>
      <c r="Q11" s="1233">
        <f t="shared" si="0"/>
        <v>22132958.879999999</v>
      </c>
      <c r="R11" s="1233">
        <f t="shared" ref="R11:R17" si="1">SUM(E11:P11)</f>
        <v>22194324</v>
      </c>
      <c r="S11" s="1235">
        <f t="shared" ref="S11:S18" si="2">+Q11-R11</f>
        <v>-61365.120000001043</v>
      </c>
      <c r="T11" s="1236">
        <f>+Q11-R11</f>
        <v>-61365.120000001043</v>
      </c>
      <c r="AA11" s="1216"/>
      <c r="AB11" s="1216" t="s">
        <v>778</v>
      </c>
      <c r="AC11" s="1225"/>
      <c r="AD11" s="1226">
        <f>R8</f>
        <v>237884672</v>
      </c>
      <c r="AE11" s="1226"/>
      <c r="AF11" s="1226"/>
      <c r="AG11" s="1216"/>
      <c r="AH11" s="1216"/>
      <c r="AI11" s="1217" t="s">
        <v>814</v>
      </c>
      <c r="AJ11" s="1227"/>
      <c r="AK11" s="1227"/>
      <c r="AL11" s="1228">
        <f>R57</f>
        <v>229942747.19999999</v>
      </c>
      <c r="AM11" s="1217"/>
      <c r="AN11" s="1217"/>
      <c r="AO11" s="1217"/>
      <c r="AP11" s="1217"/>
      <c r="AQ11" s="1180"/>
      <c r="AR11" s="1180"/>
      <c r="AS11" s="1218"/>
      <c r="AT11" s="1180"/>
      <c r="AU11" s="1182"/>
      <c r="AW11" s="1180"/>
    </row>
    <row r="12" spans="1:49" x14ac:dyDescent="0.3">
      <c r="B12" s="1237" t="s">
        <v>80</v>
      </c>
      <c r="C12" s="1238">
        <v>1260000</v>
      </c>
      <c r="D12" s="1239">
        <f t="shared" ref="D12:D35" si="3">+C12/12</f>
        <v>105000</v>
      </c>
      <c r="E12" s="1239">
        <v>143550</v>
      </c>
      <c r="F12" s="1177">
        <v>235199</v>
      </c>
      <c r="G12" s="1177">
        <v>220474</v>
      </c>
      <c r="H12" s="1177">
        <v>175110</v>
      </c>
      <c r="I12" s="1177">
        <v>120400</v>
      </c>
      <c r="J12" s="1177">
        <v>95350</v>
      </c>
      <c r="K12" s="1177">
        <f>'ESTAD RESUL JULIO 2025'!K12</f>
        <v>115100</v>
      </c>
      <c r="L12" s="1177">
        <f>'ESTAD RESULT AGOS 2025'!L12</f>
        <v>77500</v>
      </c>
      <c r="M12" s="1177"/>
      <c r="N12" s="1201"/>
      <c r="O12" s="1201"/>
      <c r="P12" s="1201"/>
      <c r="Q12" s="1177">
        <f t="shared" si="0"/>
        <v>840000</v>
      </c>
      <c r="R12" s="1177">
        <f t="shared" si="1"/>
        <v>1182683</v>
      </c>
      <c r="S12" s="1199">
        <f t="shared" si="2"/>
        <v>-342683</v>
      </c>
      <c r="T12" s="1200">
        <f t="shared" ref="T12:T55" si="4">+Q12-R12</f>
        <v>-342683</v>
      </c>
      <c r="AA12" s="1216"/>
      <c r="AB12" s="1216" t="s">
        <v>813</v>
      </c>
      <c r="AC12" s="1225"/>
      <c r="AD12" s="1226">
        <f>AD10-AD11</f>
        <v>9946</v>
      </c>
      <c r="AE12" s="1226"/>
      <c r="AF12" s="1226"/>
      <c r="AG12" s="1216"/>
      <c r="AH12" s="1216"/>
      <c r="AI12" s="1217" t="s">
        <v>780</v>
      </c>
      <c r="AJ12" s="1227"/>
      <c r="AK12" s="1227"/>
      <c r="AL12" s="1228">
        <f>AL10-AL11</f>
        <v>7951870.9400000274</v>
      </c>
      <c r="AM12" s="1217"/>
      <c r="AN12" s="1217"/>
      <c r="AO12" s="1217"/>
      <c r="AP12" s="1217"/>
      <c r="AQ12" s="1180"/>
      <c r="AR12" s="1180"/>
      <c r="AS12" s="1180"/>
      <c r="AT12" s="1180"/>
      <c r="AU12" s="1180"/>
      <c r="AV12" s="1180"/>
      <c r="AW12" s="1180"/>
    </row>
    <row r="13" spans="1:49" x14ac:dyDescent="0.3">
      <c r="B13" s="1230" t="s">
        <v>81</v>
      </c>
      <c r="C13" s="1231">
        <v>10500000</v>
      </c>
      <c r="D13" s="1232">
        <f t="shared" si="3"/>
        <v>875000</v>
      </c>
      <c r="E13" s="1232">
        <v>1581421</v>
      </c>
      <c r="F13" s="1233">
        <v>0</v>
      </c>
      <c r="G13" s="1233">
        <f>196100+277737+50000</f>
        <v>523837</v>
      </c>
      <c r="H13" s="1233">
        <v>338825</v>
      </c>
      <c r="I13" s="1233">
        <f>-111750+278850</f>
        <v>167100</v>
      </c>
      <c r="J13" s="1233">
        <v>1050763</v>
      </c>
      <c r="K13" s="1233">
        <f>'ESTAD RESUL JULIO 2025'!K13</f>
        <v>1107390</v>
      </c>
      <c r="L13" s="1233">
        <f>'ESTAD RESULT AGOS 2025'!L13</f>
        <v>1519560</v>
      </c>
      <c r="M13" s="1233"/>
      <c r="N13" s="1234"/>
      <c r="O13" s="1234"/>
      <c r="P13" s="1234"/>
      <c r="Q13" s="1233">
        <f t="shared" si="0"/>
        <v>7000000</v>
      </c>
      <c r="R13" s="1233">
        <f t="shared" si="1"/>
        <v>6288896</v>
      </c>
      <c r="S13" s="1235">
        <f t="shared" si="2"/>
        <v>711104</v>
      </c>
      <c r="T13" s="1236">
        <f t="shared" si="4"/>
        <v>711104</v>
      </c>
      <c r="AA13" s="1240"/>
      <c r="AB13" s="1241"/>
      <c r="AC13" s="1242"/>
      <c r="AD13" s="1240"/>
      <c r="AE13" s="1240"/>
      <c r="AF13" s="1240"/>
      <c r="AG13" s="1240"/>
      <c r="AH13" s="1240"/>
      <c r="AI13" s="1243"/>
      <c r="AJ13" s="1243"/>
      <c r="AK13" s="1243"/>
      <c r="AL13" s="1243"/>
      <c r="AM13" s="1243"/>
      <c r="AN13" s="1243"/>
      <c r="AO13" s="1243"/>
      <c r="AP13" s="1243"/>
      <c r="AQ13" s="1244"/>
      <c r="AR13" s="1244"/>
      <c r="AS13" s="1244"/>
      <c r="AT13" s="1244"/>
      <c r="AU13" s="1244"/>
      <c r="AV13" s="1244"/>
      <c r="AW13" s="1244"/>
    </row>
    <row r="14" spans="1:49" x14ac:dyDescent="0.3">
      <c r="B14" s="1237" t="s">
        <v>82</v>
      </c>
      <c r="C14" s="1238">
        <v>1800000</v>
      </c>
      <c r="D14" s="1239">
        <f t="shared" si="3"/>
        <v>150000</v>
      </c>
      <c r="E14" s="1239">
        <v>229300</v>
      </c>
      <c r="F14" s="1177">
        <v>104000</v>
      </c>
      <c r="G14" s="1177">
        <v>366738</v>
      </c>
      <c r="H14" s="1177"/>
      <c r="I14" s="1177">
        <v>6000</v>
      </c>
      <c r="J14" s="1177">
        <v>122000</v>
      </c>
      <c r="K14" s="1177">
        <f>'ESTAD RESUL JULIO 2025'!K14</f>
        <v>0</v>
      </c>
      <c r="L14" s="1177">
        <f>'ESTAD RESULT AGOS 2025'!L14</f>
        <v>80000</v>
      </c>
      <c r="M14" s="1177"/>
      <c r="N14" s="1201"/>
      <c r="O14" s="1201"/>
      <c r="P14" s="1201"/>
      <c r="Q14" s="1177">
        <f t="shared" si="0"/>
        <v>1200000</v>
      </c>
      <c r="R14" s="1177">
        <f t="shared" si="1"/>
        <v>908038</v>
      </c>
      <c r="S14" s="1199">
        <f t="shared" si="2"/>
        <v>291962</v>
      </c>
      <c r="T14" s="1200">
        <f t="shared" si="4"/>
        <v>291962</v>
      </c>
      <c r="AA14" s="1216"/>
      <c r="AB14" s="1216"/>
      <c r="AC14" s="1216"/>
      <c r="AD14" s="1216"/>
      <c r="AE14" s="1216"/>
      <c r="AF14" s="1216"/>
      <c r="AG14" s="1216"/>
      <c r="AH14" s="1216"/>
      <c r="AI14" s="1245"/>
      <c r="AJ14" s="1246"/>
      <c r="AK14" s="1246"/>
      <c r="AL14" s="1217"/>
      <c r="AM14" s="1217"/>
      <c r="AN14" s="1217"/>
      <c r="AO14" s="1217"/>
      <c r="AP14" s="1217"/>
      <c r="AQ14" s="1180"/>
      <c r="AR14" s="1711"/>
      <c r="AS14" s="1180"/>
      <c r="AT14" s="1180"/>
      <c r="AU14" s="1180"/>
      <c r="AV14" s="1180"/>
      <c r="AW14" s="1180"/>
    </row>
    <row r="15" spans="1:49" ht="18.5" x14ac:dyDescent="0.45">
      <c r="B15" s="1230" t="s">
        <v>83</v>
      </c>
      <c r="C15" s="1231">
        <v>11900000</v>
      </c>
      <c r="D15" s="1232">
        <f t="shared" si="3"/>
        <v>991666.66666666663</v>
      </c>
      <c r="E15" s="1232">
        <v>823302</v>
      </c>
      <c r="F15" s="1233">
        <v>1301779</v>
      </c>
      <c r="G15" s="1233">
        <v>611281</v>
      </c>
      <c r="H15" s="1233">
        <v>203409</v>
      </c>
      <c r="I15" s="1233">
        <v>984464</v>
      </c>
      <c r="J15" s="1233">
        <v>203409</v>
      </c>
      <c r="K15" s="1233">
        <f>'ESTAD RESUL JULIO 2025'!K15</f>
        <v>203409</v>
      </c>
      <c r="L15" s="1233">
        <f>'ESTAD RESULT AGOS 2025'!L15</f>
        <v>801889</v>
      </c>
      <c r="M15" s="1233"/>
      <c r="N15" s="1234"/>
      <c r="O15" s="1234"/>
      <c r="P15" s="1234"/>
      <c r="Q15" s="1233">
        <f t="shared" si="0"/>
        <v>7933333.333333333</v>
      </c>
      <c r="R15" s="1233">
        <f t="shared" si="1"/>
        <v>5132942</v>
      </c>
      <c r="S15" s="1235">
        <f t="shared" si="2"/>
        <v>2800391.333333333</v>
      </c>
      <c r="T15" s="1236">
        <f t="shared" si="4"/>
        <v>2800391.333333333</v>
      </c>
      <c r="AA15" s="1712">
        <v>1</v>
      </c>
      <c r="AB15" s="1216"/>
      <c r="AC15" s="1216"/>
      <c r="AD15" s="1216"/>
      <c r="AE15" s="1216"/>
      <c r="AF15" s="1216"/>
      <c r="AG15" s="1216"/>
      <c r="AH15" s="1216"/>
      <c r="AI15" s="1713">
        <v>2</v>
      </c>
      <c r="AJ15" s="1714"/>
      <c r="AK15" s="1247"/>
      <c r="AL15" s="1217"/>
      <c r="AM15" s="1217"/>
      <c r="AN15" s="1217"/>
      <c r="AO15" s="1217"/>
      <c r="AP15" s="1217"/>
      <c r="AQ15" s="1180"/>
      <c r="AR15" s="1711"/>
      <c r="AS15" s="1180"/>
      <c r="AT15" s="1180"/>
      <c r="AU15" s="1180"/>
      <c r="AV15" s="1180"/>
      <c r="AW15" s="1180"/>
    </row>
    <row r="16" spans="1:49" ht="18.5" x14ac:dyDescent="0.45">
      <c r="B16" s="1237" t="s">
        <v>84</v>
      </c>
      <c r="C16" s="1238">
        <v>590000</v>
      </c>
      <c r="D16" s="1239">
        <f t="shared" si="3"/>
        <v>49166.666666666664</v>
      </c>
      <c r="E16" s="1239">
        <v>0</v>
      </c>
      <c r="F16" s="1177">
        <v>140000</v>
      </c>
      <c r="G16" s="1177">
        <v>0</v>
      </c>
      <c r="H16" s="1177"/>
      <c r="I16" s="1177"/>
      <c r="J16" s="1177"/>
      <c r="K16" s="1177">
        <f>'ESTAD RESUL JULIO 2025'!K16</f>
        <v>0</v>
      </c>
      <c r="L16" s="1177">
        <f>'ESTAD RESULT AGOS 2025'!L16</f>
        <v>140000</v>
      </c>
      <c r="M16" s="1177"/>
      <c r="N16" s="1201"/>
      <c r="O16" s="1201"/>
      <c r="P16" s="1201"/>
      <c r="Q16" s="1177">
        <f t="shared" si="0"/>
        <v>393333.33333333331</v>
      </c>
      <c r="R16" s="1177">
        <f t="shared" si="1"/>
        <v>280000</v>
      </c>
      <c r="S16" s="1199">
        <f t="shared" si="2"/>
        <v>113333.33333333331</v>
      </c>
      <c r="T16" s="1200">
        <f t="shared" si="4"/>
        <v>113333.33333333331</v>
      </c>
      <c r="AA16" s="1712"/>
      <c r="AB16" s="1216"/>
      <c r="AC16" s="1216"/>
      <c r="AD16" s="1216"/>
      <c r="AE16" s="1216"/>
      <c r="AF16" s="1216"/>
      <c r="AG16" s="1216"/>
      <c r="AH16" s="1216"/>
      <c r="AI16" s="1713"/>
      <c r="AJ16" s="1714"/>
      <c r="AK16" s="1247"/>
      <c r="AL16" s="1217"/>
      <c r="AM16" s="1217"/>
      <c r="AN16" s="1217"/>
      <c r="AO16" s="1217"/>
      <c r="AP16" s="1217"/>
      <c r="AQ16" s="1180"/>
      <c r="AR16" s="1180"/>
      <c r="AS16" s="1180"/>
      <c r="AT16" s="1180"/>
      <c r="AU16" s="1180"/>
      <c r="AV16" s="1180"/>
      <c r="AW16" s="1180"/>
    </row>
    <row r="17" spans="1:56" x14ac:dyDescent="0.3">
      <c r="B17" s="1230" t="s">
        <v>85</v>
      </c>
      <c r="C17" s="1231">
        <v>2429980</v>
      </c>
      <c r="D17" s="1232">
        <f t="shared" si="3"/>
        <v>202498.33333333334</v>
      </c>
      <c r="E17" s="1232">
        <v>246330</v>
      </c>
      <c r="F17" s="1233">
        <v>0</v>
      </c>
      <c r="G17" s="1233">
        <v>749700</v>
      </c>
      <c r="H17" s="1233"/>
      <c r="I17" s="1233">
        <v>246330</v>
      </c>
      <c r="J17" s="1233">
        <v>0</v>
      </c>
      <c r="K17" s="1233">
        <f>'ESTAD RESUL JULIO 2025'!K17</f>
        <v>238000</v>
      </c>
      <c r="L17" s="1233">
        <f>'ESTAD RESULT AGOS 2025'!L17</f>
        <v>0</v>
      </c>
      <c r="M17" s="1233"/>
      <c r="N17" s="1234"/>
      <c r="O17" s="1234"/>
      <c r="P17" s="1234"/>
      <c r="Q17" s="1233">
        <f t="shared" si="0"/>
        <v>1619986.6666666667</v>
      </c>
      <c r="R17" s="1233">
        <f t="shared" si="1"/>
        <v>1480360</v>
      </c>
      <c r="S17" s="1235">
        <f t="shared" si="2"/>
        <v>139626.66666666674</v>
      </c>
      <c r="T17" s="1236">
        <f t="shared" si="4"/>
        <v>139626.66666666674</v>
      </c>
      <c r="AA17" s="1216"/>
      <c r="AB17" s="1216"/>
      <c r="AC17" s="1216"/>
      <c r="AD17" s="1216"/>
      <c r="AE17" s="1216"/>
      <c r="AF17" s="1216"/>
      <c r="AG17" s="1216"/>
      <c r="AH17" s="1216"/>
      <c r="AI17" s="1217"/>
      <c r="AJ17" s="1217"/>
      <c r="AK17" s="1217"/>
      <c r="AL17" s="1217"/>
      <c r="AM17" s="1217"/>
      <c r="AN17" s="1217"/>
      <c r="AO17" s="1217"/>
      <c r="AP17" s="1217"/>
      <c r="AQ17" s="1180"/>
      <c r="AR17" s="1180"/>
      <c r="AS17" s="1180"/>
      <c r="AT17" s="1180"/>
      <c r="AU17" s="1180"/>
      <c r="AV17" s="1180"/>
      <c r="AW17" s="1180"/>
    </row>
    <row r="18" spans="1:56" s="1248" customFormat="1" x14ac:dyDescent="0.3">
      <c r="B18" s="1249" t="s">
        <v>269</v>
      </c>
      <c r="C18" s="1250">
        <v>0</v>
      </c>
      <c r="D18" s="1251">
        <f>+C18/12</f>
        <v>0</v>
      </c>
      <c r="E18" s="1251">
        <v>0</v>
      </c>
      <c r="F18" s="1252">
        <v>350000</v>
      </c>
      <c r="G18" s="1252"/>
      <c r="H18" s="1252"/>
      <c r="I18" s="1252"/>
      <c r="J18" s="1252"/>
      <c r="K18" s="1177">
        <f>'ESTAD RESUL JULIO 2025'!K18</f>
        <v>0</v>
      </c>
      <c r="L18" s="1252">
        <f>'ESTAD RESULT AGOS 2025'!L18</f>
        <v>0</v>
      </c>
      <c r="M18" s="1252"/>
      <c r="N18" s="1253"/>
      <c r="O18" s="1253"/>
      <c r="P18" s="1253"/>
      <c r="Q18" s="1177">
        <f t="shared" si="0"/>
        <v>0</v>
      </c>
      <c r="R18" s="1131">
        <f>SUM(E18:P18)</f>
        <v>350000</v>
      </c>
      <c r="S18" s="1254">
        <f t="shared" si="2"/>
        <v>-350000</v>
      </c>
      <c r="T18" s="1255">
        <f>+Q18-R18</f>
        <v>-350000</v>
      </c>
      <c r="AA18" s="1216"/>
      <c r="AB18" s="1216"/>
      <c r="AC18" s="1216"/>
      <c r="AD18" s="1216"/>
      <c r="AE18" s="1216"/>
      <c r="AF18" s="1216"/>
      <c r="AG18" s="1216"/>
      <c r="AH18" s="1216"/>
      <c r="AI18" s="1217"/>
      <c r="AJ18" s="1217"/>
      <c r="AK18" s="1217"/>
      <c r="AL18" s="1217"/>
      <c r="AM18" s="1217"/>
      <c r="AN18" s="1217"/>
      <c r="AO18" s="1217"/>
      <c r="AP18" s="1217"/>
      <c r="AQ18" s="1180"/>
      <c r="AR18" s="1180"/>
      <c r="AS18" s="1180"/>
      <c r="AT18" s="1180"/>
      <c r="AU18" s="1180"/>
      <c r="AV18" s="1180"/>
      <c r="AW18" s="1180"/>
    </row>
    <row r="19" spans="1:56" ht="13.5" thickBot="1" x14ac:dyDescent="0.35">
      <c r="B19" s="1256" t="s">
        <v>86</v>
      </c>
      <c r="C19" s="1257">
        <f>SUM(C11:C18)</f>
        <v>61679418.319999993</v>
      </c>
      <c r="D19" s="1258">
        <f t="shared" ref="D19:I19" si="5">SUM(D11:D18)</f>
        <v>5139951.5266666664</v>
      </c>
      <c r="E19" s="1258">
        <f t="shared" si="5"/>
        <v>5790522</v>
      </c>
      <c r="F19" s="1257">
        <f t="shared" si="5"/>
        <v>4897597</v>
      </c>
      <c r="G19" s="1257">
        <f t="shared" si="5"/>
        <v>5238649</v>
      </c>
      <c r="H19" s="1257">
        <f t="shared" si="5"/>
        <v>3483963</v>
      </c>
      <c r="I19" s="1257">
        <f t="shared" si="5"/>
        <v>4352282</v>
      </c>
      <c r="J19" s="1257">
        <f t="shared" ref="J19:P19" si="6">SUM(J11:J17)</f>
        <v>4238142</v>
      </c>
      <c r="K19" s="1259">
        <f>'ESTAD RESUL JULIO 2025'!K19</f>
        <v>4430519</v>
      </c>
      <c r="L19" s="1257">
        <f t="shared" si="6"/>
        <v>5385569</v>
      </c>
      <c r="M19" s="1257">
        <f t="shared" si="6"/>
        <v>0</v>
      </c>
      <c r="N19" s="1260">
        <f t="shared" si="6"/>
        <v>0</v>
      </c>
      <c r="O19" s="1260">
        <f t="shared" si="6"/>
        <v>0</v>
      </c>
      <c r="P19" s="1260">
        <f t="shared" si="6"/>
        <v>0</v>
      </c>
      <c r="Q19" s="1257">
        <f>+D19*$B$5</f>
        <v>41119612.213333331</v>
      </c>
      <c r="R19" s="1257">
        <f>SUM(R11:R18)</f>
        <v>37817243</v>
      </c>
      <c r="S19" s="1261">
        <f>SUM(S11:S17)</f>
        <v>3652369.213333332</v>
      </c>
      <c r="T19" s="1262">
        <f>+Q19-R19</f>
        <v>3302369.213333331</v>
      </c>
      <c r="AA19" s="1216"/>
      <c r="AB19" s="1216"/>
      <c r="AC19" s="1216"/>
      <c r="AD19" s="1216"/>
      <c r="AE19" s="1216"/>
      <c r="AF19" s="1216"/>
      <c r="AG19" s="1216"/>
      <c r="AH19" s="1216"/>
      <c r="AI19" s="1217"/>
      <c r="AJ19" s="1217"/>
      <c r="AK19" s="1217"/>
      <c r="AL19" s="1217"/>
      <c r="AM19" s="1217"/>
      <c r="AN19" s="1217"/>
      <c r="AO19" s="1217"/>
      <c r="AP19" s="1217"/>
      <c r="AQ19" s="1180"/>
      <c r="AR19" s="1180"/>
      <c r="AS19" s="1180"/>
      <c r="AT19" s="1180"/>
      <c r="AU19" s="1180"/>
      <c r="AV19" s="1180"/>
      <c r="AW19" s="1180"/>
    </row>
    <row r="20" spans="1:56" ht="13.5" thickTop="1" x14ac:dyDescent="0.3">
      <c r="B20" s="1263" t="s">
        <v>87</v>
      </c>
      <c r="C20" s="1264"/>
      <c r="D20" s="1264">
        <f t="shared" si="3"/>
        <v>0</v>
      </c>
      <c r="E20" s="1264"/>
      <c r="F20" s="1176"/>
      <c r="G20" s="1176"/>
      <c r="H20" s="1176"/>
      <c r="I20" s="1176"/>
      <c r="J20" s="1176"/>
      <c r="K20" s="1174">
        <f>'ESTAD RESUL JULIO 2025'!K20</f>
        <v>0</v>
      </c>
      <c r="L20" s="1176"/>
      <c r="M20" s="1176"/>
      <c r="N20" s="1265"/>
      <c r="O20" s="1265"/>
      <c r="P20" s="1265"/>
      <c r="Q20" s="1174" t="s">
        <v>33</v>
      </c>
      <c r="R20" s="1174"/>
      <c r="S20" s="1215"/>
      <c r="T20" s="1200" t="s">
        <v>33</v>
      </c>
      <c r="AA20" s="1216"/>
      <c r="AB20" s="1216"/>
      <c r="AC20" s="1216"/>
      <c r="AD20" s="1216"/>
      <c r="AE20" s="1216"/>
      <c r="AF20" s="1216"/>
      <c r="AG20" s="1216"/>
      <c r="AH20" s="1216"/>
      <c r="AI20" s="1217"/>
      <c r="AJ20" s="1217"/>
      <c r="AK20" s="1217"/>
      <c r="AL20" s="1217"/>
      <c r="AM20" s="1217"/>
      <c r="AN20" s="1217"/>
      <c r="AO20" s="1217"/>
      <c r="AP20" s="1217"/>
      <c r="AQ20" s="1180"/>
      <c r="AR20" s="1180"/>
      <c r="AS20" s="1180"/>
      <c r="AT20" s="1180"/>
      <c r="AU20" s="1180"/>
      <c r="AV20" s="1180"/>
      <c r="AW20" s="1180"/>
    </row>
    <row r="21" spans="1:56" x14ac:dyDescent="0.3">
      <c r="A21" s="1266"/>
      <c r="B21" s="1267" t="s">
        <v>88</v>
      </c>
      <c r="C21" s="1268">
        <v>158830392.15000004</v>
      </c>
      <c r="D21" s="1268">
        <f t="shared" si="3"/>
        <v>13235866.012500003</v>
      </c>
      <c r="E21" s="1268">
        <v>13136493</v>
      </c>
      <c r="F21" s="1269">
        <v>13136493</v>
      </c>
      <c r="G21" s="1269">
        <v>13136494</v>
      </c>
      <c r="H21" s="1268">
        <v>13136494</v>
      </c>
      <c r="I21" s="1269">
        <v>13136494</v>
      </c>
      <c r="J21" s="1269">
        <v>13136493</v>
      </c>
      <c r="K21" s="1177">
        <f>'ESTAD RESUL JULIO 2025'!K21</f>
        <v>13244869</v>
      </c>
      <c r="L21" s="1269">
        <f>'ESTAD RESULT AGOS 2025'!L21</f>
        <v>13354140</v>
      </c>
      <c r="M21" s="1269"/>
      <c r="N21" s="1270"/>
      <c r="O21" s="1270"/>
      <c r="P21" s="1270"/>
      <c r="Q21" s="1269">
        <f t="shared" si="0"/>
        <v>105886928.10000002</v>
      </c>
      <c r="R21" s="1269">
        <f t="shared" ref="R21:R28" si="7">SUM(E21:P21)</f>
        <v>105417970</v>
      </c>
      <c r="S21" s="1271">
        <f>+Q21-R21</f>
        <v>468958.10000002384</v>
      </c>
      <c r="T21" s="1272">
        <f t="shared" si="4"/>
        <v>468958.10000002384</v>
      </c>
      <c r="AA21" s="1240"/>
      <c r="AB21" s="1240"/>
      <c r="AC21" s="1240"/>
      <c r="AD21" s="1240"/>
      <c r="AE21" s="1240"/>
      <c r="AF21" s="1240"/>
      <c r="AG21" s="1240"/>
      <c r="AH21" s="1240"/>
      <c r="AI21" s="1243"/>
      <c r="AJ21" s="1243"/>
      <c r="AK21" s="1243"/>
      <c r="AL21" s="1243"/>
      <c r="AM21" s="1243"/>
      <c r="AN21" s="1243"/>
      <c r="AO21" s="1243"/>
      <c r="AP21" s="1243"/>
      <c r="AQ21" s="1244"/>
      <c r="AR21" s="1244"/>
      <c r="AS21" s="1244"/>
      <c r="AT21" s="1244"/>
      <c r="AU21" s="1244"/>
      <c r="AV21" s="1244"/>
      <c r="AW21" s="1244"/>
    </row>
    <row r="22" spans="1:56" x14ac:dyDescent="0.3">
      <c r="B22" s="1237" t="s">
        <v>1224</v>
      </c>
      <c r="C22" s="1239">
        <f>1751531+2225540</f>
        <v>3977071</v>
      </c>
      <c r="D22" s="1239">
        <f t="shared" si="3"/>
        <v>331422.58333333331</v>
      </c>
      <c r="E22" s="1239"/>
      <c r="F22" s="1177">
        <v>1751531</v>
      </c>
      <c r="G22" s="1177"/>
      <c r="H22" s="1239"/>
      <c r="I22" s="1177"/>
      <c r="J22" s="1177"/>
      <c r="K22" s="1177">
        <f>'ESTAD RESUL JULIO 2025'!K22</f>
        <v>0</v>
      </c>
      <c r="L22" s="1177">
        <f>'ESTAD RESULT AGOS 2025'!L22</f>
        <v>0</v>
      </c>
      <c r="M22" s="1177"/>
      <c r="N22" s="1201"/>
      <c r="O22" s="1201"/>
      <c r="P22" s="1201"/>
      <c r="Q22" s="1177">
        <f t="shared" si="0"/>
        <v>2651380.6666666665</v>
      </c>
      <c r="R22" s="1177">
        <f t="shared" si="7"/>
        <v>1751531</v>
      </c>
      <c r="S22" s="1199"/>
      <c r="T22" s="1200">
        <f t="shared" si="4"/>
        <v>899849.66666666651</v>
      </c>
      <c r="AA22" s="1240"/>
      <c r="AB22" s="1240"/>
      <c r="AC22" s="1240"/>
      <c r="AD22" s="1240"/>
      <c r="AE22" s="1240"/>
      <c r="AF22" s="1240"/>
      <c r="AG22" s="1240"/>
      <c r="AH22" s="1240"/>
      <c r="AI22" s="1273"/>
      <c r="AJ22" s="1243"/>
      <c r="AK22" s="1243"/>
      <c r="AL22" s="1243"/>
      <c r="AM22" s="1243"/>
      <c r="AN22" s="1243"/>
      <c r="AO22" s="1243"/>
      <c r="AP22" s="1243"/>
      <c r="AQ22" s="1244"/>
      <c r="AR22" s="1244"/>
      <c r="AS22" s="1244"/>
      <c r="AT22" s="1244"/>
      <c r="AU22" s="1244"/>
      <c r="AV22" s="1244"/>
      <c r="AW22" s="1244"/>
    </row>
    <row r="23" spans="1:56" x14ac:dyDescent="0.3">
      <c r="A23" s="1274"/>
      <c r="B23" s="1267" t="s">
        <v>89</v>
      </c>
      <c r="C23" s="1268">
        <v>17577558</v>
      </c>
      <c r="D23" s="1268">
        <f t="shared" si="3"/>
        <v>1464796.5</v>
      </c>
      <c r="E23" s="1268">
        <v>1357394</v>
      </c>
      <c r="F23" s="1269">
        <v>904930</v>
      </c>
      <c r="G23" s="1269">
        <v>1443315</v>
      </c>
      <c r="H23" s="1268">
        <v>1486277</v>
      </c>
      <c r="I23" s="1269">
        <v>1486277</v>
      </c>
      <c r="J23" s="1269">
        <v>1443315</v>
      </c>
      <c r="K23" s="1177">
        <f>'ESTAD RESUL JULIO 2025'!K23</f>
        <v>1443315</v>
      </c>
      <c r="L23" s="1269">
        <f>'ESTAD RESULT AGOS 2025'!L23</f>
        <v>1443315</v>
      </c>
      <c r="M23" s="1269"/>
      <c r="N23" s="1270"/>
      <c r="O23" s="1270"/>
      <c r="P23" s="1270"/>
      <c r="Q23" s="1269">
        <f t="shared" si="0"/>
        <v>11718372</v>
      </c>
      <c r="R23" s="1269">
        <f t="shared" si="7"/>
        <v>11008138</v>
      </c>
      <c r="S23" s="1271">
        <f>+Q23-R23</f>
        <v>710234</v>
      </c>
      <c r="T23" s="1272">
        <f t="shared" si="4"/>
        <v>710234</v>
      </c>
      <c r="AA23" s="1216"/>
      <c r="AB23" s="1216"/>
      <c r="AC23" s="1216"/>
      <c r="AD23" s="1216"/>
      <c r="AE23" s="1216"/>
      <c r="AF23" s="1216"/>
      <c r="AG23" s="1216"/>
      <c r="AH23" s="1216"/>
      <c r="AI23" s="1217"/>
      <c r="AJ23" s="1217"/>
      <c r="AK23" s="1217"/>
      <c r="AL23" s="1217"/>
      <c r="AM23" s="1217"/>
      <c r="AN23" s="1217"/>
      <c r="AO23" s="1217"/>
      <c r="AP23" s="1217"/>
      <c r="AQ23" s="1180"/>
      <c r="AR23" s="1180"/>
      <c r="AS23" s="1180"/>
      <c r="AT23" s="1180"/>
      <c r="AU23" s="1180"/>
      <c r="AV23" s="1180"/>
      <c r="AW23" s="1180"/>
    </row>
    <row r="24" spans="1:56" x14ac:dyDescent="0.3">
      <c r="B24" s="1237" t="s">
        <v>90</v>
      </c>
      <c r="C24" s="1239">
        <v>1341006.24</v>
      </c>
      <c r="D24" s="1239">
        <f t="shared" si="3"/>
        <v>111750.52</v>
      </c>
      <c r="E24" s="1239">
        <v>640110</v>
      </c>
      <c r="F24" s="1177">
        <v>111750</v>
      </c>
      <c r="G24" s="1177">
        <v>111750</v>
      </c>
      <c r="H24" s="1239">
        <v>111750</v>
      </c>
      <c r="I24" s="1177">
        <v>111750</v>
      </c>
      <c r="J24" s="1177">
        <v>111750</v>
      </c>
      <c r="K24" s="1177">
        <f>'ESTAD RESUL JULIO 2025'!K24</f>
        <v>111750</v>
      </c>
      <c r="L24" s="1177">
        <f>'ESTAD RESULT AGOS 2025'!L24</f>
        <v>111750</v>
      </c>
      <c r="M24" s="1177"/>
      <c r="N24" s="1201"/>
      <c r="O24" s="1201"/>
      <c r="P24" s="1201"/>
      <c r="Q24" s="1177">
        <f t="shared" si="0"/>
        <v>894004.16</v>
      </c>
      <c r="R24" s="1177">
        <f t="shared" si="7"/>
        <v>1422360</v>
      </c>
      <c r="S24" s="1199">
        <f>+Q24-R24</f>
        <v>-528355.83999999997</v>
      </c>
      <c r="T24" s="1200">
        <f t="shared" si="4"/>
        <v>-528355.83999999997</v>
      </c>
      <c r="AA24" s="1216"/>
      <c r="AB24" s="1216"/>
      <c r="AC24" s="1216"/>
      <c r="AD24" s="1216"/>
      <c r="AE24" s="1216"/>
      <c r="AF24" s="1216"/>
      <c r="AG24" s="1216"/>
      <c r="AH24" s="1216"/>
      <c r="AI24" s="1217"/>
      <c r="AJ24" s="1217"/>
      <c r="AK24" s="1217"/>
      <c r="AL24" s="1217"/>
      <c r="AM24" s="1217"/>
      <c r="AN24" s="1217"/>
      <c r="AO24" s="1217"/>
      <c r="AP24" s="1217"/>
      <c r="AQ24" s="1180"/>
      <c r="AR24" s="1180"/>
      <c r="AS24" s="1180"/>
      <c r="AT24" s="1180"/>
      <c r="AU24" s="1180"/>
      <c r="AV24" s="1180"/>
      <c r="AW24" s="1180"/>
    </row>
    <row r="25" spans="1:56" x14ac:dyDescent="0.3">
      <c r="A25" s="1275"/>
      <c r="B25" s="1267" t="s">
        <v>1225</v>
      </c>
      <c r="C25" s="1268">
        <v>1950000</v>
      </c>
      <c r="D25" s="1268">
        <f t="shared" si="3"/>
        <v>162500</v>
      </c>
      <c r="E25" s="1268">
        <v>0</v>
      </c>
      <c r="F25" s="1269">
        <v>0</v>
      </c>
      <c r="G25" s="1269">
        <v>0</v>
      </c>
      <c r="H25" s="1269"/>
      <c r="I25" s="1269">
        <v>555730</v>
      </c>
      <c r="J25" s="1269">
        <v>142800</v>
      </c>
      <c r="K25" s="1177">
        <f>'ESTAD RESUL JULIO 2025'!K25</f>
        <v>0</v>
      </c>
      <c r="L25" s="1269">
        <f>'ESTAD RESULT AGOS 2025'!L25</f>
        <v>0</v>
      </c>
      <c r="M25" s="1269"/>
      <c r="N25" s="1270"/>
      <c r="O25" s="1270"/>
      <c r="P25" s="1270"/>
      <c r="Q25" s="1269">
        <f t="shared" si="0"/>
        <v>1300000</v>
      </c>
      <c r="R25" s="1269">
        <f t="shared" si="7"/>
        <v>698530</v>
      </c>
      <c r="S25" s="1271"/>
      <c r="T25" s="1272">
        <f t="shared" si="4"/>
        <v>601470</v>
      </c>
      <c r="AA25" s="1216"/>
      <c r="AB25" s="1216"/>
      <c r="AC25" s="1216"/>
      <c r="AD25" s="1216"/>
      <c r="AE25" s="1216"/>
      <c r="AF25" s="1216"/>
      <c r="AG25" s="1216"/>
      <c r="AH25" s="1216"/>
      <c r="AI25" s="1217"/>
      <c r="AJ25" s="1217"/>
      <c r="AK25" s="1217"/>
      <c r="AL25" s="1217"/>
      <c r="AM25" s="1217"/>
      <c r="AN25" s="1217"/>
      <c r="AO25" s="1217"/>
      <c r="AP25" s="1217"/>
      <c r="AQ25" s="1180"/>
      <c r="AR25" s="1180"/>
      <c r="AS25" s="1180"/>
      <c r="AT25" s="1180"/>
      <c r="AU25" s="1180"/>
      <c r="AV25" s="1180"/>
      <c r="AW25" s="1180"/>
    </row>
    <row r="26" spans="1:56" x14ac:dyDescent="0.3">
      <c r="B26" s="1237" t="s">
        <v>91</v>
      </c>
      <c r="C26" s="1239">
        <v>1910000</v>
      </c>
      <c r="D26" s="1239">
        <f t="shared" si="3"/>
        <v>159166.66666666666</v>
      </c>
      <c r="E26" s="1239">
        <v>0</v>
      </c>
      <c r="F26" s="1177">
        <v>0</v>
      </c>
      <c r="G26" s="1177">
        <v>288000</v>
      </c>
      <c r="H26" s="1177">
        <v>50000</v>
      </c>
      <c r="I26" s="1177">
        <v>305387</v>
      </c>
      <c r="J26" s="1177"/>
      <c r="K26" s="1177">
        <f>'ESTAD RESUL JULIO 2025'!K26</f>
        <v>346700</v>
      </c>
      <c r="L26" s="1177">
        <f>'ESTAD RESULT AGOS 2025'!L26</f>
        <v>200687</v>
      </c>
      <c r="M26" s="1177"/>
      <c r="N26" s="1177"/>
      <c r="O26" s="1177"/>
      <c r="P26" s="1201"/>
      <c r="Q26" s="1177">
        <f t="shared" si="0"/>
        <v>1273333.3333333333</v>
      </c>
      <c r="R26" s="1177">
        <f t="shared" si="7"/>
        <v>1190774</v>
      </c>
      <c r="S26" s="1199">
        <f>+Q26-R26</f>
        <v>82559.333333333256</v>
      </c>
      <c r="T26" s="1200">
        <f t="shared" si="4"/>
        <v>82559.333333333256</v>
      </c>
      <c r="AA26" s="1216"/>
      <c r="AB26" s="1216"/>
      <c r="AC26" s="1216"/>
      <c r="AD26" s="1216"/>
      <c r="AE26" s="1216"/>
      <c r="AF26" s="1216"/>
      <c r="AG26" s="1216"/>
      <c r="AH26" s="1216"/>
      <c r="AI26" s="1217"/>
      <c r="AJ26" s="1217"/>
      <c r="AK26" s="1217"/>
      <c r="AL26" s="1217"/>
      <c r="AM26" s="1217"/>
      <c r="AN26" s="1217"/>
      <c r="AO26" s="1217"/>
      <c r="AP26" s="1217"/>
      <c r="AQ26" s="1180"/>
      <c r="AR26" s="1180"/>
      <c r="AS26" s="1180"/>
      <c r="AT26" s="1180"/>
      <c r="AU26" s="1180"/>
      <c r="AV26" s="1180"/>
      <c r="AW26" s="1180"/>
    </row>
    <row r="27" spans="1:56" x14ac:dyDescent="0.3">
      <c r="A27" s="1276"/>
      <c r="B27" s="1267" t="s">
        <v>92</v>
      </c>
      <c r="C27" s="1268">
        <v>372000</v>
      </c>
      <c r="D27" s="1268">
        <f t="shared" si="3"/>
        <v>31000</v>
      </c>
      <c r="E27" s="1268">
        <v>0</v>
      </c>
      <c r="F27" s="1269">
        <v>0</v>
      </c>
      <c r="G27" s="1269">
        <v>0</v>
      </c>
      <c r="H27" s="1269"/>
      <c r="I27" s="1269"/>
      <c r="J27" s="1269"/>
      <c r="K27" s="1177">
        <f>'ESTAD RESUL JULIO 2025'!K27</f>
        <v>0</v>
      </c>
      <c r="L27" s="1269">
        <f>'ESTAD RESULT AGOS 2025'!L27</f>
        <v>0</v>
      </c>
      <c r="M27" s="1269"/>
      <c r="N27" s="1270"/>
      <c r="O27" s="1270"/>
      <c r="P27" s="1270"/>
      <c r="Q27" s="1269">
        <f t="shared" si="0"/>
        <v>248000</v>
      </c>
      <c r="R27" s="1269">
        <f t="shared" si="7"/>
        <v>0</v>
      </c>
      <c r="S27" s="1199">
        <f>+Q27-R27</f>
        <v>248000</v>
      </c>
      <c r="T27" s="1272">
        <f t="shared" si="4"/>
        <v>248000</v>
      </c>
      <c r="AA27" s="1240"/>
      <c r="AB27" s="1240"/>
      <c r="AC27" s="1240"/>
      <c r="AD27" s="1240"/>
      <c r="AE27" s="1240"/>
      <c r="AF27" s="1240"/>
      <c r="AG27" s="1240"/>
      <c r="AH27" s="1240"/>
      <c r="AI27" s="1243"/>
      <c r="AJ27" s="1243"/>
      <c r="AK27" s="1243"/>
      <c r="AL27" s="1243"/>
      <c r="AM27" s="1243"/>
      <c r="AN27" s="1243"/>
      <c r="AO27" s="1243"/>
      <c r="AP27" s="1243"/>
      <c r="AQ27" s="1244"/>
      <c r="AR27" s="1244"/>
      <c r="AS27" s="1244"/>
      <c r="AT27" s="1244"/>
      <c r="AU27" s="1244"/>
      <c r="AV27" s="1244"/>
      <c r="AW27" s="1244"/>
    </row>
    <row r="28" spans="1:56" x14ac:dyDescent="0.3">
      <c r="B28" s="1237" t="s">
        <v>93</v>
      </c>
      <c r="C28" s="1239">
        <v>740000</v>
      </c>
      <c r="D28" s="1239">
        <f t="shared" si="3"/>
        <v>61666.666666666664</v>
      </c>
      <c r="E28" s="1239"/>
      <c r="F28" s="1177">
        <v>138500</v>
      </c>
      <c r="G28" s="1177">
        <v>0</v>
      </c>
      <c r="H28" s="1177"/>
      <c r="I28" s="1177"/>
      <c r="J28" s="1177"/>
      <c r="K28" s="1177">
        <f>'ESTAD RESUL JULIO 2025'!K28</f>
        <v>0</v>
      </c>
      <c r="L28" s="1177">
        <f>'ESTAD RESULT AGOS 2025'!L28</f>
        <v>0</v>
      </c>
      <c r="M28" s="1177"/>
      <c r="N28" s="1201"/>
      <c r="O28" s="1201"/>
      <c r="P28" s="1201"/>
      <c r="Q28" s="1177">
        <f t="shared" si="0"/>
        <v>493333.33333333331</v>
      </c>
      <c r="R28" s="1177">
        <f t="shared" si="7"/>
        <v>138500</v>
      </c>
      <c r="S28" s="1199">
        <f>+Q28-R28</f>
        <v>354833.33333333331</v>
      </c>
      <c r="T28" s="1200">
        <f t="shared" si="4"/>
        <v>354833.33333333331</v>
      </c>
      <c r="AA28" s="1240"/>
      <c r="AB28" s="1240"/>
      <c r="AC28" s="1240"/>
      <c r="AD28" s="1240"/>
      <c r="AE28" s="1240"/>
      <c r="AF28" s="1240"/>
      <c r="AG28" s="1240"/>
      <c r="AH28" s="1240"/>
      <c r="AI28" s="1277"/>
      <c r="AJ28" s="1243"/>
      <c r="AK28" s="1243"/>
      <c r="AL28" s="1243"/>
      <c r="AM28" s="1243"/>
      <c r="AN28" s="1243"/>
      <c r="AO28" s="1243"/>
      <c r="AP28" s="1243"/>
      <c r="AQ28" s="1244"/>
      <c r="AR28" s="1244"/>
      <c r="AS28" s="1244"/>
      <c r="AT28" s="1244"/>
      <c r="AU28" s="1244"/>
      <c r="AV28" s="1244"/>
      <c r="AW28" s="1244"/>
    </row>
    <row r="29" spans="1:56" x14ac:dyDescent="0.3">
      <c r="B29" s="1278" t="s">
        <v>1412</v>
      </c>
      <c r="C29" s="1268">
        <v>3533088</v>
      </c>
      <c r="D29" s="1268">
        <f t="shared" si="3"/>
        <v>294424</v>
      </c>
      <c r="E29" s="1268">
        <f>+E7</f>
        <v>287015</v>
      </c>
      <c r="F29" s="1268">
        <v>287015</v>
      </c>
      <c r="G29" s="1268">
        <v>287015</v>
      </c>
      <c r="H29" s="1268">
        <v>328376</v>
      </c>
      <c r="I29" s="1268">
        <f>-14659+297358</f>
        <v>282699</v>
      </c>
      <c r="J29" s="1268">
        <f>11725+282699</f>
        <v>294424</v>
      </c>
      <c r="K29" s="1177">
        <f>'ESTAD RESUL JULIO 2025'!K29</f>
        <v>297358</v>
      </c>
      <c r="L29" s="1268">
        <f>'ESTAD RESULT AGOS 2025'!L29</f>
        <v>297356</v>
      </c>
      <c r="M29" s="1279"/>
      <c r="N29" s="1280"/>
      <c r="O29" s="1280"/>
      <c r="P29" s="1280"/>
      <c r="Q29" s="1269">
        <f t="shared" si="0"/>
        <v>2355392</v>
      </c>
      <c r="R29" s="1281">
        <f>SUM(E29:P29)</f>
        <v>2361258</v>
      </c>
      <c r="S29" s="1282">
        <f>+Q29-R29</f>
        <v>-5866</v>
      </c>
      <c r="T29" s="1283">
        <f t="shared" si="4"/>
        <v>-5866</v>
      </c>
      <c r="AA29" s="1240"/>
      <c r="AB29" s="1240"/>
      <c r="AC29" s="1240"/>
      <c r="AD29" s="1240"/>
      <c r="AE29" s="1240"/>
      <c r="AF29" s="1240"/>
      <c r="AG29" s="1240"/>
      <c r="AH29" s="1240"/>
      <c r="AI29" s="1277"/>
      <c r="AJ29" s="1243"/>
      <c r="AK29" s="1243"/>
      <c r="AL29" s="1243"/>
      <c r="AM29" s="1243"/>
      <c r="AN29" s="1243"/>
      <c r="AO29" s="1243"/>
      <c r="AP29" s="1243"/>
      <c r="AQ29" s="1244"/>
      <c r="AR29" s="1244"/>
      <c r="AS29" s="1244"/>
      <c r="AT29" s="1244"/>
      <c r="AU29" s="1244"/>
      <c r="AV29" s="1244"/>
      <c r="AW29" s="1244"/>
    </row>
    <row r="30" spans="1:56" ht="13.5" thickBot="1" x14ac:dyDescent="0.35">
      <c r="B30" s="1427" t="s">
        <v>94</v>
      </c>
      <c r="C30" s="1428">
        <f>SUM(C21:C29)</f>
        <v>190231115.39000005</v>
      </c>
      <c r="D30" s="1429">
        <f t="shared" si="3"/>
        <v>15852592.94916667</v>
      </c>
      <c r="E30" s="1429">
        <f t="shared" ref="E30:P30" si="8">SUM(E21:E29)</f>
        <v>15421012</v>
      </c>
      <c r="F30" s="1428">
        <f t="shared" si="8"/>
        <v>16330219</v>
      </c>
      <c r="G30" s="1428">
        <f t="shared" si="8"/>
        <v>15266574</v>
      </c>
      <c r="H30" s="1428">
        <f>SUM(H21:H29)</f>
        <v>15112897</v>
      </c>
      <c r="I30" s="1428">
        <f>SUM(I21:I29)</f>
        <v>15878337</v>
      </c>
      <c r="J30" s="1428">
        <f t="shared" si="8"/>
        <v>15128782</v>
      </c>
      <c r="K30" s="1428">
        <f>'ESTAD RESUL JULIO 2025'!K30</f>
        <v>15443992</v>
      </c>
      <c r="L30" s="1428">
        <f t="shared" si="8"/>
        <v>15407248</v>
      </c>
      <c r="M30" s="1428">
        <f t="shared" si="8"/>
        <v>0</v>
      </c>
      <c r="N30" s="1430">
        <f t="shared" si="8"/>
        <v>0</v>
      </c>
      <c r="O30" s="1430">
        <f t="shared" si="8"/>
        <v>0</v>
      </c>
      <c r="P30" s="1430">
        <f t="shared" si="8"/>
        <v>0</v>
      </c>
      <c r="Q30" s="1428">
        <f t="shared" si="0"/>
        <v>126820743.59333336</v>
      </c>
      <c r="R30" s="1428">
        <f>SUM(R21:R29)</f>
        <v>123989061</v>
      </c>
      <c r="S30" s="1431">
        <f>SUM(S21:S29)</f>
        <v>1330362.9266666905</v>
      </c>
      <c r="T30" s="1432">
        <f>+Q30-R30</f>
        <v>2831682.5933333635</v>
      </c>
      <c r="AA30" s="1180"/>
      <c r="AB30" s="1180"/>
      <c r="AC30" s="1180"/>
      <c r="AD30" s="1180"/>
      <c r="AE30" s="1180"/>
      <c r="AF30" s="1180"/>
      <c r="AG30" s="1180"/>
      <c r="AH30" s="1180"/>
      <c r="AI30" s="1180"/>
      <c r="AJ30" s="1180"/>
      <c r="AK30" s="1180"/>
      <c r="AL30" s="1180"/>
      <c r="AM30" s="1180"/>
      <c r="AN30" s="1180"/>
      <c r="AO30" s="1180"/>
      <c r="AP30" s="1180"/>
      <c r="AQ30" s="1180"/>
      <c r="AR30" s="1180"/>
      <c r="AS30" s="1180"/>
      <c r="AT30" s="1180"/>
      <c r="AU30" s="1180"/>
      <c r="AV30" s="1180"/>
      <c r="AW30" s="1180"/>
    </row>
    <row r="31" spans="1:56" ht="13.5" thickTop="1" x14ac:dyDescent="0.3">
      <c r="B31" s="1433" t="s">
        <v>95</v>
      </c>
      <c r="C31" s="1434"/>
      <c r="D31" s="1435">
        <f t="shared" si="3"/>
        <v>0</v>
      </c>
      <c r="E31" s="1435"/>
      <c r="F31" s="1436" t="s">
        <v>33</v>
      </c>
      <c r="G31" s="1436"/>
      <c r="H31" s="1436"/>
      <c r="I31" s="1436"/>
      <c r="J31" s="1436"/>
      <c r="K31" s="1436">
        <f>'ESTAD RESUL JULIO 2025'!K31</f>
        <v>0</v>
      </c>
      <c r="L31" s="1436">
        <f>'ESTAD RESULT AGOS 2025'!L32</f>
        <v>0</v>
      </c>
      <c r="M31" s="1436"/>
      <c r="N31" s="1437"/>
      <c r="O31" s="1437"/>
      <c r="P31" s="1437"/>
      <c r="Q31" s="1436" t="s">
        <v>33</v>
      </c>
      <c r="R31" s="1436" t="s">
        <v>33</v>
      </c>
      <c r="S31" s="1438" t="s">
        <v>33</v>
      </c>
      <c r="T31" s="1439" t="s">
        <v>33</v>
      </c>
      <c r="AA31" s="1227"/>
      <c r="AB31" s="1227"/>
      <c r="AC31" s="1227"/>
      <c r="AD31" s="1227"/>
      <c r="AE31" s="1227"/>
      <c r="AF31" s="1227"/>
      <c r="AG31" s="1227"/>
      <c r="AH31" s="1217"/>
      <c r="AI31" s="1227"/>
      <c r="AJ31" s="1227"/>
      <c r="AK31" s="1227"/>
      <c r="AL31" s="1217"/>
      <c r="AM31" s="1217"/>
      <c r="AN31" s="1217"/>
      <c r="AO31" s="1217"/>
      <c r="AP31" s="1217"/>
      <c r="AQ31" s="1217"/>
      <c r="AR31" s="1180"/>
      <c r="AS31" s="1180"/>
      <c r="AU31" s="1180"/>
      <c r="AV31" s="1180"/>
      <c r="AW31" s="1180"/>
      <c r="BD31" s="1286"/>
    </row>
    <row r="32" spans="1:56" x14ac:dyDescent="0.3">
      <c r="B32" s="1237" t="s">
        <v>759</v>
      </c>
      <c r="C32" s="1287">
        <v>0</v>
      </c>
      <c r="D32" s="1239">
        <f t="shared" si="3"/>
        <v>0</v>
      </c>
      <c r="E32" s="1239">
        <f>+D32/12</f>
        <v>0</v>
      </c>
      <c r="F32" s="1177">
        <v>0</v>
      </c>
      <c r="G32" s="1177">
        <v>0</v>
      </c>
      <c r="H32" s="1177">
        <v>0</v>
      </c>
      <c r="I32" s="1177">
        <v>0</v>
      </c>
      <c r="J32" s="1177">
        <v>179214</v>
      </c>
      <c r="K32" s="1177">
        <f>'ESTAD RESUL JULIO 2025'!K32</f>
        <v>0</v>
      </c>
      <c r="L32" s="1177">
        <f>'ESTAD RESULT AGOS 2025'!L33</f>
        <v>0</v>
      </c>
      <c r="M32" s="1177"/>
      <c r="N32" s="1177"/>
      <c r="O32" s="1177"/>
      <c r="P32" s="1177"/>
      <c r="Q32" s="1177">
        <f t="shared" si="0"/>
        <v>0</v>
      </c>
      <c r="R32" s="1177">
        <f>SUM(E32:P32)</f>
        <v>179214</v>
      </c>
      <c r="S32" s="1199">
        <f>+Q32-R32</f>
        <v>-179214</v>
      </c>
      <c r="T32" s="1200">
        <f t="shared" si="4"/>
        <v>-179214</v>
      </c>
      <c r="AA32" s="1694">
        <v>3</v>
      </c>
      <c r="AB32" s="1217" t="s">
        <v>1420</v>
      </c>
      <c r="AC32" s="1288">
        <f>Q30</f>
        <v>126820743.59333336</v>
      </c>
      <c r="AD32" s="1289"/>
      <c r="AE32" s="1289"/>
      <c r="AF32" s="1289"/>
      <c r="AG32" s="1243"/>
      <c r="AH32" s="1217"/>
      <c r="AI32" s="1227"/>
      <c r="AJ32" s="1227"/>
      <c r="AK32" s="1227"/>
      <c r="AL32" s="1217"/>
      <c r="AM32" s="1217"/>
      <c r="AN32" s="1217"/>
      <c r="AO32" s="1217"/>
      <c r="AP32" s="1217"/>
      <c r="AQ32" s="1217"/>
      <c r="AR32" s="1180"/>
      <c r="AS32" s="1180"/>
      <c r="AU32" s="1180"/>
      <c r="AV32" s="1180"/>
      <c r="AW32" s="1180"/>
      <c r="BD32" s="1286"/>
    </row>
    <row r="33" spans="2:56" x14ac:dyDescent="0.3">
      <c r="B33" s="1441" t="s">
        <v>96</v>
      </c>
      <c r="C33" s="1442">
        <v>0</v>
      </c>
      <c r="D33" s="1443">
        <f t="shared" si="3"/>
        <v>0</v>
      </c>
      <c r="E33" s="1443">
        <f>+D33/12</f>
        <v>0</v>
      </c>
      <c r="F33" s="1444">
        <v>0</v>
      </c>
      <c r="G33" s="1444">
        <f>46000+17700+274950</f>
        <v>338650</v>
      </c>
      <c r="H33" s="1444">
        <v>0</v>
      </c>
      <c r="I33" s="1444">
        <v>176715</v>
      </c>
      <c r="J33" s="1444">
        <v>0</v>
      </c>
      <c r="K33" s="1440">
        <f>'ESTAD RESUL JULIO 2025'!K33</f>
        <v>0</v>
      </c>
      <c r="L33" s="1445">
        <v>0</v>
      </c>
      <c r="M33" s="1445">
        <v>0</v>
      </c>
      <c r="N33" s="1445">
        <v>0</v>
      </c>
      <c r="O33" s="1445">
        <v>0</v>
      </c>
      <c r="P33" s="1445">
        <v>0</v>
      </c>
      <c r="Q33" s="1440">
        <f t="shared" si="0"/>
        <v>0</v>
      </c>
      <c r="R33" s="1440">
        <f>SUM(E33:P33)</f>
        <v>515365</v>
      </c>
      <c r="S33" s="1446">
        <f>+Q33-R33</f>
        <v>-515365</v>
      </c>
      <c r="T33" s="1439">
        <f t="shared" si="4"/>
        <v>-515365</v>
      </c>
      <c r="AA33" s="1694"/>
      <c r="AB33" s="1217" t="s">
        <v>1234</v>
      </c>
      <c r="AC33" s="1288">
        <f>R30</f>
        <v>123989061</v>
      </c>
      <c r="AD33" s="1217"/>
      <c r="AE33" s="1217"/>
      <c r="AF33" s="1217"/>
      <c r="AG33" s="1217"/>
      <c r="AH33" s="1217"/>
      <c r="AI33" s="1227"/>
      <c r="AJ33" s="1227"/>
      <c r="AK33" s="1227"/>
      <c r="AL33" s="1217"/>
      <c r="AM33" s="1217"/>
      <c r="AN33" s="1217"/>
      <c r="AO33" s="1217"/>
      <c r="AP33" s="1217"/>
      <c r="AQ33" s="1217"/>
      <c r="AR33" s="1180"/>
      <c r="AS33" s="1180"/>
      <c r="AU33" s="1218"/>
      <c r="AV33" s="1180"/>
      <c r="AW33" s="1180"/>
      <c r="BD33" s="1286"/>
    </row>
    <row r="34" spans="2:56" ht="13.5" thickBot="1" x14ac:dyDescent="0.35">
      <c r="B34" s="1284" t="s">
        <v>97</v>
      </c>
      <c r="C34" s="1447">
        <f>SUM(C32:C33)</f>
        <v>0</v>
      </c>
      <c r="D34" s="1448">
        <f>+C34/12</f>
        <v>0</v>
      </c>
      <c r="E34" s="1448">
        <f t="shared" ref="E34:S34" si="9">SUM(E32:E33)</f>
        <v>0</v>
      </c>
      <c r="F34" s="1447">
        <f t="shared" si="9"/>
        <v>0</v>
      </c>
      <c r="G34" s="1447">
        <f t="shared" si="9"/>
        <v>338650</v>
      </c>
      <c r="H34" s="1447">
        <f>SUM(H32:H33)</f>
        <v>0</v>
      </c>
      <c r="I34" s="1447">
        <f>SUM(I32:I33)</f>
        <v>176715</v>
      </c>
      <c r="J34" s="1447">
        <f t="shared" si="9"/>
        <v>179214</v>
      </c>
      <c r="K34" s="1447">
        <f>'ESTAD RESUL JULIO 2025'!K34</f>
        <v>0</v>
      </c>
      <c r="L34" s="1447">
        <f t="shared" si="9"/>
        <v>0</v>
      </c>
      <c r="M34" s="1447">
        <f t="shared" si="9"/>
        <v>0</v>
      </c>
      <c r="N34" s="1449">
        <f t="shared" si="9"/>
        <v>0</v>
      </c>
      <c r="O34" s="1449">
        <f t="shared" si="9"/>
        <v>0</v>
      </c>
      <c r="P34" s="1449">
        <f t="shared" si="9"/>
        <v>0</v>
      </c>
      <c r="Q34" s="1447">
        <f t="shared" si="9"/>
        <v>0</v>
      </c>
      <c r="R34" s="1447">
        <f>SUM(E34:P34)</f>
        <v>694579</v>
      </c>
      <c r="S34" s="1450">
        <f t="shared" si="9"/>
        <v>-694579</v>
      </c>
      <c r="T34" s="1451">
        <f t="shared" si="4"/>
        <v>-694579</v>
      </c>
      <c r="AA34" s="1217"/>
      <c r="AB34" s="1217" t="s">
        <v>780</v>
      </c>
      <c r="AC34" s="1288">
        <f>AC32-AC33</f>
        <v>2831682.5933333635</v>
      </c>
      <c r="AD34" s="1289"/>
      <c r="AE34" s="1289"/>
      <c r="AF34" s="1289"/>
      <c r="AG34" s="1217"/>
      <c r="AH34" s="1217"/>
      <c r="AI34" s="1227"/>
      <c r="AJ34" s="1227"/>
      <c r="AK34" s="1227"/>
      <c r="AL34" s="1217"/>
      <c r="AM34" s="1217"/>
      <c r="AN34" s="1217"/>
      <c r="AO34" s="1217"/>
      <c r="AP34" s="1217"/>
      <c r="AQ34" s="1217"/>
      <c r="AR34" s="1180"/>
      <c r="AS34" s="1180"/>
      <c r="AU34" s="1218"/>
      <c r="AV34" s="1180"/>
      <c r="AW34" s="1180"/>
      <c r="BD34" s="1286"/>
    </row>
    <row r="35" spans="2:56" ht="12.5" customHeight="1" thickTop="1" x14ac:dyDescent="0.3">
      <c r="B35" s="1290" t="s">
        <v>98</v>
      </c>
      <c r="C35" s="1291"/>
      <c r="D35" s="1291">
        <f t="shared" si="3"/>
        <v>0</v>
      </c>
      <c r="E35" s="1291"/>
      <c r="F35" s="1292"/>
      <c r="G35" s="1292"/>
      <c r="H35" s="1292"/>
      <c r="I35" s="1292"/>
      <c r="J35" s="1292"/>
      <c r="K35" s="1214">
        <f>'ESTAD RESUL JULIO 2025'!K35</f>
        <v>0</v>
      </c>
      <c r="L35" s="1292"/>
      <c r="M35" s="1292"/>
      <c r="N35" s="1293"/>
      <c r="O35" s="1293"/>
      <c r="P35" s="1293"/>
      <c r="Q35" s="1292" t="s">
        <v>33</v>
      </c>
      <c r="R35" s="1292" t="s">
        <v>33</v>
      </c>
      <c r="S35" s="1294" t="s">
        <v>33</v>
      </c>
      <c r="T35" s="1236" t="s">
        <v>33</v>
      </c>
      <c r="AA35" s="1217"/>
      <c r="AB35" s="1217"/>
      <c r="AC35" s="1227"/>
      <c r="AD35" s="1217"/>
      <c r="AE35" s="1217"/>
      <c r="AF35" s="1217"/>
      <c r="AG35" s="1217"/>
      <c r="AH35" s="1227"/>
      <c r="AI35" s="1227"/>
      <c r="AJ35" s="1227"/>
      <c r="AK35" s="1227"/>
      <c r="AL35" s="1227"/>
      <c r="AM35" s="1227"/>
      <c r="AN35" s="1227"/>
      <c r="AO35" s="1243"/>
      <c r="AP35" s="1243"/>
      <c r="AQ35" s="1243"/>
      <c r="AR35" s="1244"/>
      <c r="AS35" s="1180"/>
      <c r="AU35" s="1218"/>
      <c r="AV35" s="1244"/>
      <c r="AW35" s="1244"/>
      <c r="BD35" s="1286"/>
    </row>
    <row r="36" spans="2:56" ht="12.5" customHeight="1" x14ac:dyDescent="0.3">
      <c r="B36" s="1237" t="s">
        <v>67</v>
      </c>
      <c r="C36" s="1239">
        <v>2568001.5</v>
      </c>
      <c r="D36" s="1239">
        <f>+C36/12</f>
        <v>214000.125</v>
      </c>
      <c r="E36" s="1239">
        <v>0</v>
      </c>
      <c r="F36" s="1177">
        <v>0</v>
      </c>
      <c r="G36" s="1177">
        <v>595450</v>
      </c>
      <c r="H36" s="1177">
        <v>0</v>
      </c>
      <c r="I36" s="1177">
        <v>781652</v>
      </c>
      <c r="J36" s="1177"/>
      <c r="K36" s="1177">
        <f>'ESTAD RESUL JULIO 2025'!K36</f>
        <v>0</v>
      </c>
      <c r="L36" s="1177">
        <f>'ESTAD RESULT AGOS 2025'!L36</f>
        <v>781652</v>
      </c>
      <c r="M36" s="1177"/>
      <c r="N36" s="1201"/>
      <c r="O36" s="1201"/>
      <c r="P36" s="1201"/>
      <c r="Q36" s="1177">
        <f t="shared" si="0"/>
        <v>1712001</v>
      </c>
      <c r="R36" s="1177">
        <f>SUM(E36:P36)</f>
        <v>2158754</v>
      </c>
      <c r="S36" s="1199">
        <f>+Q36-R36</f>
        <v>-446753</v>
      </c>
      <c r="T36" s="1200">
        <f t="shared" si="4"/>
        <v>-446753</v>
      </c>
      <c r="AA36" s="1217"/>
      <c r="AB36" s="1217" t="s">
        <v>1413</v>
      </c>
      <c r="AC36" s="1288">
        <f>Q19</f>
        <v>41119612.213333331</v>
      </c>
      <c r="AD36" s="1289"/>
      <c r="AE36" s="1289"/>
      <c r="AF36" s="1289"/>
      <c r="AG36" s="1217"/>
      <c r="AH36" s="1227"/>
      <c r="AI36" s="1227"/>
      <c r="AJ36" s="1227"/>
      <c r="AK36" s="1227"/>
      <c r="AL36" s="1227"/>
      <c r="AM36" s="1227"/>
      <c r="AN36" s="1227"/>
      <c r="AO36" s="1228"/>
      <c r="AP36" s="1228"/>
      <c r="AQ36" s="1217"/>
      <c r="AR36" s="1180"/>
      <c r="AS36" s="1180"/>
      <c r="AU36" s="1182"/>
      <c r="AV36" s="1180"/>
      <c r="AW36" s="1180"/>
      <c r="BD36" s="1286"/>
    </row>
    <row r="37" spans="2:56" ht="12.5" customHeight="1" x14ac:dyDescent="0.3">
      <c r="B37" s="1230" t="s">
        <v>66</v>
      </c>
      <c r="C37" s="1232">
        <f>33250000*1.15</f>
        <v>38237500</v>
      </c>
      <c r="D37" s="1232">
        <f t="shared" ref="D37:D42" si="10">+C37/12</f>
        <v>3186458.3333333335</v>
      </c>
      <c r="E37" s="1232">
        <v>3189683.88</v>
      </c>
      <c r="F37" s="1233">
        <v>2628727</v>
      </c>
      <c r="G37" s="1233">
        <v>2554892</v>
      </c>
      <c r="H37" s="1233">
        <v>2640861</v>
      </c>
      <c r="I37" s="1233">
        <v>3098024</v>
      </c>
      <c r="J37" s="1233">
        <v>2908845</v>
      </c>
      <c r="K37" s="1233">
        <f>'ESTAD RESUL JULIO 2025'!K37</f>
        <v>2964954</v>
      </c>
      <c r="L37" s="1233">
        <f>'ESTAD RESULT AGOS 2025'!L37</f>
        <v>2551875</v>
      </c>
      <c r="M37" s="1233"/>
      <c r="N37" s="1234"/>
      <c r="O37" s="1234"/>
      <c r="P37" s="1234"/>
      <c r="Q37" s="1233">
        <f t="shared" si="0"/>
        <v>25491666.666666668</v>
      </c>
      <c r="R37" s="1233">
        <f t="shared" ref="R37:R43" si="11">SUM(E37:P37)</f>
        <v>22537861.879999999</v>
      </c>
      <c r="S37" s="1235">
        <f>+Q37-R37</f>
        <v>2953804.786666669</v>
      </c>
      <c r="T37" s="1236">
        <f t="shared" si="4"/>
        <v>2953804.786666669</v>
      </c>
      <c r="AA37" s="1217"/>
      <c r="AB37" s="1217" t="s">
        <v>788</v>
      </c>
      <c r="AC37" s="1288">
        <f>R19</f>
        <v>37817243</v>
      </c>
      <c r="AD37" s="1217"/>
      <c r="AE37" s="1217"/>
      <c r="AF37" s="1217"/>
      <c r="AG37" s="1217"/>
      <c r="AH37" s="1227"/>
      <c r="AI37" s="1227"/>
      <c r="AJ37" s="1227"/>
      <c r="AK37" s="1227"/>
      <c r="AL37" s="1227"/>
      <c r="AM37" s="1227"/>
      <c r="AN37" s="1227"/>
      <c r="AO37" s="1217"/>
      <c r="AP37" s="1217"/>
      <c r="AQ37" s="1217"/>
      <c r="AR37" s="1180"/>
      <c r="AS37" s="1180"/>
      <c r="AU37" s="1218"/>
      <c r="AV37" s="1180"/>
      <c r="AW37" s="1180"/>
      <c r="BD37" s="1286"/>
    </row>
    <row r="38" spans="2:56" ht="12.5" customHeight="1" x14ac:dyDescent="0.3">
      <c r="B38" s="1237" t="s">
        <v>99</v>
      </c>
      <c r="C38" s="1239">
        <v>3500000</v>
      </c>
      <c r="D38" s="1239">
        <f t="shared" si="10"/>
        <v>291666.66666666669</v>
      </c>
      <c r="E38" s="1239">
        <v>129706</v>
      </c>
      <c r="F38" s="1177">
        <v>233099</v>
      </c>
      <c r="G38" s="1177">
        <v>303870</v>
      </c>
      <c r="H38" s="1177">
        <v>205744</v>
      </c>
      <c r="I38" s="1177">
        <v>217588</v>
      </c>
      <c r="J38" s="1177">
        <v>249565</v>
      </c>
      <c r="K38" s="1177">
        <f>'ESTAD RESUL JULIO 2025'!K38</f>
        <v>956190</v>
      </c>
      <c r="L38" s="1177">
        <f>'ESTAD RESULT AGOS 2025'!L38</f>
        <v>380094</v>
      </c>
      <c r="M38" s="1177"/>
      <c r="N38" s="1201"/>
      <c r="O38" s="1201"/>
      <c r="P38" s="1201"/>
      <c r="Q38" s="1177">
        <f t="shared" si="0"/>
        <v>2333333.3333333335</v>
      </c>
      <c r="R38" s="1177">
        <f t="shared" si="11"/>
        <v>2675856</v>
      </c>
      <c r="S38" s="1199">
        <f>+Q38-R38</f>
        <v>-342522.66666666651</v>
      </c>
      <c r="T38" s="1200">
        <f t="shared" si="4"/>
        <v>-342522.66666666651</v>
      </c>
      <c r="AA38" s="1217"/>
      <c r="AB38" s="1217" t="s">
        <v>780</v>
      </c>
      <c r="AC38" s="1288">
        <f>AC36-AC37</f>
        <v>3302369.213333331</v>
      </c>
      <c r="AD38" s="1217"/>
      <c r="AE38" s="1217"/>
      <c r="AF38" s="1217"/>
      <c r="AG38" s="1217"/>
      <c r="AH38" s="1227"/>
      <c r="AI38" s="1227"/>
      <c r="AJ38" s="1227"/>
      <c r="AK38" s="1227"/>
      <c r="AL38" s="1227"/>
      <c r="AM38" s="1227"/>
      <c r="AN38" s="1227"/>
      <c r="AO38" s="1217"/>
      <c r="AP38" s="1217"/>
      <c r="AQ38" s="1217"/>
      <c r="AR38" s="1180"/>
      <c r="AS38" s="1180"/>
      <c r="AU38" s="1218"/>
      <c r="AV38" s="1180"/>
      <c r="AW38" s="1180"/>
      <c r="BD38" s="1286"/>
    </row>
    <row r="39" spans="2:56" x14ac:dyDescent="0.3">
      <c r="B39" s="1230" t="s">
        <v>100</v>
      </c>
      <c r="C39" s="1232">
        <v>604000</v>
      </c>
      <c r="D39" s="1232">
        <f t="shared" si="10"/>
        <v>50333.333333333336</v>
      </c>
      <c r="E39" s="1232">
        <v>50100</v>
      </c>
      <c r="F39" s="1233">
        <v>50115</v>
      </c>
      <c r="G39" s="1233">
        <v>56102</v>
      </c>
      <c r="H39" s="1233">
        <v>56070</v>
      </c>
      <c r="I39" s="1233">
        <v>56076</v>
      </c>
      <c r="J39" s="1233">
        <v>55806</v>
      </c>
      <c r="K39" s="1233">
        <f>'ESTAD RESUL JULIO 2025'!K39</f>
        <v>55760</v>
      </c>
      <c r="L39" s="1233">
        <f>'ESTAD RESULT AGOS 2025'!L39</f>
        <v>56144</v>
      </c>
      <c r="M39" s="1233"/>
      <c r="N39" s="1234"/>
      <c r="O39" s="1234"/>
      <c r="P39" s="1234"/>
      <c r="Q39" s="1233">
        <f t="shared" si="0"/>
        <v>402666.66666666669</v>
      </c>
      <c r="R39" s="1233">
        <f t="shared" si="11"/>
        <v>436173</v>
      </c>
      <c r="S39" s="1235">
        <f>+Q39-R39</f>
        <v>-33506.333333333314</v>
      </c>
      <c r="T39" s="1236">
        <f t="shared" si="4"/>
        <v>-33506.333333333314</v>
      </c>
      <c r="AA39" s="1217"/>
      <c r="AB39" s="1217"/>
      <c r="AC39" s="1227"/>
      <c r="AD39" s="1295"/>
      <c r="AE39" s="1295"/>
      <c r="AF39" s="1295"/>
      <c r="AG39" s="1217"/>
      <c r="AH39" s="1227"/>
      <c r="AI39" s="1227"/>
      <c r="AJ39" s="1227"/>
      <c r="AK39" s="1227"/>
      <c r="AL39" s="1227"/>
      <c r="AM39" s="1227"/>
      <c r="AN39" s="1227"/>
      <c r="AO39" s="1217"/>
      <c r="AP39" s="1217"/>
      <c r="AQ39" s="1217"/>
      <c r="AR39" s="1180"/>
      <c r="AS39" s="1180"/>
      <c r="AU39" s="1182"/>
      <c r="AV39" s="1180"/>
      <c r="AW39" s="1180"/>
      <c r="BD39" s="1286"/>
    </row>
    <row r="40" spans="2:56" x14ac:dyDescent="0.3">
      <c r="B40" s="1237" t="s">
        <v>1226</v>
      </c>
      <c r="C40" s="1239">
        <f>100988*12</f>
        <v>1211856</v>
      </c>
      <c r="D40" s="1239">
        <f t="shared" si="10"/>
        <v>100988</v>
      </c>
      <c r="E40" s="1239">
        <v>0</v>
      </c>
      <c r="F40" s="1177">
        <v>0</v>
      </c>
      <c r="G40" s="1177">
        <v>55250</v>
      </c>
      <c r="H40" s="1177">
        <v>0</v>
      </c>
      <c r="I40" s="1177">
        <v>0</v>
      </c>
      <c r="J40" s="1177"/>
      <c r="K40" s="1177">
        <f>'ESTAD RESUL JULIO 2025'!K40</f>
        <v>0</v>
      </c>
      <c r="L40" s="1177">
        <f>'ESTAD RESULT AGOS 2025'!L40</f>
        <v>0</v>
      </c>
      <c r="M40" s="1177"/>
      <c r="N40" s="1201"/>
      <c r="O40" s="1201"/>
      <c r="P40" s="1201"/>
      <c r="Q40" s="1177">
        <f t="shared" si="0"/>
        <v>807904</v>
      </c>
      <c r="R40" s="1177">
        <f t="shared" si="11"/>
        <v>55250</v>
      </c>
      <c r="S40" s="1199"/>
      <c r="T40" s="1200">
        <f t="shared" si="4"/>
        <v>752654</v>
      </c>
      <c r="AA40" s="1243"/>
      <c r="AB40" s="1217" t="s">
        <v>1414</v>
      </c>
      <c r="AC40" s="1288">
        <f>Q44</f>
        <v>42114505</v>
      </c>
      <c r="AD40" s="1289"/>
      <c r="AE40" s="1289"/>
      <c r="AF40" s="1289"/>
      <c r="AG40" s="1243"/>
      <c r="AH40" s="1227"/>
      <c r="AI40" s="1227"/>
      <c r="AJ40" s="1227"/>
      <c r="AK40" s="1227"/>
      <c r="AL40" s="1227"/>
      <c r="AM40" s="1227"/>
      <c r="AN40" s="1227"/>
      <c r="AO40" s="1217"/>
      <c r="AP40" s="1217"/>
      <c r="AQ40" s="1217"/>
      <c r="AR40" s="1180"/>
      <c r="AS40" s="1180"/>
      <c r="AU40" s="1296"/>
      <c r="AV40" s="1180"/>
      <c r="AW40" s="1180"/>
      <c r="BD40" s="1286"/>
    </row>
    <row r="41" spans="2:56" x14ac:dyDescent="0.3">
      <c r="B41" s="1230" t="s">
        <v>101</v>
      </c>
      <c r="C41" s="1232">
        <v>800000</v>
      </c>
      <c r="D41" s="1232">
        <f t="shared" si="10"/>
        <v>66666.666666666672</v>
      </c>
      <c r="E41" s="1232">
        <v>87582</v>
      </c>
      <c r="F41" s="1233">
        <v>100988</v>
      </c>
      <c r="G41" s="1233">
        <v>100988</v>
      </c>
      <c r="H41" s="1233">
        <v>100988</v>
      </c>
      <c r="I41" s="1233">
        <v>100988</v>
      </c>
      <c r="J41" s="1233">
        <v>100988</v>
      </c>
      <c r="K41" s="1233">
        <f>'ESTAD RESUL JULIO 2025'!K41</f>
        <v>100988</v>
      </c>
      <c r="L41" s="1233">
        <f>'ESTAD RESULT AGOS 2025'!L41</f>
        <v>100988</v>
      </c>
      <c r="M41" s="1233"/>
      <c r="N41" s="1234"/>
      <c r="O41" s="1234"/>
      <c r="P41" s="1234"/>
      <c r="Q41" s="1233">
        <f t="shared" si="0"/>
        <v>533333.33333333337</v>
      </c>
      <c r="R41" s="1233">
        <f t="shared" si="11"/>
        <v>794498</v>
      </c>
      <c r="S41" s="1235">
        <f>+Q41-R41</f>
        <v>-261164.66666666663</v>
      </c>
      <c r="T41" s="1236">
        <f t="shared" si="4"/>
        <v>-261164.66666666663</v>
      </c>
      <c r="AA41" s="1217"/>
      <c r="AB41" s="1227" t="s">
        <v>1415</v>
      </c>
      <c r="AC41" s="1288">
        <f>R44</f>
        <v>40064192.879999995</v>
      </c>
      <c r="AD41" s="1227"/>
      <c r="AE41" s="1227"/>
      <c r="AF41" s="1227"/>
      <c r="AG41" s="1217"/>
      <c r="AH41" s="1227"/>
      <c r="AI41" s="1227"/>
      <c r="AJ41" s="1227"/>
      <c r="AK41" s="1227"/>
      <c r="AL41" s="1227"/>
      <c r="AM41" s="1227"/>
      <c r="AN41" s="1227"/>
      <c r="AO41" s="1217"/>
      <c r="AP41" s="1217"/>
      <c r="AQ41" s="1217"/>
      <c r="AR41" s="1180"/>
      <c r="AV41" s="1180"/>
      <c r="AW41" s="1180"/>
      <c r="BD41" s="1286"/>
    </row>
    <row r="42" spans="2:56" x14ac:dyDescent="0.3">
      <c r="B42" s="1249" t="s">
        <v>1631</v>
      </c>
      <c r="C42" s="1297">
        <f>(1187000+167200)*12</f>
        <v>16250400</v>
      </c>
      <c r="D42" s="1297">
        <f t="shared" si="10"/>
        <v>1354200</v>
      </c>
      <c r="E42" s="1298">
        <v>1354200</v>
      </c>
      <c r="F42" s="1297">
        <v>1354200</v>
      </c>
      <c r="G42" s="1298">
        <v>1354200</v>
      </c>
      <c r="H42" s="1298">
        <v>1354200</v>
      </c>
      <c r="I42" s="1298">
        <v>1354200</v>
      </c>
      <c r="J42" s="1298"/>
      <c r="K42" s="1177">
        <f>'ESTAD RESUL JULIO 2025'!K42</f>
        <v>1354200</v>
      </c>
      <c r="L42" s="1298">
        <f>'ESTAD RESULT AGOS 2025'!L42</f>
        <v>2279100</v>
      </c>
      <c r="M42" s="1298"/>
      <c r="N42" s="1299"/>
      <c r="O42" s="1299"/>
      <c r="P42" s="1299"/>
      <c r="Q42" s="1177">
        <f t="shared" si="0"/>
        <v>10833600</v>
      </c>
      <c r="R42" s="1300">
        <f t="shared" si="11"/>
        <v>10404300</v>
      </c>
      <c r="S42" s="1298">
        <f>+Q42-R42</f>
        <v>429300</v>
      </c>
      <c r="T42" s="1200">
        <f t="shared" si="4"/>
        <v>429300</v>
      </c>
      <c r="AA42" s="1243"/>
      <c r="AB42" s="1217" t="s">
        <v>780</v>
      </c>
      <c r="AC42" s="1288">
        <f>AC40-AC41</f>
        <v>2050312.1200000048</v>
      </c>
      <c r="AD42" s="1289"/>
      <c r="AE42" s="1289"/>
      <c r="AF42" s="1289"/>
      <c r="AG42" s="1243"/>
      <c r="AH42" s="1227"/>
      <c r="AI42" s="1227"/>
      <c r="AJ42" s="1227"/>
      <c r="AK42" s="1227"/>
      <c r="AL42" s="1227"/>
      <c r="AM42" s="1227"/>
      <c r="AN42" s="1227"/>
      <c r="AO42" s="1217"/>
      <c r="AP42" s="1217"/>
      <c r="AQ42" s="1217"/>
      <c r="AR42" s="1180"/>
      <c r="AS42" s="1180"/>
      <c r="AU42" s="1301"/>
      <c r="AV42" s="1180"/>
      <c r="AW42" s="1180"/>
      <c r="BD42" s="1286"/>
    </row>
    <row r="43" spans="2:56" x14ac:dyDescent="0.3">
      <c r="B43" s="1230" t="s">
        <v>1409</v>
      </c>
      <c r="C43" s="1233"/>
      <c r="D43" s="1232"/>
      <c r="E43" s="1232"/>
      <c r="F43" s="1233"/>
      <c r="G43" s="1233"/>
      <c r="H43" s="1233"/>
      <c r="I43" s="1233">
        <v>472500</v>
      </c>
      <c r="J43" s="1233"/>
      <c r="K43" s="1233">
        <f>'ESTAD RESUL JULIO 2025'!K43</f>
        <v>529000</v>
      </c>
      <c r="L43" s="1233">
        <f>'ESTAD RESULT AGOS 2025'!L43</f>
        <v>0</v>
      </c>
      <c r="M43" s="1233"/>
      <c r="N43" s="1234"/>
      <c r="O43" s="1234"/>
      <c r="P43" s="1234"/>
      <c r="Q43" s="1233">
        <f t="shared" si="0"/>
        <v>0</v>
      </c>
      <c r="R43" s="1302">
        <f t="shared" si="11"/>
        <v>1001500</v>
      </c>
      <c r="S43" s="1303"/>
      <c r="T43" s="1236">
        <f t="shared" si="4"/>
        <v>-1001500</v>
      </c>
      <c r="AA43" s="1217"/>
      <c r="AB43" s="1217"/>
      <c r="AC43" s="1227"/>
      <c r="AD43" s="1217"/>
      <c r="AE43" s="1217"/>
      <c r="AF43" s="1217"/>
      <c r="AG43" s="1217"/>
      <c r="AH43" s="1227"/>
      <c r="AI43" s="1227"/>
      <c r="AJ43" s="1227"/>
      <c r="AK43" s="1227"/>
      <c r="AL43" s="1227"/>
      <c r="AM43" s="1227"/>
      <c r="AN43" s="1227"/>
      <c r="AO43" s="1243"/>
      <c r="AP43" s="1243"/>
      <c r="AQ43" s="1243"/>
      <c r="AR43" s="1244"/>
      <c r="AS43" s="1180"/>
      <c r="AU43" s="1301"/>
      <c r="AV43" s="1244"/>
      <c r="AW43" s="1244"/>
      <c r="BD43" s="1286"/>
    </row>
    <row r="44" spans="2:56" ht="14.25" customHeight="1" thickBot="1" x14ac:dyDescent="0.35">
      <c r="B44" s="1304" t="s">
        <v>103</v>
      </c>
      <c r="C44" s="1205">
        <f>SUM(C36:C42)</f>
        <v>63171757.5</v>
      </c>
      <c r="D44" s="1305">
        <f>+C44/12</f>
        <v>5264313.125</v>
      </c>
      <c r="E44" s="1305">
        <f>SUM(E36:E42)</f>
        <v>4811271.88</v>
      </c>
      <c r="F44" s="1205">
        <f>SUM(F36:F42)</f>
        <v>4367129</v>
      </c>
      <c r="G44" s="1205">
        <f>SUM(G36:G42)</f>
        <v>5020752</v>
      </c>
      <c r="H44" s="1205">
        <f>SUM(H36:H42)</f>
        <v>4357863</v>
      </c>
      <c r="I44" s="1205">
        <f>SUM(I36:I43)</f>
        <v>6081028</v>
      </c>
      <c r="J44" s="1205">
        <f t="shared" ref="J44:P44" si="12">SUM(J36:J42)</f>
        <v>3315204</v>
      </c>
      <c r="K44" s="1205">
        <f>'ESTAD RESUL JULIO 2025'!K44</f>
        <v>5961092</v>
      </c>
      <c r="L44" s="1205">
        <f t="shared" si="12"/>
        <v>6149853</v>
      </c>
      <c r="M44" s="1205">
        <f t="shared" si="12"/>
        <v>0</v>
      </c>
      <c r="N44" s="1306">
        <f t="shared" si="12"/>
        <v>0</v>
      </c>
      <c r="O44" s="1306">
        <f t="shared" si="12"/>
        <v>0</v>
      </c>
      <c r="P44" s="1306">
        <f t="shared" si="12"/>
        <v>0</v>
      </c>
      <c r="Q44" s="1205">
        <f>+D44*$B$5</f>
        <v>42114505</v>
      </c>
      <c r="R44" s="1205">
        <f>SUM(R36:R43)</f>
        <v>40064192.879999995</v>
      </c>
      <c r="S44" s="1307">
        <f>SUM(S36:S42)</f>
        <v>2299158.1200000024</v>
      </c>
      <c r="T44" s="1308">
        <f t="shared" si="4"/>
        <v>2050312.1200000048</v>
      </c>
      <c r="AA44" s="1217"/>
      <c r="AB44" s="1217" t="s">
        <v>1416</v>
      </c>
      <c r="AC44" s="1288">
        <f>Q56</f>
        <v>27839757.333333332</v>
      </c>
      <c r="AD44" s="1277"/>
      <c r="AE44" s="1277"/>
      <c r="AF44" s="1277"/>
      <c r="AG44" s="1217"/>
      <c r="AH44" s="1227"/>
      <c r="AI44" s="1227"/>
      <c r="AJ44" s="1227"/>
      <c r="AK44" s="1227"/>
      <c r="AL44" s="1227"/>
      <c r="AM44" s="1227"/>
      <c r="AN44" s="1227"/>
      <c r="AO44" s="1217"/>
      <c r="AP44" s="1217"/>
      <c r="AQ44" s="1217"/>
      <c r="AR44" s="1180"/>
      <c r="AS44" s="1180"/>
      <c r="AU44" s="1182"/>
      <c r="AV44" s="1180"/>
      <c r="AW44" s="1180"/>
      <c r="BD44" s="1286"/>
    </row>
    <row r="45" spans="2:56" ht="14.25" customHeight="1" thickTop="1" x14ac:dyDescent="0.3">
      <c r="B45" s="1309" t="s">
        <v>104</v>
      </c>
      <c r="C45" s="1174"/>
      <c r="D45" s="1285" t="s">
        <v>33</v>
      </c>
      <c r="E45" s="1285"/>
      <c r="F45" s="1174"/>
      <c r="G45" s="1174"/>
      <c r="H45" s="1174"/>
      <c r="I45" s="1174"/>
      <c r="J45" s="1174"/>
      <c r="K45" s="1214">
        <f>'ESTAD RESUL JULIO 2025'!K45</f>
        <v>0</v>
      </c>
      <c r="L45" s="1174"/>
      <c r="M45" s="1174"/>
      <c r="N45" s="1175"/>
      <c r="O45" s="1175"/>
      <c r="P45" s="1175"/>
      <c r="Q45" s="1174" t="s">
        <v>33</v>
      </c>
      <c r="R45" s="1174"/>
      <c r="S45" s="1215">
        <f>+F45+G45+E45</f>
        <v>0</v>
      </c>
      <c r="T45" s="1200" t="s">
        <v>33</v>
      </c>
      <c r="AA45" s="1217"/>
      <c r="AB45" s="1217" t="s">
        <v>1417</v>
      </c>
      <c r="AC45" s="1228">
        <f>R56</f>
        <v>27377671.32</v>
      </c>
      <c r="AD45" s="1217"/>
      <c r="AE45" s="1217"/>
      <c r="AF45" s="1217"/>
      <c r="AG45" s="1217"/>
      <c r="AH45" s="1227"/>
      <c r="AI45" s="1227"/>
      <c r="AJ45" s="1227"/>
      <c r="AK45" s="1227"/>
      <c r="AL45" s="1227"/>
      <c r="AM45" s="1227"/>
      <c r="AN45" s="1227"/>
      <c r="AO45" s="1243"/>
      <c r="AP45" s="1243"/>
      <c r="AQ45" s="1243"/>
      <c r="AR45" s="1244"/>
      <c r="AS45" s="1180"/>
      <c r="AU45" s="1182"/>
      <c r="AV45" s="1244"/>
      <c r="AW45" s="1244"/>
      <c r="BD45" s="1286"/>
    </row>
    <row r="46" spans="2:56" x14ac:dyDescent="0.3">
      <c r="B46" s="1267" t="s">
        <v>105</v>
      </c>
      <c r="C46" s="1269">
        <v>30797847</v>
      </c>
      <c r="D46" s="1268">
        <f>+C46/12</f>
        <v>2566487.25</v>
      </c>
      <c r="E46" s="1268">
        <v>2343824</v>
      </c>
      <c r="F46" s="1269">
        <v>2343824</v>
      </c>
      <c r="G46" s="1269">
        <v>2343824</v>
      </c>
      <c r="H46" s="1269">
        <v>3235079</v>
      </c>
      <c r="I46" s="1269">
        <v>2566487</v>
      </c>
      <c r="J46" s="1269">
        <v>2566487</v>
      </c>
      <c r="K46" s="1131">
        <f>'ESTAD RESUL JULIO 2025'!K46</f>
        <v>2566487</v>
      </c>
      <c r="L46" s="1269">
        <f>'ESTAD RESULT AGOS 2025'!L46</f>
        <v>2566487</v>
      </c>
      <c r="M46" s="1269"/>
      <c r="N46" s="1270"/>
      <c r="O46" s="1270"/>
      <c r="P46" s="1270"/>
      <c r="Q46" s="1269">
        <f t="shared" si="0"/>
        <v>20531898</v>
      </c>
      <c r="R46" s="1269">
        <f t="shared" ref="R46:R55" si="13">SUM(E46:P46)</f>
        <v>20532499</v>
      </c>
      <c r="S46" s="1271">
        <f>+Q46-R46</f>
        <v>-601</v>
      </c>
      <c r="T46" s="1272">
        <f t="shared" si="4"/>
        <v>-601</v>
      </c>
      <c r="AA46" s="1217"/>
      <c r="AB46" s="1217" t="s">
        <v>780</v>
      </c>
      <c r="AC46" s="1228">
        <f>AC44-AC45</f>
        <v>462086.01333333179</v>
      </c>
      <c r="AD46" s="1217"/>
      <c r="AE46" s="1217"/>
      <c r="AF46" s="1217"/>
      <c r="AG46" s="1217"/>
      <c r="AH46" s="1227"/>
      <c r="AI46" s="1227"/>
      <c r="AJ46" s="1227"/>
      <c r="AK46" s="1227"/>
      <c r="AL46" s="1227"/>
      <c r="AM46" s="1227"/>
      <c r="AN46" s="1227"/>
      <c r="AO46" s="1217"/>
      <c r="AP46" s="1217"/>
      <c r="AQ46" s="1217"/>
      <c r="AR46" s="1180"/>
      <c r="AS46" s="1180"/>
      <c r="AU46" s="1296"/>
      <c r="AV46" s="1180"/>
      <c r="AW46" s="1180"/>
      <c r="BD46" s="1286"/>
    </row>
    <row r="47" spans="2:56" x14ac:dyDescent="0.3">
      <c r="B47" s="1237" t="s">
        <v>65</v>
      </c>
      <c r="C47" s="1177">
        <v>6413421</v>
      </c>
      <c r="D47" s="1239">
        <f t="shared" ref="D47:D55" si="14">+C47/12</f>
        <v>534451.75</v>
      </c>
      <c r="E47" s="1239">
        <v>488080</v>
      </c>
      <c r="F47" s="1177">
        <v>488080</v>
      </c>
      <c r="G47" s="1177">
        <v>627190</v>
      </c>
      <c r="H47" s="1177">
        <v>534352</v>
      </c>
      <c r="I47" s="1177">
        <v>534352</v>
      </c>
      <c r="J47" s="1177">
        <v>534352</v>
      </c>
      <c r="K47" s="1131">
        <f>'ESTAD RESUL JULIO 2025'!K47</f>
        <v>534452</v>
      </c>
      <c r="L47" s="1177">
        <f>'ESTAD RESULT AGOS 2025'!L47</f>
        <v>534452</v>
      </c>
      <c r="M47" s="1177"/>
      <c r="N47" s="1201"/>
      <c r="O47" s="1201"/>
      <c r="P47" s="1201"/>
      <c r="Q47" s="1177">
        <f t="shared" si="0"/>
        <v>4275614</v>
      </c>
      <c r="R47" s="1177">
        <f t="shared" si="13"/>
        <v>4275310</v>
      </c>
      <c r="S47" s="1199">
        <f t="shared" ref="S47:S55" si="15">+Q47-R47</f>
        <v>304</v>
      </c>
      <c r="T47" s="1200">
        <f t="shared" si="4"/>
        <v>304</v>
      </c>
      <c r="AA47" s="1243"/>
      <c r="AB47" s="1243"/>
      <c r="AC47" s="1243"/>
      <c r="AD47" s="1217"/>
      <c r="AE47" s="1217"/>
      <c r="AF47" s="1217"/>
      <c r="AG47" s="1217"/>
      <c r="AH47" s="1227"/>
      <c r="AI47" s="1227"/>
      <c r="AJ47" s="1227"/>
      <c r="AK47" s="1227"/>
      <c r="AL47" s="1227"/>
      <c r="AM47" s="1227"/>
      <c r="AN47" s="1227"/>
      <c r="AO47" s="1217"/>
      <c r="AP47" s="1217"/>
      <c r="AQ47" s="1217"/>
      <c r="AR47" s="1180"/>
      <c r="AS47" s="1180"/>
      <c r="AU47" s="1182"/>
      <c r="AV47" s="1180"/>
      <c r="AW47" s="1180"/>
      <c r="BD47" s="1286"/>
    </row>
    <row r="48" spans="2:56" x14ac:dyDescent="0.3">
      <c r="B48" s="1267" t="s">
        <v>106</v>
      </c>
      <c r="C48" s="1269">
        <v>534465</v>
      </c>
      <c r="D48" s="1268">
        <f t="shared" si="14"/>
        <v>44538.75</v>
      </c>
      <c r="E48" s="1268">
        <v>0</v>
      </c>
      <c r="F48" s="1269">
        <v>0</v>
      </c>
      <c r="G48" s="1269">
        <v>0</v>
      </c>
      <c r="H48" s="1269">
        <v>0</v>
      </c>
      <c r="I48" s="1269">
        <v>0</v>
      </c>
      <c r="J48" s="1269">
        <v>534565</v>
      </c>
      <c r="K48" s="1131">
        <f>'ESTAD RESUL JULIO 2025'!K48</f>
        <v>0</v>
      </c>
      <c r="L48" s="1269">
        <f>'ESTAD RESULT AGOS 2025'!K48</f>
        <v>0</v>
      </c>
      <c r="M48" s="1269"/>
      <c r="N48" s="1270"/>
      <c r="O48" s="1270"/>
      <c r="P48" s="1270"/>
      <c r="Q48" s="1269">
        <f t="shared" si="0"/>
        <v>356310</v>
      </c>
      <c r="R48" s="1269">
        <f t="shared" si="13"/>
        <v>534565</v>
      </c>
      <c r="S48" s="1271">
        <f t="shared" si="15"/>
        <v>-178255</v>
      </c>
      <c r="T48" s="1272">
        <f t="shared" si="4"/>
        <v>-178255</v>
      </c>
      <c r="AA48" s="1217"/>
      <c r="AB48" s="1217" t="s">
        <v>1418</v>
      </c>
      <c r="AC48" s="1228">
        <f>Q33</f>
        <v>0</v>
      </c>
      <c r="AD48" s="1217"/>
      <c r="AE48" s="1217"/>
      <c r="AF48" s="1217"/>
      <c r="AG48" s="1217"/>
      <c r="AH48" s="1227"/>
      <c r="AI48" s="1227"/>
      <c r="AJ48" s="1227"/>
      <c r="AK48" s="1227"/>
      <c r="AL48" s="1227"/>
      <c r="AM48" s="1227"/>
      <c r="AN48" s="1227"/>
      <c r="AO48" s="1217"/>
      <c r="AP48" s="1217"/>
      <c r="AQ48" s="1217"/>
      <c r="AR48" s="1180"/>
      <c r="AU48" s="1310"/>
      <c r="AV48" s="1180"/>
      <c r="AW48" s="1180"/>
      <c r="BD48" s="1286"/>
    </row>
    <row r="49" spans="2:62" x14ac:dyDescent="0.3">
      <c r="B49" s="1237" t="s">
        <v>107</v>
      </c>
      <c r="C49" s="1177">
        <v>603903</v>
      </c>
      <c r="D49" s="1239">
        <f t="shared" si="14"/>
        <v>50325.25</v>
      </c>
      <c r="E49" s="1239">
        <v>50344</v>
      </c>
      <c r="F49" s="1177">
        <v>50344</v>
      </c>
      <c r="G49" s="1177">
        <v>50344</v>
      </c>
      <c r="H49" s="1177">
        <v>50344</v>
      </c>
      <c r="I49" s="1177">
        <v>50344</v>
      </c>
      <c r="J49" s="1177">
        <v>50344</v>
      </c>
      <c r="K49" s="1131">
        <f>'ESTAD RESUL JULIO 2025'!K49</f>
        <v>50344</v>
      </c>
      <c r="L49" s="1177">
        <f>'ESTAD RESULT AGOS 2025'!L49</f>
        <v>50344</v>
      </c>
      <c r="M49" s="1177"/>
      <c r="N49" s="1201"/>
      <c r="O49" s="1201"/>
      <c r="P49" s="1201"/>
      <c r="Q49" s="1177">
        <f t="shared" si="0"/>
        <v>402602</v>
      </c>
      <c r="R49" s="1177">
        <f t="shared" si="13"/>
        <v>402752</v>
      </c>
      <c r="S49" s="1199">
        <f t="shared" si="15"/>
        <v>-150</v>
      </c>
      <c r="T49" s="1200">
        <f t="shared" si="4"/>
        <v>-150</v>
      </c>
      <c r="AA49" s="1217"/>
      <c r="AB49" s="1217" t="s">
        <v>1419</v>
      </c>
      <c r="AC49" s="1228">
        <f>R33</f>
        <v>515365</v>
      </c>
      <c r="AD49" s="1217"/>
      <c r="AE49" s="1217"/>
      <c r="AF49" s="1217"/>
      <c r="AG49" s="1217"/>
      <c r="AH49" s="1227"/>
      <c r="AI49" s="1227"/>
      <c r="AJ49" s="1227"/>
      <c r="AK49" s="1227"/>
      <c r="AL49" s="1227"/>
      <c r="AM49" s="1227"/>
      <c r="AN49" s="1227"/>
      <c r="AO49" s="1217"/>
      <c r="AP49" s="1217"/>
      <c r="AQ49" s="1217"/>
      <c r="AR49" s="1180"/>
      <c r="AU49" s="1296"/>
      <c r="AV49" s="1180"/>
      <c r="BD49" s="1286"/>
    </row>
    <row r="50" spans="2:62" x14ac:dyDescent="0.3">
      <c r="B50" s="1267" t="s">
        <v>108</v>
      </c>
      <c r="C50" s="1269">
        <v>200000</v>
      </c>
      <c r="D50" s="1268">
        <f t="shared" si="14"/>
        <v>16666.666666666668</v>
      </c>
      <c r="E50" s="1268">
        <v>0</v>
      </c>
      <c r="F50" s="1269">
        <v>0</v>
      </c>
      <c r="G50" s="1269">
        <v>10000</v>
      </c>
      <c r="H50" s="1269">
        <v>10000</v>
      </c>
      <c r="I50" s="1269">
        <v>0</v>
      </c>
      <c r="J50" s="1269">
        <v>0</v>
      </c>
      <c r="K50" s="1131">
        <f>'ESTAD RESUL JULIO 2025'!K50</f>
        <v>0</v>
      </c>
      <c r="L50" s="1269">
        <f>'ESTAD RESULT AGOS 2025'!L50</f>
        <v>0</v>
      </c>
      <c r="M50" s="1269"/>
      <c r="N50" s="1270"/>
      <c r="O50" s="1270"/>
      <c r="P50" s="1270"/>
      <c r="Q50" s="1269">
        <f t="shared" si="0"/>
        <v>133333.33333333334</v>
      </c>
      <c r="R50" s="1269">
        <f t="shared" si="13"/>
        <v>20000</v>
      </c>
      <c r="S50" s="1271">
        <f t="shared" si="15"/>
        <v>113333.33333333334</v>
      </c>
      <c r="T50" s="1272">
        <f t="shared" si="4"/>
        <v>113333.33333333334</v>
      </c>
      <c r="AA50" s="1243"/>
      <c r="AB50" s="1243"/>
      <c r="AC50" s="1243"/>
      <c r="AD50" s="1243"/>
      <c r="AE50" s="1243"/>
      <c r="AF50" s="1243"/>
      <c r="AG50" s="1243"/>
      <c r="AH50" s="1227"/>
      <c r="AI50" s="1227"/>
      <c r="AJ50" s="1227"/>
      <c r="AK50" s="1227"/>
      <c r="AL50" s="1227"/>
      <c r="AM50" s="1227"/>
      <c r="AN50" s="1227"/>
      <c r="AO50" s="1217"/>
      <c r="AP50" s="1217"/>
      <c r="AQ50" s="1217"/>
      <c r="AR50" s="1180"/>
      <c r="AS50" s="1182"/>
      <c r="AU50" s="1182"/>
      <c r="AV50" s="1180"/>
      <c r="AW50" s="1180"/>
      <c r="BD50" s="1286"/>
    </row>
    <row r="51" spans="2:62" x14ac:dyDescent="0.3">
      <c r="B51" s="1237" t="s">
        <v>109</v>
      </c>
      <c r="C51" s="1177">
        <v>360000</v>
      </c>
      <c r="D51" s="1239">
        <f t="shared" si="14"/>
        <v>30000</v>
      </c>
      <c r="E51" s="1239">
        <v>0</v>
      </c>
      <c r="F51" s="1177">
        <v>0</v>
      </c>
      <c r="G51" s="1177">
        <v>26640</v>
      </c>
      <c r="H51" s="1177">
        <v>4390</v>
      </c>
      <c r="I51" s="1177">
        <v>27030</v>
      </c>
      <c r="J51" s="1177">
        <v>0</v>
      </c>
      <c r="K51" s="1131">
        <f>'ESTAD RESUL JULIO 2025'!K51</f>
        <v>75550</v>
      </c>
      <c r="L51" s="1177">
        <f>'ESTAD RESULT AGOS 2025'!K51</f>
        <v>75550</v>
      </c>
      <c r="M51" s="1177"/>
      <c r="N51" s="1201"/>
      <c r="O51" s="1201"/>
      <c r="P51" s="1201"/>
      <c r="Q51" s="1177">
        <f t="shared" si="0"/>
        <v>240000</v>
      </c>
      <c r="R51" s="1177">
        <f t="shared" si="13"/>
        <v>209160</v>
      </c>
      <c r="S51" s="1199">
        <f t="shared" si="15"/>
        <v>30840</v>
      </c>
      <c r="T51" s="1200">
        <f t="shared" si="4"/>
        <v>30840</v>
      </c>
      <c r="AA51" s="1227"/>
      <c r="AB51" s="1227"/>
      <c r="AC51" s="1227"/>
      <c r="AD51" s="1227"/>
      <c r="AE51" s="1227"/>
      <c r="AF51" s="1227"/>
      <c r="AG51" s="1227"/>
      <c r="AH51" s="1227"/>
      <c r="AI51" s="1227"/>
      <c r="AJ51" s="1227"/>
      <c r="AK51" s="1227"/>
      <c r="AL51" s="1227"/>
      <c r="AM51" s="1227"/>
      <c r="AN51" s="1227"/>
      <c r="AO51" s="1243"/>
      <c r="AP51" s="1243"/>
      <c r="AQ51" s="1243" t="s">
        <v>783</v>
      </c>
      <c r="AR51" s="1244"/>
      <c r="AS51" s="1180"/>
      <c r="AU51" s="1182"/>
      <c r="AV51" s="1244"/>
      <c r="AW51" s="1244"/>
      <c r="BD51" s="1286"/>
    </row>
    <row r="52" spans="2:62" ht="12.5" customHeight="1" x14ac:dyDescent="0.3">
      <c r="B52" s="1267" t="s">
        <v>110</v>
      </c>
      <c r="C52" s="1311">
        <v>150000</v>
      </c>
      <c r="D52" s="1281">
        <f t="shared" si="14"/>
        <v>12500</v>
      </c>
      <c r="E52" s="1268">
        <v>0</v>
      </c>
      <c r="F52" s="1269">
        <v>0</v>
      </c>
      <c r="G52" s="1312">
        <v>4500</v>
      </c>
      <c r="H52" s="1312">
        <v>0</v>
      </c>
      <c r="I52" s="1312">
        <v>0</v>
      </c>
      <c r="J52" s="1312">
        <v>0</v>
      </c>
      <c r="K52" s="1131">
        <f>'ESTAD RESUL JULIO 2025'!K52</f>
        <v>0</v>
      </c>
      <c r="L52" s="1452">
        <f>'ESTAD RESULT AGOS 2025'!L52</f>
        <v>0</v>
      </c>
      <c r="M52" s="1312"/>
      <c r="N52" s="1313"/>
      <c r="O52" s="1312"/>
      <c r="P52" s="1312"/>
      <c r="Q52" s="1269">
        <f t="shared" si="0"/>
        <v>100000</v>
      </c>
      <c r="R52" s="1269">
        <f t="shared" si="13"/>
        <v>4500</v>
      </c>
      <c r="S52" s="1271">
        <f t="shared" si="15"/>
        <v>95500</v>
      </c>
      <c r="T52" s="1272">
        <f t="shared" si="4"/>
        <v>95500</v>
      </c>
      <c r="AA52" s="1227"/>
      <c r="AB52" s="1227"/>
      <c r="AC52" s="1227"/>
      <c r="AD52" s="1227"/>
      <c r="AE52" s="1227"/>
      <c r="AF52" s="1227"/>
      <c r="AG52" s="1227"/>
      <c r="AH52" s="1227"/>
      <c r="AI52" s="1227"/>
      <c r="AJ52" s="1227"/>
      <c r="AK52" s="1227"/>
      <c r="AL52" s="1227"/>
      <c r="AM52" s="1227"/>
      <c r="AN52" s="1227"/>
      <c r="AO52" s="1217"/>
      <c r="AP52" s="1217"/>
      <c r="AQ52" s="1217"/>
      <c r="AR52" s="1180"/>
      <c r="AS52" s="1182"/>
      <c r="AU52" s="1182"/>
      <c r="AV52" s="1180"/>
      <c r="AW52" s="1180"/>
      <c r="BD52" s="1286"/>
    </row>
    <row r="53" spans="2:62" ht="12.5" customHeight="1" x14ac:dyDescent="0.3">
      <c r="B53" s="1237" t="s">
        <v>111</v>
      </c>
      <c r="C53" s="1238">
        <v>2700000</v>
      </c>
      <c r="D53" s="1314">
        <f t="shared" si="14"/>
        <v>225000</v>
      </c>
      <c r="E53" s="1239">
        <v>191152.44</v>
      </c>
      <c r="F53" s="1177">
        <v>189522.6</v>
      </c>
      <c r="G53" s="1177">
        <v>196603.1</v>
      </c>
      <c r="H53" s="1177">
        <v>179705.1</v>
      </c>
      <c r="I53" s="1177">
        <v>225057.48</v>
      </c>
      <c r="J53" s="1177">
        <v>101784</v>
      </c>
      <c r="K53" s="1131">
        <f>'ESTAD RESUL JULIO 2025'!K53</f>
        <v>108924</v>
      </c>
      <c r="L53" s="1177">
        <f>'ESTAD RESULT AGOS 2025'!L53</f>
        <v>206789.6</v>
      </c>
      <c r="M53" s="1177"/>
      <c r="N53" s="1201"/>
      <c r="O53" s="1201"/>
      <c r="P53" s="1201"/>
      <c r="Q53" s="1177">
        <f t="shared" si="0"/>
        <v>1800000</v>
      </c>
      <c r="R53" s="1177">
        <f t="shared" si="13"/>
        <v>1399538.32</v>
      </c>
      <c r="S53" s="1199">
        <f t="shared" si="15"/>
        <v>400461.67999999993</v>
      </c>
      <c r="T53" s="1200">
        <f t="shared" si="4"/>
        <v>400461.67999999993</v>
      </c>
      <c r="AA53" s="1227"/>
      <c r="AB53" s="1227"/>
      <c r="AC53" s="1227"/>
      <c r="AD53" s="1227"/>
      <c r="AE53" s="1227"/>
      <c r="AF53" s="1227"/>
      <c r="AG53" s="1227"/>
      <c r="AH53" s="1227"/>
      <c r="AI53" s="1227"/>
      <c r="AJ53" s="1227"/>
      <c r="AK53" s="1227"/>
      <c r="AL53" s="1227"/>
      <c r="AM53" s="1227"/>
      <c r="AN53" s="1227"/>
      <c r="AO53" s="1217"/>
      <c r="AP53" s="1217"/>
      <c r="AQ53" s="1228">
        <f>Q34</f>
        <v>0</v>
      </c>
      <c r="AR53" s="1180"/>
      <c r="AV53" s="1180"/>
      <c r="AW53" s="1182"/>
    </row>
    <row r="54" spans="2:62" x14ac:dyDescent="0.3">
      <c r="B54" s="1267" t="s">
        <v>68</v>
      </c>
      <c r="C54" s="1269">
        <v>0</v>
      </c>
      <c r="D54" s="1315">
        <f t="shared" si="14"/>
        <v>0</v>
      </c>
      <c r="E54" s="1268">
        <v>0</v>
      </c>
      <c r="F54" s="1269">
        <v>0</v>
      </c>
      <c r="G54" s="1269">
        <v>1227</v>
      </c>
      <c r="H54" s="1269">
        <v>5</v>
      </c>
      <c r="I54" s="1269">
        <v>-1887</v>
      </c>
      <c r="J54" s="1269"/>
      <c r="K54" s="1131">
        <f>'ESTAD RESUL JULIO 2025'!K54</f>
        <v>1</v>
      </c>
      <c r="L54" s="1269">
        <f>'ESTAD RESULT AGOS 2025'!L54</f>
        <v>1</v>
      </c>
      <c r="M54" s="1269"/>
      <c r="N54" s="1270"/>
      <c r="O54" s="1270"/>
      <c r="P54" s="1270"/>
      <c r="Q54" s="1269">
        <f t="shared" si="0"/>
        <v>0</v>
      </c>
      <c r="R54" s="1269">
        <f t="shared" si="13"/>
        <v>-653</v>
      </c>
      <c r="S54" s="1199">
        <f t="shared" si="15"/>
        <v>653</v>
      </c>
      <c r="T54" s="1272">
        <f t="shared" si="4"/>
        <v>653</v>
      </c>
      <c r="AA54" s="1227"/>
      <c r="AB54" s="1227"/>
      <c r="AC54" s="1227"/>
      <c r="AD54" s="1227"/>
      <c r="AE54" s="1227"/>
      <c r="AF54" s="1227"/>
      <c r="AG54" s="1227"/>
      <c r="AH54" s="1227"/>
      <c r="AI54" s="1227"/>
      <c r="AJ54" s="1227"/>
      <c r="AK54" s="1227"/>
      <c r="AL54" s="1227"/>
      <c r="AM54" s="1227"/>
      <c r="AN54" s="1227"/>
      <c r="AO54" s="1316"/>
      <c r="AP54" s="1316"/>
      <c r="AQ54" s="1217"/>
      <c r="AR54" s="1180"/>
      <c r="AU54" s="1180"/>
      <c r="AV54" s="1180"/>
      <c r="AW54" s="1180"/>
      <c r="BA54" s="1180"/>
      <c r="BB54" s="1180"/>
      <c r="BC54" s="1180"/>
      <c r="BD54" s="1180"/>
      <c r="BE54" s="1180"/>
      <c r="BF54" s="1180"/>
      <c r="BG54" s="1180" t="s">
        <v>782</v>
      </c>
      <c r="BH54" s="1180" t="s">
        <v>780</v>
      </c>
      <c r="BI54" s="1244"/>
      <c r="BJ54" s="1244"/>
    </row>
    <row r="55" spans="2:62" x14ac:dyDescent="0.3">
      <c r="B55" s="1317" t="s">
        <v>112</v>
      </c>
      <c r="C55" s="1311">
        <v>0</v>
      </c>
      <c r="D55" s="1311">
        <f t="shared" si="14"/>
        <v>0</v>
      </c>
      <c r="E55" s="1311"/>
      <c r="F55" s="1311"/>
      <c r="G55" s="1311"/>
      <c r="H55" s="1311"/>
      <c r="I55" s="1311"/>
      <c r="J55" s="1311"/>
      <c r="K55" s="1131">
        <f>'ESTAD RESUL JULIO 2025'!K55</f>
        <v>0</v>
      </c>
      <c r="L55" s="1311"/>
      <c r="M55" s="1311"/>
      <c r="N55" s="1311"/>
      <c r="O55" s="1311"/>
      <c r="P55" s="1311"/>
      <c r="Q55" s="1269">
        <f t="shared" si="0"/>
        <v>0</v>
      </c>
      <c r="R55" s="1311">
        <f t="shared" si="13"/>
        <v>0</v>
      </c>
      <c r="S55" s="1282">
        <f t="shared" si="15"/>
        <v>0</v>
      </c>
      <c r="T55" s="1283">
        <f t="shared" si="4"/>
        <v>0</v>
      </c>
      <c r="AA55" s="1227"/>
      <c r="AB55" s="1227"/>
      <c r="AC55" s="1227"/>
      <c r="AD55" s="1227"/>
      <c r="AE55" s="1227"/>
      <c r="AF55" s="1227"/>
      <c r="AG55" s="1227"/>
      <c r="AH55" s="1227"/>
      <c r="AI55" s="1227"/>
      <c r="AJ55" s="1227"/>
      <c r="AK55" s="1227"/>
      <c r="AL55" s="1227"/>
      <c r="AM55" s="1227"/>
      <c r="AN55" s="1227"/>
      <c r="AO55" s="1217"/>
      <c r="AP55" s="1217"/>
      <c r="AQ55" s="1228">
        <f>R34</f>
        <v>694579</v>
      </c>
      <c r="AR55" s="1180"/>
      <c r="AU55" s="1180"/>
      <c r="AV55" s="1180"/>
      <c r="AW55" s="1182"/>
      <c r="BA55" s="1180"/>
      <c r="BJ55" s="1180"/>
    </row>
    <row r="56" spans="2:62" x14ac:dyDescent="0.3">
      <c r="B56" s="1219" t="s">
        <v>113</v>
      </c>
      <c r="C56" s="1318">
        <f t="shared" ref="C56:J56" si="16">SUM(C46:C55)</f>
        <v>41759636</v>
      </c>
      <c r="D56" s="1319">
        <f t="shared" si="16"/>
        <v>3479969.6666666665</v>
      </c>
      <c r="E56" s="1319">
        <f t="shared" si="16"/>
        <v>3073400.44</v>
      </c>
      <c r="F56" s="1320">
        <f t="shared" si="16"/>
        <v>3071770.6</v>
      </c>
      <c r="G56" s="1318">
        <f t="shared" si="16"/>
        <v>3260328.1</v>
      </c>
      <c r="H56" s="1318">
        <f t="shared" si="16"/>
        <v>4013875.1</v>
      </c>
      <c r="I56" s="1318">
        <f t="shared" si="16"/>
        <v>3401383.48</v>
      </c>
      <c r="J56" s="1318">
        <f t="shared" si="16"/>
        <v>3787532</v>
      </c>
      <c r="K56" s="1131">
        <f>'ESTAD RESUL JULIO 2025'!K56</f>
        <v>3335758</v>
      </c>
      <c r="L56" s="1318">
        <f>'ESTAD RESULT AGOS 2025'!L56</f>
        <v>3358073.6</v>
      </c>
      <c r="M56" s="1318"/>
      <c r="N56" s="1318"/>
      <c r="O56" s="1318"/>
      <c r="P56" s="1318"/>
      <c r="Q56" s="1320">
        <f>+D56*$B$5</f>
        <v>27839757.333333332</v>
      </c>
      <c r="R56" s="1318">
        <f>SUM(R46:R55)</f>
        <v>27377671.32</v>
      </c>
      <c r="S56" s="1318">
        <f>SUM(S46:S55)</f>
        <v>462086.01333333331</v>
      </c>
      <c r="T56" s="1318">
        <f>+Q56-R56</f>
        <v>462086.01333333179</v>
      </c>
      <c r="AO56" s="1180"/>
      <c r="AP56" s="1180"/>
      <c r="AQ56" s="1180"/>
      <c r="AR56" s="1180"/>
      <c r="AS56" s="1180"/>
      <c r="AT56" s="1182"/>
      <c r="AU56" s="1180"/>
      <c r="AV56" s="1180"/>
      <c r="AW56" s="1180"/>
      <c r="BA56" s="1180"/>
      <c r="BJ56" s="1180"/>
    </row>
    <row r="57" spans="2:62" x14ac:dyDescent="0.3">
      <c r="B57" s="1321" t="s">
        <v>118</v>
      </c>
      <c r="C57" s="1250">
        <f>+C56+C44+C30+C34+C19</f>
        <v>356841927.21000004</v>
      </c>
      <c r="D57" s="1322">
        <f>+D56+D44+D30+D19</f>
        <v>29736827.267500002</v>
      </c>
      <c r="E57" s="1131">
        <f t="shared" ref="E57:J57" si="17">+E56+E44+E30+E34+E19</f>
        <v>29096206.32</v>
      </c>
      <c r="F57" s="1252">
        <f t="shared" si="17"/>
        <v>28666715.600000001</v>
      </c>
      <c r="G57" s="1252">
        <f t="shared" si="17"/>
        <v>29124953.100000001</v>
      </c>
      <c r="H57" s="1252">
        <f t="shared" si="17"/>
        <v>26968598.100000001</v>
      </c>
      <c r="I57" s="1323">
        <f t="shared" si="17"/>
        <v>29889745.48</v>
      </c>
      <c r="J57" s="1323">
        <f t="shared" si="17"/>
        <v>26648874</v>
      </c>
      <c r="K57" s="1131">
        <f>'ESTAD RESUL JULIO 2025'!K57</f>
        <v>29171361</v>
      </c>
      <c r="L57" s="1323">
        <f>+L56+L44+L30+L34+L19</f>
        <v>30300743.600000001</v>
      </c>
      <c r="M57" s="1323">
        <f>+M56+M44+M30+M34+M19</f>
        <v>0</v>
      </c>
      <c r="N57" s="1324">
        <f>+N56+N44+N30+N34+N19</f>
        <v>0</v>
      </c>
      <c r="O57" s="1324">
        <f>+O56+O44+O30+O34+O19</f>
        <v>0</v>
      </c>
      <c r="P57" s="1324">
        <f>+P56+P44+P30+P34+P19</f>
        <v>0</v>
      </c>
      <c r="Q57" s="1325">
        <f>+D57*$B$5</f>
        <v>237894618.14000002</v>
      </c>
      <c r="R57" s="1326">
        <f>+R56+R44+R30+R34+R19</f>
        <v>229942747.19999999</v>
      </c>
      <c r="S57" s="1327">
        <f>+S56+S44+S30+S34+S19</f>
        <v>7049397.2733333576</v>
      </c>
      <c r="T57" s="1328">
        <f>+T56+T44+T30+T34+T19</f>
        <v>7951870.9400000311</v>
      </c>
      <c r="AA57" s="1703"/>
      <c r="AB57" s="1704"/>
      <c r="AC57" s="1140" t="s">
        <v>1237</v>
      </c>
      <c r="AD57" s="1286"/>
      <c r="AE57" s="1286"/>
      <c r="AF57" s="1286"/>
      <c r="AH57" s="1329" t="s">
        <v>1239</v>
      </c>
      <c r="AI57" s="1329"/>
      <c r="AJ57" s="1329"/>
      <c r="AK57" s="1329"/>
      <c r="AL57" s="1329"/>
      <c r="AM57" s="1329"/>
      <c r="AN57" s="1329"/>
      <c r="AO57" s="1330"/>
      <c r="AP57" s="1330"/>
      <c r="AQ57" s="1330"/>
      <c r="AR57" s="1244"/>
      <c r="AS57" s="1244"/>
      <c r="AT57" s="1244"/>
      <c r="AU57" s="1244"/>
      <c r="AV57" s="1244"/>
      <c r="AW57" s="1244"/>
      <c r="BA57" s="1180"/>
      <c r="BJ57" s="1180"/>
    </row>
    <row r="58" spans="2:62" x14ac:dyDescent="0.3">
      <c r="B58" s="1331"/>
      <c r="C58" s="1332"/>
      <c r="D58" s="1333"/>
      <c r="E58" s="1333"/>
      <c r="F58" s="1334"/>
      <c r="G58" s="1334"/>
      <c r="H58" s="1334"/>
      <c r="I58" s="1334"/>
      <c r="J58" s="1334"/>
      <c r="K58" s="1131">
        <f>'ESTAD RESUL JULIO 2025'!K58</f>
        <v>0</v>
      </c>
      <c r="L58" s="1334"/>
      <c r="M58" s="1334"/>
      <c r="N58" s="1335"/>
      <c r="O58" s="1335"/>
      <c r="P58" s="1335"/>
      <c r="Q58" s="1334"/>
      <c r="R58" s="1334"/>
      <c r="S58" s="1336"/>
      <c r="T58" s="1337"/>
      <c r="AA58" s="1338" t="s">
        <v>785</v>
      </c>
      <c r="AB58" s="1339"/>
      <c r="AC58" s="1340">
        <f>AC37/AC36</f>
        <v>0.9196887072718426</v>
      </c>
      <c r="AD58" s="1341">
        <f>R34</f>
        <v>694579</v>
      </c>
      <c r="AE58" s="1341"/>
      <c r="AF58" s="1341"/>
      <c r="AG58" s="1180"/>
      <c r="AH58" s="1342" t="s">
        <v>785</v>
      </c>
      <c r="AI58" s="1342"/>
      <c r="AJ58" s="1343">
        <f>R19/R8</f>
        <v>0.15897301277149964</v>
      </c>
      <c r="AK58" s="1343"/>
      <c r="AL58" s="1329"/>
      <c r="AM58" s="1329"/>
      <c r="AN58" s="1329"/>
      <c r="AO58" s="1342"/>
      <c r="AP58" s="1342"/>
      <c r="AQ58" s="1342"/>
      <c r="AR58" s="1180"/>
      <c r="AS58" s="1180"/>
      <c r="AT58" s="1180"/>
      <c r="AU58" s="1180"/>
      <c r="AV58" s="1180"/>
      <c r="AW58" s="1180"/>
      <c r="BA58" s="1180"/>
      <c r="BJ58" s="1180"/>
    </row>
    <row r="59" spans="2:62" x14ac:dyDescent="0.3">
      <c r="B59" s="1344" t="s">
        <v>219</v>
      </c>
      <c r="C59" s="1345">
        <f>SUM(C60:C64)</f>
        <v>0</v>
      </c>
      <c r="D59" s="1346"/>
      <c r="E59" s="1346">
        <f>SUM(E60:E65)</f>
        <v>451228.69</v>
      </c>
      <c r="F59" s="1347">
        <f>SUM(F60:F64)</f>
        <v>472103.33999999997</v>
      </c>
      <c r="G59" s="1348">
        <f>SUM(G60:G64)</f>
        <v>455679.26</v>
      </c>
      <c r="H59" s="1348">
        <f>SUM(H60:H64)</f>
        <v>411197.13</v>
      </c>
      <c r="I59" s="1348">
        <f>SUM(I60:I65)</f>
        <v>713029.05</v>
      </c>
      <c r="J59" s="1348">
        <f>SUM(J60:J65)</f>
        <v>414671.35999999999</v>
      </c>
      <c r="K59" s="1131">
        <f>'ESTAD RESUL JULIO 2025'!K59</f>
        <v>602175.76</v>
      </c>
      <c r="L59" s="1348">
        <f t="shared" ref="L59:S59" si="18">SUM(L60:L64)</f>
        <v>519706.7</v>
      </c>
      <c r="M59" s="1348">
        <f t="shared" si="18"/>
        <v>0</v>
      </c>
      <c r="N59" s="1349">
        <f t="shared" si="18"/>
        <v>0</v>
      </c>
      <c r="O59" s="1349">
        <f t="shared" si="18"/>
        <v>0</v>
      </c>
      <c r="P59" s="1349">
        <f t="shared" si="18"/>
        <v>0</v>
      </c>
      <c r="Q59" s="1348">
        <f t="shared" si="18"/>
        <v>0</v>
      </c>
      <c r="R59" s="1350">
        <f t="shared" si="18"/>
        <v>3791338.55</v>
      </c>
      <c r="S59" s="1351">
        <f t="shared" si="18"/>
        <v>-3791338.55</v>
      </c>
      <c r="T59" s="1352">
        <f>+R59</f>
        <v>3791338.55</v>
      </c>
      <c r="AA59" s="1695"/>
      <c r="AB59" s="1696"/>
      <c r="AC59" s="1697"/>
      <c r="AD59" s="1353"/>
      <c r="AE59" s="1353"/>
      <c r="AF59" s="1353"/>
      <c r="AG59" s="1180"/>
      <c r="AH59" s="1342"/>
      <c r="AI59" s="1342"/>
      <c r="AJ59" s="1343"/>
      <c r="AK59" s="1343"/>
      <c r="AL59" s="1329"/>
      <c r="AM59" s="1329"/>
      <c r="AN59" s="1329"/>
      <c r="AO59" s="1342"/>
      <c r="AP59" s="1342"/>
      <c r="AQ59" s="1342"/>
      <c r="AR59" s="1180"/>
      <c r="AS59" s="1180"/>
      <c r="AT59" s="1180"/>
      <c r="AU59" s="1180"/>
      <c r="AV59" s="1180"/>
      <c r="AW59" s="1180"/>
      <c r="BA59" s="1180"/>
      <c r="BJ59" s="1180"/>
    </row>
    <row r="60" spans="2:62" x14ac:dyDescent="0.3">
      <c r="B60" s="1344" t="s">
        <v>121</v>
      </c>
      <c r="C60" s="1345"/>
      <c r="D60" s="1346"/>
      <c r="E60" s="1346">
        <v>69013</v>
      </c>
      <c r="F60" s="1347">
        <v>95407</v>
      </c>
      <c r="G60" s="1347">
        <v>139518</v>
      </c>
      <c r="H60" s="1347">
        <v>92495</v>
      </c>
      <c r="I60" s="1347">
        <v>136086</v>
      </c>
      <c r="J60" s="1347">
        <v>108094</v>
      </c>
      <c r="K60" s="1131">
        <f>'ESTAD RESUL JULIO 2025'!K60</f>
        <v>249985</v>
      </c>
      <c r="L60" s="1347">
        <f>'ESTAD RESULT AGOS 2025'!L60</f>
        <v>188163</v>
      </c>
      <c r="M60" s="1347"/>
      <c r="N60" s="1354"/>
      <c r="O60" s="1354"/>
      <c r="P60" s="1354"/>
      <c r="Q60" s="1348">
        <v>0</v>
      </c>
      <c r="R60" s="1347">
        <f>SUM(E60:P60)</f>
        <v>1078761</v>
      </c>
      <c r="S60" s="1351">
        <f>+Q60-R60</f>
        <v>-1078761</v>
      </c>
      <c r="T60" s="1352"/>
      <c r="AA60" s="1338" t="s">
        <v>786</v>
      </c>
      <c r="AB60" s="1339"/>
      <c r="AC60" s="1340">
        <f>AC33/AC32</f>
        <v>0.97767177109122216</v>
      </c>
      <c r="AD60" s="1341"/>
      <c r="AE60" s="1341"/>
      <c r="AF60" s="1341"/>
      <c r="AG60" s="1180"/>
      <c r="AH60" s="1342" t="s">
        <v>786</v>
      </c>
      <c r="AI60" s="1343"/>
      <c r="AJ60" s="1343">
        <f>R29/R8</f>
        <v>9.9260619868774061E-3</v>
      </c>
      <c r="AK60" s="1343"/>
      <c r="AL60" s="1329"/>
      <c r="AM60" s="1329"/>
      <c r="AN60" s="1329"/>
      <c r="AO60" s="1342"/>
      <c r="AP60" s="1342"/>
      <c r="AQ60" s="1342"/>
      <c r="AR60" s="1180"/>
      <c r="AS60" s="1180"/>
      <c r="AT60" s="1180"/>
      <c r="AU60" s="1180"/>
      <c r="AV60" s="1180"/>
      <c r="AW60" s="1180"/>
      <c r="BA60" s="1244"/>
      <c r="BJ60" s="1244"/>
    </row>
    <row r="61" spans="2:62" x14ac:dyDescent="0.3">
      <c r="B61" s="1344" t="s">
        <v>122</v>
      </c>
      <c r="C61" s="1345"/>
      <c r="D61" s="1346"/>
      <c r="E61" s="1346">
        <f>669.24+123715.45</f>
        <v>124384.69</v>
      </c>
      <c r="F61" s="1347">
        <f>52094.04+1011.3</f>
        <v>53105.340000000004</v>
      </c>
      <c r="G61" s="1348">
        <f>57021.36+1056.9</f>
        <v>58078.26</v>
      </c>
      <c r="H61" s="1348">
        <f>1143+59728.13</f>
        <v>60871.13</v>
      </c>
      <c r="I61" s="1348">
        <v>67835.31</v>
      </c>
      <c r="J61" s="1348">
        <v>48746.36</v>
      </c>
      <c r="K61" s="1131">
        <f>'ESTAD RESUL JULIO 2025'!K61</f>
        <v>92232.760000000009</v>
      </c>
      <c r="L61" s="1348">
        <f>'ESTAD RESULT AGOS 2025'!L61</f>
        <v>69440.7</v>
      </c>
      <c r="M61" s="1348"/>
      <c r="N61" s="1349"/>
      <c r="O61" s="1349"/>
      <c r="P61" s="1349"/>
      <c r="Q61" s="1348">
        <v>0</v>
      </c>
      <c r="R61" s="1350">
        <f>SUM(E61:P61)</f>
        <v>574694.54999999993</v>
      </c>
      <c r="S61" s="1351">
        <f>+Q61-R61</f>
        <v>-574694.54999999993</v>
      </c>
      <c r="T61" s="1352"/>
      <c r="AA61" s="1695"/>
      <c r="AB61" s="1696"/>
      <c r="AC61" s="1697"/>
      <c r="AD61" s="1353"/>
      <c r="AE61" s="1353"/>
      <c r="AF61" s="1353"/>
      <c r="AG61" s="1180"/>
      <c r="AH61" s="1342"/>
      <c r="AI61" s="1343"/>
      <c r="AJ61" s="1343"/>
      <c r="AK61" s="1343"/>
      <c r="AL61" s="1329"/>
      <c r="AM61" s="1329"/>
      <c r="AN61" s="1329"/>
      <c r="AO61" s="1342"/>
      <c r="AP61" s="1342"/>
      <c r="AQ61" s="1342"/>
      <c r="AR61" s="1182"/>
      <c r="AS61" s="1180"/>
      <c r="AT61" s="1180"/>
      <c r="AU61" s="1180"/>
      <c r="AV61" s="1180"/>
      <c r="AW61" s="1180"/>
      <c r="BA61" s="1180"/>
      <c r="BJ61" s="1180"/>
    </row>
    <row r="62" spans="2:62" x14ac:dyDescent="0.3">
      <c r="B62" s="1344" t="s">
        <v>1227</v>
      </c>
      <c r="C62" s="1345"/>
      <c r="D62" s="1346"/>
      <c r="E62" s="1346"/>
      <c r="F62" s="1347">
        <v>0</v>
      </c>
      <c r="G62" s="1347"/>
      <c r="H62" s="1347"/>
      <c r="I62" s="1347">
        <v>0</v>
      </c>
      <c r="J62" s="1347">
        <v>0</v>
      </c>
      <c r="K62" s="1131">
        <f>'ESTAD RESUL JULIO 2025'!K62</f>
        <v>0</v>
      </c>
      <c r="L62" s="1347"/>
      <c r="M62" s="1347"/>
      <c r="N62" s="1354"/>
      <c r="O62" s="1354"/>
      <c r="P62" s="1354"/>
      <c r="Q62" s="1348">
        <v>0</v>
      </c>
      <c r="R62" s="1347">
        <f>SUM(E62:P62)</f>
        <v>0</v>
      </c>
      <c r="S62" s="1351">
        <f>+Q62-R62</f>
        <v>0</v>
      </c>
      <c r="T62" s="1352"/>
      <c r="AA62" s="1701" t="s">
        <v>98</v>
      </c>
      <c r="AB62" s="1702"/>
      <c r="AC62" s="1340">
        <f>AC41/AC40</f>
        <v>0.95131577303354264</v>
      </c>
      <c r="AD62" s="1341"/>
      <c r="AE62" s="1341"/>
      <c r="AF62" s="1341"/>
      <c r="AG62" s="1180"/>
      <c r="AH62" s="1342" t="s">
        <v>98</v>
      </c>
      <c r="AI62" s="1343"/>
      <c r="AJ62" s="1343">
        <f>R42/R8</f>
        <v>4.3736739792969929E-2</v>
      </c>
      <c r="AK62" s="1343"/>
      <c r="AL62" s="1329"/>
      <c r="AM62" s="1329"/>
      <c r="AN62" s="1329"/>
      <c r="AO62" s="1342"/>
      <c r="AP62" s="1342"/>
      <c r="AQ62" s="1355"/>
      <c r="AR62" s="1180"/>
      <c r="AS62" s="1182"/>
      <c r="AT62" s="1180"/>
      <c r="AU62" s="1180"/>
      <c r="AV62" s="1180"/>
      <c r="AW62" s="1180"/>
      <c r="BA62" s="1180"/>
      <c r="BJ62" s="1180"/>
    </row>
    <row r="63" spans="2:62" ht="12.5" customHeight="1" x14ac:dyDescent="0.3">
      <c r="B63" s="1356" t="s">
        <v>123</v>
      </c>
      <c r="C63" s="1287"/>
      <c r="D63" s="1357"/>
      <c r="E63" s="1357">
        <v>257831</v>
      </c>
      <c r="F63" s="1177">
        <v>323591</v>
      </c>
      <c r="G63" s="1252">
        <v>257831</v>
      </c>
      <c r="H63" s="1252">
        <v>257831</v>
      </c>
      <c r="I63" s="1252">
        <v>257831</v>
      </c>
      <c r="J63" s="1323">
        <v>257831</v>
      </c>
      <c r="K63" s="1131">
        <f>'ESTAD RESUL JULIO 2025'!K63</f>
        <v>259958</v>
      </c>
      <c r="L63" s="1323">
        <f>'ESTAD RESULT AGOS 2025'!L63</f>
        <v>262103</v>
      </c>
      <c r="M63" s="1323"/>
      <c r="N63" s="1324"/>
      <c r="O63" s="1324"/>
      <c r="P63" s="1324"/>
      <c r="Q63" s="1252">
        <v>0</v>
      </c>
      <c r="R63" s="1178">
        <f>SUM(E63:P63)</f>
        <v>2134807</v>
      </c>
      <c r="S63" s="1358">
        <f>+Q63-R63</f>
        <v>-2134807</v>
      </c>
      <c r="T63" s="1200"/>
      <c r="AA63" s="1698"/>
      <c r="AB63" s="1699"/>
      <c r="AC63" s="1700"/>
      <c r="AD63" s="1359"/>
      <c r="AE63" s="1359"/>
      <c r="AF63" s="1359"/>
      <c r="AG63" s="1244"/>
      <c r="AH63" s="1330"/>
      <c r="AI63" s="1343"/>
      <c r="AJ63" s="1360"/>
      <c r="AK63" s="1360"/>
      <c r="AL63" s="1329"/>
      <c r="AM63" s="1329"/>
      <c r="AN63" s="1329"/>
      <c r="AO63" s="1342"/>
      <c r="AP63" s="1342"/>
      <c r="AQ63" s="1355"/>
      <c r="AR63" s="1244"/>
      <c r="AS63" s="1244"/>
      <c r="AT63" s="1244"/>
      <c r="AU63" s="1244"/>
      <c r="AV63" s="1244"/>
      <c r="AW63" s="1244"/>
      <c r="BA63" s="1180"/>
      <c r="BJ63" s="1180"/>
    </row>
    <row r="64" spans="2:62" x14ac:dyDescent="0.3">
      <c r="B64" s="1361" t="s">
        <v>124</v>
      </c>
      <c r="C64" s="1362"/>
      <c r="D64" s="1363"/>
      <c r="E64" s="1364"/>
      <c r="F64" s="1364"/>
      <c r="G64" s="1363">
        <v>252</v>
      </c>
      <c r="H64" s="1363"/>
      <c r="I64" s="1363">
        <f>2321+503</f>
        <v>2824</v>
      </c>
      <c r="J64" s="1363">
        <v>0</v>
      </c>
      <c r="K64" s="1131">
        <f>'ESTAD RESUL JULIO 2025'!K64</f>
        <v>0</v>
      </c>
      <c r="L64" s="1363"/>
      <c r="M64" s="1363"/>
      <c r="N64" s="1365"/>
      <c r="O64" s="1365"/>
      <c r="P64" s="1365"/>
      <c r="Q64" s="1252">
        <v>0</v>
      </c>
      <c r="R64" s="1366">
        <f>SUM(E64:P64)</f>
        <v>3076</v>
      </c>
      <c r="S64" s="1366">
        <f>+Q64-R64</f>
        <v>-3076</v>
      </c>
      <c r="T64" s="1366"/>
      <c r="AA64" s="1338" t="s">
        <v>104</v>
      </c>
      <c r="AB64" s="1339"/>
      <c r="AC64" s="1340">
        <f>AC45/AC44</f>
        <v>0.98340193817781363</v>
      </c>
      <c r="AD64" s="1341"/>
      <c r="AE64" s="1341"/>
      <c r="AF64" s="1341"/>
      <c r="AG64" s="1180"/>
      <c r="AH64" s="1342"/>
      <c r="AI64" s="1343"/>
      <c r="AJ64" s="1343"/>
      <c r="AK64" s="1343"/>
      <c r="AL64" s="1329"/>
      <c r="AM64" s="1329"/>
      <c r="AN64" s="1329"/>
      <c r="AO64" s="1330"/>
      <c r="AP64" s="1330"/>
      <c r="AQ64" s="1330"/>
      <c r="AR64" s="1180"/>
      <c r="AS64" s="1180"/>
      <c r="AT64" s="1180"/>
      <c r="AU64" s="1180"/>
      <c r="AV64" s="1180"/>
      <c r="AW64" s="1180"/>
      <c r="BA64" s="1180"/>
      <c r="BJ64" s="1180"/>
    </row>
    <row r="65" spans="2:62" x14ac:dyDescent="0.3">
      <c r="B65" s="1367" t="s">
        <v>1410</v>
      </c>
      <c r="C65" s="1182"/>
      <c r="D65" s="1182"/>
      <c r="E65" s="1182"/>
      <c r="F65" s="1368"/>
      <c r="G65" s="1368"/>
      <c r="H65" s="1368"/>
      <c r="I65" s="1368">
        <v>248452.74</v>
      </c>
      <c r="J65" s="1180">
        <v>0</v>
      </c>
      <c r="K65" s="1131">
        <f>'ESTAD RESUL JULIO 2025'!K65</f>
        <v>0</v>
      </c>
      <c r="O65" s="1181"/>
      <c r="P65" s="1181"/>
      <c r="R65" s="1369"/>
      <c r="T65" s="1328"/>
      <c r="AA65" s="1695"/>
      <c r="AB65" s="1696"/>
      <c r="AC65" s="1697"/>
      <c r="AD65" s="1353"/>
      <c r="AE65" s="1353"/>
      <c r="AF65" s="1353"/>
      <c r="AG65" s="1180"/>
      <c r="AH65" s="1342" t="s">
        <v>104</v>
      </c>
      <c r="AI65" s="1343"/>
      <c r="AJ65" s="1343">
        <f>R55/R8</f>
        <v>0</v>
      </c>
      <c r="AK65" s="1343"/>
      <c r="AL65" s="1329"/>
      <c r="AM65" s="1329"/>
      <c r="AN65" s="1329"/>
      <c r="AO65" s="1342"/>
      <c r="AP65" s="1342"/>
      <c r="AQ65" s="1342"/>
      <c r="AR65" s="1180"/>
      <c r="AS65" s="1180"/>
      <c r="AT65" s="1180"/>
      <c r="AU65" s="1180"/>
      <c r="AV65" s="1180"/>
      <c r="AW65" s="1180"/>
      <c r="BA65" s="1180"/>
      <c r="BJ65" s="1180"/>
    </row>
    <row r="66" spans="2:62" x14ac:dyDescent="0.3">
      <c r="B66" s="1371" t="s">
        <v>566</v>
      </c>
      <c r="C66" s="1372">
        <f>+C8-C57</f>
        <v>-0.21000003814697266</v>
      </c>
      <c r="D66" s="1372">
        <f>+D8-D57</f>
        <v>-1.7500001937150955E-2</v>
      </c>
      <c r="E66" s="1372">
        <f t="shared" ref="E66:J66" si="19">+E8-E57+E59</f>
        <v>56589.369999999704</v>
      </c>
      <c r="F66" s="1372">
        <f t="shared" si="19"/>
        <v>506954.73999999848</v>
      </c>
      <c r="G66" s="1372">
        <f t="shared" si="19"/>
        <v>32293.159999998519</v>
      </c>
      <c r="H66" s="1372">
        <f t="shared" si="19"/>
        <v>6280234.0299999984</v>
      </c>
      <c r="I66" s="1372">
        <f t="shared" si="19"/>
        <v>558867.5699999996</v>
      </c>
      <c r="J66" s="1372">
        <f t="shared" si="19"/>
        <v>3501381.36</v>
      </c>
      <c r="K66" s="1131">
        <f>'ESTAD RESUL JULIO 2025'!K66</f>
        <v>1166398.76</v>
      </c>
      <c r="L66" s="1239">
        <f>'ESTAD RESULT AGOS 2025'!L66</f>
        <v>-45452.900000001478</v>
      </c>
      <c r="M66" s="1372">
        <f>+M8-M57+M59</f>
        <v>0</v>
      </c>
      <c r="N66" s="1373">
        <f>+N8-N57+N59</f>
        <v>0</v>
      </c>
      <c r="O66" s="1374">
        <f>+O8-O57+O59</f>
        <v>0</v>
      </c>
      <c r="P66" s="1374">
        <f>+P8-P57+P59</f>
        <v>0</v>
      </c>
      <c r="Q66" s="1375">
        <v>0</v>
      </c>
      <c r="R66" s="1178">
        <f>+R8-R57+R59</f>
        <v>11733263.350000013</v>
      </c>
      <c r="S66" s="1370">
        <f>+S8-S57+S59</f>
        <v>-10830789.823333357</v>
      </c>
      <c r="T66" s="1376">
        <f>+T57-T8+T59</f>
        <v>11733263.490000032</v>
      </c>
      <c r="AA66" s="1701" t="s">
        <v>1599</v>
      </c>
      <c r="AB66" s="1702"/>
      <c r="AC66" s="1340">
        <f>R56/Q56</f>
        <v>0.98340193817781363</v>
      </c>
      <c r="AD66" s="1341"/>
      <c r="AE66" s="1341"/>
      <c r="AF66" s="1341"/>
      <c r="AG66" s="1180"/>
      <c r="AH66" s="1355"/>
      <c r="AI66" s="1343"/>
      <c r="AJ66" s="1343"/>
      <c r="AK66" s="1343"/>
      <c r="AL66" s="1329"/>
      <c r="AM66" s="1329"/>
      <c r="AN66" s="1329"/>
      <c r="AO66" s="1342"/>
      <c r="AP66" s="1342"/>
      <c r="AQ66" s="1342"/>
      <c r="AR66" s="1180"/>
      <c r="AS66" s="1180"/>
      <c r="AT66" s="1180"/>
      <c r="AU66" s="1180"/>
      <c r="AV66" s="1180"/>
      <c r="AW66" s="1180"/>
      <c r="BA66" s="1244"/>
      <c r="BJ66" s="1180"/>
    </row>
    <row r="67" spans="2:62" x14ac:dyDescent="0.3">
      <c r="B67" s="1377"/>
      <c r="C67" s="1378"/>
      <c r="D67" s="1378"/>
      <c r="E67" s="1378"/>
      <c r="F67" s="1379">
        <f>SUM(E66:F66)</f>
        <v>563544.10999999824</v>
      </c>
      <c r="G67" s="1378">
        <f>SUM(E66:G66)</f>
        <v>595837.26999999676</v>
      </c>
      <c r="H67" s="1378">
        <f>SUM(E66:H66)</f>
        <v>6876071.2999999952</v>
      </c>
      <c r="I67" s="1378">
        <f>SUM(E66:I66)</f>
        <v>7434938.8699999945</v>
      </c>
      <c r="J67" s="1378"/>
      <c r="K67" s="1380"/>
      <c r="L67" s="1378"/>
      <c r="M67" s="1381"/>
      <c r="N67" s="1382"/>
      <c r="O67" s="1378"/>
      <c r="P67" s="1378"/>
      <c r="Q67" s="1381"/>
      <c r="R67" s="1381"/>
      <c r="S67" s="1383"/>
      <c r="T67" s="95"/>
      <c r="AD67" s="1353"/>
      <c r="AE67" s="1353"/>
      <c r="AF67" s="1353"/>
      <c r="AG67" s="1180"/>
      <c r="AH67" s="1342"/>
      <c r="AI67" s="1343"/>
      <c r="AJ67" s="1342"/>
      <c r="AK67" s="1342"/>
      <c r="AL67" s="1329"/>
      <c r="AM67" s="1329"/>
      <c r="AN67" s="1329"/>
      <c r="AO67" s="1342"/>
      <c r="AP67" s="1342"/>
      <c r="AQ67" s="1342"/>
      <c r="AR67" s="1180"/>
      <c r="AS67" s="1180"/>
      <c r="AT67" s="1180"/>
      <c r="AU67" s="1180"/>
      <c r="AV67" s="1180"/>
      <c r="AW67" s="1180"/>
      <c r="BA67" s="1180"/>
      <c r="BJ67" s="1244"/>
    </row>
    <row r="68" spans="2:62" ht="21" customHeight="1" x14ac:dyDescent="0.3">
      <c r="B68" s="1377"/>
      <c r="C68" s="1378"/>
      <c r="D68" s="1378"/>
      <c r="E68" s="1378"/>
      <c r="F68" s="1378"/>
      <c r="G68" s="1378"/>
      <c r="H68" s="1378"/>
      <c r="I68" s="1378">
        <f>SUM(E66:I66)</f>
        <v>7434938.8699999945</v>
      </c>
      <c r="J68" s="1381">
        <f>SUM(E66:J66)</f>
        <v>10936320.229999995</v>
      </c>
      <c r="K68" s="95"/>
      <c r="L68" s="1381"/>
      <c r="M68" s="1378"/>
      <c r="N68" s="1382" t="s">
        <v>33</v>
      </c>
      <c r="O68" s="1378" t="s">
        <v>33</v>
      </c>
      <c r="P68" s="1378"/>
      <c r="Q68" s="1378"/>
      <c r="R68" s="1381"/>
      <c r="S68" s="1383">
        <f>+R66+S66</f>
        <v>902473.52666665614</v>
      </c>
      <c r="T68" s="95"/>
      <c r="AA68" s="1286"/>
      <c r="AB68" s="1384"/>
      <c r="AC68" s="1286"/>
      <c r="AD68" s="1385"/>
      <c r="AE68" s="1385"/>
      <c r="AF68" s="1385"/>
      <c r="AG68" s="1180"/>
      <c r="AH68" s="1355"/>
      <c r="AI68" s="1343"/>
      <c r="AJ68" s="1342"/>
      <c r="AK68" s="1342"/>
      <c r="AL68" s="1342"/>
      <c r="AM68" s="1342"/>
      <c r="AN68" s="1342"/>
      <c r="AO68" s="1342"/>
      <c r="AP68" s="1342"/>
      <c r="AQ68" s="1342"/>
      <c r="AR68" s="1244"/>
      <c r="AS68" s="1244"/>
      <c r="AT68" s="1244"/>
      <c r="AU68" s="1244"/>
      <c r="AV68" s="1244"/>
      <c r="AW68" s="1244"/>
      <c r="BA68" s="1180"/>
      <c r="BJ68" s="1180"/>
    </row>
    <row r="69" spans="2:62" x14ac:dyDescent="0.3">
      <c r="B69" s="1386" t="s">
        <v>456</v>
      </c>
      <c r="F69" s="1387" t="s">
        <v>40</v>
      </c>
      <c r="K69" s="1388" t="s">
        <v>40</v>
      </c>
      <c r="M69" s="1182"/>
      <c r="Q69" s="1182"/>
      <c r="R69" s="1182">
        <v>-41875789.93</v>
      </c>
      <c r="AA69" s="1244"/>
      <c r="AB69" s="1389"/>
      <c r="AC69" s="1244"/>
      <c r="AD69" s="1244"/>
      <c r="AE69" s="1244"/>
      <c r="AF69" s="1244"/>
      <c r="AG69" s="1244"/>
      <c r="AH69" s="1342"/>
      <c r="AI69" s="1390"/>
      <c r="AJ69" s="1342"/>
      <c r="AK69" s="1342"/>
      <c r="AL69" s="1330"/>
      <c r="AM69" s="1330"/>
      <c r="AN69" s="1330"/>
      <c r="AO69" s="1330"/>
      <c r="AP69" s="1330"/>
      <c r="AQ69" s="1330"/>
      <c r="AR69" s="1180"/>
      <c r="AS69" s="1180"/>
      <c r="AT69" s="1180"/>
      <c r="AU69" s="1180"/>
      <c r="AV69" s="1180"/>
      <c r="AW69" s="1180"/>
      <c r="BA69" s="1180"/>
      <c r="BB69" s="1180"/>
      <c r="BC69" s="1180"/>
      <c r="BD69" s="1180"/>
      <c r="BE69" s="1182"/>
      <c r="BF69" s="1180"/>
      <c r="BG69" s="1180"/>
      <c r="BH69" s="1180"/>
      <c r="BI69" s="1180"/>
      <c r="BJ69" s="1180"/>
    </row>
    <row r="70" spans="2:62" x14ac:dyDescent="0.3">
      <c r="B70" s="1386" t="s">
        <v>119</v>
      </c>
      <c r="F70" s="1180" t="s">
        <v>48</v>
      </c>
      <c r="J70" s="1182"/>
      <c r="K70" s="70" t="s">
        <v>48</v>
      </c>
      <c r="L70" s="1182"/>
      <c r="O70" s="1180" t="s">
        <v>33</v>
      </c>
      <c r="R70" s="1182">
        <f>+R68-R69</f>
        <v>41875789.93</v>
      </c>
      <c r="AA70" s="1180"/>
      <c r="AB70" s="1389"/>
      <c r="AC70" s="1180"/>
      <c r="AD70" s="1180"/>
      <c r="AE70" s="1180"/>
      <c r="AF70" s="1180"/>
      <c r="AG70" s="1180"/>
      <c r="AH70" s="1342"/>
      <c r="AI70" s="1390"/>
      <c r="AJ70" s="1330"/>
      <c r="AK70" s="1330"/>
      <c r="AL70" s="1342"/>
      <c r="AM70" s="1342"/>
      <c r="AN70" s="1342"/>
      <c r="AO70" s="1342"/>
      <c r="AP70" s="1342"/>
      <c r="AQ70" s="1342"/>
      <c r="AR70" s="1180"/>
      <c r="AS70" s="1180"/>
      <c r="AT70" s="1180"/>
      <c r="AU70" s="1180"/>
      <c r="AV70" s="1180"/>
      <c r="AW70" s="1180"/>
      <c r="BA70" s="1180"/>
      <c r="BB70" s="1180"/>
      <c r="BC70" s="1180"/>
      <c r="BD70" s="1180"/>
      <c r="BE70" s="1180"/>
      <c r="BF70" s="1180"/>
      <c r="BG70" s="1180"/>
      <c r="BH70" s="1180"/>
      <c r="BI70" s="1180"/>
      <c r="BJ70" s="1180"/>
    </row>
    <row r="71" spans="2:62" x14ac:dyDescent="0.3">
      <c r="I71" s="1182"/>
      <c r="P71" s="1178"/>
      <c r="R71" s="1182" t="s">
        <v>33</v>
      </c>
      <c r="AA71" s="1180"/>
      <c r="AB71" s="1389"/>
      <c r="AC71" s="1180"/>
      <c r="AD71" s="1301"/>
      <c r="AE71" s="1301"/>
      <c r="AF71" s="1301"/>
      <c r="AG71" s="1180"/>
      <c r="AH71" s="1355"/>
      <c r="AI71" s="1390"/>
      <c r="AJ71" s="1342"/>
      <c r="AK71" s="1342"/>
      <c r="AL71" s="1342"/>
      <c r="AM71" s="1342"/>
      <c r="AN71" s="1342"/>
      <c r="AO71" s="1342"/>
      <c r="AP71" s="1342"/>
      <c r="AQ71" s="1342"/>
      <c r="AR71" s="1180"/>
      <c r="AS71" s="1180"/>
      <c r="AT71" s="1180"/>
      <c r="AU71" s="1180"/>
      <c r="AV71" s="1180"/>
      <c r="AW71" s="1180"/>
    </row>
    <row r="72" spans="2:62" x14ac:dyDescent="0.3">
      <c r="O72" s="1181" t="s">
        <v>33</v>
      </c>
      <c r="AA72" s="1180"/>
      <c r="AD72" s="1180"/>
      <c r="AE72" s="1180"/>
      <c r="AF72" s="1180"/>
      <c r="AG72" s="1180"/>
      <c r="AH72" s="1342"/>
      <c r="AI72" s="1342"/>
      <c r="AJ72" s="1342"/>
      <c r="AK72" s="1342"/>
      <c r="AL72" s="1342"/>
      <c r="AM72" s="1342"/>
      <c r="AN72" s="1342"/>
      <c r="AO72" s="1342"/>
      <c r="AP72" s="1342"/>
      <c r="AQ72" s="1342"/>
      <c r="AR72" s="1180"/>
      <c r="AS72" s="1180"/>
      <c r="AT72" s="1180"/>
      <c r="AU72" s="1180"/>
      <c r="AV72" s="1180"/>
      <c r="AW72" s="1180"/>
    </row>
    <row r="73" spans="2:62" ht="18.5" x14ac:dyDescent="0.3">
      <c r="B73" s="1391" t="s">
        <v>114</v>
      </c>
      <c r="C73" s="1392"/>
      <c r="D73" s="1393"/>
      <c r="E73" s="1287"/>
      <c r="F73" s="1177"/>
      <c r="G73" s="1177"/>
      <c r="H73" s="1394"/>
      <c r="I73" s="1394"/>
      <c r="J73" s="1394"/>
      <c r="K73" s="1394"/>
      <c r="L73" s="1394"/>
      <c r="M73" s="1394"/>
      <c r="N73" s="1395"/>
      <c r="O73" s="1394"/>
      <c r="P73" s="1394"/>
      <c r="Q73" s="1394"/>
      <c r="R73" s="1396"/>
      <c r="AA73" s="1244"/>
      <c r="AD73" s="1244"/>
      <c r="AE73" s="1244"/>
      <c r="AF73" s="1244"/>
      <c r="AG73" s="1244"/>
      <c r="AH73" s="1330"/>
      <c r="AI73" s="1342"/>
      <c r="AJ73" s="1342"/>
      <c r="AK73" s="1342"/>
      <c r="AL73" s="1342"/>
      <c r="AM73" s="1342"/>
      <c r="AN73" s="1342"/>
      <c r="AO73" s="1342"/>
      <c r="AP73" s="1342"/>
      <c r="AQ73" s="1342"/>
      <c r="AR73" s="1244"/>
      <c r="AS73" s="1244"/>
      <c r="AT73" s="1244"/>
      <c r="AU73" s="1244"/>
      <c r="AV73" s="1244"/>
      <c r="AW73" s="1244"/>
    </row>
    <row r="74" spans="2:62" x14ac:dyDescent="0.3">
      <c r="B74" s="1397" t="s">
        <v>89</v>
      </c>
      <c r="C74" s="1398">
        <v>16288728</v>
      </c>
      <c r="D74" s="1399">
        <v>16288728</v>
      </c>
      <c r="E74" s="1287">
        <f>+D74/12</f>
        <v>1357394</v>
      </c>
      <c r="F74" s="1177">
        <v>0</v>
      </c>
      <c r="G74" s="1177">
        <v>0</v>
      </c>
      <c r="AA74" s="1244"/>
      <c r="AD74" s="1244"/>
      <c r="AE74" s="1244"/>
      <c r="AF74" s="1244"/>
      <c r="AG74" s="1244"/>
      <c r="AH74" s="1330"/>
      <c r="AI74" s="1342"/>
      <c r="AJ74" s="1330"/>
      <c r="AK74" s="1330"/>
      <c r="AL74" s="1330"/>
      <c r="AM74" s="1330"/>
      <c r="AN74" s="1330"/>
      <c r="AO74" s="1330"/>
      <c r="AP74" s="1330"/>
      <c r="AQ74" s="1330"/>
      <c r="AR74" s="1244"/>
      <c r="AS74" s="1244"/>
      <c r="AT74" s="1244"/>
      <c r="AU74" s="1244"/>
      <c r="AV74" s="1244"/>
      <c r="AW74" s="1244"/>
    </row>
    <row r="75" spans="2:62" x14ac:dyDescent="0.3">
      <c r="B75" s="1397" t="s">
        <v>115</v>
      </c>
      <c r="C75" s="1398">
        <v>4784604</v>
      </c>
      <c r="D75" s="1399">
        <v>4784604</v>
      </c>
      <c r="E75" s="1287">
        <f>+D75/12</f>
        <v>398717</v>
      </c>
      <c r="F75" s="1177">
        <v>1584693</v>
      </c>
      <c r="G75" s="1177">
        <v>0</v>
      </c>
      <c r="H75" s="1387"/>
      <c r="I75" s="1387"/>
      <c r="J75" s="1400"/>
      <c r="K75" s="1387"/>
      <c r="L75" s="1387"/>
      <c r="M75" s="1387"/>
      <c r="P75" s="1401"/>
      <c r="AA75" s="1180"/>
      <c r="AD75" s="1180"/>
      <c r="AE75" s="1180"/>
      <c r="AF75" s="1180"/>
      <c r="AG75" s="1180"/>
      <c r="AH75" s="1342"/>
      <c r="AI75" s="1342"/>
      <c r="AJ75" s="1330"/>
      <c r="AK75" s="1330"/>
      <c r="AL75" s="1330"/>
      <c r="AM75" s="1330"/>
      <c r="AN75" s="1330"/>
      <c r="AO75" s="1330"/>
      <c r="AP75" s="1330"/>
      <c r="AQ75" s="1330"/>
      <c r="AR75" s="1180"/>
      <c r="AS75" s="1180"/>
      <c r="AT75" s="1180"/>
      <c r="AU75" s="1180"/>
      <c r="AV75" s="1180"/>
      <c r="AW75" s="1180"/>
    </row>
    <row r="76" spans="2:62" x14ac:dyDescent="0.3">
      <c r="B76" s="1397" t="s">
        <v>116</v>
      </c>
      <c r="C76" s="1398">
        <v>3000000</v>
      </c>
      <c r="D76" s="1399">
        <v>3000000</v>
      </c>
      <c r="E76" s="1287">
        <f>+D76/12</f>
        <v>250000</v>
      </c>
      <c r="F76" s="1177">
        <v>0</v>
      </c>
      <c r="G76" s="1177">
        <v>0</v>
      </c>
      <c r="J76" s="1402"/>
      <c r="AA76" s="1180"/>
      <c r="AD76" s="1218"/>
      <c r="AE76" s="1218"/>
      <c r="AF76" s="1218"/>
      <c r="AG76" s="1180"/>
      <c r="AH76" s="1342"/>
      <c r="AI76" s="1342"/>
      <c r="AJ76" s="1342"/>
      <c r="AK76" s="1342"/>
      <c r="AL76" s="1342"/>
      <c r="AM76" s="1342"/>
      <c r="AN76" s="1342"/>
      <c r="AO76" s="1342"/>
      <c r="AP76" s="1342"/>
      <c r="AQ76" s="1342"/>
      <c r="AR76" s="1180"/>
      <c r="AS76" s="1180"/>
      <c r="AT76" s="1180"/>
      <c r="AU76" s="1180"/>
      <c r="AV76" s="1180"/>
      <c r="AW76" s="1180"/>
    </row>
    <row r="77" spans="2:62" x14ac:dyDescent="0.3">
      <c r="B77" s="1403" t="s">
        <v>117</v>
      </c>
      <c r="C77" s="1404">
        <f>SUM(C74:C76)</f>
        <v>24073332</v>
      </c>
      <c r="D77" s="1405">
        <f>SUM(D74:D76)</f>
        <v>24073332</v>
      </c>
      <c r="E77" s="1406">
        <f>SUM(E74:E76)</f>
        <v>2006111</v>
      </c>
      <c r="F77" s="1406">
        <f>SUM(F74:F76)</f>
        <v>1584693</v>
      </c>
      <c r="G77" s="1407">
        <f>SUM(G74:G76)</f>
        <v>0</v>
      </c>
      <c r="AA77" s="1244"/>
      <c r="AD77" s="1244"/>
      <c r="AE77" s="1244"/>
      <c r="AF77" s="1244"/>
      <c r="AG77" s="1244"/>
      <c r="AH77" s="1330"/>
      <c r="AI77" s="1330"/>
      <c r="AJ77" s="1330"/>
      <c r="AK77" s="1330"/>
      <c r="AL77" s="1330"/>
      <c r="AM77" s="1330"/>
      <c r="AN77" s="1330"/>
      <c r="AO77" s="1330"/>
      <c r="AP77" s="1330"/>
      <c r="AQ77" s="1330"/>
      <c r="AR77" s="1244"/>
      <c r="AS77" s="1244"/>
      <c r="AT77" s="1244"/>
      <c r="AU77" s="1244"/>
      <c r="AV77" s="1244"/>
      <c r="AW77" s="1244"/>
    </row>
    <row r="78" spans="2:62" x14ac:dyDescent="0.3">
      <c r="AA78" s="1244"/>
      <c r="AD78" s="1244"/>
      <c r="AE78" s="1244"/>
      <c r="AF78" s="1244"/>
      <c r="AG78" s="1244"/>
      <c r="AH78" s="1330"/>
      <c r="AI78" s="1330"/>
      <c r="AJ78" s="1330"/>
      <c r="AK78" s="1330"/>
      <c r="AL78" s="1330"/>
      <c r="AM78" s="1330"/>
      <c r="AN78" s="1330"/>
      <c r="AO78" s="1330"/>
      <c r="AP78" s="1330"/>
      <c r="AQ78" s="1330"/>
      <c r="AR78" s="1244"/>
      <c r="AS78" s="1244"/>
      <c r="AT78" s="1244"/>
      <c r="AU78" s="1244"/>
      <c r="AV78" s="1244"/>
      <c r="AW78" s="1244"/>
    </row>
    <row r="79" spans="2:62" x14ac:dyDescent="0.3">
      <c r="AA79" s="1244"/>
      <c r="AD79" s="1244"/>
      <c r="AE79" s="1244"/>
      <c r="AF79" s="1244"/>
      <c r="AG79" s="1244"/>
      <c r="AH79" s="1330"/>
      <c r="AI79" s="1330"/>
      <c r="AJ79" s="1330"/>
      <c r="AK79" s="1330"/>
      <c r="AL79" s="1330"/>
      <c r="AM79" s="1330"/>
      <c r="AN79" s="1330"/>
      <c r="AO79" s="1330"/>
      <c r="AP79" s="1330"/>
      <c r="AQ79" s="1330"/>
      <c r="AR79" s="1244"/>
      <c r="AS79" s="1244"/>
      <c r="AT79" s="1244"/>
      <c r="AU79" s="1244"/>
      <c r="AV79" s="1244"/>
      <c r="AW79" s="1244"/>
    </row>
    <row r="80" spans="2:62" x14ac:dyDescent="0.3">
      <c r="B80" s="1139" t="s">
        <v>1511</v>
      </c>
      <c r="C80" s="1338"/>
      <c r="D80" s="1338"/>
      <c r="E80" s="1455">
        <v>45658</v>
      </c>
      <c r="F80" s="1455">
        <v>45689</v>
      </c>
      <c r="G80" s="1455">
        <v>45717</v>
      </c>
      <c r="H80" s="1455">
        <v>45748</v>
      </c>
      <c r="I80" s="1455">
        <v>45778</v>
      </c>
      <c r="J80" s="1455">
        <v>45809</v>
      </c>
      <c r="K80" s="1455">
        <v>45839</v>
      </c>
      <c r="L80" s="1455">
        <v>45870</v>
      </c>
      <c r="M80" s="1455">
        <v>45901</v>
      </c>
      <c r="N80" s="1455">
        <v>45931</v>
      </c>
      <c r="O80" s="1455">
        <v>45962</v>
      </c>
      <c r="P80" s="1455">
        <v>45992</v>
      </c>
      <c r="AA80" s="1244"/>
      <c r="AD80" s="1409"/>
      <c r="AE80" s="1409"/>
      <c r="AF80" s="1409"/>
      <c r="AG80" s="1244"/>
      <c r="AH80" s="1330"/>
      <c r="AI80" s="1330"/>
      <c r="AJ80" s="1330"/>
      <c r="AK80" s="1330"/>
      <c r="AL80" s="1330"/>
      <c r="AM80" s="1330"/>
      <c r="AN80" s="1330"/>
      <c r="AO80" s="1330"/>
      <c r="AP80" s="1330"/>
      <c r="AQ80" s="1330"/>
      <c r="AR80" s="1244"/>
      <c r="AS80" s="1244"/>
      <c r="AT80" s="1244"/>
      <c r="AU80" s="1244"/>
      <c r="AV80" s="1244"/>
      <c r="AW80" s="1244"/>
    </row>
    <row r="81" spans="2:49" x14ac:dyDescent="0.3">
      <c r="B81" s="1140" t="s">
        <v>1505</v>
      </c>
      <c r="C81" s="1375"/>
      <c r="D81" s="1375"/>
      <c r="E81" s="1177">
        <f>E8</f>
        <v>28701567</v>
      </c>
      <c r="F81" s="1177">
        <f t="shared" ref="F81:L81" si="20">F8</f>
        <v>28701567</v>
      </c>
      <c r="G81" s="1177">
        <f t="shared" si="20"/>
        <v>28701567</v>
      </c>
      <c r="H81" s="1177">
        <f t="shared" si="20"/>
        <v>32837635</v>
      </c>
      <c r="I81" s="1177">
        <f t="shared" si="20"/>
        <v>29735584</v>
      </c>
      <c r="J81" s="1177">
        <f t="shared" si="20"/>
        <v>29735584</v>
      </c>
      <c r="K81" s="1177">
        <f t="shared" si="20"/>
        <v>29735584</v>
      </c>
      <c r="L81" s="1177">
        <f t="shared" si="20"/>
        <v>29735584</v>
      </c>
      <c r="M81" s="1375"/>
      <c r="N81" s="1201"/>
      <c r="O81" s="1375"/>
      <c r="P81" s="1375"/>
      <c r="AA81" s="1244"/>
      <c r="AD81" s="1409"/>
      <c r="AE81" s="1409"/>
      <c r="AF81" s="1409"/>
      <c r="AG81" s="1244"/>
      <c r="AH81" s="1330"/>
      <c r="AI81" s="1330"/>
      <c r="AJ81" s="1330"/>
      <c r="AK81" s="1330"/>
      <c r="AL81" s="1330"/>
      <c r="AM81" s="1330"/>
      <c r="AN81" s="1330"/>
      <c r="AO81" s="1330"/>
      <c r="AP81" s="1330"/>
      <c r="AQ81" s="1330"/>
      <c r="AR81" s="1244"/>
      <c r="AS81" s="1244"/>
      <c r="AT81" s="1244"/>
      <c r="AU81" s="1244"/>
      <c r="AV81" s="1244"/>
      <c r="AW81" s="1244"/>
    </row>
    <row r="82" spans="2:49" x14ac:dyDescent="0.3">
      <c r="B82" s="1139" t="s">
        <v>1506</v>
      </c>
      <c r="C82" s="1338"/>
      <c r="D82" s="1338"/>
      <c r="E82" s="1233">
        <f>E81+E83</f>
        <v>29152795.690000001</v>
      </c>
      <c r="F82" s="1233">
        <f t="shared" ref="F82:L82" si="21">F81+F83</f>
        <v>29173670.34</v>
      </c>
      <c r="G82" s="1233">
        <f t="shared" si="21"/>
        <v>29157246.260000002</v>
      </c>
      <c r="H82" s="1233">
        <f t="shared" si="21"/>
        <v>33248832.129999999</v>
      </c>
      <c r="I82" s="1233">
        <f t="shared" si="21"/>
        <v>30448613.050000001</v>
      </c>
      <c r="J82" s="1233">
        <f t="shared" si="21"/>
        <v>30150255.359999999</v>
      </c>
      <c r="K82" s="1233">
        <f t="shared" si="21"/>
        <v>30337759.760000002</v>
      </c>
      <c r="L82" s="1233">
        <f t="shared" si="21"/>
        <v>30255290.699999999</v>
      </c>
      <c r="M82" s="1338"/>
      <c r="N82" s="1234"/>
      <c r="O82" s="1338"/>
      <c r="P82" s="1234"/>
      <c r="AA82" s="1244"/>
      <c r="AG82" s="1244"/>
      <c r="AH82" s="1330"/>
      <c r="AI82" s="1330"/>
      <c r="AJ82" s="1330"/>
      <c r="AK82" s="1330"/>
      <c r="AL82" s="1330"/>
      <c r="AM82" s="1330"/>
      <c r="AN82" s="1330"/>
      <c r="AO82" s="1330"/>
      <c r="AP82" s="1330"/>
      <c r="AQ82" s="1330"/>
      <c r="AR82" s="1244"/>
      <c r="AS82" s="1244"/>
      <c r="AT82" s="1244"/>
      <c r="AU82" s="1244"/>
      <c r="AV82" s="1244"/>
      <c r="AW82" s="1244"/>
    </row>
    <row r="83" spans="2:49" x14ac:dyDescent="0.3">
      <c r="B83" s="1140" t="s">
        <v>813</v>
      </c>
      <c r="C83" s="1375"/>
      <c r="D83" s="1375"/>
      <c r="E83" s="1177">
        <f>E59</f>
        <v>451228.69</v>
      </c>
      <c r="F83" s="1177">
        <f t="shared" ref="F83:K83" si="22">F59</f>
        <v>472103.33999999997</v>
      </c>
      <c r="G83" s="1177">
        <f t="shared" si="22"/>
        <v>455679.26</v>
      </c>
      <c r="H83" s="1177">
        <f t="shared" si="22"/>
        <v>411197.13</v>
      </c>
      <c r="I83" s="1177">
        <f t="shared" si="22"/>
        <v>713029.05</v>
      </c>
      <c r="J83" s="1177">
        <f t="shared" si="22"/>
        <v>414671.35999999999</v>
      </c>
      <c r="K83" s="1177">
        <f t="shared" si="22"/>
        <v>602175.76</v>
      </c>
      <c r="L83" s="1177">
        <f>L59</f>
        <v>519706.7</v>
      </c>
      <c r="M83" s="1375"/>
      <c r="N83" s="1201"/>
      <c r="O83" s="1375"/>
      <c r="P83" s="1375"/>
      <c r="AA83" s="1180"/>
      <c r="AD83" s="1180"/>
      <c r="AE83" s="1180"/>
      <c r="AF83" s="1180"/>
      <c r="AG83" s="1180"/>
      <c r="AH83" s="1180"/>
      <c r="AI83" s="1180"/>
      <c r="AJ83" s="1180"/>
      <c r="AK83" s="1180"/>
      <c r="AL83" s="1180"/>
      <c r="AM83" s="1180"/>
      <c r="AN83" s="1180"/>
      <c r="AO83" s="1180"/>
      <c r="AP83" s="1180"/>
      <c r="AQ83" s="1180"/>
      <c r="AR83" s="1180"/>
      <c r="AS83" s="1180"/>
      <c r="AT83" s="1180"/>
      <c r="AU83" s="1180"/>
      <c r="AV83" s="1180"/>
      <c r="AW83" s="1180"/>
    </row>
    <row r="84" spans="2:49" x14ac:dyDescent="0.3">
      <c r="E84" s="1182"/>
      <c r="F84" s="1182"/>
      <c r="G84" s="1182"/>
      <c r="H84" s="1182"/>
      <c r="I84" s="1182"/>
      <c r="J84" s="1182"/>
      <c r="K84" s="1182"/>
      <c r="AA84" s="1180"/>
      <c r="AD84" s="1180"/>
      <c r="AE84" s="1180"/>
      <c r="AF84" s="1180"/>
      <c r="AG84" s="1180"/>
      <c r="AH84" s="1180"/>
      <c r="AI84" s="1180"/>
      <c r="AJ84" s="1180"/>
      <c r="AK84" s="1180"/>
      <c r="AL84" s="1180"/>
      <c r="AM84" s="1180"/>
      <c r="AN84" s="1180"/>
      <c r="AO84" s="1180"/>
      <c r="AP84" s="1180"/>
      <c r="AQ84" s="1180"/>
      <c r="AR84" s="1180"/>
      <c r="AS84" s="1180"/>
      <c r="AT84" s="1180"/>
      <c r="AU84" s="1180"/>
      <c r="AV84" s="1180"/>
      <c r="AW84" s="1180"/>
    </row>
    <row r="85" spans="2:49" x14ac:dyDescent="0.3">
      <c r="B85" s="1456" t="s">
        <v>1589</v>
      </c>
      <c r="C85" s="1457"/>
      <c r="D85" s="1457"/>
      <c r="E85" s="1458">
        <v>45658</v>
      </c>
      <c r="F85" s="1458">
        <v>45689</v>
      </c>
      <c r="G85" s="1458">
        <v>45717</v>
      </c>
      <c r="H85" s="1458">
        <v>45748</v>
      </c>
      <c r="I85" s="1458">
        <v>45778</v>
      </c>
      <c r="J85" s="1458">
        <v>45809</v>
      </c>
      <c r="K85" s="1458">
        <v>45839</v>
      </c>
      <c r="L85" s="1459">
        <v>45870</v>
      </c>
      <c r="M85" s="1460"/>
      <c r="N85" s="1461"/>
      <c r="O85" s="1460"/>
      <c r="P85" s="1460"/>
      <c r="AA85" s="1244"/>
      <c r="AG85" s="1244"/>
      <c r="AH85" s="1244"/>
      <c r="AI85" s="1244"/>
      <c r="AJ85" s="1244"/>
      <c r="AK85" s="1244"/>
      <c r="AL85" s="1244"/>
      <c r="AM85" s="1244"/>
      <c r="AN85" s="1244"/>
      <c r="AO85" s="1244"/>
      <c r="AP85" s="1244"/>
      <c r="AQ85" s="1244"/>
      <c r="AR85" s="1244"/>
      <c r="AS85" s="1244"/>
      <c r="AT85" s="1244"/>
      <c r="AU85" s="1244"/>
      <c r="AV85" s="1244"/>
      <c r="AW85" s="1244"/>
    </row>
    <row r="86" spans="2:49" x14ac:dyDescent="0.3">
      <c r="B86" s="1140" t="s">
        <v>781</v>
      </c>
      <c r="C86" s="1375"/>
      <c r="D86" s="1375"/>
      <c r="E86" s="1177">
        <f>D8</f>
        <v>29736827.25</v>
      </c>
      <c r="F86" s="1177">
        <f t="shared" ref="F86:L86" si="23">E8</f>
        <v>28701567</v>
      </c>
      <c r="G86" s="1177">
        <f t="shared" si="23"/>
        <v>28701567</v>
      </c>
      <c r="H86" s="1177">
        <f t="shared" si="23"/>
        <v>28701567</v>
      </c>
      <c r="I86" s="1177">
        <f t="shared" si="23"/>
        <v>32837635</v>
      </c>
      <c r="J86" s="1177">
        <f t="shared" si="23"/>
        <v>29735584</v>
      </c>
      <c r="K86" s="1177">
        <f t="shared" si="23"/>
        <v>29735584</v>
      </c>
      <c r="L86" s="1177">
        <f t="shared" si="23"/>
        <v>29735584</v>
      </c>
      <c r="AA86" s="1180"/>
      <c r="AG86" s="1180"/>
      <c r="AH86" s="1180"/>
      <c r="AI86" s="1180"/>
      <c r="AJ86" s="1180"/>
      <c r="AK86" s="1180"/>
      <c r="AL86" s="1180"/>
      <c r="AM86" s="1180"/>
      <c r="AN86" s="1180"/>
      <c r="AO86" s="1180"/>
      <c r="AP86" s="1180"/>
      <c r="AQ86" s="1180"/>
      <c r="AR86" s="1180"/>
      <c r="AS86" s="1180"/>
      <c r="AT86" s="1180"/>
      <c r="AU86" s="1180"/>
      <c r="AV86" s="1180"/>
      <c r="AW86" s="1180"/>
    </row>
    <row r="87" spans="2:49" x14ac:dyDescent="0.3">
      <c r="B87" s="1462" t="s">
        <v>1231</v>
      </c>
      <c r="C87" s="1463"/>
      <c r="D87" s="1463"/>
      <c r="E87" s="1464">
        <f>E57</f>
        <v>29096206.32</v>
      </c>
      <c r="F87" s="1464">
        <f t="shared" ref="F87:L87" si="24">F57</f>
        <v>28666715.600000001</v>
      </c>
      <c r="G87" s="1464">
        <f t="shared" si="24"/>
        <v>29124953.100000001</v>
      </c>
      <c r="H87" s="1464">
        <f t="shared" si="24"/>
        <v>26968598.100000001</v>
      </c>
      <c r="I87" s="1464">
        <f t="shared" si="24"/>
        <v>29889745.48</v>
      </c>
      <c r="J87" s="1464">
        <f t="shared" si="24"/>
        <v>26648874</v>
      </c>
      <c r="K87" s="1464">
        <f t="shared" si="24"/>
        <v>29171361</v>
      </c>
      <c r="L87" s="1464">
        <f t="shared" si="24"/>
        <v>30300743.600000001</v>
      </c>
      <c r="M87" s="1460"/>
      <c r="N87" s="1461"/>
      <c r="O87" s="1460"/>
      <c r="P87" s="1460"/>
      <c r="AA87" s="1180"/>
      <c r="AG87" s="1180"/>
      <c r="AH87" s="1180"/>
      <c r="AI87" s="1180"/>
      <c r="AJ87" s="1180"/>
      <c r="AK87" s="1180"/>
      <c r="AL87" s="1180"/>
      <c r="AM87" s="1180"/>
      <c r="AN87" s="1180"/>
      <c r="AO87" s="1180"/>
      <c r="AP87" s="1180"/>
      <c r="AQ87" s="1180"/>
      <c r="AR87" s="1180"/>
      <c r="AS87" s="1180"/>
      <c r="AT87" s="1180"/>
      <c r="AU87" s="1180"/>
      <c r="AV87" s="1180"/>
      <c r="AW87" s="1180"/>
    </row>
    <row r="88" spans="2:49" x14ac:dyDescent="0.3">
      <c r="B88" s="1140" t="s">
        <v>1508</v>
      </c>
      <c r="C88" s="1375"/>
      <c r="D88" s="1375"/>
      <c r="E88" s="1177">
        <f>E82-E87</f>
        <v>56589.370000001043</v>
      </c>
      <c r="F88" s="1177">
        <f t="shared" ref="F88:P88" si="25">F82-F87</f>
        <v>506954.73999999836</v>
      </c>
      <c r="G88" s="1177">
        <f t="shared" si="25"/>
        <v>32293.160000000149</v>
      </c>
      <c r="H88" s="1177">
        <f t="shared" si="25"/>
        <v>6280234.0299999975</v>
      </c>
      <c r="I88" s="1177">
        <f t="shared" si="25"/>
        <v>558867.5700000003</v>
      </c>
      <c r="J88" s="1177">
        <f t="shared" si="25"/>
        <v>3501381.3599999994</v>
      </c>
      <c r="K88" s="1177">
        <f t="shared" si="25"/>
        <v>1166398.7600000016</v>
      </c>
      <c r="L88" s="1182">
        <f t="shared" si="25"/>
        <v>-45452.900000002235</v>
      </c>
      <c r="M88" s="1182">
        <f t="shared" si="25"/>
        <v>0</v>
      </c>
      <c r="N88" s="1182">
        <f t="shared" si="25"/>
        <v>0</v>
      </c>
      <c r="O88" s="1182">
        <f t="shared" si="25"/>
        <v>0</v>
      </c>
      <c r="P88" s="1182">
        <f t="shared" si="25"/>
        <v>0</v>
      </c>
      <c r="AA88" s="1410"/>
      <c r="AD88" s="1296"/>
      <c r="AE88" s="1296"/>
      <c r="AF88" s="1296"/>
      <c r="AG88" s="1410"/>
      <c r="AH88" s="1410"/>
      <c r="AI88" s="1410"/>
      <c r="AJ88" s="1410"/>
      <c r="AK88" s="1410"/>
      <c r="AL88" s="1410"/>
      <c r="AM88" s="1410"/>
      <c r="AN88" s="1410"/>
      <c r="AO88" s="1410"/>
      <c r="AP88" s="1410"/>
      <c r="AQ88" s="1410"/>
      <c r="AR88" s="1410"/>
      <c r="AS88" s="1410"/>
      <c r="AT88" s="1410"/>
      <c r="AU88" s="1410"/>
      <c r="AV88" s="1410"/>
      <c r="AW88" s="1410"/>
    </row>
    <row r="89" spans="2:49" x14ac:dyDescent="0.3">
      <c r="AA89" s="1411"/>
      <c r="AG89" s="1411"/>
      <c r="AH89" s="1411"/>
      <c r="AI89" s="1411"/>
      <c r="AJ89" s="1411"/>
      <c r="AK89" s="1411"/>
      <c r="AL89" s="1411"/>
      <c r="AM89" s="1411"/>
      <c r="AN89" s="1411"/>
      <c r="AO89" s="1411"/>
      <c r="AP89" s="1411"/>
      <c r="AQ89" s="1411"/>
      <c r="AR89" s="1411"/>
      <c r="AS89" s="1411"/>
      <c r="AT89" s="1411"/>
      <c r="AU89" s="1411"/>
      <c r="AV89" s="1411"/>
      <c r="AW89" s="1411"/>
    </row>
    <row r="90" spans="2:49" x14ac:dyDescent="0.3">
      <c r="AA90" s="1411"/>
      <c r="AD90" s="1296"/>
      <c r="AE90" s="1296"/>
      <c r="AF90" s="1296"/>
      <c r="AG90" s="1411"/>
      <c r="AH90" s="1411"/>
      <c r="AI90" s="1411"/>
      <c r="AJ90" s="1411"/>
      <c r="AK90" s="1411"/>
      <c r="AL90" s="1411"/>
      <c r="AM90" s="1411"/>
      <c r="AN90" s="1411"/>
      <c r="AO90" s="1411"/>
      <c r="AP90" s="1411"/>
      <c r="AQ90" s="1411"/>
      <c r="AR90" s="1411"/>
      <c r="AS90" s="1411"/>
      <c r="AT90" s="1411"/>
      <c r="AU90" s="1411"/>
      <c r="AV90" s="1411"/>
      <c r="AW90" s="1411"/>
    </row>
    <row r="91" spans="2:49" x14ac:dyDescent="0.3">
      <c r="B91" s="1128" t="s">
        <v>1509</v>
      </c>
      <c r="C91" s="1129"/>
      <c r="D91" s="1129"/>
      <c r="E91" s="1465">
        <v>45658</v>
      </c>
      <c r="F91" s="1465">
        <v>45689</v>
      </c>
      <c r="G91" s="1465">
        <v>45717</v>
      </c>
      <c r="H91" s="1465">
        <v>45748</v>
      </c>
      <c r="I91" s="1465">
        <v>45778</v>
      </c>
      <c r="J91" s="1465">
        <v>45809</v>
      </c>
      <c r="K91" s="1465">
        <v>45839</v>
      </c>
      <c r="L91" s="1455">
        <v>45870</v>
      </c>
      <c r="M91" s="1453"/>
      <c r="N91" s="1454"/>
      <c r="O91" s="1453"/>
      <c r="P91" s="1453"/>
      <c r="AA91" s="1411"/>
      <c r="AG91" s="1411"/>
      <c r="AH91" s="1411"/>
      <c r="AI91" s="1411"/>
      <c r="AJ91" s="1411"/>
      <c r="AK91" s="1411"/>
      <c r="AL91" s="1411"/>
      <c r="AM91" s="1411"/>
      <c r="AN91" s="1411"/>
      <c r="AO91" s="1411"/>
      <c r="AP91" s="1411"/>
      <c r="AQ91" s="1411"/>
      <c r="AR91" s="1411"/>
      <c r="AS91" s="1411"/>
      <c r="AT91" s="1411"/>
      <c r="AU91" s="1411"/>
      <c r="AV91" s="1411"/>
      <c r="AW91" s="1411"/>
    </row>
    <row r="92" spans="2:49" x14ac:dyDescent="0.3">
      <c r="B92" s="1125" t="s">
        <v>798</v>
      </c>
      <c r="C92" s="1126"/>
      <c r="D92" s="1126"/>
      <c r="E92" s="1131">
        <f>E60</f>
        <v>69013</v>
      </c>
      <c r="F92" s="1131">
        <f t="shared" ref="F92:L92" si="26">F60</f>
        <v>95407</v>
      </c>
      <c r="G92" s="1131">
        <f t="shared" si="26"/>
        <v>139518</v>
      </c>
      <c r="H92" s="1131">
        <f t="shared" si="26"/>
        <v>92495</v>
      </c>
      <c r="I92" s="1131">
        <f t="shared" si="26"/>
        <v>136086</v>
      </c>
      <c r="J92" s="1131">
        <f t="shared" si="26"/>
        <v>108094</v>
      </c>
      <c r="K92" s="1131">
        <f t="shared" si="26"/>
        <v>249985</v>
      </c>
      <c r="L92" s="1131">
        <f t="shared" si="26"/>
        <v>188163</v>
      </c>
      <c r="AA92" s="1411"/>
      <c r="AD92" s="1411"/>
      <c r="AE92" s="1411"/>
      <c r="AF92" s="1411"/>
      <c r="AG92" s="1411"/>
      <c r="AH92" s="1411"/>
      <c r="AI92" s="1411"/>
      <c r="AJ92" s="1411"/>
      <c r="AK92" s="1411"/>
      <c r="AL92" s="1411"/>
      <c r="AM92" s="1411"/>
      <c r="AN92" s="1411"/>
      <c r="AO92" s="1411"/>
      <c r="AP92" s="1411"/>
      <c r="AQ92" s="1411"/>
      <c r="AR92" s="1411"/>
      <c r="AS92" s="1411"/>
      <c r="AT92" s="1411"/>
      <c r="AU92" s="1411"/>
      <c r="AV92" s="1411"/>
      <c r="AW92" s="1411"/>
    </row>
    <row r="93" spans="2:49" x14ac:dyDescent="0.3">
      <c r="B93" s="1128" t="s">
        <v>799</v>
      </c>
      <c r="C93" s="1129"/>
      <c r="D93" s="1129"/>
      <c r="E93" s="1130">
        <f>E61</f>
        <v>124384.69</v>
      </c>
      <c r="F93" s="1130">
        <f t="shared" ref="F93:L93" si="27">F61</f>
        <v>53105.340000000004</v>
      </c>
      <c r="G93" s="1130">
        <f t="shared" si="27"/>
        <v>58078.26</v>
      </c>
      <c r="H93" s="1130">
        <f t="shared" si="27"/>
        <v>60871.13</v>
      </c>
      <c r="I93" s="1130">
        <f t="shared" si="27"/>
        <v>67835.31</v>
      </c>
      <c r="J93" s="1130">
        <f t="shared" si="27"/>
        <v>48746.36</v>
      </c>
      <c r="K93" s="1130">
        <f t="shared" si="27"/>
        <v>92232.760000000009</v>
      </c>
      <c r="L93" s="1130">
        <f t="shared" si="27"/>
        <v>69440.7</v>
      </c>
      <c r="M93" s="1453"/>
      <c r="N93" s="1454"/>
      <c r="O93" s="1453"/>
      <c r="P93" s="1453"/>
      <c r="AA93" s="1411"/>
      <c r="AD93" s="1296"/>
      <c r="AE93" s="1296"/>
      <c r="AF93" s="1296"/>
      <c r="AG93" s="1411"/>
      <c r="AH93" s="1411"/>
      <c r="AI93" s="1411"/>
      <c r="AJ93" s="1411"/>
      <c r="AK93" s="1411"/>
      <c r="AL93" s="1411"/>
      <c r="AM93" s="1411"/>
      <c r="AN93" s="1411"/>
      <c r="AO93" s="1411"/>
      <c r="AP93" s="1411"/>
      <c r="AQ93" s="1411"/>
      <c r="AR93" s="1411"/>
      <c r="AS93" s="1411"/>
      <c r="AT93" s="1411"/>
      <c r="AU93" s="1411"/>
      <c r="AV93" s="1411"/>
      <c r="AW93" s="1411"/>
    </row>
    <row r="94" spans="2:49" x14ac:dyDescent="0.3">
      <c r="B94" s="1125" t="s">
        <v>1507</v>
      </c>
      <c r="C94" s="1126"/>
      <c r="D94" s="1126"/>
      <c r="E94" s="1131">
        <f>E63</f>
        <v>257831</v>
      </c>
      <c r="F94" s="1131">
        <f t="shared" ref="F94:L94" si="28">F63</f>
        <v>323591</v>
      </c>
      <c r="G94" s="1131">
        <f t="shared" si="28"/>
        <v>257831</v>
      </c>
      <c r="H94" s="1131">
        <f t="shared" si="28"/>
        <v>257831</v>
      </c>
      <c r="I94" s="1131">
        <f t="shared" si="28"/>
        <v>257831</v>
      </c>
      <c r="J94" s="1131">
        <f t="shared" si="28"/>
        <v>257831</v>
      </c>
      <c r="K94" s="1131">
        <f t="shared" si="28"/>
        <v>259958</v>
      </c>
      <c r="L94" s="1131">
        <f t="shared" si="28"/>
        <v>262103</v>
      </c>
      <c r="AA94" s="1411"/>
      <c r="AG94" s="1411"/>
      <c r="AH94" s="1411"/>
      <c r="AI94" s="1411"/>
      <c r="AJ94" s="1411"/>
      <c r="AK94" s="1411"/>
      <c r="AL94" s="1411"/>
      <c r="AM94" s="1411"/>
      <c r="AN94" s="1411"/>
      <c r="AO94" s="1411"/>
      <c r="AP94" s="1411"/>
      <c r="AQ94" s="1411"/>
      <c r="AR94" s="1411"/>
      <c r="AS94" s="1411"/>
      <c r="AT94" s="1411"/>
      <c r="AU94" s="1411"/>
      <c r="AV94" s="1411"/>
      <c r="AW94" s="1411"/>
    </row>
    <row r="95" spans="2:49" x14ac:dyDescent="0.3">
      <c r="B95" s="1128" t="s">
        <v>124</v>
      </c>
      <c r="C95" s="1129"/>
      <c r="D95" s="1129"/>
      <c r="E95" s="1130">
        <f>E65</f>
        <v>0</v>
      </c>
      <c r="F95" s="1130">
        <f t="shared" ref="F95:L95" si="29">F65</f>
        <v>0</v>
      </c>
      <c r="G95" s="1130">
        <f t="shared" si="29"/>
        <v>0</v>
      </c>
      <c r="H95" s="1130">
        <f t="shared" si="29"/>
        <v>0</v>
      </c>
      <c r="I95" s="1130">
        <f t="shared" si="29"/>
        <v>248452.74</v>
      </c>
      <c r="J95" s="1130">
        <f t="shared" si="29"/>
        <v>0</v>
      </c>
      <c r="K95" s="1130">
        <f t="shared" si="29"/>
        <v>0</v>
      </c>
      <c r="L95" s="1130">
        <f t="shared" si="29"/>
        <v>0</v>
      </c>
      <c r="M95" s="1453"/>
      <c r="N95" s="1454"/>
      <c r="O95" s="1453"/>
      <c r="P95" s="1453"/>
      <c r="AA95" s="1180"/>
      <c r="AD95" s="1180"/>
      <c r="AE95" s="1180"/>
      <c r="AF95" s="1180"/>
      <c r="AG95" s="1180"/>
      <c r="AH95" s="1180"/>
      <c r="AI95" s="1180"/>
      <c r="AJ95" s="1180"/>
      <c r="AK95" s="1180"/>
      <c r="AL95" s="1180"/>
      <c r="AM95" s="1180"/>
      <c r="AN95" s="1180"/>
      <c r="AO95" s="1180"/>
      <c r="AP95" s="1180"/>
      <c r="AQ95" s="1180"/>
      <c r="AR95" s="1180"/>
      <c r="AS95" s="1180"/>
      <c r="AT95" s="1180"/>
      <c r="AU95" s="1180"/>
      <c r="AV95" s="1180"/>
      <c r="AW95" s="1180"/>
    </row>
    <row r="96" spans="2:49" x14ac:dyDescent="0.3">
      <c r="B96" s="70" t="s">
        <v>1510</v>
      </c>
      <c r="AA96" s="1180"/>
      <c r="AD96" s="1180"/>
      <c r="AE96" s="1180"/>
      <c r="AF96" s="1180"/>
      <c r="AG96" s="1180"/>
      <c r="AH96" s="1180"/>
      <c r="AI96" s="1180"/>
      <c r="AJ96" s="1180"/>
      <c r="AK96" s="1180"/>
      <c r="AL96" s="1180"/>
      <c r="AM96" s="1180"/>
      <c r="AN96" s="1180"/>
      <c r="AO96" s="1180"/>
      <c r="AP96" s="1180"/>
      <c r="AQ96" s="1180"/>
      <c r="AR96" s="1180"/>
      <c r="AS96" s="1180"/>
      <c r="AT96" s="1180"/>
      <c r="AU96" s="1180"/>
      <c r="AV96" s="1180"/>
      <c r="AW96" s="1180"/>
    </row>
    <row r="97" spans="2:49" x14ac:dyDescent="0.3">
      <c r="AA97" s="1180"/>
      <c r="AD97" s="1180"/>
      <c r="AE97" s="1180"/>
      <c r="AF97" s="1180"/>
      <c r="AG97" s="1180"/>
      <c r="AH97" s="1180"/>
      <c r="AI97" s="1180"/>
      <c r="AJ97" s="1180"/>
      <c r="AK97" s="1180"/>
      <c r="AL97" s="1180"/>
      <c r="AM97" s="1180"/>
      <c r="AN97" s="1180"/>
      <c r="AO97" s="1180"/>
      <c r="AP97" s="1180"/>
      <c r="AQ97" s="1180"/>
      <c r="AR97" s="1180"/>
      <c r="AS97" s="1180"/>
      <c r="AT97" s="1180"/>
      <c r="AU97" s="1180"/>
      <c r="AV97" s="1180"/>
      <c r="AW97" s="1180"/>
    </row>
    <row r="98" spans="2:49" x14ac:dyDescent="0.3">
      <c r="E98" s="1408">
        <v>45658</v>
      </c>
      <c r="F98" s="1408">
        <v>45689</v>
      </c>
      <c r="G98" s="1408">
        <v>45717</v>
      </c>
      <c r="H98" s="1408">
        <v>45748</v>
      </c>
      <c r="I98" s="1408">
        <v>45778</v>
      </c>
      <c r="J98" s="1408">
        <v>45809</v>
      </c>
      <c r="K98" s="1408">
        <v>45839</v>
      </c>
      <c r="L98" s="1455">
        <v>45870</v>
      </c>
      <c r="AA98" s="1180"/>
      <c r="AD98" s="1180"/>
      <c r="AE98" s="1180"/>
      <c r="AF98" s="1180"/>
      <c r="AG98" s="1180"/>
      <c r="AH98" s="1180"/>
      <c r="AI98" s="1180"/>
      <c r="AJ98" s="1180"/>
      <c r="AK98" s="1180"/>
      <c r="AL98" s="1180"/>
      <c r="AM98" s="1180"/>
      <c r="AN98" s="1180"/>
      <c r="AO98" s="1180"/>
      <c r="AP98" s="1180"/>
      <c r="AQ98" s="1180"/>
      <c r="AR98" s="1180"/>
      <c r="AS98" s="1180"/>
      <c r="AT98" s="1180"/>
      <c r="AU98" s="1180"/>
      <c r="AV98" s="1180"/>
      <c r="AW98" s="1180"/>
    </row>
    <row r="99" spans="2:49" x14ac:dyDescent="0.3">
      <c r="B99" s="70" t="s">
        <v>1512</v>
      </c>
      <c r="E99" s="1182">
        <f>E87</f>
        <v>29096206.32</v>
      </c>
      <c r="F99" s="1182">
        <f t="shared" ref="F99:L99" si="30">F87</f>
        <v>28666715.600000001</v>
      </c>
      <c r="G99" s="1182">
        <f t="shared" si="30"/>
        <v>29124953.100000001</v>
      </c>
      <c r="H99" s="1182">
        <f t="shared" si="30"/>
        <v>26968598.100000001</v>
      </c>
      <c r="I99" s="1182">
        <f t="shared" si="30"/>
        <v>29889745.48</v>
      </c>
      <c r="J99" s="1182">
        <f t="shared" si="30"/>
        <v>26648874</v>
      </c>
      <c r="K99" s="1182">
        <f t="shared" si="30"/>
        <v>29171361</v>
      </c>
      <c r="L99" s="1182">
        <f t="shared" si="30"/>
        <v>30300743.600000001</v>
      </c>
      <c r="AA99" s="1180"/>
      <c r="AD99" s="1180"/>
      <c r="AE99" s="1180"/>
      <c r="AF99" s="1180"/>
      <c r="AG99" s="1180"/>
      <c r="AH99" s="1180"/>
      <c r="AI99" s="1180"/>
      <c r="AJ99" s="1180"/>
      <c r="AK99" s="1180"/>
      <c r="AL99" s="1180"/>
      <c r="AM99" s="1180"/>
      <c r="AN99" s="1180"/>
      <c r="AO99" s="1180"/>
      <c r="AP99" s="1180"/>
      <c r="AQ99" s="1180"/>
      <c r="AR99" s="1180"/>
      <c r="AS99" s="1180"/>
      <c r="AT99" s="1180"/>
      <c r="AU99" s="1180"/>
      <c r="AV99" s="1180"/>
      <c r="AW99" s="1180"/>
    </row>
    <row r="100" spans="2:49" x14ac:dyDescent="0.3">
      <c r="B100" s="70" t="s">
        <v>1513</v>
      </c>
      <c r="E100" s="1182">
        <f>E86</f>
        <v>29736827.25</v>
      </c>
      <c r="F100" s="1182">
        <f t="shared" ref="F100:L100" si="31">F86</f>
        <v>28701567</v>
      </c>
      <c r="G100" s="1182">
        <f t="shared" si="31"/>
        <v>28701567</v>
      </c>
      <c r="H100" s="1182">
        <f t="shared" si="31"/>
        <v>28701567</v>
      </c>
      <c r="I100" s="1182">
        <f t="shared" si="31"/>
        <v>32837635</v>
      </c>
      <c r="J100" s="1182">
        <f t="shared" si="31"/>
        <v>29735584</v>
      </c>
      <c r="K100" s="1182">
        <f t="shared" si="31"/>
        <v>29735584</v>
      </c>
      <c r="L100" s="1182">
        <f t="shared" si="31"/>
        <v>29735584</v>
      </c>
      <c r="AA100" s="1180"/>
      <c r="AB100" s="1180" t="s">
        <v>790</v>
      </c>
      <c r="AC100" s="1182">
        <f>3454978+664608</f>
        <v>4119586</v>
      </c>
      <c r="AD100" s="1180"/>
      <c r="AE100" s="1180"/>
      <c r="AF100" s="1180"/>
      <c r="AG100" s="1180"/>
      <c r="AH100" s="1180"/>
      <c r="AI100" s="1180"/>
      <c r="AJ100" s="1180"/>
      <c r="AK100" s="1180"/>
      <c r="AL100" s="1180"/>
      <c r="AM100" s="1180"/>
      <c r="AN100" s="1180"/>
      <c r="AO100" s="1180"/>
      <c r="AP100" s="1180"/>
      <c r="AQ100" s="1180"/>
      <c r="AR100" s="1180"/>
      <c r="AS100" s="1180"/>
      <c r="AT100" s="1180"/>
      <c r="AU100" s="1180"/>
      <c r="AV100" s="1180"/>
      <c r="AW100" s="1180"/>
    </row>
    <row r="101" spans="2:49" x14ac:dyDescent="0.3">
      <c r="B101" s="70" t="s">
        <v>1523</v>
      </c>
      <c r="E101" s="1412">
        <v>0.95</v>
      </c>
      <c r="F101" s="1412">
        <v>0.95</v>
      </c>
      <c r="G101" s="1412">
        <v>0.95</v>
      </c>
      <c r="H101" s="1412">
        <v>0.95</v>
      </c>
      <c r="I101" s="1412">
        <v>0.95</v>
      </c>
      <c r="J101" s="1412">
        <v>0.95</v>
      </c>
      <c r="K101" s="1412">
        <v>0.95</v>
      </c>
      <c r="L101" s="1412">
        <v>0.95</v>
      </c>
      <c r="AA101" s="1180"/>
      <c r="AB101" s="1180"/>
      <c r="AC101" s="1182"/>
      <c r="AD101" s="1180"/>
      <c r="AE101" s="1180"/>
      <c r="AF101" s="1180"/>
      <c r="AG101" s="1180"/>
      <c r="AH101" s="1180"/>
      <c r="AI101" s="1180"/>
      <c r="AJ101" s="1180"/>
      <c r="AK101" s="1180"/>
      <c r="AL101" s="1180"/>
      <c r="AM101" s="1180"/>
      <c r="AN101" s="1180"/>
      <c r="AO101" s="1180"/>
      <c r="AP101" s="1180"/>
      <c r="AQ101" s="1180"/>
      <c r="AR101" s="1180"/>
      <c r="AS101" s="1180"/>
      <c r="AT101" s="1180"/>
      <c r="AU101" s="1180"/>
      <c r="AV101" s="1180"/>
      <c r="AW101" s="1180"/>
    </row>
    <row r="102" spans="2:49" x14ac:dyDescent="0.3">
      <c r="B102" s="70" t="s">
        <v>1514</v>
      </c>
      <c r="E102" s="1413">
        <f>E99/E100</f>
        <v>0.97845698451236085</v>
      </c>
      <c r="F102" s="1413">
        <f t="shared" ref="F102:L102" si="32">F99/F100</f>
        <v>0.99878573180342389</v>
      </c>
      <c r="G102" s="1413">
        <f t="shared" si="32"/>
        <v>1.0147513235078769</v>
      </c>
      <c r="H102" s="1413">
        <f t="shared" si="32"/>
        <v>0.93962110500796003</v>
      </c>
      <c r="I102" s="1413">
        <f t="shared" si="32"/>
        <v>0.91022832429923772</v>
      </c>
      <c r="J102" s="1413">
        <f t="shared" si="32"/>
        <v>0.89619474095413765</v>
      </c>
      <c r="K102" s="1413">
        <f t="shared" si="32"/>
        <v>0.98102532642372187</v>
      </c>
      <c r="L102" s="1413">
        <f t="shared" si="32"/>
        <v>1.0190061711920642</v>
      </c>
      <c r="AA102" s="1180"/>
      <c r="AB102" s="1180"/>
      <c r="AC102" s="1182"/>
      <c r="AD102" s="1180"/>
      <c r="AE102" s="1180"/>
      <c r="AF102" s="1180"/>
      <c r="AG102" s="1180"/>
      <c r="AH102" s="1180"/>
      <c r="AI102" s="1180"/>
      <c r="AJ102" s="1180"/>
      <c r="AK102" s="1180"/>
      <c r="AL102" s="1180"/>
      <c r="AM102" s="1180"/>
      <c r="AN102" s="1180"/>
      <c r="AO102" s="1180"/>
      <c r="AP102" s="1180"/>
      <c r="AQ102" s="1180"/>
      <c r="AR102" s="1180"/>
      <c r="AS102" s="1180"/>
      <c r="AT102" s="1180"/>
      <c r="AU102" s="1180"/>
      <c r="AV102" s="1180"/>
      <c r="AW102" s="1180"/>
    </row>
    <row r="103" spans="2:49" x14ac:dyDescent="0.3">
      <c r="B103" s="70" t="s">
        <v>1522</v>
      </c>
      <c r="E103" s="1413">
        <v>1.05</v>
      </c>
      <c r="F103" s="1413">
        <v>1.05</v>
      </c>
      <c r="G103" s="1413">
        <v>1.05</v>
      </c>
      <c r="H103" s="1413">
        <v>1.05</v>
      </c>
      <c r="I103" s="1413">
        <v>1.05</v>
      </c>
      <c r="J103" s="1413">
        <v>1.05</v>
      </c>
      <c r="K103" s="1413">
        <v>1.05</v>
      </c>
      <c r="L103" s="1413">
        <v>1.05</v>
      </c>
      <c r="AA103" s="1180"/>
      <c r="AB103" s="1180"/>
      <c r="AC103" s="1182"/>
      <c r="AD103" s="1180"/>
      <c r="AE103" s="1180"/>
      <c r="AF103" s="1180"/>
      <c r="AG103" s="1180"/>
      <c r="AH103" s="1180"/>
      <c r="AI103" s="1180"/>
      <c r="AJ103" s="1180"/>
      <c r="AK103" s="1180"/>
      <c r="AL103" s="1180"/>
      <c r="AM103" s="1180"/>
      <c r="AN103" s="1180"/>
      <c r="AO103" s="1180"/>
      <c r="AP103" s="1180"/>
      <c r="AQ103" s="1180"/>
      <c r="AR103" s="1180"/>
      <c r="AS103" s="1180"/>
      <c r="AT103" s="1180"/>
      <c r="AU103" s="1180"/>
      <c r="AV103" s="1180"/>
      <c r="AW103" s="1180"/>
    </row>
    <row r="104" spans="2:49" x14ac:dyDescent="0.3">
      <c r="AA104" s="1180"/>
      <c r="AB104" s="1180" t="s">
        <v>124</v>
      </c>
      <c r="AC104" s="1182" t="str">
        <f>Q20</f>
        <v xml:space="preserve"> </v>
      </c>
      <c r="AD104" s="1180"/>
      <c r="AE104" s="1180"/>
      <c r="AF104" s="1180"/>
      <c r="AG104" s="1180"/>
      <c r="AH104" s="1180"/>
      <c r="AI104" s="1180"/>
      <c r="AJ104" s="1180"/>
      <c r="AK104" s="1180"/>
      <c r="AL104" s="1180"/>
      <c r="AM104" s="1180"/>
      <c r="AN104" s="1180"/>
      <c r="AO104" s="1180"/>
      <c r="AP104" s="1180"/>
      <c r="AQ104" s="1180"/>
      <c r="AR104" s="1180"/>
      <c r="AS104" s="1180"/>
      <c r="AT104" s="1180"/>
      <c r="AU104" s="1180"/>
      <c r="AV104" s="1180"/>
      <c r="AW104" s="1180"/>
    </row>
    <row r="105" spans="2:49" x14ac:dyDescent="0.3">
      <c r="B105" s="1217" t="s">
        <v>1515</v>
      </c>
      <c r="E105" s="1182">
        <f>D30</f>
        <v>15852592.94916667</v>
      </c>
      <c r="F105" s="1182">
        <v>15852592.94916667</v>
      </c>
      <c r="G105" s="1182">
        <v>15852592.94916667</v>
      </c>
      <c r="H105" s="1182">
        <v>15852592.94916667</v>
      </c>
      <c r="I105" s="1182">
        <v>15852592.94916667</v>
      </c>
      <c r="J105" s="1182">
        <v>15852592.94916667</v>
      </c>
      <c r="K105" s="1182">
        <v>15852592.94916667</v>
      </c>
      <c r="L105" s="1182">
        <f>K105</f>
        <v>15852592.94916667</v>
      </c>
      <c r="AA105" s="1180"/>
      <c r="AB105" s="1180"/>
      <c r="AC105" s="1182"/>
      <c r="AD105" s="1180"/>
      <c r="AE105" s="1180"/>
      <c r="AF105" s="1180"/>
      <c r="AG105" s="1180"/>
      <c r="AH105" s="1180"/>
      <c r="AI105" s="1180"/>
      <c r="AJ105" s="1180"/>
      <c r="AK105" s="1180"/>
      <c r="AL105" s="1180"/>
      <c r="AM105" s="1180"/>
      <c r="AN105" s="1180"/>
      <c r="AO105" s="1180"/>
      <c r="AP105" s="1180"/>
      <c r="AQ105" s="1180"/>
      <c r="AR105" s="1180"/>
      <c r="AS105" s="1180"/>
      <c r="AT105" s="1180"/>
      <c r="AU105" s="1180"/>
      <c r="AV105" s="1180"/>
      <c r="AW105" s="1180"/>
    </row>
    <row r="106" spans="2:49" x14ac:dyDescent="0.3">
      <c r="B106" s="1217" t="s">
        <v>1234</v>
      </c>
      <c r="E106" s="1182">
        <f>E30</f>
        <v>15421012</v>
      </c>
      <c r="F106" s="1182">
        <f t="shared" ref="F106:L106" si="33">F30</f>
        <v>16330219</v>
      </c>
      <c r="G106" s="1182">
        <f t="shared" si="33"/>
        <v>15266574</v>
      </c>
      <c r="H106" s="1182">
        <f t="shared" si="33"/>
        <v>15112897</v>
      </c>
      <c r="I106" s="1182">
        <f t="shared" si="33"/>
        <v>15878337</v>
      </c>
      <c r="J106" s="1182">
        <f t="shared" si="33"/>
        <v>15128782</v>
      </c>
      <c r="K106" s="1182">
        <f t="shared" si="33"/>
        <v>15443992</v>
      </c>
      <c r="L106" s="1182">
        <f t="shared" si="33"/>
        <v>15407248</v>
      </c>
      <c r="AA106" s="1180"/>
      <c r="AB106" s="1180" t="s">
        <v>791</v>
      </c>
      <c r="AC106" s="1182">
        <f>5896446</f>
        <v>5896446</v>
      </c>
      <c r="AD106" s="1180"/>
      <c r="AE106" s="1180"/>
      <c r="AF106" s="1180"/>
      <c r="AG106" s="1180"/>
      <c r="AH106" s="1180"/>
      <c r="AI106" s="1180"/>
      <c r="AJ106" s="1180"/>
      <c r="AK106" s="1180"/>
      <c r="AL106" s="1180"/>
      <c r="AM106" s="1180"/>
      <c r="AN106" s="1180"/>
      <c r="AO106" s="1180"/>
      <c r="AP106" s="1180"/>
      <c r="AQ106" s="1180"/>
      <c r="AR106" s="1180"/>
      <c r="AS106" s="1180"/>
      <c r="AT106" s="1180"/>
      <c r="AU106" s="1180"/>
      <c r="AV106" s="1180"/>
      <c r="AW106" s="1180"/>
    </row>
    <row r="107" spans="2:49" x14ac:dyDescent="0.3">
      <c r="B107" s="1217" t="s">
        <v>1519</v>
      </c>
      <c r="E107" s="1413">
        <f>E106/E105</f>
        <v>0.97277537179245133</v>
      </c>
      <c r="F107" s="1413">
        <f t="shared" ref="F107:L107" si="34">F106/F105</f>
        <v>1.0301292067717185</v>
      </c>
      <c r="G107" s="1413">
        <f t="shared" si="34"/>
        <v>0.96303324313909944</v>
      </c>
      <c r="H107" s="1413">
        <f t="shared" si="34"/>
        <v>0.95333911925080028</v>
      </c>
      <c r="I107" s="1413">
        <f t="shared" si="34"/>
        <v>1.0016239646672238</v>
      </c>
      <c r="J107" s="1413">
        <f t="shared" si="34"/>
        <v>0.95434116352525666</v>
      </c>
      <c r="K107" s="1413">
        <f t="shared" si="34"/>
        <v>0.97422497691848264</v>
      </c>
      <c r="L107" s="1413">
        <f t="shared" si="34"/>
        <v>0.97190712266474477</v>
      </c>
      <c r="AA107" s="1180"/>
      <c r="AB107" s="1180"/>
      <c r="AC107" s="1414">
        <f>SUM(AC90:AC106)</f>
        <v>10016032</v>
      </c>
      <c r="AD107" s="1180"/>
      <c r="AE107" s="1180"/>
      <c r="AF107" s="1180"/>
      <c r="AG107" s="1180"/>
      <c r="AH107" s="1180"/>
      <c r="AI107" s="1180"/>
      <c r="AJ107" s="1180"/>
      <c r="AK107" s="1180"/>
      <c r="AL107" s="1180"/>
      <c r="AM107" s="1180"/>
      <c r="AN107" s="1180"/>
      <c r="AO107" s="1180"/>
      <c r="AP107" s="1180"/>
      <c r="AQ107" s="1180"/>
      <c r="AR107" s="1180"/>
      <c r="AS107" s="1180"/>
      <c r="AT107" s="1180"/>
      <c r="AU107" s="1180"/>
      <c r="AV107" s="1180"/>
      <c r="AW107" s="1180"/>
    </row>
    <row r="108" spans="2:49" x14ac:dyDescent="0.3">
      <c r="B108" s="1217"/>
      <c r="AA108" s="1180"/>
      <c r="AC108" s="1301"/>
      <c r="AH108" s="1180"/>
      <c r="AI108" s="1180"/>
      <c r="AJ108" s="1180"/>
      <c r="AK108" s="1180"/>
      <c r="AL108" s="1180"/>
      <c r="AM108" s="1180"/>
      <c r="AN108" s="1180"/>
      <c r="AO108" s="1180"/>
      <c r="AP108" s="1180"/>
      <c r="AQ108" s="1180"/>
      <c r="AR108" s="1180"/>
      <c r="AS108" s="1180"/>
      <c r="AT108" s="1180"/>
      <c r="AU108" s="1180"/>
      <c r="AV108" s="1180"/>
      <c r="AW108" s="1180"/>
    </row>
    <row r="109" spans="2:49" x14ac:dyDescent="0.3">
      <c r="B109" s="1217" t="s">
        <v>1413</v>
      </c>
      <c r="E109" s="1182">
        <v>5139951.5266666664</v>
      </c>
      <c r="F109" s="1182">
        <v>5139951.5266666664</v>
      </c>
      <c r="G109" s="1182">
        <v>5139951.5266666664</v>
      </c>
      <c r="H109" s="1182">
        <v>5139951.5266666664</v>
      </c>
      <c r="I109" s="1182">
        <v>5139951.5266666664</v>
      </c>
      <c r="J109" s="1182">
        <v>5139951.5266666664</v>
      </c>
      <c r="K109" s="1182">
        <v>5139951.5266666664</v>
      </c>
      <c r="L109" s="1182">
        <f>K109</f>
        <v>5139951.5266666664</v>
      </c>
      <c r="AA109" s="1180"/>
      <c r="AB109" s="1683">
        <f>AU50</f>
        <v>0</v>
      </c>
      <c r="AC109" s="1683"/>
      <c r="AH109" s="1180"/>
      <c r="AI109" s="1180"/>
      <c r="AJ109" s="1244"/>
      <c r="AK109" s="1244"/>
      <c r="AL109" s="1244"/>
      <c r="AM109" s="1180"/>
      <c r="AN109" s="1180"/>
      <c r="AO109" s="1180"/>
      <c r="AP109" s="1180"/>
      <c r="AQ109" s="1180"/>
      <c r="AR109" s="1244"/>
      <c r="AS109" s="1180"/>
      <c r="AT109" s="1180"/>
      <c r="AU109" s="1180"/>
      <c r="AV109" s="1180"/>
      <c r="AW109" s="1180"/>
    </row>
    <row r="110" spans="2:49" x14ac:dyDescent="0.3">
      <c r="B110" s="1217" t="s">
        <v>788</v>
      </c>
      <c r="E110" s="1182">
        <f>E19</f>
        <v>5790522</v>
      </c>
      <c r="F110" s="1182">
        <f t="shared" ref="F110:L110" si="35">F19</f>
        <v>4897597</v>
      </c>
      <c r="G110" s="1182">
        <f t="shared" si="35"/>
        <v>5238649</v>
      </c>
      <c r="H110" s="1182">
        <f t="shared" si="35"/>
        <v>3483963</v>
      </c>
      <c r="I110" s="1182">
        <f t="shared" si="35"/>
        <v>4352282</v>
      </c>
      <c r="J110" s="1182">
        <f t="shared" si="35"/>
        <v>4238142</v>
      </c>
      <c r="K110" s="1182">
        <f t="shared" si="35"/>
        <v>4430519</v>
      </c>
      <c r="L110" s="1182">
        <f t="shared" si="35"/>
        <v>5385569</v>
      </c>
      <c r="AA110" s="1180"/>
      <c r="AB110" s="1689" t="s">
        <v>792</v>
      </c>
      <c r="AC110" s="1689"/>
      <c r="AH110" s="1180"/>
      <c r="AI110" s="1180"/>
      <c r="AJ110" s="1683" t="str">
        <f>AH58</f>
        <v>Mantenimiento</v>
      </c>
      <c r="AK110" s="1683"/>
      <c r="AL110" s="1683"/>
      <c r="AM110" s="1180"/>
      <c r="AN110" s="1180"/>
      <c r="AO110" s="1180"/>
      <c r="AP110" s="1180"/>
      <c r="AQ110" s="1180"/>
      <c r="AR110" s="1244"/>
      <c r="AS110" s="1180"/>
      <c r="AT110" s="1180"/>
      <c r="AU110" s="1180"/>
      <c r="AV110" s="1180"/>
      <c r="AW110" s="1180"/>
    </row>
    <row r="111" spans="2:49" x14ac:dyDescent="0.3">
      <c r="B111" s="1217" t="s">
        <v>1517</v>
      </c>
      <c r="E111" s="1417">
        <f>E110/E109</f>
        <v>1.1265713246434521</v>
      </c>
      <c r="F111" s="1417">
        <f t="shared" ref="F111:L111" si="36">F110/F109</f>
        <v>0.95284886921417389</v>
      </c>
      <c r="G111" s="1417">
        <f t="shared" si="36"/>
        <v>1.0192020241477531</v>
      </c>
      <c r="H111" s="1417">
        <f t="shared" si="36"/>
        <v>0.67782020548730759</v>
      </c>
      <c r="I111" s="1417">
        <f t="shared" si="36"/>
        <v>0.84675545623725335</v>
      </c>
      <c r="J111" s="1417">
        <f t="shared" si="36"/>
        <v>0.82454902113609951</v>
      </c>
      <c r="K111" s="1417">
        <f t="shared" si="36"/>
        <v>0.86197680600954152</v>
      </c>
      <c r="L111" s="1417">
        <f t="shared" si="36"/>
        <v>1.0477859512991594</v>
      </c>
      <c r="AA111" s="1180"/>
      <c r="AH111" s="1244"/>
      <c r="AI111" s="1244"/>
      <c r="AJ111" s="1689" t="s">
        <v>793</v>
      </c>
      <c r="AK111" s="1689"/>
      <c r="AL111" s="1689"/>
      <c r="AM111" s="1244"/>
      <c r="AN111" s="1244"/>
      <c r="AO111" s="1244"/>
      <c r="AP111" s="1244"/>
      <c r="AQ111" s="1244"/>
      <c r="AR111" s="1244"/>
      <c r="AS111" s="1180"/>
      <c r="AT111" s="1180"/>
      <c r="AU111" s="1180"/>
      <c r="AV111" s="1180"/>
      <c r="AW111" s="1180"/>
    </row>
    <row r="112" spans="2:49" x14ac:dyDescent="0.3">
      <c r="B112" s="1217"/>
      <c r="AA112" s="1180"/>
      <c r="AH112" s="1244"/>
      <c r="AI112" s="1244"/>
      <c r="AM112" s="1244"/>
      <c r="AN112" s="1244"/>
      <c r="AO112" s="1244"/>
      <c r="AP112" s="1244"/>
      <c r="AQ112" s="1244"/>
      <c r="AR112" s="1180"/>
      <c r="AS112" s="1180"/>
      <c r="AT112" s="1180"/>
      <c r="AU112" s="1180"/>
      <c r="AV112" s="1180"/>
      <c r="AW112" s="1180"/>
    </row>
    <row r="113" spans="2:49" x14ac:dyDescent="0.3">
      <c r="B113" s="1217" t="s">
        <v>1414</v>
      </c>
      <c r="E113" s="1182">
        <f>D44</f>
        <v>5264313.125</v>
      </c>
      <c r="F113" s="1182">
        <v>5264313.125</v>
      </c>
      <c r="G113" s="1182">
        <v>5264313.125</v>
      </c>
      <c r="H113" s="1182">
        <v>5264313.125</v>
      </c>
      <c r="I113" s="1182">
        <v>5264313.125</v>
      </c>
      <c r="J113" s="1182">
        <v>5264313.125</v>
      </c>
      <c r="K113" s="1182">
        <v>5264313.125</v>
      </c>
      <c r="L113" s="1182">
        <f>K113</f>
        <v>5264313.125</v>
      </c>
      <c r="AA113" s="1180"/>
      <c r="AB113" s="1683" t="s">
        <v>794</v>
      </c>
      <c r="AC113" s="1683"/>
      <c r="AH113" s="1691" t="s">
        <v>795</v>
      </c>
      <c r="AI113" s="1244"/>
      <c r="AM113" s="1415"/>
      <c r="AN113" s="1415"/>
      <c r="AQ113" s="1692" t="e">
        <f>AJ110+AJ114+AJ118+AJ122+AJ126+AJ130+AJ134+AJ138</f>
        <v>#VALUE!</v>
      </c>
      <c r="AR113" s="1180"/>
      <c r="AS113" s="1180"/>
      <c r="AT113" s="1180"/>
      <c r="AU113" s="1180"/>
      <c r="AV113" s="1180"/>
      <c r="AW113" s="1180"/>
    </row>
    <row r="114" spans="2:49" x14ac:dyDescent="0.3">
      <c r="B114" s="1227" t="s">
        <v>1415</v>
      </c>
      <c r="E114" s="1182">
        <f>E44</f>
        <v>4811271.88</v>
      </c>
      <c r="F114" s="1182">
        <f t="shared" ref="F114:L114" si="37">F44</f>
        <v>4367129</v>
      </c>
      <c r="G114" s="1182">
        <f t="shared" si="37"/>
        <v>5020752</v>
      </c>
      <c r="H114" s="1182">
        <f t="shared" si="37"/>
        <v>4357863</v>
      </c>
      <c r="I114" s="1182">
        <f t="shared" si="37"/>
        <v>6081028</v>
      </c>
      <c r="J114" s="1182">
        <f t="shared" si="37"/>
        <v>3315204</v>
      </c>
      <c r="K114" s="1182">
        <f t="shared" si="37"/>
        <v>5961092</v>
      </c>
      <c r="L114" s="1182">
        <f t="shared" si="37"/>
        <v>6149853</v>
      </c>
      <c r="AA114" s="1180"/>
      <c r="AB114" s="1683">
        <f>AU51</f>
        <v>0</v>
      </c>
      <c r="AC114" s="1683"/>
      <c r="AD114" s="1180"/>
      <c r="AE114" s="1180"/>
      <c r="AF114" s="1180"/>
      <c r="AG114" s="1693" t="e">
        <f>AB109+AB114+AB117+AB121+AB125+AB129+AB133+AB137+AB142+AC149</f>
        <v>#VALUE!</v>
      </c>
      <c r="AH114" s="1691"/>
      <c r="AI114" s="1180"/>
      <c r="AJ114" s="1683" t="str">
        <f>AH60</f>
        <v>Riesgos y Seguridad</v>
      </c>
      <c r="AK114" s="1683"/>
      <c r="AL114" s="1683"/>
      <c r="AM114" s="1416"/>
      <c r="AN114" s="1416"/>
      <c r="AQ114" s="1692"/>
      <c r="AR114" s="1690" t="s">
        <v>796</v>
      </c>
      <c r="AS114" s="1180"/>
      <c r="AT114" s="1180"/>
      <c r="AU114" s="1180"/>
      <c r="AV114" s="1180"/>
      <c r="AW114" s="1180"/>
    </row>
    <row r="115" spans="2:49" x14ac:dyDescent="0.3">
      <c r="B115" s="1217" t="s">
        <v>1516</v>
      </c>
      <c r="E115" s="1417">
        <f>E114/E113</f>
        <v>0.91394105285103078</v>
      </c>
      <c r="F115" s="1417">
        <f t="shared" ref="F115:L115" si="38">F114/F113</f>
        <v>0.82957242403775133</v>
      </c>
      <c r="G115" s="1417">
        <f t="shared" si="38"/>
        <v>0.95373354144848665</v>
      </c>
      <c r="H115" s="1417">
        <f t="shared" si="38"/>
        <v>0.82781227038047822</v>
      </c>
      <c r="I115" s="1417">
        <f t="shared" si="38"/>
        <v>1.1551417736003309</v>
      </c>
      <c r="J115" s="1417">
        <f t="shared" si="38"/>
        <v>0.62975053369379508</v>
      </c>
      <c r="K115" s="1417">
        <f t="shared" si="38"/>
        <v>1.1323589342911664</v>
      </c>
      <c r="L115" s="1417">
        <f t="shared" si="38"/>
        <v>1.1682156539653024</v>
      </c>
      <c r="AA115" s="1180"/>
      <c r="AG115" s="1693"/>
      <c r="AH115" s="1691"/>
      <c r="AI115" s="1180"/>
      <c r="AJ115" s="1688" t="s">
        <v>797</v>
      </c>
      <c r="AK115" s="1688"/>
      <c r="AL115" s="1688"/>
      <c r="AQ115" s="1692"/>
      <c r="AR115" s="1690"/>
      <c r="AS115" s="1180"/>
      <c r="AT115" s="1180"/>
      <c r="AU115" s="1180"/>
      <c r="AV115" s="1180"/>
      <c r="AW115" s="1180"/>
    </row>
    <row r="116" spans="2:49" x14ac:dyDescent="0.3">
      <c r="B116" s="1217"/>
      <c r="AA116" s="1180"/>
      <c r="AG116" s="1693"/>
      <c r="AH116" s="1691"/>
      <c r="AI116" s="1180"/>
      <c r="AQ116" s="1692"/>
      <c r="AR116" s="1690"/>
      <c r="AS116" s="1180"/>
      <c r="AT116" s="1180"/>
      <c r="AU116" s="1180"/>
      <c r="AV116" s="1180"/>
      <c r="AW116" s="1180"/>
    </row>
    <row r="117" spans="2:49" x14ac:dyDescent="0.3">
      <c r="B117" s="1217" t="s">
        <v>1416</v>
      </c>
      <c r="E117" s="1182">
        <f>D56</f>
        <v>3479969.6666666665</v>
      </c>
      <c r="F117" s="1182">
        <v>3479969.6666666665</v>
      </c>
      <c r="G117" s="1182">
        <v>3479969.6666666665</v>
      </c>
      <c r="H117" s="1182">
        <v>3479969.6666666665</v>
      </c>
      <c r="I117" s="1182">
        <v>3479969.6666666665</v>
      </c>
      <c r="J117" s="1182">
        <v>3479969.6666666665</v>
      </c>
      <c r="K117" s="1182">
        <v>3479969.6666666665</v>
      </c>
      <c r="L117" s="1182">
        <f>K117</f>
        <v>3479969.6666666665</v>
      </c>
      <c r="AA117" s="1180"/>
      <c r="AB117" s="1683">
        <f>Q14</f>
        <v>1200000</v>
      </c>
      <c r="AC117" s="1683"/>
      <c r="AG117" s="1693"/>
      <c r="AH117" s="1691"/>
      <c r="AI117" s="1180"/>
      <c r="AL117" s="1180"/>
      <c r="AM117" s="1415"/>
      <c r="AN117" s="1415"/>
      <c r="AQ117" s="1692"/>
      <c r="AR117" s="1690"/>
      <c r="AS117" s="1180"/>
      <c r="AT117" s="1180"/>
      <c r="AU117" s="1180"/>
      <c r="AV117" s="1180"/>
      <c r="AW117" s="1180"/>
    </row>
    <row r="118" spans="2:49" x14ac:dyDescent="0.3">
      <c r="B118" s="1217" t="s">
        <v>1417</v>
      </c>
      <c r="E118" s="1182">
        <f>E56</f>
        <v>3073400.44</v>
      </c>
      <c r="F118" s="1182">
        <f t="shared" ref="F118:L118" si="39">F56</f>
        <v>3071770.6</v>
      </c>
      <c r="G118" s="1182">
        <f t="shared" si="39"/>
        <v>3260328.1</v>
      </c>
      <c r="H118" s="1182">
        <f t="shared" si="39"/>
        <v>4013875.1</v>
      </c>
      <c r="I118" s="1182">
        <f t="shared" si="39"/>
        <v>3401383.48</v>
      </c>
      <c r="J118" s="1182">
        <f>J56</f>
        <v>3787532</v>
      </c>
      <c r="K118" s="1182">
        <f t="shared" si="39"/>
        <v>3335758</v>
      </c>
      <c r="L118" s="1182">
        <f t="shared" si="39"/>
        <v>3358073.6</v>
      </c>
      <c r="AA118" s="1180"/>
      <c r="AB118" s="1688" t="s">
        <v>798</v>
      </c>
      <c r="AC118" s="1688"/>
      <c r="AD118" s="1180"/>
      <c r="AE118" s="1180"/>
      <c r="AF118" s="1180"/>
      <c r="AG118" s="1693"/>
      <c r="AH118" s="1691"/>
      <c r="AI118" s="1244"/>
      <c r="AJ118" s="1683" t="str">
        <f>AH62</f>
        <v>Ambiental</v>
      </c>
      <c r="AK118" s="1683"/>
      <c r="AL118" s="1683"/>
      <c r="AM118" s="1418"/>
      <c r="AN118" s="1418"/>
      <c r="AO118" s="1180"/>
      <c r="AP118" s="1180"/>
      <c r="AQ118" s="1692"/>
      <c r="AR118" s="1690"/>
      <c r="AS118" s="1180"/>
      <c r="AT118" s="1180"/>
      <c r="AU118" s="1180"/>
      <c r="AV118" s="1180"/>
      <c r="AW118" s="1180"/>
    </row>
    <row r="119" spans="2:49" x14ac:dyDescent="0.3">
      <c r="B119" s="1217" t="s">
        <v>1518</v>
      </c>
      <c r="E119" s="1417">
        <f>E118/E117</f>
        <v>0.88316874409537482</v>
      </c>
      <c r="F119" s="1417">
        <f t="shared" ref="F119:L119" si="40">F118/F117</f>
        <v>0.88270039518543708</v>
      </c>
      <c r="G119" s="1417">
        <f t="shared" si="40"/>
        <v>0.93688405713114942</v>
      </c>
      <c r="H119" s="1417">
        <f t="shared" si="40"/>
        <v>1.1534224388354344</v>
      </c>
      <c r="I119" s="1417">
        <f t="shared" si="40"/>
        <v>0.9774175656128804</v>
      </c>
      <c r="J119" s="1417">
        <f t="shared" si="40"/>
        <v>1.0883807512115289</v>
      </c>
      <c r="K119" s="1417">
        <f t="shared" si="40"/>
        <v>0.95855950468533779</v>
      </c>
      <c r="L119" s="1417">
        <f t="shared" si="40"/>
        <v>0.96497208931610423</v>
      </c>
      <c r="AA119" s="1180"/>
      <c r="AG119" s="1693"/>
      <c r="AH119" s="1691"/>
      <c r="AI119" s="1180"/>
      <c r="AJ119" s="1689" t="s">
        <v>97</v>
      </c>
      <c r="AK119" s="1689"/>
      <c r="AL119" s="1689"/>
      <c r="AQ119" s="1692"/>
      <c r="AR119" s="1690"/>
      <c r="AS119" s="1180"/>
      <c r="AT119" s="1180"/>
      <c r="AU119" s="1180"/>
      <c r="AV119" s="1180"/>
      <c r="AW119" s="1180"/>
    </row>
    <row r="120" spans="2:49" x14ac:dyDescent="0.3">
      <c r="B120" s="1243"/>
      <c r="AA120" s="1180"/>
      <c r="AC120" s="1180"/>
      <c r="AG120" s="1693"/>
      <c r="AH120" s="1691"/>
      <c r="AI120" s="1180"/>
      <c r="AM120" s="1180"/>
      <c r="AN120" s="1180"/>
      <c r="AQ120" s="1692"/>
      <c r="AR120" s="1690"/>
      <c r="AS120" s="1180"/>
      <c r="AT120" s="1180"/>
      <c r="AU120" s="1180"/>
      <c r="AV120" s="1180"/>
      <c r="AW120" s="1180"/>
    </row>
    <row r="121" spans="2:49" x14ac:dyDescent="0.3">
      <c r="B121" s="1217" t="s">
        <v>1418</v>
      </c>
      <c r="E121" s="1180">
        <v>0</v>
      </c>
      <c r="F121" s="1180">
        <v>0</v>
      </c>
      <c r="G121" s="1180">
        <v>0</v>
      </c>
      <c r="H121" s="1180">
        <v>0</v>
      </c>
      <c r="I121" s="1180">
        <v>0</v>
      </c>
      <c r="J121" s="1180">
        <v>0</v>
      </c>
      <c r="K121" s="1180">
        <v>0</v>
      </c>
      <c r="AA121" s="1180"/>
      <c r="AB121" s="1683">
        <f>Q15</f>
        <v>7933333.333333333</v>
      </c>
      <c r="AC121" s="1683"/>
      <c r="AG121" s="1693"/>
      <c r="AH121" s="1691"/>
      <c r="AI121" s="1180"/>
      <c r="AM121" s="1415"/>
      <c r="AN121" s="1415"/>
      <c r="AQ121" s="1692"/>
      <c r="AR121" s="1690"/>
      <c r="AS121" s="1180"/>
      <c r="AT121" s="1180"/>
      <c r="AU121" s="1180"/>
      <c r="AV121" s="1180"/>
      <c r="AW121" s="1180"/>
    </row>
    <row r="122" spans="2:49" x14ac:dyDescent="0.3">
      <c r="B122" s="1217" t="s">
        <v>1419</v>
      </c>
      <c r="E122" s="1182">
        <f>E34</f>
        <v>0</v>
      </c>
      <c r="F122" s="1182">
        <f t="shared" ref="F122:P122" si="41">F34</f>
        <v>0</v>
      </c>
      <c r="G122" s="1182">
        <f t="shared" si="41"/>
        <v>338650</v>
      </c>
      <c r="H122" s="1182">
        <f t="shared" si="41"/>
        <v>0</v>
      </c>
      <c r="I122" s="1182">
        <f t="shared" si="41"/>
        <v>176715</v>
      </c>
      <c r="J122" s="1182">
        <f t="shared" si="41"/>
        <v>179214</v>
      </c>
      <c r="K122" s="1182">
        <f t="shared" si="41"/>
        <v>0</v>
      </c>
      <c r="L122" s="1182">
        <f t="shared" si="41"/>
        <v>0</v>
      </c>
      <c r="M122" s="1182">
        <f t="shared" si="41"/>
        <v>0</v>
      </c>
      <c r="N122" s="1182">
        <f t="shared" si="41"/>
        <v>0</v>
      </c>
      <c r="O122" s="1182">
        <f t="shared" si="41"/>
        <v>0</v>
      </c>
      <c r="P122" s="1182">
        <f t="shared" si="41"/>
        <v>0</v>
      </c>
      <c r="AA122" s="1180"/>
      <c r="AB122" s="1689" t="s">
        <v>799</v>
      </c>
      <c r="AC122" s="1689"/>
      <c r="AG122" s="1693"/>
      <c r="AH122" s="1691"/>
      <c r="AI122" s="1180"/>
      <c r="AJ122" s="1683">
        <f>AH64</f>
        <v>0</v>
      </c>
      <c r="AK122" s="1683"/>
      <c r="AL122" s="1683"/>
      <c r="AM122" s="1416"/>
      <c r="AN122" s="1416"/>
      <c r="AQ122" s="1692"/>
      <c r="AR122" s="1690"/>
      <c r="AS122" s="1180"/>
      <c r="AT122" s="1180"/>
      <c r="AU122" s="1180"/>
      <c r="AV122" s="1180"/>
      <c r="AW122" s="1180"/>
    </row>
    <row r="123" spans="2:49" x14ac:dyDescent="0.3">
      <c r="E123" s="1180" t="e">
        <f>E122/E121</f>
        <v>#DIV/0!</v>
      </c>
      <c r="F123" s="1180" t="e">
        <f t="shared" ref="F123:K123" si="42">F122/F121</f>
        <v>#DIV/0!</v>
      </c>
      <c r="G123" s="1180" t="e">
        <f t="shared" si="42"/>
        <v>#DIV/0!</v>
      </c>
      <c r="H123" s="1180" t="e">
        <f t="shared" si="42"/>
        <v>#DIV/0!</v>
      </c>
      <c r="I123" s="1180" t="e">
        <f t="shared" si="42"/>
        <v>#DIV/0!</v>
      </c>
      <c r="J123" s="1180" t="e">
        <f t="shared" si="42"/>
        <v>#DIV/0!</v>
      </c>
      <c r="K123" s="1180" t="e">
        <f t="shared" si="42"/>
        <v>#DIV/0!</v>
      </c>
      <c r="AA123" s="1180"/>
      <c r="AG123" s="1693"/>
      <c r="AH123" s="1691"/>
      <c r="AI123" s="1180"/>
      <c r="AJ123" s="1688" t="s">
        <v>800</v>
      </c>
      <c r="AK123" s="1688"/>
      <c r="AL123" s="1688"/>
      <c r="AQ123" s="1692"/>
      <c r="AR123" s="1690"/>
      <c r="AS123" s="1180"/>
      <c r="AT123" s="1180"/>
      <c r="AU123" s="1180"/>
      <c r="AV123" s="1180"/>
      <c r="AW123" s="1180"/>
    </row>
    <row r="124" spans="2:49" x14ac:dyDescent="0.3">
      <c r="AA124" s="1180"/>
      <c r="AG124" s="1693"/>
      <c r="AH124" s="1691"/>
      <c r="AI124" s="1180"/>
      <c r="AJ124" s="1244"/>
      <c r="AK124" s="1244"/>
      <c r="AL124" s="1244"/>
      <c r="AQ124" s="1692"/>
      <c r="AR124" s="1690"/>
      <c r="AS124" s="1180"/>
      <c r="AT124" s="1180"/>
      <c r="AU124" s="1180"/>
      <c r="AV124" s="1180"/>
      <c r="AW124" s="1180"/>
    </row>
    <row r="125" spans="2:49" x14ac:dyDescent="0.3">
      <c r="B125" s="70" t="s">
        <v>1520</v>
      </c>
      <c r="E125" s="1408">
        <v>45658</v>
      </c>
      <c r="F125" s="1408">
        <v>45689</v>
      </c>
      <c r="G125" s="1408">
        <v>45717</v>
      </c>
      <c r="H125" s="1408">
        <v>45748</v>
      </c>
      <c r="I125" s="1408">
        <v>45778</v>
      </c>
      <c r="J125" s="1408">
        <v>45809</v>
      </c>
      <c r="K125" s="1408">
        <v>45839</v>
      </c>
      <c r="L125" s="1408">
        <v>45870</v>
      </c>
      <c r="AA125" s="1180"/>
      <c r="AB125" s="1683">
        <f>Q18</f>
        <v>0</v>
      </c>
      <c r="AC125" s="1683"/>
      <c r="AD125" s="1180"/>
      <c r="AE125" s="1180"/>
      <c r="AF125" s="1180"/>
      <c r="AG125" s="1693"/>
      <c r="AH125" s="1691"/>
      <c r="AI125" s="1180"/>
      <c r="AM125" s="1415"/>
      <c r="AN125" s="1415"/>
      <c r="AO125" s="1180"/>
      <c r="AP125" s="1180"/>
      <c r="AQ125" s="1692"/>
      <c r="AR125" s="1690"/>
      <c r="AS125" s="1180"/>
      <c r="AT125" s="1180"/>
      <c r="AU125" s="1180"/>
      <c r="AV125" s="1180"/>
      <c r="AW125" s="1180"/>
    </row>
    <row r="126" spans="2:49" x14ac:dyDescent="0.3">
      <c r="B126" s="70" t="s">
        <v>1521</v>
      </c>
      <c r="K126" s="1413">
        <v>0.9587268041398348</v>
      </c>
      <c r="L126" s="1413"/>
      <c r="AA126" s="1180"/>
      <c r="AB126" s="1689" t="s">
        <v>801</v>
      </c>
      <c r="AC126" s="1689"/>
      <c r="AD126" s="1180"/>
      <c r="AE126" s="1180"/>
      <c r="AF126" s="1180"/>
      <c r="AG126" s="1693"/>
      <c r="AH126" s="1691"/>
      <c r="AI126" s="1180"/>
      <c r="AJ126" s="1683">
        <f>AH66</f>
        <v>0</v>
      </c>
      <c r="AK126" s="1683"/>
      <c r="AL126" s="1683"/>
      <c r="AM126" s="1418"/>
      <c r="AN126" s="1418"/>
      <c r="AO126" s="1180"/>
      <c r="AP126" s="1180"/>
      <c r="AQ126" s="1692"/>
      <c r="AR126" s="1690"/>
      <c r="AS126" s="1180"/>
      <c r="AT126" s="1180"/>
      <c r="AU126" s="1180"/>
      <c r="AV126" s="1180"/>
      <c r="AW126" s="1180"/>
    </row>
    <row r="127" spans="2:49" x14ac:dyDescent="0.3">
      <c r="AA127" s="1180"/>
      <c r="AB127" s="1244"/>
      <c r="AC127" s="1244"/>
      <c r="AD127" s="1244"/>
      <c r="AE127" s="1244"/>
      <c r="AF127" s="1244"/>
      <c r="AG127" s="1693"/>
      <c r="AH127" s="1691"/>
      <c r="AI127" s="1244"/>
      <c r="AJ127" s="1683" t="s">
        <v>113</v>
      </c>
      <c r="AK127" s="1683"/>
      <c r="AL127" s="1683"/>
      <c r="AM127" s="1244"/>
      <c r="AN127" s="1244"/>
      <c r="AO127" s="1244"/>
      <c r="AP127" s="1244"/>
      <c r="AQ127" s="1692"/>
      <c r="AR127" s="1690"/>
      <c r="AS127" s="1180"/>
      <c r="AT127" s="1180"/>
      <c r="AU127" s="1180"/>
      <c r="AV127" s="1180"/>
      <c r="AW127" s="1180"/>
    </row>
    <row r="128" spans="2:49" x14ac:dyDescent="0.3">
      <c r="AA128" s="1180"/>
      <c r="AD128" s="1180"/>
      <c r="AE128" s="1180"/>
      <c r="AF128" s="1180"/>
      <c r="AG128" s="1693"/>
      <c r="AH128" s="1691"/>
      <c r="AI128" s="1180"/>
      <c r="AJ128" s="1180"/>
      <c r="AK128" s="1180"/>
      <c r="AL128" s="1180"/>
      <c r="AO128" s="1180"/>
      <c r="AP128" s="1180"/>
      <c r="AQ128" s="1692"/>
      <c r="AR128" s="1690"/>
      <c r="AS128" s="1180"/>
      <c r="AT128" s="1180"/>
      <c r="AU128" s="1180"/>
      <c r="AV128" s="1180"/>
      <c r="AW128" s="1180"/>
    </row>
    <row r="129" spans="27:49" x14ac:dyDescent="0.3">
      <c r="AA129" s="1180"/>
      <c r="AB129" s="1683">
        <f>AU52</f>
        <v>0</v>
      </c>
      <c r="AC129" s="1683"/>
      <c r="AD129" s="1180"/>
      <c r="AE129" s="1180"/>
      <c r="AF129" s="1180"/>
      <c r="AG129" s="1693"/>
      <c r="AH129" s="1691"/>
      <c r="AI129" s="1180"/>
      <c r="AJ129" s="1244"/>
      <c r="AK129" s="1244"/>
      <c r="AL129" s="1244"/>
      <c r="AM129" s="1415"/>
      <c r="AN129" s="1415"/>
      <c r="AO129" s="1180"/>
      <c r="AP129" s="1180"/>
      <c r="AQ129" s="1692"/>
      <c r="AR129" s="1690"/>
      <c r="AS129" s="1180"/>
      <c r="AT129" s="1180"/>
      <c r="AU129" s="1180"/>
      <c r="AV129" s="1180"/>
      <c r="AW129" s="1180"/>
    </row>
    <row r="130" spans="27:49" x14ac:dyDescent="0.3">
      <c r="AA130" s="1180"/>
      <c r="AB130" s="1683" t="s">
        <v>802</v>
      </c>
      <c r="AC130" s="1683"/>
      <c r="AD130" s="1180"/>
      <c r="AE130" s="1180"/>
      <c r="AF130" s="1180"/>
      <c r="AG130" s="1419"/>
      <c r="AH130" s="1691"/>
      <c r="AI130" s="1180"/>
      <c r="AJ130" s="1678">
        <v>7358809</v>
      </c>
      <c r="AK130" s="1678"/>
      <c r="AL130" s="1678"/>
      <c r="AM130" s="1415"/>
      <c r="AN130" s="1415"/>
      <c r="AO130" s="1180"/>
      <c r="AP130" s="1180"/>
      <c r="AQ130" s="1692"/>
      <c r="AR130" s="1180"/>
      <c r="AS130" s="1180"/>
      <c r="AT130" s="1180"/>
      <c r="AU130" s="1180"/>
      <c r="AV130" s="1180"/>
      <c r="AW130" s="1180"/>
    </row>
    <row r="131" spans="27:49" x14ac:dyDescent="0.3">
      <c r="AA131" s="1180"/>
      <c r="AB131" s="1684"/>
      <c r="AC131" s="1684"/>
      <c r="AD131" s="1180"/>
      <c r="AE131" s="1180"/>
      <c r="AF131" s="1180"/>
      <c r="AG131" s="1180"/>
      <c r="AH131" s="1180"/>
      <c r="AI131" s="1180"/>
      <c r="AJ131" s="1683" t="s">
        <v>803</v>
      </c>
      <c r="AK131" s="1683"/>
      <c r="AL131" s="1683"/>
      <c r="AM131" s="1180"/>
      <c r="AN131" s="1180"/>
      <c r="AO131" s="1180"/>
      <c r="AP131" s="1180"/>
      <c r="AQ131" s="1419"/>
      <c r="AR131" s="1180"/>
      <c r="AS131" s="1180"/>
      <c r="AT131" s="1180"/>
      <c r="AU131" s="1180"/>
      <c r="AV131" s="1180"/>
      <c r="AW131" s="1180"/>
    </row>
    <row r="132" spans="27:49" x14ac:dyDescent="0.3">
      <c r="AA132" s="1180"/>
      <c r="AB132" s="1296"/>
      <c r="AC132" s="1244"/>
      <c r="AD132" s="1244"/>
      <c r="AE132" s="1244"/>
      <c r="AF132" s="1244"/>
      <c r="AG132" s="1244"/>
      <c r="AH132" s="1421">
        <v>45200</v>
      </c>
      <c r="AI132" s="1244"/>
      <c r="AJ132" s="1180"/>
      <c r="AK132" s="1180"/>
      <c r="AL132" s="1180"/>
      <c r="AM132" s="1244"/>
      <c r="AN132" s="1244"/>
      <c r="AO132" s="1244"/>
      <c r="AP132" s="1244"/>
      <c r="AQ132" s="1244"/>
      <c r="AR132" s="1421">
        <v>45200</v>
      </c>
      <c r="AS132" s="1180"/>
      <c r="AT132" s="1180"/>
      <c r="AU132" s="1180"/>
      <c r="AV132" s="1180"/>
      <c r="AW132" s="1180"/>
    </row>
    <row r="133" spans="27:49" x14ac:dyDescent="0.3">
      <c r="AB133" s="1422" t="str">
        <f>Q20</f>
        <v xml:space="preserve"> </v>
      </c>
      <c r="AD133" s="1180"/>
      <c r="AE133" s="1180"/>
      <c r="AF133" s="1180"/>
      <c r="AG133" s="1180"/>
      <c r="AH133" s="1180"/>
      <c r="AI133" s="1180"/>
      <c r="AJ133" s="1180"/>
      <c r="AK133" s="1180"/>
      <c r="AL133" s="1180"/>
      <c r="AM133" s="1420"/>
      <c r="AN133" s="1420"/>
      <c r="AO133" s="1180"/>
      <c r="AP133" s="1180"/>
      <c r="AQ133" s="1180"/>
      <c r="AR133" s="1180"/>
      <c r="AS133" s="1180"/>
      <c r="AT133" s="1180"/>
      <c r="AU133" s="1180"/>
      <c r="AV133" s="1180"/>
      <c r="AW133" s="1180"/>
    </row>
    <row r="134" spans="27:49" x14ac:dyDescent="0.3">
      <c r="AA134" s="1423"/>
      <c r="AB134" s="1685" t="s">
        <v>124</v>
      </c>
      <c r="AC134" s="1685"/>
      <c r="AD134" s="1180"/>
      <c r="AE134" s="1180"/>
      <c r="AF134" s="1180"/>
      <c r="AG134" s="1180"/>
      <c r="AH134" s="1180"/>
      <c r="AI134" s="1180"/>
      <c r="AJ134" s="1683">
        <v>3039759</v>
      </c>
      <c r="AK134" s="1683"/>
      <c r="AL134" s="1683"/>
      <c r="AM134" s="1180"/>
      <c r="AN134" s="1180"/>
      <c r="AO134" s="1180"/>
      <c r="AP134" s="1180"/>
      <c r="AQ134" s="1180"/>
      <c r="AR134" s="1180"/>
      <c r="AS134" s="1180"/>
      <c r="AT134" s="1180"/>
      <c r="AU134" s="1180"/>
      <c r="AV134" s="1180"/>
      <c r="AW134" s="1180"/>
    </row>
    <row r="135" spans="27:49" x14ac:dyDescent="0.3">
      <c r="AA135" s="1180"/>
      <c r="AB135" s="1180"/>
      <c r="AC135" s="1180"/>
      <c r="AD135" s="1180"/>
      <c r="AE135" s="1180"/>
      <c r="AF135" s="1180"/>
      <c r="AG135" s="1180"/>
      <c r="AH135" s="1180"/>
      <c r="AI135" s="1180"/>
      <c r="AJ135" s="1681" t="s">
        <v>804</v>
      </c>
      <c r="AK135" s="1681"/>
      <c r="AL135" s="1681"/>
      <c r="AM135" s="1180"/>
      <c r="AN135" s="1180"/>
      <c r="AO135" s="1180"/>
      <c r="AP135" s="1180"/>
      <c r="AQ135" s="1180"/>
      <c r="AR135" s="1180"/>
      <c r="AS135" s="1180"/>
      <c r="AT135" s="1180"/>
      <c r="AU135" s="1180"/>
      <c r="AV135" s="1180"/>
      <c r="AW135" s="1180"/>
    </row>
    <row r="136" spans="27:49" x14ac:dyDescent="0.3">
      <c r="AA136" s="1180"/>
      <c r="AB136" s="1678" t="s">
        <v>791</v>
      </c>
      <c r="AC136" s="1678"/>
      <c r="AD136" s="1180"/>
      <c r="AE136" s="1180"/>
      <c r="AF136" s="1180"/>
      <c r="AG136" s="1180"/>
      <c r="AH136" s="1180"/>
      <c r="AI136" s="1180"/>
      <c r="AJ136" s="1180"/>
      <c r="AK136" s="1180"/>
      <c r="AL136" s="1180"/>
      <c r="AM136" s="1180"/>
      <c r="AN136" s="1180"/>
      <c r="AO136" s="1180"/>
      <c r="AP136" s="1180"/>
      <c r="AQ136" s="1180"/>
      <c r="AR136" s="1180"/>
      <c r="AS136" s="1180"/>
      <c r="AT136" s="1180"/>
      <c r="AU136" s="1180"/>
      <c r="AV136" s="1180"/>
      <c r="AW136" s="1180"/>
    </row>
    <row r="137" spans="27:49" x14ac:dyDescent="0.3">
      <c r="AA137" s="1180"/>
      <c r="AB137" s="1683">
        <v>7063111</v>
      </c>
      <c r="AC137" s="1683"/>
      <c r="AD137" s="1180"/>
      <c r="AE137" s="1180"/>
      <c r="AF137" s="1180"/>
      <c r="AG137" s="1180"/>
      <c r="AH137" s="1180"/>
      <c r="AI137" s="1180"/>
      <c r="AJ137" s="1424"/>
      <c r="AK137" s="1424"/>
      <c r="AL137" s="1424"/>
      <c r="AM137" s="1420"/>
      <c r="AN137" s="1420"/>
      <c r="AO137" s="1180"/>
      <c r="AP137" s="1180"/>
      <c r="AQ137" s="1180"/>
      <c r="AR137" s="1180"/>
      <c r="AS137" s="1180"/>
      <c r="AT137" s="1180"/>
      <c r="AU137" s="1180"/>
      <c r="AV137" s="1180"/>
      <c r="AW137" s="1180"/>
    </row>
    <row r="138" spans="27:49" x14ac:dyDescent="0.3">
      <c r="AA138" s="1180"/>
      <c r="AB138" s="1180"/>
      <c r="AC138" s="1180"/>
      <c r="AD138" s="1180"/>
      <c r="AE138" s="1180"/>
      <c r="AF138" s="1180"/>
      <c r="AG138" s="1180"/>
      <c r="AH138" s="1180"/>
      <c r="AI138" s="1180"/>
      <c r="AJ138" s="1686">
        <v>6685800</v>
      </c>
      <c r="AK138" s="1686"/>
      <c r="AL138" s="1686"/>
      <c r="AM138" s="1202"/>
      <c r="AN138" s="1202"/>
      <c r="AO138" s="1180"/>
      <c r="AP138" s="1180"/>
      <c r="AQ138" s="1180"/>
      <c r="AR138" s="1180"/>
      <c r="AS138" s="1180"/>
      <c r="AT138" s="1180"/>
      <c r="AU138" s="1180"/>
      <c r="AV138" s="1180"/>
      <c r="AW138" s="1180"/>
    </row>
    <row r="139" spans="27:49" x14ac:dyDescent="0.3">
      <c r="AA139" s="1180"/>
      <c r="AB139" s="1180"/>
      <c r="AC139" s="1180"/>
      <c r="AD139" s="1180"/>
      <c r="AE139" s="1180"/>
      <c r="AF139" s="1180"/>
      <c r="AG139" s="1180"/>
      <c r="AH139" s="1180"/>
      <c r="AI139" s="1180"/>
      <c r="AJ139" s="1687" t="s">
        <v>805</v>
      </c>
      <c r="AK139" s="1687"/>
      <c r="AL139" s="1687"/>
      <c r="AM139" s="1180"/>
      <c r="AN139" s="1180"/>
      <c r="AO139" s="1180"/>
      <c r="AP139" s="1180"/>
      <c r="AQ139" s="1180"/>
      <c r="AR139" s="1180"/>
      <c r="AS139" s="1180"/>
      <c r="AT139" s="1180"/>
      <c r="AU139" s="1180"/>
      <c r="AV139" s="1180"/>
      <c r="AW139" s="1180"/>
    </row>
    <row r="140" spans="27:49" x14ac:dyDescent="0.3">
      <c r="AA140" s="1180"/>
      <c r="AB140" s="1180"/>
      <c r="AC140" s="1180"/>
      <c r="AD140" s="1180"/>
      <c r="AE140" s="1180"/>
      <c r="AF140" s="1180"/>
      <c r="AG140" s="1180"/>
      <c r="AH140" s="1180"/>
      <c r="AI140" s="1180"/>
      <c r="AJ140" s="1687"/>
      <c r="AK140" s="1687"/>
      <c r="AL140" s="1687"/>
      <c r="AM140" s="1180"/>
      <c r="AN140" s="1180"/>
      <c r="AO140" s="1180"/>
      <c r="AP140" s="1180"/>
      <c r="AQ140" s="1180"/>
      <c r="AR140" s="1180"/>
      <c r="AS140" s="1180"/>
      <c r="AT140" s="1180"/>
      <c r="AU140" s="1180"/>
      <c r="AV140" s="1180"/>
      <c r="AW140" s="1180"/>
    </row>
    <row r="141" spans="27:49" x14ac:dyDescent="0.3">
      <c r="AA141" s="1180"/>
      <c r="AB141" s="1681" t="s">
        <v>806</v>
      </c>
      <c r="AC141" s="1681"/>
      <c r="AD141" s="1180"/>
      <c r="AE141" s="1180"/>
      <c r="AF141" s="1180"/>
      <c r="AG141" s="1180"/>
      <c r="AH141" s="1180"/>
      <c r="AI141" s="1180"/>
      <c r="AJ141" s="1424"/>
      <c r="AK141" s="1424"/>
      <c r="AL141" s="1424"/>
      <c r="AM141" s="1180"/>
      <c r="AN141" s="1180"/>
      <c r="AO141" s="1180"/>
      <c r="AP141" s="1180"/>
      <c r="AQ141" s="1180"/>
      <c r="AR141" s="1180"/>
      <c r="AS141" s="1180"/>
      <c r="AT141" s="1180"/>
      <c r="AU141" s="1180"/>
      <c r="AV141" s="1180"/>
      <c r="AW141" s="1180"/>
    </row>
    <row r="142" spans="27:49" x14ac:dyDescent="0.3">
      <c r="AA142" s="1180"/>
      <c r="AB142" s="1678">
        <v>7358809</v>
      </c>
      <c r="AC142" s="1678"/>
      <c r="AD142" s="1180"/>
      <c r="AE142" s="1180"/>
      <c r="AF142" s="1180"/>
      <c r="AG142" s="1180"/>
      <c r="AH142" s="1180"/>
      <c r="AI142" s="1180"/>
      <c r="AJ142" s="1424"/>
      <c r="AK142" s="1424"/>
      <c r="AL142" s="1424"/>
      <c r="AM142" s="1180"/>
      <c r="AN142" s="1180"/>
      <c r="AO142" s="1180"/>
      <c r="AP142" s="1180"/>
      <c r="AQ142" s="1180"/>
      <c r="AR142" s="1180"/>
      <c r="AS142" s="1180"/>
      <c r="AT142" s="1180"/>
      <c r="AU142" s="1180"/>
      <c r="AV142" s="1180"/>
      <c r="AW142" s="1180"/>
    </row>
    <row r="143" spans="27:49" x14ac:dyDescent="0.3">
      <c r="AA143" s="1180"/>
      <c r="AB143" s="1180"/>
      <c r="AC143" s="1180"/>
      <c r="AD143" s="1180"/>
      <c r="AE143" s="1180"/>
      <c r="AF143" s="1180"/>
      <c r="AG143" s="1180"/>
      <c r="AH143" s="1180"/>
      <c r="AI143" s="1180"/>
      <c r="AJ143" s="1679">
        <v>1541050</v>
      </c>
      <c r="AK143" s="1679"/>
      <c r="AL143" s="1679"/>
      <c r="AM143" s="1180"/>
      <c r="AN143" s="1180"/>
      <c r="AO143" s="1180"/>
      <c r="AP143" s="1180"/>
      <c r="AQ143" s="1180"/>
      <c r="AR143" s="1180"/>
      <c r="AS143" s="1180"/>
      <c r="AT143" s="1180"/>
      <c r="AU143" s="1180"/>
      <c r="AV143" s="1180"/>
      <c r="AW143" s="1180"/>
    </row>
    <row r="144" spans="27:49" x14ac:dyDescent="0.3">
      <c r="AA144" s="1180"/>
      <c r="AB144" s="1180"/>
      <c r="AC144" s="1180"/>
      <c r="AD144" s="1180"/>
      <c r="AE144" s="1180"/>
      <c r="AF144" s="1180"/>
      <c r="AG144" s="1180"/>
      <c r="AH144" s="1180"/>
      <c r="AI144" s="1180"/>
      <c r="AJ144" s="1680" t="s">
        <v>807</v>
      </c>
      <c r="AK144" s="1680"/>
      <c r="AL144" s="1680"/>
      <c r="AM144" s="1180"/>
      <c r="AN144" s="1180"/>
      <c r="AO144" s="1180"/>
      <c r="AP144" s="1180"/>
      <c r="AQ144" s="1180"/>
      <c r="AR144" s="1180"/>
      <c r="AS144" s="1180"/>
      <c r="AT144" s="1180"/>
      <c r="AU144" s="1180"/>
      <c r="AV144" s="1180"/>
      <c r="AW144" s="1180"/>
    </row>
    <row r="145" spans="27:49" x14ac:dyDescent="0.3">
      <c r="AA145" s="1180"/>
      <c r="AB145" s="1180"/>
      <c r="AC145" s="1180"/>
      <c r="AD145" s="1180"/>
      <c r="AE145" s="1180"/>
      <c r="AF145" s="1180"/>
      <c r="AG145" s="1180"/>
      <c r="AH145" s="1180"/>
      <c r="AI145" s="1180"/>
      <c r="AJ145" s="1680"/>
      <c r="AK145" s="1680"/>
      <c r="AL145" s="1680"/>
      <c r="AM145" s="1180"/>
      <c r="AN145" s="1180"/>
      <c r="AO145" s="1180"/>
      <c r="AP145" s="1180"/>
      <c r="AQ145" s="1180"/>
      <c r="AR145" s="1180"/>
      <c r="AS145" s="1180"/>
      <c r="AT145" s="1180"/>
      <c r="AU145" s="1180"/>
      <c r="AV145" s="1180"/>
      <c r="AW145" s="1180"/>
    </row>
    <row r="146" spans="27:49" x14ac:dyDescent="0.3">
      <c r="AA146" s="1180"/>
      <c r="AB146" s="1681" t="s">
        <v>808</v>
      </c>
      <c r="AC146" s="1681"/>
      <c r="AD146" s="1180"/>
      <c r="AE146" s="1180"/>
      <c r="AF146" s="1180"/>
      <c r="AG146" s="1180"/>
      <c r="AH146" s="1180"/>
      <c r="AI146" s="1180"/>
      <c r="AJ146" s="1680"/>
      <c r="AK146" s="1680"/>
      <c r="AL146" s="1680"/>
      <c r="AM146" s="1180"/>
      <c r="AN146" s="1180"/>
      <c r="AO146" s="1180"/>
      <c r="AP146" s="1180"/>
      <c r="AQ146" s="1180"/>
      <c r="AR146" s="1180"/>
      <c r="AS146" s="1180"/>
      <c r="AT146" s="1180"/>
      <c r="AU146" s="1180"/>
      <c r="AV146" s="1180"/>
      <c r="AW146" s="1180"/>
    </row>
    <row r="147" spans="27:49" x14ac:dyDescent="0.3">
      <c r="AA147" s="1180"/>
      <c r="AB147" s="1682" t="s">
        <v>809</v>
      </c>
      <c r="AC147" s="1682"/>
      <c r="AD147" s="1180"/>
      <c r="AE147" s="1180"/>
      <c r="AF147" s="1180"/>
      <c r="AG147" s="1180"/>
      <c r="AH147" s="1180"/>
      <c r="AI147" s="1180"/>
      <c r="AJ147" s="1424"/>
      <c r="AK147" s="1424"/>
      <c r="AL147" s="1424"/>
      <c r="AM147" s="1180"/>
      <c r="AN147" s="1180"/>
      <c r="AO147" s="1180"/>
      <c r="AP147" s="1180"/>
      <c r="AQ147" s="1180"/>
      <c r="AR147" s="1180"/>
      <c r="AS147" s="1180"/>
      <c r="AT147" s="1180"/>
      <c r="AU147" s="1180"/>
      <c r="AV147" s="1180"/>
      <c r="AW147" s="1180"/>
    </row>
    <row r="148" spans="27:49" x14ac:dyDescent="0.3">
      <c r="AA148" s="1180"/>
      <c r="AB148" s="1682"/>
      <c r="AC148" s="1682"/>
      <c r="AD148" s="1180"/>
      <c r="AE148" s="1180"/>
      <c r="AF148" s="1180"/>
      <c r="AG148" s="1180"/>
      <c r="AH148" s="1180"/>
      <c r="AI148" s="1180"/>
      <c r="AJ148" s="1180"/>
      <c r="AK148" s="1180"/>
      <c r="AL148" s="1180"/>
      <c r="AM148" s="1180"/>
      <c r="AN148" s="1180"/>
      <c r="AO148" s="1180"/>
      <c r="AP148" s="1180"/>
      <c r="AQ148" s="1180"/>
      <c r="AR148" s="1180"/>
      <c r="AS148" s="1180"/>
      <c r="AT148" s="1180"/>
      <c r="AU148" s="1180"/>
      <c r="AV148" s="1180"/>
      <c r="AW148" s="1180"/>
    </row>
    <row r="149" spans="27:49" x14ac:dyDescent="0.3">
      <c r="AA149" s="1180"/>
      <c r="AB149" s="1425" t="s">
        <v>810</v>
      </c>
      <c r="AC149" s="1426">
        <f>10142698-6685800</f>
        <v>3456898</v>
      </c>
      <c r="AD149" s="1180"/>
      <c r="AE149" s="1180"/>
      <c r="AF149" s="1180"/>
      <c r="AG149" s="1180"/>
      <c r="AH149" s="1180"/>
      <c r="AI149" s="1180"/>
      <c r="AJ149" s="1180"/>
      <c r="AK149" s="1180"/>
      <c r="AL149" s="1180"/>
      <c r="AM149" s="1180"/>
      <c r="AN149" s="1180"/>
      <c r="AO149" s="1180"/>
      <c r="AP149" s="1180"/>
      <c r="AQ149" s="1180"/>
      <c r="AR149" s="1180"/>
      <c r="AS149" s="1180"/>
      <c r="AT149" s="1180"/>
      <c r="AU149" s="1180"/>
      <c r="AV149" s="1180"/>
      <c r="AW149" s="1180"/>
    </row>
    <row r="150" spans="27:49" x14ac:dyDescent="0.3">
      <c r="AA150" s="1180"/>
      <c r="AB150" s="1180"/>
      <c r="AC150" s="1180"/>
      <c r="AD150" s="1180"/>
      <c r="AE150" s="1180"/>
      <c r="AF150" s="1180"/>
      <c r="AG150" s="1180"/>
      <c r="AH150" s="1180"/>
      <c r="AI150" s="1180"/>
      <c r="AJ150" s="1180"/>
      <c r="AK150" s="1180"/>
      <c r="AL150" s="1180"/>
      <c r="AM150" s="1180"/>
      <c r="AN150" s="1180"/>
      <c r="AO150" s="1180"/>
      <c r="AP150" s="1180"/>
      <c r="AQ150" s="1180"/>
      <c r="AR150" s="1180"/>
      <c r="AS150" s="1180"/>
      <c r="AT150" s="1180"/>
      <c r="AU150" s="1180"/>
      <c r="AV150" s="1180"/>
      <c r="AW150" s="1180"/>
    </row>
    <row r="151" spans="27:49" x14ac:dyDescent="0.3">
      <c r="AA151" s="1180"/>
      <c r="AB151" s="1180"/>
      <c r="AC151" s="1180"/>
      <c r="AD151" s="1180"/>
      <c r="AE151" s="1180"/>
      <c r="AF151" s="1180"/>
      <c r="AG151" s="1180"/>
      <c r="AH151" s="1180"/>
      <c r="AI151" s="1180"/>
      <c r="AJ151" s="1180"/>
      <c r="AK151" s="1180"/>
      <c r="AL151" s="1180"/>
      <c r="AM151" s="1180"/>
      <c r="AN151" s="1180"/>
      <c r="AO151" s="1180"/>
      <c r="AP151" s="1180"/>
      <c r="AQ151" s="1180"/>
      <c r="AR151" s="1180"/>
      <c r="AS151" s="1180"/>
      <c r="AT151" s="1180"/>
      <c r="AU151" s="1180"/>
      <c r="AV151" s="1180"/>
      <c r="AW151" s="1180"/>
    </row>
    <row r="152" spans="27:49" x14ac:dyDescent="0.3">
      <c r="AA152" s="1180"/>
      <c r="AB152" s="1180"/>
      <c r="AC152" s="1180"/>
      <c r="AD152" s="1180"/>
      <c r="AE152" s="1180"/>
      <c r="AF152" s="1180"/>
      <c r="AG152" s="1180"/>
      <c r="AH152" s="1180"/>
      <c r="AI152" s="1180"/>
      <c r="AJ152" s="1180"/>
      <c r="AK152" s="1180"/>
      <c r="AL152" s="1180"/>
      <c r="AM152" s="1180"/>
      <c r="AN152" s="1180"/>
      <c r="AO152" s="1180"/>
      <c r="AP152" s="1180"/>
      <c r="AQ152" s="1180"/>
      <c r="AR152" s="1180"/>
      <c r="AS152" s="1180"/>
      <c r="AT152" s="1180"/>
      <c r="AU152" s="1180"/>
      <c r="AV152" s="1180"/>
      <c r="AW152" s="1180"/>
    </row>
    <row r="153" spans="27:49" x14ac:dyDescent="0.3">
      <c r="AA153" s="1180"/>
      <c r="AB153" s="1180"/>
      <c r="AC153" s="1180"/>
      <c r="AD153" s="1180"/>
      <c r="AE153" s="1180"/>
      <c r="AF153" s="1180"/>
      <c r="AG153" s="1180"/>
      <c r="AH153" s="1180"/>
      <c r="AI153" s="1180"/>
      <c r="AJ153" s="1180"/>
      <c r="AK153" s="1180"/>
      <c r="AL153" s="1180"/>
      <c r="AM153" s="1180"/>
      <c r="AN153" s="1180"/>
      <c r="AO153" s="1180"/>
      <c r="AP153" s="1180"/>
      <c r="AQ153" s="1180"/>
      <c r="AR153" s="1180"/>
      <c r="AS153" s="1180"/>
      <c r="AT153" s="1180"/>
      <c r="AU153" s="1180"/>
      <c r="AV153" s="1180"/>
      <c r="AW153" s="1180"/>
    </row>
    <row r="154" spans="27:49" x14ac:dyDescent="0.3">
      <c r="AA154" s="1180"/>
      <c r="AB154" s="1180"/>
      <c r="AC154" s="1180"/>
      <c r="AD154" s="1180"/>
      <c r="AE154" s="1180"/>
      <c r="AF154" s="1180"/>
      <c r="AG154" s="1180"/>
      <c r="AH154" s="1180"/>
      <c r="AI154" s="1180"/>
      <c r="AJ154" s="1180"/>
      <c r="AK154" s="1180"/>
      <c r="AL154" s="1180"/>
      <c r="AM154" s="1180"/>
      <c r="AN154" s="1180"/>
      <c r="AO154" s="1180"/>
      <c r="AP154" s="1180"/>
      <c r="AQ154" s="1180"/>
      <c r="AR154" s="1180"/>
      <c r="AS154" s="1180"/>
      <c r="AT154" s="1180"/>
      <c r="AU154" s="1180"/>
      <c r="AV154" s="1180"/>
      <c r="AW154" s="1180"/>
    </row>
    <row r="155" spans="27:49" x14ac:dyDescent="0.3">
      <c r="AA155" s="1180"/>
      <c r="AB155" s="1180"/>
      <c r="AC155" s="1180"/>
      <c r="AD155" s="1180"/>
      <c r="AE155" s="1180"/>
      <c r="AF155" s="1180"/>
      <c r="AG155" s="1180"/>
      <c r="AH155" s="1180"/>
      <c r="AI155" s="1180"/>
      <c r="AJ155" s="1180"/>
      <c r="AK155" s="1180"/>
      <c r="AL155" s="1180"/>
      <c r="AM155" s="1180"/>
      <c r="AN155" s="1180"/>
      <c r="AO155" s="1180"/>
      <c r="AP155" s="1180"/>
      <c r="AQ155" s="1180"/>
      <c r="AR155" s="1180"/>
      <c r="AS155" s="1180"/>
      <c r="AT155" s="1180"/>
      <c r="AU155" s="1180"/>
      <c r="AV155" s="1180"/>
      <c r="AW155" s="1180"/>
    </row>
  </sheetData>
  <mergeCells count="57">
    <mergeCell ref="B1:S1"/>
    <mergeCell ref="B3:S3"/>
    <mergeCell ref="AB7:AG7"/>
    <mergeCell ref="AR14:AR15"/>
    <mergeCell ref="AA15:AA16"/>
    <mergeCell ref="AI15:AI16"/>
    <mergeCell ref="AJ15:AJ16"/>
    <mergeCell ref="AA32:AA33"/>
    <mergeCell ref="AB109:AC109"/>
    <mergeCell ref="AB110:AC110"/>
    <mergeCell ref="AJ110:AL110"/>
    <mergeCell ref="AJ111:AL111"/>
    <mergeCell ref="AA59:AC59"/>
    <mergeCell ref="AA61:AC61"/>
    <mergeCell ref="AA63:AC63"/>
    <mergeCell ref="AA65:AC65"/>
    <mergeCell ref="AA62:AB62"/>
    <mergeCell ref="AA66:AB66"/>
    <mergeCell ref="AA57:AB57"/>
    <mergeCell ref="AR114:AR129"/>
    <mergeCell ref="AJ115:AL115"/>
    <mergeCell ref="AB117:AC117"/>
    <mergeCell ref="AB118:AC118"/>
    <mergeCell ref="AJ118:AL118"/>
    <mergeCell ref="AJ119:AL119"/>
    <mergeCell ref="AH113:AH130"/>
    <mergeCell ref="AB121:AC121"/>
    <mergeCell ref="AB122:AC122"/>
    <mergeCell ref="AJ122:AL122"/>
    <mergeCell ref="AB129:AC129"/>
    <mergeCell ref="AQ113:AQ130"/>
    <mergeCell ref="AB114:AC114"/>
    <mergeCell ref="AG114:AG129"/>
    <mergeCell ref="AJ114:AL114"/>
    <mergeCell ref="AB113:AC113"/>
    <mergeCell ref="AJ123:AL123"/>
    <mergeCell ref="AB125:AC125"/>
    <mergeCell ref="AB126:AC126"/>
    <mergeCell ref="AJ126:AL126"/>
    <mergeCell ref="AJ127:AL127"/>
    <mergeCell ref="AB141:AC141"/>
    <mergeCell ref="AB130:AC130"/>
    <mergeCell ref="AJ130:AL130"/>
    <mergeCell ref="AB131:AC131"/>
    <mergeCell ref="AJ131:AL131"/>
    <mergeCell ref="AB134:AC134"/>
    <mergeCell ref="AJ134:AL134"/>
    <mergeCell ref="AJ135:AL135"/>
    <mergeCell ref="AB136:AC136"/>
    <mergeCell ref="AB137:AC137"/>
    <mergeCell ref="AJ138:AL138"/>
    <mergeCell ref="AJ139:AL140"/>
    <mergeCell ref="AB142:AC142"/>
    <mergeCell ref="AJ143:AL143"/>
    <mergeCell ref="AJ144:AL146"/>
    <mergeCell ref="AB146:AC146"/>
    <mergeCell ref="AB147:AC148"/>
  </mergeCells>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AB9E1-BCCC-4802-B282-C7B5A0048F28}">
  <dimension ref="A1:AB98"/>
  <sheetViews>
    <sheetView topLeftCell="A48" workbookViewId="0">
      <selection activeCell="K2" sqref="K1:K1048576"/>
    </sheetView>
  </sheetViews>
  <sheetFormatPr baseColWidth="10" defaultRowHeight="12.5" x14ac:dyDescent="0.25"/>
  <cols>
    <col min="1" max="1" width="3.54296875" customWidth="1"/>
    <col min="2" max="2" width="37.453125" customWidth="1"/>
    <col min="3" max="3" width="19.54296875" style="352" customWidth="1"/>
    <col min="4" max="4" width="12" style="352" customWidth="1"/>
    <col min="5" max="5" width="10" style="352" hidden="1" customWidth="1"/>
    <col min="6" max="6" width="12.54296875" style="352" hidden="1" customWidth="1"/>
    <col min="7" max="7" width="13.453125" style="352" hidden="1" customWidth="1"/>
    <col min="8" max="8" width="12" style="352" hidden="1" customWidth="1"/>
    <col min="9" max="9" width="12.1796875" style="352" hidden="1" customWidth="1"/>
    <col min="10" max="10" width="11.7265625" style="352" hidden="1" customWidth="1"/>
    <col min="11" max="11" width="15.7265625" style="352" hidden="1" customWidth="1"/>
    <col min="12" max="12" width="15.7265625" style="352" customWidth="1"/>
    <col min="13" max="13" width="15.7265625" style="352" hidden="1" customWidth="1"/>
    <col min="14" max="14" width="15.7265625" style="388" hidden="1" customWidth="1"/>
    <col min="15" max="15" width="15.7265625" style="352" hidden="1" customWidth="1"/>
    <col min="16" max="16" width="7.1796875" style="352" customWidth="1"/>
    <col min="17" max="17" width="15.7265625" style="352" customWidth="1"/>
    <col min="18" max="18" width="12.54296875" style="352" customWidth="1"/>
    <col min="19" max="19" width="15.453125" style="389" hidden="1" customWidth="1"/>
    <col min="20" max="20" width="12.81640625" customWidth="1"/>
    <col min="22" max="22" width="0" hidden="1" customWidth="1"/>
    <col min="23" max="23" width="28.81640625" hidden="1" customWidth="1"/>
    <col min="24" max="24" width="12.453125" hidden="1" customWidth="1"/>
    <col min="25" max="26" width="0" hidden="1" customWidth="1"/>
    <col min="27" max="27" width="12.7265625" hidden="1" customWidth="1"/>
    <col min="28" max="38" width="0" hidden="1" customWidth="1"/>
    <col min="257" max="257" width="3.54296875" customWidth="1"/>
    <col min="258" max="258" width="37.453125" customWidth="1"/>
    <col min="259" max="259" width="19.54296875" customWidth="1"/>
    <col min="260" max="260" width="12" customWidth="1"/>
    <col min="261" max="261" width="10" customWidth="1"/>
    <col min="262" max="262" width="12.54296875" customWidth="1"/>
    <col min="263" max="263" width="13.453125" customWidth="1"/>
    <col min="264" max="264" width="12" customWidth="1"/>
    <col min="265" max="265" width="12.1796875" customWidth="1"/>
    <col min="266" max="266" width="11.7265625" customWidth="1"/>
    <col min="267" max="268" width="15.7265625" customWidth="1"/>
    <col min="269" max="272" width="0" hidden="1" customWidth="1"/>
    <col min="273" max="273" width="15.7265625" customWidth="1"/>
    <col min="274" max="274" width="12.54296875" customWidth="1"/>
    <col min="275" max="275" width="0" hidden="1" customWidth="1"/>
    <col min="276" max="276" width="12.81640625" customWidth="1"/>
    <col min="278" max="294" width="0" hidden="1" customWidth="1"/>
    <col min="513" max="513" width="3.54296875" customWidth="1"/>
    <col min="514" max="514" width="37.453125" customWidth="1"/>
    <col min="515" max="515" width="19.54296875" customWidth="1"/>
    <col min="516" max="516" width="12" customWidth="1"/>
    <col min="517" max="517" width="10" customWidth="1"/>
    <col min="518" max="518" width="12.54296875" customWidth="1"/>
    <col min="519" max="519" width="13.453125" customWidth="1"/>
    <col min="520" max="520" width="12" customWidth="1"/>
    <col min="521" max="521" width="12.1796875" customWidth="1"/>
    <col min="522" max="522" width="11.7265625" customWidth="1"/>
    <col min="523" max="524" width="15.7265625" customWidth="1"/>
    <col min="525" max="528" width="0" hidden="1" customWidth="1"/>
    <col min="529" max="529" width="15.7265625" customWidth="1"/>
    <col min="530" max="530" width="12.54296875" customWidth="1"/>
    <col min="531" max="531" width="0" hidden="1" customWidth="1"/>
    <col min="532" max="532" width="12.81640625" customWidth="1"/>
    <col min="534" max="550" width="0" hidden="1" customWidth="1"/>
    <col min="769" max="769" width="3.54296875" customWidth="1"/>
    <col min="770" max="770" width="37.453125" customWidth="1"/>
    <col min="771" max="771" width="19.54296875" customWidth="1"/>
    <col min="772" max="772" width="12" customWidth="1"/>
    <col min="773" max="773" width="10" customWidth="1"/>
    <col min="774" max="774" width="12.54296875" customWidth="1"/>
    <col min="775" max="775" width="13.453125" customWidth="1"/>
    <col min="776" max="776" width="12" customWidth="1"/>
    <col min="777" max="777" width="12.1796875" customWidth="1"/>
    <col min="778" max="778" width="11.7265625" customWidth="1"/>
    <col min="779" max="780" width="15.7265625" customWidth="1"/>
    <col min="781" max="784" width="0" hidden="1" customWidth="1"/>
    <col min="785" max="785" width="15.7265625" customWidth="1"/>
    <col min="786" max="786" width="12.54296875" customWidth="1"/>
    <col min="787" max="787" width="0" hidden="1" customWidth="1"/>
    <col min="788" max="788" width="12.81640625" customWidth="1"/>
    <col min="790" max="806" width="0" hidden="1" customWidth="1"/>
    <col min="1025" max="1025" width="3.54296875" customWidth="1"/>
    <col min="1026" max="1026" width="37.453125" customWidth="1"/>
    <col min="1027" max="1027" width="19.54296875" customWidth="1"/>
    <col min="1028" max="1028" width="12" customWidth="1"/>
    <col min="1029" max="1029" width="10" customWidth="1"/>
    <col min="1030" max="1030" width="12.54296875" customWidth="1"/>
    <col min="1031" max="1031" width="13.453125" customWidth="1"/>
    <col min="1032" max="1032" width="12" customWidth="1"/>
    <col min="1033" max="1033" width="12.1796875" customWidth="1"/>
    <col min="1034" max="1034" width="11.7265625" customWidth="1"/>
    <col min="1035" max="1036" width="15.7265625" customWidth="1"/>
    <col min="1037" max="1040" width="0" hidden="1" customWidth="1"/>
    <col min="1041" max="1041" width="15.7265625" customWidth="1"/>
    <col min="1042" max="1042" width="12.54296875" customWidth="1"/>
    <col min="1043" max="1043" width="0" hidden="1" customWidth="1"/>
    <col min="1044" max="1044" width="12.81640625" customWidth="1"/>
    <col min="1046" max="1062" width="0" hidden="1" customWidth="1"/>
    <col min="1281" max="1281" width="3.54296875" customWidth="1"/>
    <col min="1282" max="1282" width="37.453125" customWidth="1"/>
    <col min="1283" max="1283" width="19.54296875" customWidth="1"/>
    <col min="1284" max="1284" width="12" customWidth="1"/>
    <col min="1285" max="1285" width="10" customWidth="1"/>
    <col min="1286" max="1286" width="12.54296875" customWidth="1"/>
    <col min="1287" max="1287" width="13.453125" customWidth="1"/>
    <col min="1288" max="1288" width="12" customWidth="1"/>
    <col min="1289" max="1289" width="12.1796875" customWidth="1"/>
    <col min="1290" max="1290" width="11.7265625" customWidth="1"/>
    <col min="1291" max="1292" width="15.7265625" customWidth="1"/>
    <col min="1293" max="1296" width="0" hidden="1" customWidth="1"/>
    <col min="1297" max="1297" width="15.7265625" customWidth="1"/>
    <col min="1298" max="1298" width="12.54296875" customWidth="1"/>
    <col min="1299" max="1299" width="0" hidden="1" customWidth="1"/>
    <col min="1300" max="1300" width="12.81640625" customWidth="1"/>
    <col min="1302" max="1318" width="0" hidden="1" customWidth="1"/>
    <col min="1537" max="1537" width="3.54296875" customWidth="1"/>
    <col min="1538" max="1538" width="37.453125" customWidth="1"/>
    <col min="1539" max="1539" width="19.54296875" customWidth="1"/>
    <col min="1540" max="1540" width="12" customWidth="1"/>
    <col min="1541" max="1541" width="10" customWidth="1"/>
    <col min="1542" max="1542" width="12.54296875" customWidth="1"/>
    <col min="1543" max="1543" width="13.453125" customWidth="1"/>
    <col min="1544" max="1544" width="12" customWidth="1"/>
    <col min="1545" max="1545" width="12.1796875" customWidth="1"/>
    <col min="1546" max="1546" width="11.7265625" customWidth="1"/>
    <col min="1547" max="1548" width="15.7265625" customWidth="1"/>
    <col min="1549" max="1552" width="0" hidden="1" customWidth="1"/>
    <col min="1553" max="1553" width="15.7265625" customWidth="1"/>
    <col min="1554" max="1554" width="12.54296875" customWidth="1"/>
    <col min="1555" max="1555" width="0" hidden="1" customWidth="1"/>
    <col min="1556" max="1556" width="12.81640625" customWidth="1"/>
    <col min="1558" max="1574" width="0" hidden="1" customWidth="1"/>
    <col min="1793" max="1793" width="3.54296875" customWidth="1"/>
    <col min="1794" max="1794" width="37.453125" customWidth="1"/>
    <col min="1795" max="1795" width="19.54296875" customWidth="1"/>
    <col min="1796" max="1796" width="12" customWidth="1"/>
    <col min="1797" max="1797" width="10" customWidth="1"/>
    <col min="1798" max="1798" width="12.54296875" customWidth="1"/>
    <col min="1799" max="1799" width="13.453125" customWidth="1"/>
    <col min="1800" max="1800" width="12" customWidth="1"/>
    <col min="1801" max="1801" width="12.1796875" customWidth="1"/>
    <col min="1802" max="1802" width="11.7265625" customWidth="1"/>
    <col min="1803" max="1804" width="15.7265625" customWidth="1"/>
    <col min="1805" max="1808" width="0" hidden="1" customWidth="1"/>
    <col min="1809" max="1809" width="15.7265625" customWidth="1"/>
    <col min="1810" max="1810" width="12.54296875" customWidth="1"/>
    <col min="1811" max="1811" width="0" hidden="1" customWidth="1"/>
    <col min="1812" max="1812" width="12.81640625" customWidth="1"/>
    <col min="1814" max="1830" width="0" hidden="1" customWidth="1"/>
    <col min="2049" max="2049" width="3.54296875" customWidth="1"/>
    <col min="2050" max="2050" width="37.453125" customWidth="1"/>
    <col min="2051" max="2051" width="19.54296875" customWidth="1"/>
    <col min="2052" max="2052" width="12" customWidth="1"/>
    <col min="2053" max="2053" width="10" customWidth="1"/>
    <col min="2054" max="2054" width="12.54296875" customWidth="1"/>
    <col min="2055" max="2055" width="13.453125" customWidth="1"/>
    <col min="2056" max="2056" width="12" customWidth="1"/>
    <col min="2057" max="2057" width="12.1796875" customWidth="1"/>
    <col min="2058" max="2058" width="11.7265625" customWidth="1"/>
    <col min="2059" max="2060" width="15.7265625" customWidth="1"/>
    <col min="2061" max="2064" width="0" hidden="1" customWidth="1"/>
    <col min="2065" max="2065" width="15.7265625" customWidth="1"/>
    <col min="2066" max="2066" width="12.54296875" customWidth="1"/>
    <col min="2067" max="2067" width="0" hidden="1" customWidth="1"/>
    <col min="2068" max="2068" width="12.81640625" customWidth="1"/>
    <col min="2070" max="2086" width="0" hidden="1" customWidth="1"/>
    <col min="2305" max="2305" width="3.54296875" customWidth="1"/>
    <col min="2306" max="2306" width="37.453125" customWidth="1"/>
    <col min="2307" max="2307" width="19.54296875" customWidth="1"/>
    <col min="2308" max="2308" width="12" customWidth="1"/>
    <col min="2309" max="2309" width="10" customWidth="1"/>
    <col min="2310" max="2310" width="12.54296875" customWidth="1"/>
    <col min="2311" max="2311" width="13.453125" customWidth="1"/>
    <col min="2312" max="2312" width="12" customWidth="1"/>
    <col min="2313" max="2313" width="12.1796875" customWidth="1"/>
    <col min="2314" max="2314" width="11.7265625" customWidth="1"/>
    <col min="2315" max="2316" width="15.7265625" customWidth="1"/>
    <col min="2317" max="2320" width="0" hidden="1" customWidth="1"/>
    <col min="2321" max="2321" width="15.7265625" customWidth="1"/>
    <col min="2322" max="2322" width="12.54296875" customWidth="1"/>
    <col min="2323" max="2323" width="0" hidden="1" customWidth="1"/>
    <col min="2324" max="2324" width="12.81640625" customWidth="1"/>
    <col min="2326" max="2342" width="0" hidden="1" customWidth="1"/>
    <col min="2561" max="2561" width="3.54296875" customWidth="1"/>
    <col min="2562" max="2562" width="37.453125" customWidth="1"/>
    <col min="2563" max="2563" width="19.54296875" customWidth="1"/>
    <col min="2564" max="2564" width="12" customWidth="1"/>
    <col min="2565" max="2565" width="10" customWidth="1"/>
    <col min="2566" max="2566" width="12.54296875" customWidth="1"/>
    <col min="2567" max="2567" width="13.453125" customWidth="1"/>
    <col min="2568" max="2568" width="12" customWidth="1"/>
    <col min="2569" max="2569" width="12.1796875" customWidth="1"/>
    <col min="2570" max="2570" width="11.7265625" customWidth="1"/>
    <col min="2571" max="2572" width="15.7265625" customWidth="1"/>
    <col min="2573" max="2576" width="0" hidden="1" customWidth="1"/>
    <col min="2577" max="2577" width="15.7265625" customWidth="1"/>
    <col min="2578" max="2578" width="12.54296875" customWidth="1"/>
    <col min="2579" max="2579" width="0" hidden="1" customWidth="1"/>
    <col min="2580" max="2580" width="12.81640625" customWidth="1"/>
    <col min="2582" max="2598" width="0" hidden="1" customWidth="1"/>
    <col min="2817" max="2817" width="3.54296875" customWidth="1"/>
    <col min="2818" max="2818" width="37.453125" customWidth="1"/>
    <col min="2819" max="2819" width="19.54296875" customWidth="1"/>
    <col min="2820" max="2820" width="12" customWidth="1"/>
    <col min="2821" max="2821" width="10" customWidth="1"/>
    <col min="2822" max="2822" width="12.54296875" customWidth="1"/>
    <col min="2823" max="2823" width="13.453125" customWidth="1"/>
    <col min="2824" max="2824" width="12" customWidth="1"/>
    <col min="2825" max="2825" width="12.1796875" customWidth="1"/>
    <col min="2826" max="2826" width="11.7265625" customWidth="1"/>
    <col min="2827" max="2828" width="15.7265625" customWidth="1"/>
    <col min="2829" max="2832" width="0" hidden="1" customWidth="1"/>
    <col min="2833" max="2833" width="15.7265625" customWidth="1"/>
    <col min="2834" max="2834" width="12.54296875" customWidth="1"/>
    <col min="2835" max="2835" width="0" hidden="1" customWidth="1"/>
    <col min="2836" max="2836" width="12.81640625" customWidth="1"/>
    <col min="2838" max="2854" width="0" hidden="1" customWidth="1"/>
    <col min="3073" max="3073" width="3.54296875" customWidth="1"/>
    <col min="3074" max="3074" width="37.453125" customWidth="1"/>
    <col min="3075" max="3075" width="19.54296875" customWidth="1"/>
    <col min="3076" max="3076" width="12" customWidth="1"/>
    <col min="3077" max="3077" width="10" customWidth="1"/>
    <col min="3078" max="3078" width="12.54296875" customWidth="1"/>
    <col min="3079" max="3079" width="13.453125" customWidth="1"/>
    <col min="3080" max="3080" width="12" customWidth="1"/>
    <col min="3081" max="3081" width="12.1796875" customWidth="1"/>
    <col min="3082" max="3082" width="11.7265625" customWidth="1"/>
    <col min="3083" max="3084" width="15.7265625" customWidth="1"/>
    <col min="3085" max="3088" width="0" hidden="1" customWidth="1"/>
    <col min="3089" max="3089" width="15.7265625" customWidth="1"/>
    <col min="3090" max="3090" width="12.54296875" customWidth="1"/>
    <col min="3091" max="3091" width="0" hidden="1" customWidth="1"/>
    <col min="3092" max="3092" width="12.81640625" customWidth="1"/>
    <col min="3094" max="3110" width="0" hidden="1" customWidth="1"/>
    <col min="3329" max="3329" width="3.54296875" customWidth="1"/>
    <col min="3330" max="3330" width="37.453125" customWidth="1"/>
    <col min="3331" max="3331" width="19.54296875" customWidth="1"/>
    <col min="3332" max="3332" width="12" customWidth="1"/>
    <col min="3333" max="3333" width="10" customWidth="1"/>
    <col min="3334" max="3334" width="12.54296875" customWidth="1"/>
    <col min="3335" max="3335" width="13.453125" customWidth="1"/>
    <col min="3336" max="3336" width="12" customWidth="1"/>
    <col min="3337" max="3337" width="12.1796875" customWidth="1"/>
    <col min="3338" max="3338" width="11.7265625" customWidth="1"/>
    <col min="3339" max="3340" width="15.7265625" customWidth="1"/>
    <col min="3341" max="3344" width="0" hidden="1" customWidth="1"/>
    <col min="3345" max="3345" width="15.7265625" customWidth="1"/>
    <col min="3346" max="3346" width="12.54296875" customWidth="1"/>
    <col min="3347" max="3347" width="0" hidden="1" customWidth="1"/>
    <col min="3348" max="3348" width="12.81640625" customWidth="1"/>
    <col min="3350" max="3366" width="0" hidden="1" customWidth="1"/>
    <col min="3585" max="3585" width="3.54296875" customWidth="1"/>
    <col min="3586" max="3586" width="37.453125" customWidth="1"/>
    <col min="3587" max="3587" width="19.54296875" customWidth="1"/>
    <col min="3588" max="3588" width="12" customWidth="1"/>
    <col min="3589" max="3589" width="10" customWidth="1"/>
    <col min="3590" max="3590" width="12.54296875" customWidth="1"/>
    <col min="3591" max="3591" width="13.453125" customWidth="1"/>
    <col min="3592" max="3592" width="12" customWidth="1"/>
    <col min="3593" max="3593" width="12.1796875" customWidth="1"/>
    <col min="3594" max="3594" width="11.7265625" customWidth="1"/>
    <col min="3595" max="3596" width="15.7265625" customWidth="1"/>
    <col min="3597" max="3600" width="0" hidden="1" customWidth="1"/>
    <col min="3601" max="3601" width="15.7265625" customWidth="1"/>
    <col min="3602" max="3602" width="12.54296875" customWidth="1"/>
    <col min="3603" max="3603" width="0" hidden="1" customWidth="1"/>
    <col min="3604" max="3604" width="12.81640625" customWidth="1"/>
    <col min="3606" max="3622" width="0" hidden="1" customWidth="1"/>
    <col min="3841" max="3841" width="3.54296875" customWidth="1"/>
    <col min="3842" max="3842" width="37.453125" customWidth="1"/>
    <col min="3843" max="3843" width="19.54296875" customWidth="1"/>
    <col min="3844" max="3844" width="12" customWidth="1"/>
    <col min="3845" max="3845" width="10" customWidth="1"/>
    <col min="3846" max="3846" width="12.54296875" customWidth="1"/>
    <col min="3847" max="3847" width="13.453125" customWidth="1"/>
    <col min="3848" max="3848" width="12" customWidth="1"/>
    <col min="3849" max="3849" width="12.1796875" customWidth="1"/>
    <col min="3850" max="3850" width="11.7265625" customWidth="1"/>
    <col min="3851" max="3852" width="15.7265625" customWidth="1"/>
    <col min="3853" max="3856" width="0" hidden="1" customWidth="1"/>
    <col min="3857" max="3857" width="15.7265625" customWidth="1"/>
    <col min="3858" max="3858" width="12.54296875" customWidth="1"/>
    <col min="3859" max="3859" width="0" hidden="1" customWidth="1"/>
    <col min="3860" max="3860" width="12.81640625" customWidth="1"/>
    <col min="3862" max="3878" width="0" hidden="1" customWidth="1"/>
    <col min="4097" max="4097" width="3.54296875" customWidth="1"/>
    <col min="4098" max="4098" width="37.453125" customWidth="1"/>
    <col min="4099" max="4099" width="19.54296875" customWidth="1"/>
    <col min="4100" max="4100" width="12" customWidth="1"/>
    <col min="4101" max="4101" width="10" customWidth="1"/>
    <col min="4102" max="4102" width="12.54296875" customWidth="1"/>
    <col min="4103" max="4103" width="13.453125" customWidth="1"/>
    <col min="4104" max="4104" width="12" customWidth="1"/>
    <col min="4105" max="4105" width="12.1796875" customWidth="1"/>
    <col min="4106" max="4106" width="11.7265625" customWidth="1"/>
    <col min="4107" max="4108" width="15.7265625" customWidth="1"/>
    <col min="4109" max="4112" width="0" hidden="1" customWidth="1"/>
    <col min="4113" max="4113" width="15.7265625" customWidth="1"/>
    <col min="4114" max="4114" width="12.54296875" customWidth="1"/>
    <col min="4115" max="4115" width="0" hidden="1" customWidth="1"/>
    <col min="4116" max="4116" width="12.81640625" customWidth="1"/>
    <col min="4118" max="4134" width="0" hidden="1" customWidth="1"/>
    <col min="4353" max="4353" width="3.54296875" customWidth="1"/>
    <col min="4354" max="4354" width="37.453125" customWidth="1"/>
    <col min="4355" max="4355" width="19.54296875" customWidth="1"/>
    <col min="4356" max="4356" width="12" customWidth="1"/>
    <col min="4357" max="4357" width="10" customWidth="1"/>
    <col min="4358" max="4358" width="12.54296875" customWidth="1"/>
    <col min="4359" max="4359" width="13.453125" customWidth="1"/>
    <col min="4360" max="4360" width="12" customWidth="1"/>
    <col min="4361" max="4361" width="12.1796875" customWidth="1"/>
    <col min="4362" max="4362" width="11.7265625" customWidth="1"/>
    <col min="4363" max="4364" width="15.7265625" customWidth="1"/>
    <col min="4365" max="4368" width="0" hidden="1" customWidth="1"/>
    <col min="4369" max="4369" width="15.7265625" customWidth="1"/>
    <col min="4370" max="4370" width="12.54296875" customWidth="1"/>
    <col min="4371" max="4371" width="0" hidden="1" customWidth="1"/>
    <col min="4372" max="4372" width="12.81640625" customWidth="1"/>
    <col min="4374" max="4390" width="0" hidden="1" customWidth="1"/>
    <col min="4609" max="4609" width="3.54296875" customWidth="1"/>
    <col min="4610" max="4610" width="37.453125" customWidth="1"/>
    <col min="4611" max="4611" width="19.54296875" customWidth="1"/>
    <col min="4612" max="4612" width="12" customWidth="1"/>
    <col min="4613" max="4613" width="10" customWidth="1"/>
    <col min="4614" max="4614" width="12.54296875" customWidth="1"/>
    <col min="4615" max="4615" width="13.453125" customWidth="1"/>
    <col min="4616" max="4616" width="12" customWidth="1"/>
    <col min="4617" max="4617" width="12.1796875" customWidth="1"/>
    <col min="4618" max="4618" width="11.7265625" customWidth="1"/>
    <col min="4619" max="4620" width="15.7265625" customWidth="1"/>
    <col min="4621" max="4624" width="0" hidden="1" customWidth="1"/>
    <col min="4625" max="4625" width="15.7265625" customWidth="1"/>
    <col min="4626" max="4626" width="12.54296875" customWidth="1"/>
    <col min="4627" max="4627" width="0" hidden="1" customWidth="1"/>
    <col min="4628" max="4628" width="12.81640625" customWidth="1"/>
    <col min="4630" max="4646" width="0" hidden="1" customWidth="1"/>
    <col min="4865" max="4865" width="3.54296875" customWidth="1"/>
    <col min="4866" max="4866" width="37.453125" customWidth="1"/>
    <col min="4867" max="4867" width="19.54296875" customWidth="1"/>
    <col min="4868" max="4868" width="12" customWidth="1"/>
    <col min="4869" max="4869" width="10" customWidth="1"/>
    <col min="4870" max="4870" width="12.54296875" customWidth="1"/>
    <col min="4871" max="4871" width="13.453125" customWidth="1"/>
    <col min="4872" max="4872" width="12" customWidth="1"/>
    <col min="4873" max="4873" width="12.1796875" customWidth="1"/>
    <col min="4874" max="4874" width="11.7265625" customWidth="1"/>
    <col min="4875" max="4876" width="15.7265625" customWidth="1"/>
    <col min="4877" max="4880" width="0" hidden="1" customWidth="1"/>
    <col min="4881" max="4881" width="15.7265625" customWidth="1"/>
    <col min="4882" max="4882" width="12.54296875" customWidth="1"/>
    <col min="4883" max="4883" width="0" hidden="1" customWidth="1"/>
    <col min="4884" max="4884" width="12.81640625" customWidth="1"/>
    <col min="4886" max="4902" width="0" hidden="1" customWidth="1"/>
    <col min="5121" max="5121" width="3.54296875" customWidth="1"/>
    <col min="5122" max="5122" width="37.453125" customWidth="1"/>
    <col min="5123" max="5123" width="19.54296875" customWidth="1"/>
    <col min="5124" max="5124" width="12" customWidth="1"/>
    <col min="5125" max="5125" width="10" customWidth="1"/>
    <col min="5126" max="5126" width="12.54296875" customWidth="1"/>
    <col min="5127" max="5127" width="13.453125" customWidth="1"/>
    <col min="5128" max="5128" width="12" customWidth="1"/>
    <col min="5129" max="5129" width="12.1796875" customWidth="1"/>
    <col min="5130" max="5130" width="11.7265625" customWidth="1"/>
    <col min="5131" max="5132" width="15.7265625" customWidth="1"/>
    <col min="5133" max="5136" width="0" hidden="1" customWidth="1"/>
    <col min="5137" max="5137" width="15.7265625" customWidth="1"/>
    <col min="5138" max="5138" width="12.54296875" customWidth="1"/>
    <col min="5139" max="5139" width="0" hidden="1" customWidth="1"/>
    <col min="5140" max="5140" width="12.81640625" customWidth="1"/>
    <col min="5142" max="5158" width="0" hidden="1" customWidth="1"/>
    <col min="5377" max="5377" width="3.54296875" customWidth="1"/>
    <col min="5378" max="5378" width="37.453125" customWidth="1"/>
    <col min="5379" max="5379" width="19.54296875" customWidth="1"/>
    <col min="5380" max="5380" width="12" customWidth="1"/>
    <col min="5381" max="5381" width="10" customWidth="1"/>
    <col min="5382" max="5382" width="12.54296875" customWidth="1"/>
    <col min="5383" max="5383" width="13.453125" customWidth="1"/>
    <col min="5384" max="5384" width="12" customWidth="1"/>
    <col min="5385" max="5385" width="12.1796875" customWidth="1"/>
    <col min="5386" max="5386" width="11.7265625" customWidth="1"/>
    <col min="5387" max="5388" width="15.7265625" customWidth="1"/>
    <col min="5389" max="5392" width="0" hidden="1" customWidth="1"/>
    <col min="5393" max="5393" width="15.7265625" customWidth="1"/>
    <col min="5394" max="5394" width="12.54296875" customWidth="1"/>
    <col min="5395" max="5395" width="0" hidden="1" customWidth="1"/>
    <col min="5396" max="5396" width="12.81640625" customWidth="1"/>
    <col min="5398" max="5414" width="0" hidden="1" customWidth="1"/>
    <col min="5633" max="5633" width="3.54296875" customWidth="1"/>
    <col min="5634" max="5634" width="37.453125" customWidth="1"/>
    <col min="5635" max="5635" width="19.54296875" customWidth="1"/>
    <col min="5636" max="5636" width="12" customWidth="1"/>
    <col min="5637" max="5637" width="10" customWidth="1"/>
    <col min="5638" max="5638" width="12.54296875" customWidth="1"/>
    <col min="5639" max="5639" width="13.453125" customWidth="1"/>
    <col min="5640" max="5640" width="12" customWidth="1"/>
    <col min="5641" max="5641" width="12.1796875" customWidth="1"/>
    <col min="5642" max="5642" width="11.7265625" customWidth="1"/>
    <col min="5643" max="5644" width="15.7265625" customWidth="1"/>
    <col min="5645" max="5648" width="0" hidden="1" customWidth="1"/>
    <col min="5649" max="5649" width="15.7265625" customWidth="1"/>
    <col min="5650" max="5650" width="12.54296875" customWidth="1"/>
    <col min="5651" max="5651" width="0" hidden="1" customWidth="1"/>
    <col min="5652" max="5652" width="12.81640625" customWidth="1"/>
    <col min="5654" max="5670" width="0" hidden="1" customWidth="1"/>
    <col min="5889" max="5889" width="3.54296875" customWidth="1"/>
    <col min="5890" max="5890" width="37.453125" customWidth="1"/>
    <col min="5891" max="5891" width="19.54296875" customWidth="1"/>
    <col min="5892" max="5892" width="12" customWidth="1"/>
    <col min="5893" max="5893" width="10" customWidth="1"/>
    <col min="5894" max="5894" width="12.54296875" customWidth="1"/>
    <col min="5895" max="5895" width="13.453125" customWidth="1"/>
    <col min="5896" max="5896" width="12" customWidth="1"/>
    <col min="5897" max="5897" width="12.1796875" customWidth="1"/>
    <col min="5898" max="5898" width="11.7265625" customWidth="1"/>
    <col min="5899" max="5900" width="15.7265625" customWidth="1"/>
    <col min="5901" max="5904" width="0" hidden="1" customWidth="1"/>
    <col min="5905" max="5905" width="15.7265625" customWidth="1"/>
    <col min="5906" max="5906" width="12.54296875" customWidth="1"/>
    <col min="5907" max="5907" width="0" hidden="1" customWidth="1"/>
    <col min="5908" max="5908" width="12.81640625" customWidth="1"/>
    <col min="5910" max="5926" width="0" hidden="1" customWidth="1"/>
    <col min="6145" max="6145" width="3.54296875" customWidth="1"/>
    <col min="6146" max="6146" width="37.453125" customWidth="1"/>
    <col min="6147" max="6147" width="19.54296875" customWidth="1"/>
    <col min="6148" max="6148" width="12" customWidth="1"/>
    <col min="6149" max="6149" width="10" customWidth="1"/>
    <col min="6150" max="6150" width="12.54296875" customWidth="1"/>
    <col min="6151" max="6151" width="13.453125" customWidth="1"/>
    <col min="6152" max="6152" width="12" customWidth="1"/>
    <col min="6153" max="6153" width="12.1796875" customWidth="1"/>
    <col min="6154" max="6154" width="11.7265625" customWidth="1"/>
    <col min="6155" max="6156" width="15.7265625" customWidth="1"/>
    <col min="6157" max="6160" width="0" hidden="1" customWidth="1"/>
    <col min="6161" max="6161" width="15.7265625" customWidth="1"/>
    <col min="6162" max="6162" width="12.54296875" customWidth="1"/>
    <col min="6163" max="6163" width="0" hidden="1" customWidth="1"/>
    <col min="6164" max="6164" width="12.81640625" customWidth="1"/>
    <col min="6166" max="6182" width="0" hidden="1" customWidth="1"/>
    <col min="6401" max="6401" width="3.54296875" customWidth="1"/>
    <col min="6402" max="6402" width="37.453125" customWidth="1"/>
    <col min="6403" max="6403" width="19.54296875" customWidth="1"/>
    <col min="6404" max="6404" width="12" customWidth="1"/>
    <col min="6405" max="6405" width="10" customWidth="1"/>
    <col min="6406" max="6406" width="12.54296875" customWidth="1"/>
    <col min="6407" max="6407" width="13.453125" customWidth="1"/>
    <col min="6408" max="6408" width="12" customWidth="1"/>
    <col min="6409" max="6409" width="12.1796875" customWidth="1"/>
    <col min="6410" max="6410" width="11.7265625" customWidth="1"/>
    <col min="6411" max="6412" width="15.7265625" customWidth="1"/>
    <col min="6413" max="6416" width="0" hidden="1" customWidth="1"/>
    <col min="6417" max="6417" width="15.7265625" customWidth="1"/>
    <col min="6418" max="6418" width="12.54296875" customWidth="1"/>
    <col min="6419" max="6419" width="0" hidden="1" customWidth="1"/>
    <col min="6420" max="6420" width="12.81640625" customWidth="1"/>
    <col min="6422" max="6438" width="0" hidden="1" customWidth="1"/>
    <col min="6657" max="6657" width="3.54296875" customWidth="1"/>
    <col min="6658" max="6658" width="37.453125" customWidth="1"/>
    <col min="6659" max="6659" width="19.54296875" customWidth="1"/>
    <col min="6660" max="6660" width="12" customWidth="1"/>
    <col min="6661" max="6661" width="10" customWidth="1"/>
    <col min="6662" max="6662" width="12.54296875" customWidth="1"/>
    <col min="6663" max="6663" width="13.453125" customWidth="1"/>
    <col min="6664" max="6664" width="12" customWidth="1"/>
    <col min="6665" max="6665" width="12.1796875" customWidth="1"/>
    <col min="6666" max="6666" width="11.7265625" customWidth="1"/>
    <col min="6667" max="6668" width="15.7265625" customWidth="1"/>
    <col min="6669" max="6672" width="0" hidden="1" customWidth="1"/>
    <col min="6673" max="6673" width="15.7265625" customWidth="1"/>
    <col min="6674" max="6674" width="12.54296875" customWidth="1"/>
    <col min="6675" max="6675" width="0" hidden="1" customWidth="1"/>
    <col min="6676" max="6676" width="12.81640625" customWidth="1"/>
    <col min="6678" max="6694" width="0" hidden="1" customWidth="1"/>
    <col min="6913" max="6913" width="3.54296875" customWidth="1"/>
    <col min="6914" max="6914" width="37.453125" customWidth="1"/>
    <col min="6915" max="6915" width="19.54296875" customWidth="1"/>
    <col min="6916" max="6916" width="12" customWidth="1"/>
    <col min="6917" max="6917" width="10" customWidth="1"/>
    <col min="6918" max="6918" width="12.54296875" customWidth="1"/>
    <col min="6919" max="6919" width="13.453125" customWidth="1"/>
    <col min="6920" max="6920" width="12" customWidth="1"/>
    <col min="6921" max="6921" width="12.1796875" customWidth="1"/>
    <col min="6922" max="6922" width="11.7265625" customWidth="1"/>
    <col min="6923" max="6924" width="15.7265625" customWidth="1"/>
    <col min="6925" max="6928" width="0" hidden="1" customWidth="1"/>
    <col min="6929" max="6929" width="15.7265625" customWidth="1"/>
    <col min="6930" max="6930" width="12.54296875" customWidth="1"/>
    <col min="6931" max="6931" width="0" hidden="1" customWidth="1"/>
    <col min="6932" max="6932" width="12.81640625" customWidth="1"/>
    <col min="6934" max="6950" width="0" hidden="1" customWidth="1"/>
    <col min="7169" max="7169" width="3.54296875" customWidth="1"/>
    <col min="7170" max="7170" width="37.453125" customWidth="1"/>
    <col min="7171" max="7171" width="19.54296875" customWidth="1"/>
    <col min="7172" max="7172" width="12" customWidth="1"/>
    <col min="7173" max="7173" width="10" customWidth="1"/>
    <col min="7174" max="7174" width="12.54296875" customWidth="1"/>
    <col min="7175" max="7175" width="13.453125" customWidth="1"/>
    <col min="7176" max="7176" width="12" customWidth="1"/>
    <col min="7177" max="7177" width="12.1796875" customWidth="1"/>
    <col min="7178" max="7178" width="11.7265625" customWidth="1"/>
    <col min="7179" max="7180" width="15.7265625" customWidth="1"/>
    <col min="7181" max="7184" width="0" hidden="1" customWidth="1"/>
    <col min="7185" max="7185" width="15.7265625" customWidth="1"/>
    <col min="7186" max="7186" width="12.54296875" customWidth="1"/>
    <col min="7187" max="7187" width="0" hidden="1" customWidth="1"/>
    <col min="7188" max="7188" width="12.81640625" customWidth="1"/>
    <col min="7190" max="7206" width="0" hidden="1" customWidth="1"/>
    <col min="7425" max="7425" width="3.54296875" customWidth="1"/>
    <col min="7426" max="7426" width="37.453125" customWidth="1"/>
    <col min="7427" max="7427" width="19.54296875" customWidth="1"/>
    <col min="7428" max="7428" width="12" customWidth="1"/>
    <col min="7429" max="7429" width="10" customWidth="1"/>
    <col min="7430" max="7430" width="12.54296875" customWidth="1"/>
    <col min="7431" max="7431" width="13.453125" customWidth="1"/>
    <col min="7432" max="7432" width="12" customWidth="1"/>
    <col min="7433" max="7433" width="12.1796875" customWidth="1"/>
    <col min="7434" max="7434" width="11.7265625" customWidth="1"/>
    <col min="7435" max="7436" width="15.7265625" customWidth="1"/>
    <col min="7437" max="7440" width="0" hidden="1" customWidth="1"/>
    <col min="7441" max="7441" width="15.7265625" customWidth="1"/>
    <col min="7442" max="7442" width="12.54296875" customWidth="1"/>
    <col min="7443" max="7443" width="0" hidden="1" customWidth="1"/>
    <col min="7444" max="7444" width="12.81640625" customWidth="1"/>
    <col min="7446" max="7462" width="0" hidden="1" customWidth="1"/>
    <col min="7681" max="7681" width="3.54296875" customWidth="1"/>
    <col min="7682" max="7682" width="37.453125" customWidth="1"/>
    <col min="7683" max="7683" width="19.54296875" customWidth="1"/>
    <col min="7684" max="7684" width="12" customWidth="1"/>
    <col min="7685" max="7685" width="10" customWidth="1"/>
    <col min="7686" max="7686" width="12.54296875" customWidth="1"/>
    <col min="7687" max="7687" width="13.453125" customWidth="1"/>
    <col min="7688" max="7688" width="12" customWidth="1"/>
    <col min="7689" max="7689" width="12.1796875" customWidth="1"/>
    <col min="7690" max="7690" width="11.7265625" customWidth="1"/>
    <col min="7691" max="7692" width="15.7265625" customWidth="1"/>
    <col min="7693" max="7696" width="0" hidden="1" customWidth="1"/>
    <col min="7697" max="7697" width="15.7265625" customWidth="1"/>
    <col min="7698" max="7698" width="12.54296875" customWidth="1"/>
    <col min="7699" max="7699" width="0" hidden="1" customWidth="1"/>
    <col min="7700" max="7700" width="12.81640625" customWidth="1"/>
    <col min="7702" max="7718" width="0" hidden="1" customWidth="1"/>
    <col min="7937" max="7937" width="3.54296875" customWidth="1"/>
    <col min="7938" max="7938" width="37.453125" customWidth="1"/>
    <col min="7939" max="7939" width="19.54296875" customWidth="1"/>
    <col min="7940" max="7940" width="12" customWidth="1"/>
    <col min="7941" max="7941" width="10" customWidth="1"/>
    <col min="7942" max="7942" width="12.54296875" customWidth="1"/>
    <col min="7943" max="7943" width="13.453125" customWidth="1"/>
    <col min="7944" max="7944" width="12" customWidth="1"/>
    <col min="7945" max="7945" width="12.1796875" customWidth="1"/>
    <col min="7946" max="7946" width="11.7265625" customWidth="1"/>
    <col min="7947" max="7948" width="15.7265625" customWidth="1"/>
    <col min="7949" max="7952" width="0" hidden="1" customWidth="1"/>
    <col min="7953" max="7953" width="15.7265625" customWidth="1"/>
    <col min="7954" max="7954" width="12.54296875" customWidth="1"/>
    <col min="7955" max="7955" width="0" hidden="1" customWidth="1"/>
    <col min="7956" max="7956" width="12.81640625" customWidth="1"/>
    <col min="7958" max="7974" width="0" hidden="1" customWidth="1"/>
    <col min="8193" max="8193" width="3.54296875" customWidth="1"/>
    <col min="8194" max="8194" width="37.453125" customWidth="1"/>
    <col min="8195" max="8195" width="19.54296875" customWidth="1"/>
    <col min="8196" max="8196" width="12" customWidth="1"/>
    <col min="8197" max="8197" width="10" customWidth="1"/>
    <col min="8198" max="8198" width="12.54296875" customWidth="1"/>
    <col min="8199" max="8199" width="13.453125" customWidth="1"/>
    <col min="8200" max="8200" width="12" customWidth="1"/>
    <col min="8201" max="8201" width="12.1796875" customWidth="1"/>
    <col min="8202" max="8202" width="11.7265625" customWidth="1"/>
    <col min="8203" max="8204" width="15.7265625" customWidth="1"/>
    <col min="8205" max="8208" width="0" hidden="1" customWidth="1"/>
    <col min="8209" max="8209" width="15.7265625" customWidth="1"/>
    <col min="8210" max="8210" width="12.54296875" customWidth="1"/>
    <col min="8211" max="8211" width="0" hidden="1" customWidth="1"/>
    <col min="8212" max="8212" width="12.81640625" customWidth="1"/>
    <col min="8214" max="8230" width="0" hidden="1" customWidth="1"/>
    <col min="8449" max="8449" width="3.54296875" customWidth="1"/>
    <col min="8450" max="8450" width="37.453125" customWidth="1"/>
    <col min="8451" max="8451" width="19.54296875" customWidth="1"/>
    <col min="8452" max="8452" width="12" customWidth="1"/>
    <col min="8453" max="8453" width="10" customWidth="1"/>
    <col min="8454" max="8454" width="12.54296875" customWidth="1"/>
    <col min="8455" max="8455" width="13.453125" customWidth="1"/>
    <col min="8456" max="8456" width="12" customWidth="1"/>
    <col min="8457" max="8457" width="12.1796875" customWidth="1"/>
    <col min="8458" max="8458" width="11.7265625" customWidth="1"/>
    <col min="8459" max="8460" width="15.7265625" customWidth="1"/>
    <col min="8461" max="8464" width="0" hidden="1" customWidth="1"/>
    <col min="8465" max="8465" width="15.7265625" customWidth="1"/>
    <col min="8466" max="8466" width="12.54296875" customWidth="1"/>
    <col min="8467" max="8467" width="0" hidden="1" customWidth="1"/>
    <col min="8468" max="8468" width="12.81640625" customWidth="1"/>
    <col min="8470" max="8486" width="0" hidden="1" customWidth="1"/>
    <col min="8705" max="8705" width="3.54296875" customWidth="1"/>
    <col min="8706" max="8706" width="37.453125" customWidth="1"/>
    <col min="8707" max="8707" width="19.54296875" customWidth="1"/>
    <col min="8708" max="8708" width="12" customWidth="1"/>
    <col min="8709" max="8709" width="10" customWidth="1"/>
    <col min="8710" max="8710" width="12.54296875" customWidth="1"/>
    <col min="8711" max="8711" width="13.453125" customWidth="1"/>
    <col min="8712" max="8712" width="12" customWidth="1"/>
    <col min="8713" max="8713" width="12.1796875" customWidth="1"/>
    <col min="8714" max="8714" width="11.7265625" customWidth="1"/>
    <col min="8715" max="8716" width="15.7265625" customWidth="1"/>
    <col min="8717" max="8720" width="0" hidden="1" customWidth="1"/>
    <col min="8721" max="8721" width="15.7265625" customWidth="1"/>
    <col min="8722" max="8722" width="12.54296875" customWidth="1"/>
    <col min="8723" max="8723" width="0" hidden="1" customWidth="1"/>
    <col min="8724" max="8724" width="12.81640625" customWidth="1"/>
    <col min="8726" max="8742" width="0" hidden="1" customWidth="1"/>
    <col min="8961" max="8961" width="3.54296875" customWidth="1"/>
    <col min="8962" max="8962" width="37.453125" customWidth="1"/>
    <col min="8963" max="8963" width="19.54296875" customWidth="1"/>
    <col min="8964" max="8964" width="12" customWidth="1"/>
    <col min="8965" max="8965" width="10" customWidth="1"/>
    <col min="8966" max="8966" width="12.54296875" customWidth="1"/>
    <col min="8967" max="8967" width="13.453125" customWidth="1"/>
    <col min="8968" max="8968" width="12" customWidth="1"/>
    <col min="8969" max="8969" width="12.1796875" customWidth="1"/>
    <col min="8970" max="8970" width="11.7265625" customWidth="1"/>
    <col min="8971" max="8972" width="15.7265625" customWidth="1"/>
    <col min="8973" max="8976" width="0" hidden="1" customWidth="1"/>
    <col min="8977" max="8977" width="15.7265625" customWidth="1"/>
    <col min="8978" max="8978" width="12.54296875" customWidth="1"/>
    <col min="8979" max="8979" width="0" hidden="1" customWidth="1"/>
    <col min="8980" max="8980" width="12.81640625" customWidth="1"/>
    <col min="8982" max="8998" width="0" hidden="1" customWidth="1"/>
    <col min="9217" max="9217" width="3.54296875" customWidth="1"/>
    <col min="9218" max="9218" width="37.453125" customWidth="1"/>
    <col min="9219" max="9219" width="19.54296875" customWidth="1"/>
    <col min="9220" max="9220" width="12" customWidth="1"/>
    <col min="9221" max="9221" width="10" customWidth="1"/>
    <col min="9222" max="9222" width="12.54296875" customWidth="1"/>
    <col min="9223" max="9223" width="13.453125" customWidth="1"/>
    <col min="9224" max="9224" width="12" customWidth="1"/>
    <col min="9225" max="9225" width="12.1796875" customWidth="1"/>
    <col min="9226" max="9226" width="11.7265625" customWidth="1"/>
    <col min="9227" max="9228" width="15.7265625" customWidth="1"/>
    <col min="9229" max="9232" width="0" hidden="1" customWidth="1"/>
    <col min="9233" max="9233" width="15.7265625" customWidth="1"/>
    <col min="9234" max="9234" width="12.54296875" customWidth="1"/>
    <col min="9235" max="9235" width="0" hidden="1" customWidth="1"/>
    <col min="9236" max="9236" width="12.81640625" customWidth="1"/>
    <col min="9238" max="9254" width="0" hidden="1" customWidth="1"/>
    <col min="9473" max="9473" width="3.54296875" customWidth="1"/>
    <col min="9474" max="9474" width="37.453125" customWidth="1"/>
    <col min="9475" max="9475" width="19.54296875" customWidth="1"/>
    <col min="9476" max="9476" width="12" customWidth="1"/>
    <col min="9477" max="9477" width="10" customWidth="1"/>
    <col min="9478" max="9478" width="12.54296875" customWidth="1"/>
    <col min="9479" max="9479" width="13.453125" customWidth="1"/>
    <col min="9480" max="9480" width="12" customWidth="1"/>
    <col min="9481" max="9481" width="12.1796875" customWidth="1"/>
    <col min="9482" max="9482" width="11.7265625" customWidth="1"/>
    <col min="9483" max="9484" width="15.7265625" customWidth="1"/>
    <col min="9485" max="9488" width="0" hidden="1" customWidth="1"/>
    <col min="9489" max="9489" width="15.7265625" customWidth="1"/>
    <col min="9490" max="9490" width="12.54296875" customWidth="1"/>
    <col min="9491" max="9491" width="0" hidden="1" customWidth="1"/>
    <col min="9492" max="9492" width="12.81640625" customWidth="1"/>
    <col min="9494" max="9510" width="0" hidden="1" customWidth="1"/>
    <col min="9729" max="9729" width="3.54296875" customWidth="1"/>
    <col min="9730" max="9730" width="37.453125" customWidth="1"/>
    <col min="9731" max="9731" width="19.54296875" customWidth="1"/>
    <col min="9732" max="9732" width="12" customWidth="1"/>
    <col min="9733" max="9733" width="10" customWidth="1"/>
    <col min="9734" max="9734" width="12.54296875" customWidth="1"/>
    <col min="9735" max="9735" width="13.453125" customWidth="1"/>
    <col min="9736" max="9736" width="12" customWidth="1"/>
    <col min="9737" max="9737" width="12.1796875" customWidth="1"/>
    <col min="9738" max="9738" width="11.7265625" customWidth="1"/>
    <col min="9739" max="9740" width="15.7265625" customWidth="1"/>
    <col min="9741" max="9744" width="0" hidden="1" customWidth="1"/>
    <col min="9745" max="9745" width="15.7265625" customWidth="1"/>
    <col min="9746" max="9746" width="12.54296875" customWidth="1"/>
    <col min="9747" max="9747" width="0" hidden="1" customWidth="1"/>
    <col min="9748" max="9748" width="12.81640625" customWidth="1"/>
    <col min="9750" max="9766" width="0" hidden="1" customWidth="1"/>
    <col min="9985" max="9985" width="3.54296875" customWidth="1"/>
    <col min="9986" max="9986" width="37.453125" customWidth="1"/>
    <col min="9987" max="9987" width="19.54296875" customWidth="1"/>
    <col min="9988" max="9988" width="12" customWidth="1"/>
    <col min="9989" max="9989" width="10" customWidth="1"/>
    <col min="9990" max="9990" width="12.54296875" customWidth="1"/>
    <col min="9991" max="9991" width="13.453125" customWidth="1"/>
    <col min="9992" max="9992" width="12" customWidth="1"/>
    <col min="9993" max="9993" width="12.1796875" customWidth="1"/>
    <col min="9994" max="9994" width="11.7265625" customWidth="1"/>
    <col min="9995" max="9996" width="15.7265625" customWidth="1"/>
    <col min="9997" max="10000" width="0" hidden="1" customWidth="1"/>
    <col min="10001" max="10001" width="15.7265625" customWidth="1"/>
    <col min="10002" max="10002" width="12.54296875" customWidth="1"/>
    <col min="10003" max="10003" width="0" hidden="1" customWidth="1"/>
    <col min="10004" max="10004" width="12.81640625" customWidth="1"/>
    <col min="10006" max="10022" width="0" hidden="1" customWidth="1"/>
    <col min="10241" max="10241" width="3.54296875" customWidth="1"/>
    <col min="10242" max="10242" width="37.453125" customWidth="1"/>
    <col min="10243" max="10243" width="19.54296875" customWidth="1"/>
    <col min="10244" max="10244" width="12" customWidth="1"/>
    <col min="10245" max="10245" width="10" customWidth="1"/>
    <col min="10246" max="10246" width="12.54296875" customWidth="1"/>
    <col min="10247" max="10247" width="13.453125" customWidth="1"/>
    <col min="10248" max="10248" width="12" customWidth="1"/>
    <col min="10249" max="10249" width="12.1796875" customWidth="1"/>
    <col min="10250" max="10250" width="11.7265625" customWidth="1"/>
    <col min="10251" max="10252" width="15.7265625" customWidth="1"/>
    <col min="10253" max="10256" width="0" hidden="1" customWidth="1"/>
    <col min="10257" max="10257" width="15.7265625" customWidth="1"/>
    <col min="10258" max="10258" width="12.54296875" customWidth="1"/>
    <col min="10259" max="10259" width="0" hidden="1" customWidth="1"/>
    <col min="10260" max="10260" width="12.81640625" customWidth="1"/>
    <col min="10262" max="10278" width="0" hidden="1" customWidth="1"/>
    <col min="10497" max="10497" width="3.54296875" customWidth="1"/>
    <col min="10498" max="10498" width="37.453125" customWidth="1"/>
    <col min="10499" max="10499" width="19.54296875" customWidth="1"/>
    <col min="10500" max="10500" width="12" customWidth="1"/>
    <col min="10501" max="10501" width="10" customWidth="1"/>
    <col min="10502" max="10502" width="12.54296875" customWidth="1"/>
    <col min="10503" max="10503" width="13.453125" customWidth="1"/>
    <col min="10504" max="10504" width="12" customWidth="1"/>
    <col min="10505" max="10505" width="12.1796875" customWidth="1"/>
    <col min="10506" max="10506" width="11.7265625" customWidth="1"/>
    <col min="10507" max="10508" width="15.7265625" customWidth="1"/>
    <col min="10509" max="10512" width="0" hidden="1" customWidth="1"/>
    <col min="10513" max="10513" width="15.7265625" customWidth="1"/>
    <col min="10514" max="10514" width="12.54296875" customWidth="1"/>
    <col min="10515" max="10515" width="0" hidden="1" customWidth="1"/>
    <col min="10516" max="10516" width="12.81640625" customWidth="1"/>
    <col min="10518" max="10534" width="0" hidden="1" customWidth="1"/>
    <col min="10753" max="10753" width="3.54296875" customWidth="1"/>
    <col min="10754" max="10754" width="37.453125" customWidth="1"/>
    <col min="10755" max="10755" width="19.54296875" customWidth="1"/>
    <col min="10756" max="10756" width="12" customWidth="1"/>
    <col min="10757" max="10757" width="10" customWidth="1"/>
    <col min="10758" max="10758" width="12.54296875" customWidth="1"/>
    <col min="10759" max="10759" width="13.453125" customWidth="1"/>
    <col min="10760" max="10760" width="12" customWidth="1"/>
    <col min="10761" max="10761" width="12.1796875" customWidth="1"/>
    <col min="10762" max="10762" width="11.7265625" customWidth="1"/>
    <col min="10763" max="10764" width="15.7265625" customWidth="1"/>
    <col min="10765" max="10768" width="0" hidden="1" customWidth="1"/>
    <col min="10769" max="10769" width="15.7265625" customWidth="1"/>
    <col min="10770" max="10770" width="12.54296875" customWidth="1"/>
    <col min="10771" max="10771" width="0" hidden="1" customWidth="1"/>
    <col min="10772" max="10772" width="12.81640625" customWidth="1"/>
    <col min="10774" max="10790" width="0" hidden="1" customWidth="1"/>
    <col min="11009" max="11009" width="3.54296875" customWidth="1"/>
    <col min="11010" max="11010" width="37.453125" customWidth="1"/>
    <col min="11011" max="11011" width="19.54296875" customWidth="1"/>
    <col min="11012" max="11012" width="12" customWidth="1"/>
    <col min="11013" max="11013" width="10" customWidth="1"/>
    <col min="11014" max="11014" width="12.54296875" customWidth="1"/>
    <col min="11015" max="11015" width="13.453125" customWidth="1"/>
    <col min="11016" max="11016" width="12" customWidth="1"/>
    <col min="11017" max="11017" width="12.1796875" customWidth="1"/>
    <col min="11018" max="11018" width="11.7265625" customWidth="1"/>
    <col min="11019" max="11020" width="15.7265625" customWidth="1"/>
    <col min="11021" max="11024" width="0" hidden="1" customWidth="1"/>
    <col min="11025" max="11025" width="15.7265625" customWidth="1"/>
    <col min="11026" max="11026" width="12.54296875" customWidth="1"/>
    <col min="11027" max="11027" width="0" hidden="1" customWidth="1"/>
    <col min="11028" max="11028" width="12.81640625" customWidth="1"/>
    <col min="11030" max="11046" width="0" hidden="1" customWidth="1"/>
    <col min="11265" max="11265" width="3.54296875" customWidth="1"/>
    <col min="11266" max="11266" width="37.453125" customWidth="1"/>
    <col min="11267" max="11267" width="19.54296875" customWidth="1"/>
    <col min="11268" max="11268" width="12" customWidth="1"/>
    <col min="11269" max="11269" width="10" customWidth="1"/>
    <col min="11270" max="11270" width="12.54296875" customWidth="1"/>
    <col min="11271" max="11271" width="13.453125" customWidth="1"/>
    <col min="11272" max="11272" width="12" customWidth="1"/>
    <col min="11273" max="11273" width="12.1796875" customWidth="1"/>
    <col min="11274" max="11274" width="11.7265625" customWidth="1"/>
    <col min="11275" max="11276" width="15.7265625" customWidth="1"/>
    <col min="11277" max="11280" width="0" hidden="1" customWidth="1"/>
    <col min="11281" max="11281" width="15.7265625" customWidth="1"/>
    <col min="11282" max="11282" width="12.54296875" customWidth="1"/>
    <col min="11283" max="11283" width="0" hidden="1" customWidth="1"/>
    <col min="11284" max="11284" width="12.81640625" customWidth="1"/>
    <col min="11286" max="11302" width="0" hidden="1" customWidth="1"/>
    <col min="11521" max="11521" width="3.54296875" customWidth="1"/>
    <col min="11522" max="11522" width="37.453125" customWidth="1"/>
    <col min="11523" max="11523" width="19.54296875" customWidth="1"/>
    <col min="11524" max="11524" width="12" customWidth="1"/>
    <col min="11525" max="11525" width="10" customWidth="1"/>
    <col min="11526" max="11526" width="12.54296875" customWidth="1"/>
    <col min="11527" max="11527" width="13.453125" customWidth="1"/>
    <col min="11528" max="11528" width="12" customWidth="1"/>
    <col min="11529" max="11529" width="12.1796875" customWidth="1"/>
    <col min="11530" max="11530" width="11.7265625" customWidth="1"/>
    <col min="11531" max="11532" width="15.7265625" customWidth="1"/>
    <col min="11533" max="11536" width="0" hidden="1" customWidth="1"/>
    <col min="11537" max="11537" width="15.7265625" customWidth="1"/>
    <col min="11538" max="11538" width="12.54296875" customWidth="1"/>
    <col min="11539" max="11539" width="0" hidden="1" customWidth="1"/>
    <col min="11540" max="11540" width="12.81640625" customWidth="1"/>
    <col min="11542" max="11558" width="0" hidden="1" customWidth="1"/>
    <col min="11777" max="11777" width="3.54296875" customWidth="1"/>
    <col min="11778" max="11778" width="37.453125" customWidth="1"/>
    <col min="11779" max="11779" width="19.54296875" customWidth="1"/>
    <col min="11780" max="11780" width="12" customWidth="1"/>
    <col min="11781" max="11781" width="10" customWidth="1"/>
    <col min="11782" max="11782" width="12.54296875" customWidth="1"/>
    <col min="11783" max="11783" width="13.453125" customWidth="1"/>
    <col min="11784" max="11784" width="12" customWidth="1"/>
    <col min="11785" max="11785" width="12.1796875" customWidth="1"/>
    <col min="11786" max="11786" width="11.7265625" customWidth="1"/>
    <col min="11787" max="11788" width="15.7265625" customWidth="1"/>
    <col min="11789" max="11792" width="0" hidden="1" customWidth="1"/>
    <col min="11793" max="11793" width="15.7265625" customWidth="1"/>
    <col min="11794" max="11794" width="12.54296875" customWidth="1"/>
    <col min="11795" max="11795" width="0" hidden="1" customWidth="1"/>
    <col min="11796" max="11796" width="12.81640625" customWidth="1"/>
    <col min="11798" max="11814" width="0" hidden="1" customWidth="1"/>
    <col min="12033" max="12033" width="3.54296875" customWidth="1"/>
    <col min="12034" max="12034" width="37.453125" customWidth="1"/>
    <col min="12035" max="12035" width="19.54296875" customWidth="1"/>
    <col min="12036" max="12036" width="12" customWidth="1"/>
    <col min="12037" max="12037" width="10" customWidth="1"/>
    <col min="12038" max="12038" width="12.54296875" customWidth="1"/>
    <col min="12039" max="12039" width="13.453125" customWidth="1"/>
    <col min="12040" max="12040" width="12" customWidth="1"/>
    <col min="12041" max="12041" width="12.1796875" customWidth="1"/>
    <col min="12042" max="12042" width="11.7265625" customWidth="1"/>
    <col min="12043" max="12044" width="15.7265625" customWidth="1"/>
    <col min="12045" max="12048" width="0" hidden="1" customWidth="1"/>
    <col min="12049" max="12049" width="15.7265625" customWidth="1"/>
    <col min="12050" max="12050" width="12.54296875" customWidth="1"/>
    <col min="12051" max="12051" width="0" hidden="1" customWidth="1"/>
    <col min="12052" max="12052" width="12.81640625" customWidth="1"/>
    <col min="12054" max="12070" width="0" hidden="1" customWidth="1"/>
    <col min="12289" max="12289" width="3.54296875" customWidth="1"/>
    <col min="12290" max="12290" width="37.453125" customWidth="1"/>
    <col min="12291" max="12291" width="19.54296875" customWidth="1"/>
    <col min="12292" max="12292" width="12" customWidth="1"/>
    <col min="12293" max="12293" width="10" customWidth="1"/>
    <col min="12294" max="12294" width="12.54296875" customWidth="1"/>
    <col min="12295" max="12295" width="13.453125" customWidth="1"/>
    <col min="12296" max="12296" width="12" customWidth="1"/>
    <col min="12297" max="12297" width="12.1796875" customWidth="1"/>
    <col min="12298" max="12298" width="11.7265625" customWidth="1"/>
    <col min="12299" max="12300" width="15.7265625" customWidth="1"/>
    <col min="12301" max="12304" width="0" hidden="1" customWidth="1"/>
    <col min="12305" max="12305" width="15.7265625" customWidth="1"/>
    <col min="12306" max="12306" width="12.54296875" customWidth="1"/>
    <col min="12307" max="12307" width="0" hidden="1" customWidth="1"/>
    <col min="12308" max="12308" width="12.81640625" customWidth="1"/>
    <col min="12310" max="12326" width="0" hidden="1" customWidth="1"/>
    <col min="12545" max="12545" width="3.54296875" customWidth="1"/>
    <col min="12546" max="12546" width="37.453125" customWidth="1"/>
    <col min="12547" max="12547" width="19.54296875" customWidth="1"/>
    <col min="12548" max="12548" width="12" customWidth="1"/>
    <col min="12549" max="12549" width="10" customWidth="1"/>
    <col min="12550" max="12550" width="12.54296875" customWidth="1"/>
    <col min="12551" max="12551" width="13.453125" customWidth="1"/>
    <col min="12552" max="12552" width="12" customWidth="1"/>
    <col min="12553" max="12553" width="12.1796875" customWidth="1"/>
    <col min="12554" max="12554" width="11.7265625" customWidth="1"/>
    <col min="12555" max="12556" width="15.7265625" customWidth="1"/>
    <col min="12557" max="12560" width="0" hidden="1" customWidth="1"/>
    <col min="12561" max="12561" width="15.7265625" customWidth="1"/>
    <col min="12562" max="12562" width="12.54296875" customWidth="1"/>
    <col min="12563" max="12563" width="0" hidden="1" customWidth="1"/>
    <col min="12564" max="12564" width="12.81640625" customWidth="1"/>
    <col min="12566" max="12582" width="0" hidden="1" customWidth="1"/>
    <col min="12801" max="12801" width="3.54296875" customWidth="1"/>
    <col min="12802" max="12802" width="37.453125" customWidth="1"/>
    <col min="12803" max="12803" width="19.54296875" customWidth="1"/>
    <col min="12804" max="12804" width="12" customWidth="1"/>
    <col min="12805" max="12805" width="10" customWidth="1"/>
    <col min="12806" max="12806" width="12.54296875" customWidth="1"/>
    <col min="12807" max="12807" width="13.453125" customWidth="1"/>
    <col min="12808" max="12808" width="12" customWidth="1"/>
    <col min="12809" max="12809" width="12.1796875" customWidth="1"/>
    <col min="12810" max="12810" width="11.7265625" customWidth="1"/>
    <col min="12811" max="12812" width="15.7265625" customWidth="1"/>
    <col min="12813" max="12816" width="0" hidden="1" customWidth="1"/>
    <col min="12817" max="12817" width="15.7265625" customWidth="1"/>
    <col min="12818" max="12818" width="12.54296875" customWidth="1"/>
    <col min="12819" max="12819" width="0" hidden="1" customWidth="1"/>
    <col min="12820" max="12820" width="12.81640625" customWidth="1"/>
    <col min="12822" max="12838" width="0" hidden="1" customWidth="1"/>
    <col min="13057" max="13057" width="3.54296875" customWidth="1"/>
    <col min="13058" max="13058" width="37.453125" customWidth="1"/>
    <col min="13059" max="13059" width="19.54296875" customWidth="1"/>
    <col min="13060" max="13060" width="12" customWidth="1"/>
    <col min="13061" max="13061" width="10" customWidth="1"/>
    <col min="13062" max="13062" width="12.54296875" customWidth="1"/>
    <col min="13063" max="13063" width="13.453125" customWidth="1"/>
    <col min="13064" max="13064" width="12" customWidth="1"/>
    <col min="13065" max="13065" width="12.1796875" customWidth="1"/>
    <col min="13066" max="13066" width="11.7265625" customWidth="1"/>
    <col min="13067" max="13068" width="15.7265625" customWidth="1"/>
    <col min="13069" max="13072" width="0" hidden="1" customWidth="1"/>
    <col min="13073" max="13073" width="15.7265625" customWidth="1"/>
    <col min="13074" max="13074" width="12.54296875" customWidth="1"/>
    <col min="13075" max="13075" width="0" hidden="1" customWidth="1"/>
    <col min="13076" max="13076" width="12.81640625" customWidth="1"/>
    <col min="13078" max="13094" width="0" hidden="1" customWidth="1"/>
    <col min="13313" max="13313" width="3.54296875" customWidth="1"/>
    <col min="13314" max="13314" width="37.453125" customWidth="1"/>
    <col min="13315" max="13315" width="19.54296875" customWidth="1"/>
    <col min="13316" max="13316" width="12" customWidth="1"/>
    <col min="13317" max="13317" width="10" customWidth="1"/>
    <col min="13318" max="13318" width="12.54296875" customWidth="1"/>
    <col min="13319" max="13319" width="13.453125" customWidth="1"/>
    <col min="13320" max="13320" width="12" customWidth="1"/>
    <col min="13321" max="13321" width="12.1796875" customWidth="1"/>
    <col min="13322" max="13322" width="11.7265625" customWidth="1"/>
    <col min="13323" max="13324" width="15.7265625" customWidth="1"/>
    <col min="13325" max="13328" width="0" hidden="1" customWidth="1"/>
    <col min="13329" max="13329" width="15.7265625" customWidth="1"/>
    <col min="13330" max="13330" width="12.54296875" customWidth="1"/>
    <col min="13331" max="13331" width="0" hidden="1" customWidth="1"/>
    <col min="13332" max="13332" width="12.81640625" customWidth="1"/>
    <col min="13334" max="13350" width="0" hidden="1" customWidth="1"/>
    <col min="13569" max="13569" width="3.54296875" customWidth="1"/>
    <col min="13570" max="13570" width="37.453125" customWidth="1"/>
    <col min="13571" max="13571" width="19.54296875" customWidth="1"/>
    <col min="13572" max="13572" width="12" customWidth="1"/>
    <col min="13573" max="13573" width="10" customWidth="1"/>
    <col min="13574" max="13574" width="12.54296875" customWidth="1"/>
    <col min="13575" max="13575" width="13.453125" customWidth="1"/>
    <col min="13576" max="13576" width="12" customWidth="1"/>
    <col min="13577" max="13577" width="12.1796875" customWidth="1"/>
    <col min="13578" max="13578" width="11.7265625" customWidth="1"/>
    <col min="13579" max="13580" width="15.7265625" customWidth="1"/>
    <col min="13581" max="13584" width="0" hidden="1" customWidth="1"/>
    <col min="13585" max="13585" width="15.7265625" customWidth="1"/>
    <col min="13586" max="13586" width="12.54296875" customWidth="1"/>
    <col min="13587" max="13587" width="0" hidden="1" customWidth="1"/>
    <col min="13588" max="13588" width="12.81640625" customWidth="1"/>
    <col min="13590" max="13606" width="0" hidden="1" customWidth="1"/>
    <col min="13825" max="13825" width="3.54296875" customWidth="1"/>
    <col min="13826" max="13826" width="37.453125" customWidth="1"/>
    <col min="13827" max="13827" width="19.54296875" customWidth="1"/>
    <col min="13828" max="13828" width="12" customWidth="1"/>
    <col min="13829" max="13829" width="10" customWidth="1"/>
    <col min="13830" max="13830" width="12.54296875" customWidth="1"/>
    <col min="13831" max="13831" width="13.453125" customWidth="1"/>
    <col min="13832" max="13832" width="12" customWidth="1"/>
    <col min="13833" max="13833" width="12.1796875" customWidth="1"/>
    <col min="13834" max="13834" width="11.7265625" customWidth="1"/>
    <col min="13835" max="13836" width="15.7265625" customWidth="1"/>
    <col min="13837" max="13840" width="0" hidden="1" customWidth="1"/>
    <col min="13841" max="13841" width="15.7265625" customWidth="1"/>
    <col min="13842" max="13842" width="12.54296875" customWidth="1"/>
    <col min="13843" max="13843" width="0" hidden="1" customWidth="1"/>
    <col min="13844" max="13844" width="12.81640625" customWidth="1"/>
    <col min="13846" max="13862" width="0" hidden="1" customWidth="1"/>
    <col min="14081" max="14081" width="3.54296875" customWidth="1"/>
    <col min="14082" max="14082" width="37.453125" customWidth="1"/>
    <col min="14083" max="14083" width="19.54296875" customWidth="1"/>
    <col min="14084" max="14084" width="12" customWidth="1"/>
    <col min="14085" max="14085" width="10" customWidth="1"/>
    <col min="14086" max="14086" width="12.54296875" customWidth="1"/>
    <col min="14087" max="14087" width="13.453125" customWidth="1"/>
    <col min="14088" max="14088" width="12" customWidth="1"/>
    <col min="14089" max="14089" width="12.1796875" customWidth="1"/>
    <col min="14090" max="14090" width="11.7265625" customWidth="1"/>
    <col min="14091" max="14092" width="15.7265625" customWidth="1"/>
    <col min="14093" max="14096" width="0" hidden="1" customWidth="1"/>
    <col min="14097" max="14097" width="15.7265625" customWidth="1"/>
    <col min="14098" max="14098" width="12.54296875" customWidth="1"/>
    <col min="14099" max="14099" width="0" hidden="1" customWidth="1"/>
    <col min="14100" max="14100" width="12.81640625" customWidth="1"/>
    <col min="14102" max="14118" width="0" hidden="1" customWidth="1"/>
    <col min="14337" max="14337" width="3.54296875" customWidth="1"/>
    <col min="14338" max="14338" width="37.453125" customWidth="1"/>
    <col min="14339" max="14339" width="19.54296875" customWidth="1"/>
    <col min="14340" max="14340" width="12" customWidth="1"/>
    <col min="14341" max="14341" width="10" customWidth="1"/>
    <col min="14342" max="14342" width="12.54296875" customWidth="1"/>
    <col min="14343" max="14343" width="13.453125" customWidth="1"/>
    <col min="14344" max="14344" width="12" customWidth="1"/>
    <col min="14345" max="14345" width="12.1796875" customWidth="1"/>
    <col min="14346" max="14346" width="11.7265625" customWidth="1"/>
    <col min="14347" max="14348" width="15.7265625" customWidth="1"/>
    <col min="14349" max="14352" width="0" hidden="1" customWidth="1"/>
    <col min="14353" max="14353" width="15.7265625" customWidth="1"/>
    <col min="14354" max="14354" width="12.54296875" customWidth="1"/>
    <col min="14355" max="14355" width="0" hidden="1" customWidth="1"/>
    <col min="14356" max="14356" width="12.81640625" customWidth="1"/>
    <col min="14358" max="14374" width="0" hidden="1" customWidth="1"/>
    <col min="14593" max="14593" width="3.54296875" customWidth="1"/>
    <col min="14594" max="14594" width="37.453125" customWidth="1"/>
    <col min="14595" max="14595" width="19.54296875" customWidth="1"/>
    <col min="14596" max="14596" width="12" customWidth="1"/>
    <col min="14597" max="14597" width="10" customWidth="1"/>
    <col min="14598" max="14598" width="12.54296875" customWidth="1"/>
    <col min="14599" max="14599" width="13.453125" customWidth="1"/>
    <col min="14600" max="14600" width="12" customWidth="1"/>
    <col min="14601" max="14601" width="12.1796875" customWidth="1"/>
    <col min="14602" max="14602" width="11.7265625" customWidth="1"/>
    <col min="14603" max="14604" width="15.7265625" customWidth="1"/>
    <col min="14605" max="14608" width="0" hidden="1" customWidth="1"/>
    <col min="14609" max="14609" width="15.7265625" customWidth="1"/>
    <col min="14610" max="14610" width="12.54296875" customWidth="1"/>
    <col min="14611" max="14611" width="0" hidden="1" customWidth="1"/>
    <col min="14612" max="14612" width="12.81640625" customWidth="1"/>
    <col min="14614" max="14630" width="0" hidden="1" customWidth="1"/>
    <col min="14849" max="14849" width="3.54296875" customWidth="1"/>
    <col min="14850" max="14850" width="37.453125" customWidth="1"/>
    <col min="14851" max="14851" width="19.54296875" customWidth="1"/>
    <col min="14852" max="14852" width="12" customWidth="1"/>
    <col min="14853" max="14853" width="10" customWidth="1"/>
    <col min="14854" max="14854" width="12.54296875" customWidth="1"/>
    <col min="14855" max="14855" width="13.453125" customWidth="1"/>
    <col min="14856" max="14856" width="12" customWidth="1"/>
    <col min="14857" max="14857" width="12.1796875" customWidth="1"/>
    <col min="14858" max="14858" width="11.7265625" customWidth="1"/>
    <col min="14859" max="14860" width="15.7265625" customWidth="1"/>
    <col min="14861" max="14864" width="0" hidden="1" customWidth="1"/>
    <col min="14865" max="14865" width="15.7265625" customWidth="1"/>
    <col min="14866" max="14866" width="12.54296875" customWidth="1"/>
    <col min="14867" max="14867" width="0" hidden="1" customWidth="1"/>
    <col min="14868" max="14868" width="12.81640625" customWidth="1"/>
    <col min="14870" max="14886" width="0" hidden="1" customWidth="1"/>
    <col min="15105" max="15105" width="3.54296875" customWidth="1"/>
    <col min="15106" max="15106" width="37.453125" customWidth="1"/>
    <col min="15107" max="15107" width="19.54296875" customWidth="1"/>
    <col min="15108" max="15108" width="12" customWidth="1"/>
    <col min="15109" max="15109" width="10" customWidth="1"/>
    <col min="15110" max="15110" width="12.54296875" customWidth="1"/>
    <col min="15111" max="15111" width="13.453125" customWidth="1"/>
    <col min="15112" max="15112" width="12" customWidth="1"/>
    <col min="15113" max="15113" width="12.1796875" customWidth="1"/>
    <col min="15114" max="15114" width="11.7265625" customWidth="1"/>
    <col min="15115" max="15116" width="15.7265625" customWidth="1"/>
    <col min="15117" max="15120" width="0" hidden="1" customWidth="1"/>
    <col min="15121" max="15121" width="15.7265625" customWidth="1"/>
    <col min="15122" max="15122" width="12.54296875" customWidth="1"/>
    <col min="15123" max="15123" width="0" hidden="1" customWidth="1"/>
    <col min="15124" max="15124" width="12.81640625" customWidth="1"/>
    <col min="15126" max="15142" width="0" hidden="1" customWidth="1"/>
    <col min="15361" max="15361" width="3.54296875" customWidth="1"/>
    <col min="15362" max="15362" width="37.453125" customWidth="1"/>
    <col min="15363" max="15363" width="19.54296875" customWidth="1"/>
    <col min="15364" max="15364" width="12" customWidth="1"/>
    <col min="15365" max="15365" width="10" customWidth="1"/>
    <col min="15366" max="15366" width="12.54296875" customWidth="1"/>
    <col min="15367" max="15367" width="13.453125" customWidth="1"/>
    <col min="15368" max="15368" width="12" customWidth="1"/>
    <col min="15369" max="15369" width="12.1796875" customWidth="1"/>
    <col min="15370" max="15370" width="11.7265625" customWidth="1"/>
    <col min="15371" max="15372" width="15.7265625" customWidth="1"/>
    <col min="15373" max="15376" width="0" hidden="1" customWidth="1"/>
    <col min="15377" max="15377" width="15.7265625" customWidth="1"/>
    <col min="15378" max="15378" width="12.54296875" customWidth="1"/>
    <col min="15379" max="15379" width="0" hidden="1" customWidth="1"/>
    <col min="15380" max="15380" width="12.81640625" customWidth="1"/>
    <col min="15382" max="15398" width="0" hidden="1" customWidth="1"/>
    <col min="15617" max="15617" width="3.54296875" customWidth="1"/>
    <col min="15618" max="15618" width="37.453125" customWidth="1"/>
    <col min="15619" max="15619" width="19.54296875" customWidth="1"/>
    <col min="15620" max="15620" width="12" customWidth="1"/>
    <col min="15621" max="15621" width="10" customWidth="1"/>
    <col min="15622" max="15622" width="12.54296875" customWidth="1"/>
    <col min="15623" max="15623" width="13.453125" customWidth="1"/>
    <col min="15624" max="15624" width="12" customWidth="1"/>
    <col min="15625" max="15625" width="12.1796875" customWidth="1"/>
    <col min="15626" max="15626" width="11.7265625" customWidth="1"/>
    <col min="15627" max="15628" width="15.7265625" customWidth="1"/>
    <col min="15629" max="15632" width="0" hidden="1" customWidth="1"/>
    <col min="15633" max="15633" width="15.7265625" customWidth="1"/>
    <col min="15634" max="15634" width="12.54296875" customWidth="1"/>
    <col min="15635" max="15635" width="0" hidden="1" customWidth="1"/>
    <col min="15636" max="15636" width="12.81640625" customWidth="1"/>
    <col min="15638" max="15654" width="0" hidden="1" customWidth="1"/>
    <col min="15873" max="15873" width="3.54296875" customWidth="1"/>
    <col min="15874" max="15874" width="37.453125" customWidth="1"/>
    <col min="15875" max="15875" width="19.54296875" customWidth="1"/>
    <col min="15876" max="15876" width="12" customWidth="1"/>
    <col min="15877" max="15877" width="10" customWidth="1"/>
    <col min="15878" max="15878" width="12.54296875" customWidth="1"/>
    <col min="15879" max="15879" width="13.453125" customWidth="1"/>
    <col min="15880" max="15880" width="12" customWidth="1"/>
    <col min="15881" max="15881" width="12.1796875" customWidth="1"/>
    <col min="15882" max="15882" width="11.7265625" customWidth="1"/>
    <col min="15883" max="15884" width="15.7265625" customWidth="1"/>
    <col min="15885" max="15888" width="0" hidden="1" customWidth="1"/>
    <col min="15889" max="15889" width="15.7265625" customWidth="1"/>
    <col min="15890" max="15890" width="12.54296875" customWidth="1"/>
    <col min="15891" max="15891" width="0" hidden="1" customWidth="1"/>
    <col min="15892" max="15892" width="12.81640625" customWidth="1"/>
    <col min="15894" max="15910" width="0" hidden="1" customWidth="1"/>
    <col min="16129" max="16129" width="3.54296875" customWidth="1"/>
    <col min="16130" max="16130" width="37.453125" customWidth="1"/>
    <col min="16131" max="16131" width="19.54296875" customWidth="1"/>
    <col min="16132" max="16132" width="12" customWidth="1"/>
    <col min="16133" max="16133" width="10" customWidth="1"/>
    <col min="16134" max="16134" width="12.54296875" customWidth="1"/>
    <col min="16135" max="16135" width="13.453125" customWidth="1"/>
    <col min="16136" max="16136" width="12" customWidth="1"/>
    <col min="16137" max="16137" width="12.1796875" customWidth="1"/>
    <col min="16138" max="16138" width="11.7265625" customWidth="1"/>
    <col min="16139" max="16140" width="15.7265625" customWidth="1"/>
    <col min="16141" max="16144" width="0" hidden="1" customWidth="1"/>
    <col min="16145" max="16145" width="15.7265625" customWidth="1"/>
    <col min="16146" max="16146" width="12.54296875" customWidth="1"/>
    <col min="16147" max="16147" width="0" hidden="1" customWidth="1"/>
    <col min="16148" max="16148" width="12.81640625" customWidth="1"/>
    <col min="16150" max="16166" width="0" hidden="1" customWidth="1"/>
  </cols>
  <sheetData>
    <row r="1" spans="1:28" x14ac:dyDescent="0.25">
      <c r="B1" s="1652" t="s">
        <v>218</v>
      </c>
      <c r="C1" s="1653"/>
      <c r="D1" s="1653"/>
      <c r="E1" s="1653"/>
      <c r="F1" s="1653"/>
      <c r="G1" s="1653"/>
      <c r="H1" s="1653"/>
      <c r="I1" s="1653"/>
      <c r="J1" s="1653"/>
      <c r="K1" s="1653"/>
      <c r="L1" s="1653"/>
      <c r="M1" s="1653"/>
      <c r="N1" s="1653"/>
      <c r="O1" s="1653"/>
      <c r="P1" s="1653"/>
      <c r="Q1" s="1653"/>
      <c r="R1" s="1653"/>
      <c r="S1" s="1654"/>
    </row>
    <row r="2" spans="1:28" ht="9" customHeight="1" x14ac:dyDescent="0.25">
      <c r="B2" s="104"/>
      <c r="S2" s="354"/>
    </row>
    <row r="3" spans="1:28" x14ac:dyDescent="0.25">
      <c r="B3" s="1652" t="s">
        <v>1614</v>
      </c>
      <c r="C3" s="1653"/>
      <c r="D3" s="1653"/>
      <c r="E3" s="1653"/>
      <c r="F3" s="1653"/>
      <c r="G3" s="1653"/>
      <c r="H3" s="1653"/>
      <c r="I3" s="1653"/>
      <c r="J3" s="1653"/>
      <c r="K3" s="1653"/>
      <c r="L3" s="1653"/>
      <c r="M3" s="1653"/>
      <c r="N3" s="1653"/>
      <c r="O3" s="1653"/>
      <c r="P3" s="1653"/>
      <c r="Q3" s="1653"/>
      <c r="R3" s="1653"/>
      <c r="S3" s="1654"/>
    </row>
    <row r="4" spans="1:28" x14ac:dyDescent="0.25">
      <c r="B4" s="105"/>
      <c r="C4" s="650"/>
      <c r="D4" s="650"/>
      <c r="E4" s="650"/>
      <c r="F4" s="650"/>
      <c r="G4" s="650"/>
      <c r="H4" s="650"/>
      <c r="I4" s="650"/>
      <c r="J4" s="650"/>
      <c r="K4" s="650"/>
      <c r="L4" s="650"/>
      <c r="M4" s="650"/>
      <c r="N4" s="651"/>
      <c r="O4" s="650"/>
      <c r="P4" s="650"/>
      <c r="Q4" s="650"/>
      <c r="R4" s="650"/>
      <c r="S4" s="355"/>
    </row>
    <row r="5" spans="1:28" ht="23.25" customHeight="1" x14ac:dyDescent="0.3">
      <c r="A5">
        <v>1</v>
      </c>
      <c r="B5" s="13">
        <v>8</v>
      </c>
      <c r="C5" s="357" t="s">
        <v>1408</v>
      </c>
      <c r="D5" s="357" t="s">
        <v>1221</v>
      </c>
      <c r="E5" s="357" t="s">
        <v>14</v>
      </c>
      <c r="F5" s="357" t="s">
        <v>15</v>
      </c>
      <c r="G5" s="357" t="s">
        <v>1222</v>
      </c>
      <c r="H5" s="996" t="s">
        <v>16</v>
      </c>
      <c r="I5" s="357" t="s">
        <v>17</v>
      </c>
      <c r="J5" s="997" t="s">
        <v>18</v>
      </c>
      <c r="K5" s="357" t="s">
        <v>19</v>
      </c>
      <c r="L5" s="357" t="s">
        <v>20</v>
      </c>
      <c r="M5" s="357" t="s">
        <v>21</v>
      </c>
      <c r="N5" s="357" t="s">
        <v>22</v>
      </c>
      <c r="O5" s="357" t="s">
        <v>23</v>
      </c>
      <c r="P5" s="996" t="s">
        <v>24</v>
      </c>
      <c r="Q5" s="998" t="s">
        <v>26</v>
      </c>
      <c r="R5" s="357" t="s">
        <v>25</v>
      </c>
      <c r="S5" s="653" t="s">
        <v>46</v>
      </c>
      <c r="T5" s="654" t="s">
        <v>1223</v>
      </c>
    </row>
    <row r="6" spans="1:28" x14ac:dyDescent="0.25">
      <c r="B6" s="53" t="s">
        <v>45</v>
      </c>
      <c r="C6" s="362">
        <v>353308839</v>
      </c>
      <c r="D6" s="362">
        <f>+C6/12</f>
        <v>29442403.25</v>
      </c>
      <c r="E6" s="362">
        <f>-287015+28701567</f>
        <v>28414552</v>
      </c>
      <c r="F6" s="362">
        <v>28414552</v>
      </c>
      <c r="G6" s="362">
        <v>28414552</v>
      </c>
      <c r="H6" s="999">
        <f>+H8-H7</f>
        <v>32509259</v>
      </c>
      <c r="I6" s="362">
        <f>29735584-I7</f>
        <v>29438226</v>
      </c>
      <c r="J6" s="867">
        <f>+J8-J7</f>
        <v>29438226</v>
      </c>
      <c r="K6" s="867">
        <f>+K8-K7</f>
        <v>29438226</v>
      </c>
      <c r="L6" s="362">
        <f>+Z11-L7</f>
        <v>29438226</v>
      </c>
      <c r="M6" s="362"/>
      <c r="N6" s="362"/>
      <c r="O6" s="362"/>
      <c r="P6" s="999"/>
      <c r="Q6" s="867">
        <f>SUM(E6:P6)</f>
        <v>235505819</v>
      </c>
      <c r="R6" s="362">
        <f>+D6*$B$5</f>
        <v>235539226</v>
      </c>
      <c r="S6" s="655">
        <f>+R6-Q6</f>
        <v>33407</v>
      </c>
      <c r="T6" s="656">
        <f>+R6-Q6</f>
        <v>33407</v>
      </c>
    </row>
    <row r="7" spans="1:28" x14ac:dyDescent="0.25">
      <c r="B7" s="13" t="s">
        <v>120</v>
      </c>
      <c r="C7" s="364">
        <v>3533088</v>
      </c>
      <c r="D7" s="362">
        <f>+C7/12</f>
        <v>294424</v>
      </c>
      <c r="E7" s="364">
        <v>287015</v>
      </c>
      <c r="F7" s="364">
        <v>287015</v>
      </c>
      <c r="G7" s="364">
        <v>287015</v>
      </c>
      <c r="H7" s="1000">
        <v>328376</v>
      </c>
      <c r="I7" s="364">
        <v>297358</v>
      </c>
      <c r="J7" s="361">
        <v>297358</v>
      </c>
      <c r="K7" s="361">
        <v>297358</v>
      </c>
      <c r="L7" s="364">
        <v>297358</v>
      </c>
      <c r="M7" s="364"/>
      <c r="N7" s="364"/>
      <c r="O7" s="364"/>
      <c r="P7" s="1000"/>
      <c r="Q7" s="361">
        <f>SUM(E7:P7)</f>
        <v>2378853</v>
      </c>
      <c r="R7" s="364">
        <f>+D7*$B$5</f>
        <v>2355392</v>
      </c>
      <c r="S7" s="655">
        <f>+R7-Q7</f>
        <v>-23461</v>
      </c>
      <c r="T7" s="656">
        <f>+R7-Q7</f>
        <v>-23461</v>
      </c>
      <c r="V7" s="1137" t="s">
        <v>1093</v>
      </c>
      <c r="W7" s="1137" t="s">
        <v>1094</v>
      </c>
      <c r="X7" s="1138">
        <v>-211669172.59</v>
      </c>
      <c r="Y7" s="1138">
        <v>0</v>
      </c>
      <c r="Z7" s="1138">
        <v>30255290.699999999</v>
      </c>
      <c r="AA7" s="1138">
        <v>-241924463.28999999</v>
      </c>
    </row>
    <row r="8" spans="1:28" ht="14" x14ac:dyDescent="0.3">
      <c r="B8" s="864" t="s">
        <v>125</v>
      </c>
      <c r="C8" s="865">
        <f>+C6+C7</f>
        <v>356841927</v>
      </c>
      <c r="D8" s="865">
        <f>SUM(D6:D7)</f>
        <v>29736827.25</v>
      </c>
      <c r="E8" s="865">
        <f>SUM(E6:E7)</f>
        <v>28701567</v>
      </c>
      <c r="F8" s="865">
        <f>SUM(F6:F7)</f>
        <v>28701567</v>
      </c>
      <c r="G8" s="865">
        <f>SUM(G6:G7)</f>
        <v>28701567</v>
      </c>
      <c r="H8" s="1001">
        <v>32837635</v>
      </c>
      <c r="I8" s="907">
        <f>+I6+I7</f>
        <v>29735584</v>
      </c>
      <c r="J8" s="865">
        <v>29735584</v>
      </c>
      <c r="K8" s="865">
        <v>29735584</v>
      </c>
      <c r="L8" s="865">
        <v>29735584</v>
      </c>
      <c r="M8" s="865">
        <f>SUM(M6:M7)</f>
        <v>0</v>
      </c>
      <c r="N8" s="865">
        <f>SUM(N6:N7)</f>
        <v>0</v>
      </c>
      <c r="O8" s="865">
        <f>SUM(O6:O7)</f>
        <v>0</v>
      </c>
      <c r="P8" s="1001">
        <f>SUM(P6:P7)</f>
        <v>0</v>
      </c>
      <c r="Q8" s="865">
        <f>SUM(Q6:Q7)</f>
        <v>237884672</v>
      </c>
      <c r="R8" s="907">
        <f>+D8*$B$5</f>
        <v>237894618</v>
      </c>
      <c r="S8" s="868">
        <f>+R8-Q8</f>
        <v>9946</v>
      </c>
      <c r="T8" s="504">
        <f>+R8-Q8</f>
        <v>9946</v>
      </c>
      <c r="V8" s="1137" t="s">
        <v>1095</v>
      </c>
      <c r="W8" s="1137" t="s">
        <v>1096</v>
      </c>
      <c r="X8" s="1138">
        <v>-208149088</v>
      </c>
      <c r="Y8" s="1138">
        <v>0</v>
      </c>
      <c r="Z8" s="1138">
        <v>29735584</v>
      </c>
      <c r="AA8" s="1138">
        <v>-237884672</v>
      </c>
    </row>
    <row r="9" spans="1:28" ht="15.5" x14ac:dyDescent="0.25">
      <c r="B9" s="59" t="s">
        <v>77</v>
      </c>
      <c r="C9" s="366"/>
      <c r="D9" s="431" t="s">
        <v>33</v>
      </c>
      <c r="E9" s="431" t="s">
        <v>33</v>
      </c>
      <c r="F9" s="367"/>
      <c r="G9" s="367"/>
      <c r="H9" s="1002"/>
      <c r="I9" s="367"/>
      <c r="J9" s="1003"/>
      <c r="K9" s="1003"/>
      <c r="L9" s="367"/>
      <c r="M9" s="367"/>
      <c r="N9" s="367"/>
      <c r="O9" s="367"/>
      <c r="P9" s="1002"/>
      <c r="Q9" s="1003"/>
      <c r="R9" s="367" t="s">
        <v>33</v>
      </c>
      <c r="S9" s="655"/>
      <c r="T9" s="657" t="s">
        <v>33</v>
      </c>
      <c r="V9" s="1137" t="s">
        <v>1097</v>
      </c>
      <c r="W9" s="1137" t="s">
        <v>1098</v>
      </c>
      <c r="X9" s="1138">
        <v>-208149088</v>
      </c>
      <c r="Y9" s="1138">
        <v>0</v>
      </c>
      <c r="Z9" s="1138">
        <v>29735584</v>
      </c>
      <c r="AA9" s="1138">
        <v>-237884672</v>
      </c>
    </row>
    <row r="10" spans="1:28" ht="16.5" customHeight="1" x14ac:dyDescent="0.25">
      <c r="B10" s="60" t="s">
        <v>78</v>
      </c>
      <c r="C10" s="368"/>
      <c r="D10" s="369"/>
      <c r="E10" s="369"/>
      <c r="F10" s="371"/>
      <c r="G10" s="371"/>
      <c r="H10" s="1004"/>
      <c r="I10" s="371"/>
      <c r="J10" s="1005"/>
      <c r="K10" s="1005"/>
      <c r="L10" s="371"/>
      <c r="M10" s="371"/>
      <c r="N10" s="371"/>
      <c r="O10" s="371"/>
      <c r="P10" s="1004"/>
      <c r="Q10" s="1005"/>
      <c r="R10" s="371" t="s">
        <v>33</v>
      </c>
      <c r="S10" s="658"/>
      <c r="T10" s="657" t="s">
        <v>33</v>
      </c>
      <c r="V10" s="1137" t="s">
        <v>1099</v>
      </c>
      <c r="W10" s="1137" t="s">
        <v>1100</v>
      </c>
      <c r="X10" s="1138">
        <v>-208149088</v>
      </c>
      <c r="Y10" s="1138">
        <v>0</v>
      </c>
      <c r="Z10" s="1138">
        <v>29735584</v>
      </c>
      <c r="AA10" s="1138">
        <v>-237884672</v>
      </c>
    </row>
    <row r="11" spans="1:28" x14ac:dyDescent="0.25">
      <c r="B11" s="61" t="s">
        <v>79</v>
      </c>
      <c r="C11" s="659">
        <v>33199438.319999997</v>
      </c>
      <c r="D11" s="432">
        <f>+C11/12</f>
        <v>2766619.86</v>
      </c>
      <c r="E11" s="432">
        <v>2766619</v>
      </c>
      <c r="F11" s="374">
        <v>2766619</v>
      </c>
      <c r="G11" s="374">
        <v>2766619</v>
      </c>
      <c r="H11" s="1006">
        <v>2766619</v>
      </c>
      <c r="I11" s="374">
        <v>2827988</v>
      </c>
      <c r="J11" s="1007">
        <v>2766620</v>
      </c>
      <c r="K11" s="1007">
        <v>2766620</v>
      </c>
      <c r="L11" s="1164">
        <v>2766620</v>
      </c>
      <c r="M11" s="374"/>
      <c r="N11" s="374"/>
      <c r="O11" s="374"/>
      <c r="P11" s="1006"/>
      <c r="Q11" s="1007">
        <f>SUM(E11:P11)</f>
        <v>22194324</v>
      </c>
      <c r="R11" s="374">
        <f>+D11*$B$5</f>
        <v>22132958.879999999</v>
      </c>
      <c r="S11" s="655">
        <f t="shared" ref="S11:S18" si="0">+R11-Q11</f>
        <v>-61365.120000001043</v>
      </c>
      <c r="T11" s="656">
        <f t="shared" ref="T11:T19" si="1">+R11-Q11</f>
        <v>-61365.120000001043</v>
      </c>
      <c r="V11" s="1137" t="s">
        <v>1101</v>
      </c>
      <c r="W11" s="1137" t="s">
        <v>1000</v>
      </c>
      <c r="X11" s="1138">
        <v>-208149088</v>
      </c>
      <c r="Y11" s="1138">
        <v>0</v>
      </c>
      <c r="Z11" s="1138">
        <v>29735584</v>
      </c>
      <c r="AA11" s="1138">
        <v>-237884672</v>
      </c>
    </row>
    <row r="12" spans="1:28" x14ac:dyDescent="0.25">
      <c r="B12" s="62" t="s">
        <v>80</v>
      </c>
      <c r="C12" s="660">
        <v>1260000</v>
      </c>
      <c r="D12" s="433">
        <f t="shared" ref="D12:D35" si="2">+C12/12</f>
        <v>105000</v>
      </c>
      <c r="E12" s="433">
        <v>143550</v>
      </c>
      <c r="F12" s="364">
        <v>235199</v>
      </c>
      <c r="G12" s="364">
        <v>220474</v>
      </c>
      <c r="H12" s="1000">
        <v>175110</v>
      </c>
      <c r="I12" s="364">
        <v>120400</v>
      </c>
      <c r="J12" s="361">
        <v>95350</v>
      </c>
      <c r="K12" s="361">
        <v>115100</v>
      </c>
      <c r="L12" s="1165">
        <f>+Y69</f>
        <v>77500</v>
      </c>
      <c r="M12" s="364"/>
      <c r="N12" s="364"/>
      <c r="O12" s="364"/>
      <c r="P12" s="1000"/>
      <c r="Q12" s="361">
        <f t="shared" ref="Q12:Q18" si="3">SUM(E12:P12)</f>
        <v>1182683</v>
      </c>
      <c r="R12" s="364">
        <f t="shared" ref="R12:R19" si="4">+D12*$B$5</f>
        <v>840000</v>
      </c>
      <c r="S12" s="655">
        <f t="shared" si="0"/>
        <v>-342683</v>
      </c>
      <c r="T12" s="656">
        <f t="shared" si="1"/>
        <v>-342683</v>
      </c>
      <c r="V12" s="1137" t="s">
        <v>1102</v>
      </c>
      <c r="W12" s="1137" t="s">
        <v>1103</v>
      </c>
      <c r="X12" s="1138">
        <v>-3520084.59</v>
      </c>
      <c r="Y12" s="1138">
        <v>0</v>
      </c>
      <c r="Z12" s="1138">
        <v>519706.7</v>
      </c>
      <c r="AA12" s="1138">
        <v>-4039791.29</v>
      </c>
    </row>
    <row r="13" spans="1:28" x14ac:dyDescent="0.25">
      <c r="B13" s="61" t="s">
        <v>81</v>
      </c>
      <c r="C13" s="659">
        <v>10500000</v>
      </c>
      <c r="D13" s="432">
        <f t="shared" si="2"/>
        <v>875000</v>
      </c>
      <c r="E13" s="432">
        <v>1581421</v>
      </c>
      <c r="F13" s="374">
        <v>0</v>
      </c>
      <c r="G13" s="374">
        <f>196100+277737+50000</f>
        <v>523837</v>
      </c>
      <c r="H13" s="1006">
        <v>338825</v>
      </c>
      <c r="I13" s="374">
        <f>-111750+278850</f>
        <v>167100</v>
      </c>
      <c r="J13" s="1007">
        <v>1050763</v>
      </c>
      <c r="K13" s="1007">
        <v>1107390</v>
      </c>
      <c r="L13" s="1164">
        <f>+Y58</f>
        <v>1519560</v>
      </c>
      <c r="M13" s="374"/>
      <c r="N13" s="374"/>
      <c r="O13" s="374"/>
      <c r="P13" s="1006"/>
      <c r="Q13" s="1007">
        <f t="shared" si="3"/>
        <v>6288896</v>
      </c>
      <c r="R13" s="374">
        <f t="shared" si="4"/>
        <v>7000000</v>
      </c>
      <c r="S13" s="655">
        <f t="shared" si="0"/>
        <v>711104</v>
      </c>
      <c r="T13" s="656">
        <f t="shared" si="1"/>
        <v>711104</v>
      </c>
      <c r="V13" s="1137" t="s">
        <v>1104</v>
      </c>
      <c r="W13" s="1137" t="s">
        <v>1105</v>
      </c>
      <c r="X13" s="1138">
        <v>-3268555.85</v>
      </c>
      <c r="Y13" s="1138">
        <v>0</v>
      </c>
      <c r="Z13" s="1138">
        <v>519706.7</v>
      </c>
      <c r="AA13" s="1138">
        <v>-3788262.55</v>
      </c>
      <c r="AB13" s="42">
        <f>+Z12-L59</f>
        <v>0</v>
      </c>
    </row>
    <row r="14" spans="1:28" x14ac:dyDescent="0.25">
      <c r="B14" s="62" t="s">
        <v>82</v>
      </c>
      <c r="C14" s="660">
        <v>1800000</v>
      </c>
      <c r="D14" s="433">
        <f t="shared" si="2"/>
        <v>150000</v>
      </c>
      <c r="E14" s="433">
        <v>229300</v>
      </c>
      <c r="F14" s="364">
        <v>104000</v>
      </c>
      <c r="G14" s="364">
        <v>366738</v>
      </c>
      <c r="H14" s="1000"/>
      <c r="I14" s="364">
        <v>6000</v>
      </c>
      <c r="J14" s="361">
        <v>122000</v>
      </c>
      <c r="K14" s="361">
        <v>0</v>
      </c>
      <c r="L14" s="1165">
        <f>+Y60</f>
        <v>80000</v>
      </c>
      <c r="M14" s="364"/>
      <c r="N14" s="364"/>
      <c r="O14" s="364"/>
      <c r="P14" s="1000"/>
      <c r="Q14" s="361">
        <f t="shared" si="3"/>
        <v>908038</v>
      </c>
      <c r="R14" s="364">
        <f t="shared" si="4"/>
        <v>1200000</v>
      </c>
      <c r="S14" s="655">
        <f t="shared" si="0"/>
        <v>291962</v>
      </c>
      <c r="T14" s="656">
        <f t="shared" si="1"/>
        <v>291962</v>
      </c>
      <c r="V14" s="1137" t="s">
        <v>1106</v>
      </c>
      <c r="W14" s="1137" t="s">
        <v>1107</v>
      </c>
      <c r="X14" s="1138">
        <v>-505253.85</v>
      </c>
      <c r="Y14" s="1138">
        <v>0</v>
      </c>
      <c r="Z14" s="1138">
        <v>69440.7</v>
      </c>
      <c r="AA14" s="1138">
        <v>-574694.55000000005</v>
      </c>
    </row>
    <row r="15" spans="1:28" x14ac:dyDescent="0.25">
      <c r="B15" s="61" t="s">
        <v>83</v>
      </c>
      <c r="C15" s="659">
        <v>11900000</v>
      </c>
      <c r="D15" s="432">
        <f t="shared" si="2"/>
        <v>991666.66666666663</v>
      </c>
      <c r="E15" s="432">
        <v>823302</v>
      </c>
      <c r="F15" s="374">
        <v>1301779</v>
      </c>
      <c r="G15" s="374">
        <v>611281</v>
      </c>
      <c r="H15" s="1006">
        <v>203409</v>
      </c>
      <c r="I15" s="374">
        <v>984464</v>
      </c>
      <c r="J15" s="1007">
        <v>203409</v>
      </c>
      <c r="K15" s="1007">
        <v>203409</v>
      </c>
      <c r="L15" s="1164">
        <f>+Y63</f>
        <v>801889</v>
      </c>
      <c r="M15" s="374"/>
      <c r="N15" s="374"/>
      <c r="O15" s="374"/>
      <c r="P15" s="1006"/>
      <c r="Q15" s="1007">
        <f t="shared" si="3"/>
        <v>5132942</v>
      </c>
      <c r="R15" s="374">
        <f t="shared" si="4"/>
        <v>7933333.333333333</v>
      </c>
      <c r="S15" s="655">
        <f t="shared" si="0"/>
        <v>2800391.333333333</v>
      </c>
      <c r="T15" s="656">
        <f t="shared" si="1"/>
        <v>2800391.333333333</v>
      </c>
      <c r="V15" s="1137" t="s">
        <v>1108</v>
      </c>
      <c r="W15" s="1137" t="s">
        <v>1109</v>
      </c>
      <c r="X15" s="1138">
        <v>-15522.73</v>
      </c>
      <c r="Y15" s="1138">
        <v>0</v>
      </c>
      <c r="Z15" s="1138">
        <v>4978.68</v>
      </c>
      <c r="AA15" s="1138">
        <v>-20501.41</v>
      </c>
    </row>
    <row r="16" spans="1:28" x14ac:dyDescent="0.25">
      <c r="B16" s="62" t="s">
        <v>84</v>
      </c>
      <c r="C16" s="660">
        <v>590000</v>
      </c>
      <c r="D16" s="433">
        <f t="shared" si="2"/>
        <v>49166.666666666664</v>
      </c>
      <c r="E16" s="433">
        <v>0</v>
      </c>
      <c r="F16" s="364">
        <v>140000</v>
      </c>
      <c r="G16" s="364">
        <v>0</v>
      </c>
      <c r="H16" s="1000"/>
      <c r="I16" s="364"/>
      <c r="J16" s="361"/>
      <c r="K16" s="361"/>
      <c r="L16" s="1165">
        <f>+Y65</f>
        <v>140000</v>
      </c>
      <c r="M16" s="364"/>
      <c r="N16" s="364"/>
      <c r="O16" s="364"/>
      <c r="P16" s="1000"/>
      <c r="Q16" s="361">
        <f t="shared" si="3"/>
        <v>280000</v>
      </c>
      <c r="R16" s="364">
        <f t="shared" si="4"/>
        <v>393333.33333333331</v>
      </c>
      <c r="S16" s="655">
        <f t="shared" si="0"/>
        <v>113333.33333333331</v>
      </c>
      <c r="T16" s="656">
        <f t="shared" si="1"/>
        <v>113333.33333333331</v>
      </c>
      <c r="V16" s="1137" t="s">
        <v>1110</v>
      </c>
      <c r="W16" s="1137" t="s">
        <v>1111</v>
      </c>
      <c r="X16" s="1138">
        <v>-489731.12</v>
      </c>
      <c r="Y16" s="1138">
        <v>0</v>
      </c>
      <c r="Z16" s="1138">
        <v>64462.02</v>
      </c>
      <c r="AA16" s="1138">
        <v>-554193.14</v>
      </c>
    </row>
    <row r="17" spans="1:27" x14ac:dyDescent="0.25">
      <c r="B17" s="61" t="s">
        <v>85</v>
      </c>
      <c r="C17" s="659">
        <v>2429980</v>
      </c>
      <c r="D17" s="432">
        <f t="shared" si="2"/>
        <v>202498.33333333334</v>
      </c>
      <c r="E17" s="432">
        <v>246330</v>
      </c>
      <c r="F17" s="374">
        <v>0</v>
      </c>
      <c r="G17" s="374">
        <v>749700</v>
      </c>
      <c r="H17" s="1006"/>
      <c r="I17" s="374">
        <v>246330</v>
      </c>
      <c r="J17" s="1007">
        <v>0</v>
      </c>
      <c r="K17" s="1007">
        <v>238000</v>
      </c>
      <c r="L17" s="374">
        <v>0</v>
      </c>
      <c r="M17" s="374"/>
      <c r="N17" s="374"/>
      <c r="O17" s="374"/>
      <c r="P17" s="1006"/>
      <c r="Q17" s="1007">
        <f t="shared" si="3"/>
        <v>1480360</v>
      </c>
      <c r="R17" s="374">
        <f t="shared" si="4"/>
        <v>1619986.6666666667</v>
      </c>
      <c r="S17" s="655">
        <f t="shared" si="0"/>
        <v>139626.66666666674</v>
      </c>
      <c r="T17" s="656">
        <f t="shared" si="1"/>
        <v>139626.66666666674</v>
      </c>
      <c r="V17" s="1137" t="s">
        <v>1112</v>
      </c>
      <c r="W17" s="1137" t="s">
        <v>1113</v>
      </c>
      <c r="X17" s="1138">
        <v>-1872704</v>
      </c>
      <c r="Y17" s="1138">
        <v>0</v>
      </c>
      <c r="Z17" s="1138">
        <v>262103</v>
      </c>
      <c r="AA17" s="1138">
        <v>-2134807</v>
      </c>
    </row>
    <row r="18" spans="1:27" x14ac:dyDescent="0.25">
      <c r="A18" s="145"/>
      <c r="B18" s="869" t="s">
        <v>269</v>
      </c>
      <c r="C18" s="370">
        <v>0</v>
      </c>
      <c r="D18" s="870">
        <f>+C18/12</f>
        <v>0</v>
      </c>
      <c r="E18" s="369">
        <v>0</v>
      </c>
      <c r="F18" s="370">
        <v>350000</v>
      </c>
      <c r="G18" s="370"/>
      <c r="H18" s="1008"/>
      <c r="I18" s="370"/>
      <c r="J18" s="870"/>
      <c r="K18" s="870"/>
      <c r="L18" s="370"/>
      <c r="M18" s="370"/>
      <c r="N18" s="370"/>
      <c r="O18" s="370"/>
      <c r="P18" s="1008"/>
      <c r="Q18" s="870">
        <f t="shared" si="3"/>
        <v>350000</v>
      </c>
      <c r="R18" s="370">
        <f t="shared" si="4"/>
        <v>0</v>
      </c>
      <c r="S18" s="658">
        <f t="shared" si="0"/>
        <v>-350000</v>
      </c>
      <c r="T18" s="871">
        <f t="shared" si="1"/>
        <v>-350000</v>
      </c>
      <c r="V18" s="1137" t="s">
        <v>1114</v>
      </c>
      <c r="W18" s="1137" t="s">
        <v>1115</v>
      </c>
      <c r="X18" s="1138">
        <v>-1872704</v>
      </c>
      <c r="Y18" s="1138">
        <v>0</v>
      </c>
      <c r="Z18" s="1138">
        <v>262103</v>
      </c>
      <c r="AA18" s="1138">
        <v>-2134807</v>
      </c>
    </row>
    <row r="19" spans="1:27" s="54" customFormat="1" ht="13" x14ac:dyDescent="0.3">
      <c r="B19" s="63" t="s">
        <v>86</v>
      </c>
      <c r="C19" s="378">
        <f>SUM(C11:C18)</f>
        <v>61679418.319999993</v>
      </c>
      <c r="D19" s="378">
        <f t="shared" ref="D19:I19" si="5">SUM(D11:D18)</f>
        <v>5139951.5266666664</v>
      </c>
      <c r="E19" s="378">
        <f t="shared" si="5"/>
        <v>5790522</v>
      </c>
      <c r="F19" s="378">
        <f t="shared" si="5"/>
        <v>4897597</v>
      </c>
      <c r="G19" s="378">
        <f t="shared" si="5"/>
        <v>5238649</v>
      </c>
      <c r="H19" s="1009">
        <f t="shared" si="5"/>
        <v>3483963</v>
      </c>
      <c r="I19" s="378">
        <f t="shared" si="5"/>
        <v>4352282</v>
      </c>
      <c r="J19" s="1010">
        <f t="shared" ref="J19:P19" si="6">SUM(J11:J17)</f>
        <v>4238142</v>
      </c>
      <c r="K19" s="1010">
        <f>SUM(K11:K17)</f>
        <v>4430519</v>
      </c>
      <c r="L19" s="1010">
        <f>SUM(L11:L17)</f>
        <v>5385569</v>
      </c>
      <c r="M19" s="378">
        <f t="shared" si="6"/>
        <v>0</v>
      </c>
      <c r="N19" s="378">
        <f t="shared" si="6"/>
        <v>0</v>
      </c>
      <c r="O19" s="378">
        <f t="shared" si="6"/>
        <v>0</v>
      </c>
      <c r="P19" s="1009">
        <f t="shared" si="6"/>
        <v>0</v>
      </c>
      <c r="Q19" s="670">
        <f>SUM(Q11:Q18)</f>
        <v>37817243</v>
      </c>
      <c r="R19" s="378">
        <f t="shared" si="4"/>
        <v>41119612.213333331</v>
      </c>
      <c r="S19" s="406">
        <f>SUM(S11:S17)</f>
        <v>3652369.213333332</v>
      </c>
      <c r="T19" s="661">
        <f t="shared" si="1"/>
        <v>3302369.213333331</v>
      </c>
      <c r="V19" s="1137" t="s">
        <v>1116</v>
      </c>
      <c r="W19" s="1137" t="s">
        <v>998</v>
      </c>
      <c r="X19" s="1138">
        <v>-890598</v>
      </c>
      <c r="Y19" s="1138">
        <v>0</v>
      </c>
      <c r="Z19" s="1138">
        <v>188163</v>
      </c>
      <c r="AA19" s="1138">
        <v>-1078761</v>
      </c>
    </row>
    <row r="20" spans="1:27" x14ac:dyDescent="0.25">
      <c r="B20" s="872" t="s">
        <v>87</v>
      </c>
      <c r="C20" s="370"/>
      <c r="D20" s="369">
        <f t="shared" si="2"/>
        <v>0</v>
      </c>
      <c r="E20" s="369"/>
      <c r="F20" s="370"/>
      <c r="G20" s="370"/>
      <c r="H20" s="1008"/>
      <c r="I20" s="370"/>
      <c r="J20" s="870"/>
      <c r="K20" s="870"/>
      <c r="L20" s="370"/>
      <c r="M20" s="370"/>
      <c r="N20" s="370"/>
      <c r="O20" s="370"/>
      <c r="P20" s="1008"/>
      <c r="Q20" s="870"/>
      <c r="R20" s="370" t="s">
        <v>33</v>
      </c>
      <c r="S20" s="655"/>
      <c r="T20" s="657" t="s">
        <v>33</v>
      </c>
      <c r="V20" s="1137" t="s">
        <v>1117</v>
      </c>
      <c r="W20" s="1137" t="s">
        <v>1118</v>
      </c>
      <c r="X20" s="1138">
        <v>-890598</v>
      </c>
      <c r="Y20" s="1138">
        <v>0</v>
      </c>
      <c r="Z20" s="1138">
        <v>188163</v>
      </c>
      <c r="AA20" s="1138">
        <v>-1078761</v>
      </c>
    </row>
    <row r="21" spans="1:27" x14ac:dyDescent="0.25">
      <c r="B21" s="64" t="s">
        <v>88</v>
      </c>
      <c r="C21" s="369">
        <v>158830392.15000004</v>
      </c>
      <c r="D21" s="369">
        <f t="shared" si="2"/>
        <v>13235866.012500003</v>
      </c>
      <c r="E21" s="369">
        <v>13136493</v>
      </c>
      <c r="F21" s="370">
        <v>13136493</v>
      </c>
      <c r="G21" s="370">
        <v>13136494</v>
      </c>
      <c r="H21" s="1008">
        <v>13136494</v>
      </c>
      <c r="I21" s="370">
        <v>13136494</v>
      </c>
      <c r="J21" s="870">
        <v>13136493</v>
      </c>
      <c r="K21" s="870">
        <v>13244869</v>
      </c>
      <c r="L21" s="1166">
        <v>13354140</v>
      </c>
      <c r="M21" s="370"/>
      <c r="N21" s="370"/>
      <c r="O21" s="370"/>
      <c r="P21" s="1008"/>
      <c r="Q21" s="870">
        <f t="shared" ref="Q21:Q29" si="7">SUM(E21:P21)</f>
        <v>105417970</v>
      </c>
      <c r="R21" s="370">
        <f t="shared" ref="R21:R30" si="8">+D21*$B$5</f>
        <v>105886928.10000002</v>
      </c>
      <c r="S21" s="655">
        <f>+R21-Q21</f>
        <v>468958.10000002384</v>
      </c>
      <c r="T21" s="656">
        <f t="shared" ref="T21:T30" si="9">+R21-Q21</f>
        <v>468958.10000002384</v>
      </c>
      <c r="V21" s="1137" t="s">
        <v>1119</v>
      </c>
      <c r="W21" s="1137" t="s">
        <v>1120</v>
      </c>
      <c r="X21" s="1138">
        <v>-251528.74</v>
      </c>
      <c r="Y21" s="1138">
        <v>0</v>
      </c>
      <c r="Z21" s="1138">
        <v>0</v>
      </c>
      <c r="AA21" s="1138">
        <v>-251528.74</v>
      </c>
    </row>
    <row r="22" spans="1:27" x14ac:dyDescent="0.25">
      <c r="B22" s="873" t="s">
        <v>1224</v>
      </c>
      <c r="C22" s="874">
        <f>1751531+2225540</f>
        <v>3977071</v>
      </c>
      <c r="D22" s="874">
        <f t="shared" si="2"/>
        <v>331422.58333333331</v>
      </c>
      <c r="E22" s="874"/>
      <c r="F22" s="875">
        <v>1751531</v>
      </c>
      <c r="G22" s="875"/>
      <c r="H22" s="874"/>
      <c r="I22" s="875"/>
      <c r="J22" s="874"/>
      <c r="K22" s="874"/>
      <c r="L22" s="874"/>
      <c r="M22" s="874"/>
      <c r="N22" s="874"/>
      <c r="O22" s="874"/>
      <c r="P22" s="874"/>
      <c r="Q22" s="874">
        <f t="shared" si="7"/>
        <v>1751531</v>
      </c>
      <c r="R22" s="875">
        <f t="shared" si="8"/>
        <v>2651380.6666666665</v>
      </c>
      <c r="S22" s="655"/>
      <c r="T22" s="656">
        <f t="shared" si="9"/>
        <v>899849.66666666651</v>
      </c>
      <c r="V22" s="1137" t="s">
        <v>1121</v>
      </c>
      <c r="W22" s="1137" t="s">
        <v>1122</v>
      </c>
      <c r="X22" s="1138">
        <v>-251528.74</v>
      </c>
      <c r="Y22" s="1138">
        <v>0</v>
      </c>
      <c r="Z22" s="1138">
        <v>0</v>
      </c>
      <c r="AA22" s="1138">
        <v>-251528.74</v>
      </c>
    </row>
    <row r="23" spans="1:27" x14ac:dyDescent="0.25">
      <c r="A23" s="442"/>
      <c r="B23" s="64" t="s">
        <v>89</v>
      </c>
      <c r="C23" s="369">
        <v>17577558</v>
      </c>
      <c r="D23" s="369">
        <f t="shared" si="2"/>
        <v>1464796.5</v>
      </c>
      <c r="E23" s="369">
        <v>1357394</v>
      </c>
      <c r="F23" s="370">
        <v>904930</v>
      </c>
      <c r="G23" s="370">
        <v>1443315</v>
      </c>
      <c r="H23" s="369">
        <v>1486277</v>
      </c>
      <c r="I23" s="370">
        <v>1486277</v>
      </c>
      <c r="J23" s="369">
        <v>1443315</v>
      </c>
      <c r="K23" s="369">
        <v>1443315</v>
      </c>
      <c r="L23" s="1167">
        <v>1443315</v>
      </c>
      <c r="M23" s="369"/>
      <c r="N23" s="369"/>
      <c r="O23" s="369"/>
      <c r="P23" s="369"/>
      <c r="Q23" s="369">
        <f>SUM(E23:P23)</f>
        <v>11008138</v>
      </c>
      <c r="R23" s="370">
        <f>+D23*$B$5</f>
        <v>11718372</v>
      </c>
      <c r="S23" s="655">
        <f>+R23-Q23</f>
        <v>710234</v>
      </c>
      <c r="T23" s="656">
        <f t="shared" si="9"/>
        <v>710234</v>
      </c>
      <c r="V23" s="1137" t="s">
        <v>1615</v>
      </c>
      <c r="W23" s="1137" t="s">
        <v>1122</v>
      </c>
      <c r="X23" s="1138">
        <v>-2321</v>
      </c>
      <c r="Y23" s="1138">
        <v>0</v>
      </c>
      <c r="Z23" s="1138">
        <v>0</v>
      </c>
      <c r="AA23" s="1138">
        <v>-2321</v>
      </c>
    </row>
    <row r="24" spans="1:27" x14ac:dyDescent="0.25">
      <c r="B24" s="876" t="s">
        <v>90</v>
      </c>
      <c r="C24" s="874">
        <v>1341006.24</v>
      </c>
      <c r="D24" s="874">
        <f t="shared" si="2"/>
        <v>111750.52</v>
      </c>
      <c r="E24" s="874">
        <v>640110</v>
      </c>
      <c r="F24" s="875">
        <v>111750</v>
      </c>
      <c r="G24" s="875">
        <v>111750</v>
      </c>
      <c r="H24" s="874">
        <v>111750</v>
      </c>
      <c r="I24" s="875">
        <v>111750</v>
      </c>
      <c r="J24" s="874">
        <v>111750</v>
      </c>
      <c r="K24" s="874">
        <v>111750</v>
      </c>
      <c r="L24" s="1168">
        <v>111750</v>
      </c>
      <c r="M24" s="874"/>
      <c r="N24" s="874"/>
      <c r="O24" s="874"/>
      <c r="P24" s="874"/>
      <c r="Q24" s="874">
        <f t="shared" si="7"/>
        <v>1422360</v>
      </c>
      <c r="R24" s="875">
        <f t="shared" si="8"/>
        <v>894004.16</v>
      </c>
      <c r="S24" s="655">
        <f>+R24-Q24</f>
        <v>-528355.83999999997</v>
      </c>
      <c r="T24" s="656">
        <f t="shared" si="9"/>
        <v>-528355.83999999997</v>
      </c>
      <c r="V24" s="1137" t="s">
        <v>1123</v>
      </c>
      <c r="W24" s="1137" t="s">
        <v>432</v>
      </c>
      <c r="X24" s="1138">
        <v>-755</v>
      </c>
      <c r="Y24" s="1138">
        <v>0</v>
      </c>
      <c r="Z24" s="1138">
        <v>0</v>
      </c>
      <c r="AA24" s="1138">
        <v>-755</v>
      </c>
    </row>
    <row r="25" spans="1:27" s="145" customFormat="1" x14ac:dyDescent="0.25">
      <c r="B25" s="869" t="s">
        <v>1225</v>
      </c>
      <c r="C25" s="369">
        <v>1950000</v>
      </c>
      <c r="D25" s="369">
        <f t="shared" si="2"/>
        <v>162500</v>
      </c>
      <c r="E25" s="369">
        <v>0</v>
      </c>
      <c r="F25" s="370">
        <v>0</v>
      </c>
      <c r="G25" s="370">
        <v>0</v>
      </c>
      <c r="H25" s="369"/>
      <c r="I25" s="370">
        <v>555730</v>
      </c>
      <c r="J25" s="369">
        <v>142800</v>
      </c>
      <c r="K25" s="369">
        <v>0</v>
      </c>
      <c r="L25" s="369">
        <v>0</v>
      </c>
      <c r="M25" s="369"/>
      <c r="N25" s="369"/>
      <c r="O25" s="369"/>
      <c r="P25" s="369"/>
      <c r="Q25" s="369">
        <f t="shared" si="7"/>
        <v>698530</v>
      </c>
      <c r="R25" s="370">
        <f t="shared" si="8"/>
        <v>1300000</v>
      </c>
      <c r="S25" s="658"/>
      <c r="T25" s="656">
        <f t="shared" si="9"/>
        <v>601470</v>
      </c>
      <c r="V25" s="1137" t="s">
        <v>1616</v>
      </c>
      <c r="W25" s="1137" t="s">
        <v>1617</v>
      </c>
      <c r="X25" s="1138">
        <v>-248452.74</v>
      </c>
      <c r="Y25" s="1138">
        <v>0</v>
      </c>
      <c r="Z25" s="1138">
        <v>0</v>
      </c>
      <c r="AA25" s="1138">
        <v>-248452.74</v>
      </c>
    </row>
    <row r="26" spans="1:27" x14ac:dyDescent="0.25">
      <c r="B26" s="876" t="s">
        <v>91</v>
      </c>
      <c r="C26" s="874">
        <v>1910000</v>
      </c>
      <c r="D26" s="874">
        <f t="shared" si="2"/>
        <v>159166.66666666666</v>
      </c>
      <c r="E26" s="874">
        <v>0</v>
      </c>
      <c r="F26" s="875">
        <v>0</v>
      </c>
      <c r="G26" s="875">
        <v>288000</v>
      </c>
      <c r="H26" s="1011">
        <v>50000</v>
      </c>
      <c r="I26" s="875">
        <v>305387</v>
      </c>
      <c r="J26" s="1012"/>
      <c r="K26" s="1012">
        <f>-529000+875700</f>
        <v>346700</v>
      </c>
      <c r="L26" s="877">
        <f>+Y74</f>
        <v>200687</v>
      </c>
      <c r="M26" s="875"/>
      <c r="N26" s="875"/>
      <c r="O26" s="875"/>
      <c r="P26" s="1011"/>
      <c r="Q26" s="1012">
        <f t="shared" si="7"/>
        <v>1190774</v>
      </c>
      <c r="R26" s="875">
        <f t="shared" si="8"/>
        <v>1273333.3333333333</v>
      </c>
      <c r="S26" s="655">
        <f>+R26-Q26</f>
        <v>82559.333333333256</v>
      </c>
      <c r="T26" s="656">
        <f t="shared" si="9"/>
        <v>82559.333333333256</v>
      </c>
      <c r="V26" s="1137" t="s">
        <v>1124</v>
      </c>
      <c r="W26" s="1137" t="s">
        <v>1125</v>
      </c>
      <c r="X26" s="1138">
        <v>199566454.47999999</v>
      </c>
      <c r="Y26" s="1138">
        <v>30300742.600000001</v>
      </c>
      <c r="Z26" s="1138">
        <v>0</v>
      </c>
      <c r="AA26" s="1138">
        <v>229867197.08000001</v>
      </c>
    </row>
    <row r="27" spans="1:27" x14ac:dyDescent="0.25">
      <c r="B27" s="64" t="s">
        <v>92</v>
      </c>
      <c r="C27" s="369">
        <v>372000</v>
      </c>
      <c r="D27" s="369">
        <f t="shared" si="2"/>
        <v>31000</v>
      </c>
      <c r="E27" s="369">
        <v>0</v>
      </c>
      <c r="F27" s="370">
        <v>0</v>
      </c>
      <c r="G27" s="370">
        <v>0</v>
      </c>
      <c r="H27" s="1008"/>
      <c r="I27" s="370"/>
      <c r="J27" s="870"/>
      <c r="K27" s="870">
        <v>0</v>
      </c>
      <c r="L27" s="370">
        <v>0</v>
      </c>
      <c r="M27" s="370"/>
      <c r="N27" s="370"/>
      <c r="O27" s="370"/>
      <c r="P27" s="1008"/>
      <c r="Q27" s="870">
        <f t="shared" si="7"/>
        <v>0</v>
      </c>
      <c r="R27" s="370">
        <f t="shared" si="8"/>
        <v>248000</v>
      </c>
      <c r="S27" s="655" t="e">
        <f>+#REF!-#REF!</f>
        <v>#REF!</v>
      </c>
      <c r="T27" s="656">
        <f t="shared" si="9"/>
        <v>248000</v>
      </c>
      <c r="V27" s="1137" t="s">
        <v>1126</v>
      </c>
      <c r="W27" s="1137" t="s">
        <v>412</v>
      </c>
      <c r="X27" s="1138">
        <v>198372478.75999999</v>
      </c>
      <c r="Y27" s="1138">
        <v>30093953</v>
      </c>
      <c r="Z27" s="1138">
        <v>0</v>
      </c>
      <c r="AA27" s="1138">
        <v>228466431.75999999</v>
      </c>
    </row>
    <row r="28" spans="1:27" x14ac:dyDescent="0.25">
      <c r="B28" s="876" t="s">
        <v>93</v>
      </c>
      <c r="C28" s="874">
        <v>740000</v>
      </c>
      <c r="D28" s="874">
        <f t="shared" si="2"/>
        <v>61666.666666666664</v>
      </c>
      <c r="E28" s="874"/>
      <c r="F28" s="875">
        <v>138500</v>
      </c>
      <c r="G28" s="875">
        <v>0</v>
      </c>
      <c r="H28" s="1011"/>
      <c r="I28" s="875"/>
      <c r="J28" s="1012"/>
      <c r="K28" s="1012"/>
      <c r="L28" s="877">
        <v>0</v>
      </c>
      <c r="M28" s="875"/>
      <c r="N28" s="875"/>
      <c r="O28" s="875"/>
      <c r="P28" s="1011"/>
      <c r="Q28" s="1012">
        <f t="shared" si="7"/>
        <v>138500</v>
      </c>
      <c r="R28" s="875">
        <f t="shared" si="8"/>
        <v>493333.33333333331</v>
      </c>
      <c r="S28" s="655">
        <f>+R28-Q28</f>
        <v>354833.33333333331</v>
      </c>
      <c r="T28" s="656">
        <f t="shared" si="9"/>
        <v>354833.33333333331</v>
      </c>
      <c r="V28" s="1137" t="s">
        <v>1127</v>
      </c>
      <c r="W28" s="1137" t="s">
        <v>1019</v>
      </c>
      <c r="X28" s="1138">
        <v>4275423</v>
      </c>
      <c r="Y28" s="1169">
        <v>534452</v>
      </c>
      <c r="Z28" s="1138">
        <v>0</v>
      </c>
      <c r="AA28" s="1138">
        <v>4809875</v>
      </c>
    </row>
    <row r="29" spans="1:27" x14ac:dyDescent="0.25">
      <c r="A29" s="442"/>
      <c r="B29" s="64" t="s">
        <v>126</v>
      </c>
      <c r="C29" s="369">
        <v>3533088</v>
      </c>
      <c r="D29" s="369">
        <f t="shared" si="2"/>
        <v>294424</v>
      </c>
      <c r="E29" s="369">
        <f>+E7</f>
        <v>287015</v>
      </c>
      <c r="F29" s="370">
        <v>287015</v>
      </c>
      <c r="G29" s="370">
        <v>287015</v>
      </c>
      <c r="H29" s="1008">
        <v>328376</v>
      </c>
      <c r="I29" s="370">
        <f>-14659+297358</f>
        <v>282699</v>
      </c>
      <c r="J29" s="870">
        <f>11725+282699</f>
        <v>294424</v>
      </c>
      <c r="K29" s="870">
        <v>297358</v>
      </c>
      <c r="L29" s="1166">
        <v>297356</v>
      </c>
      <c r="M29" s="370"/>
      <c r="N29" s="370"/>
      <c r="O29" s="370"/>
      <c r="P29" s="1008"/>
      <c r="Q29" s="870">
        <f t="shared" si="7"/>
        <v>2361258</v>
      </c>
      <c r="R29" s="370">
        <f t="shared" si="8"/>
        <v>2355392</v>
      </c>
      <c r="S29" s="655">
        <f>+R29-Q29</f>
        <v>-5866</v>
      </c>
      <c r="T29" s="656">
        <f t="shared" si="9"/>
        <v>-5866</v>
      </c>
      <c r="V29" s="1137" t="s">
        <v>1128</v>
      </c>
      <c r="W29" s="1137" t="s">
        <v>1129</v>
      </c>
      <c r="X29" s="1138">
        <v>4275423</v>
      </c>
      <c r="Y29" s="1169">
        <v>534452</v>
      </c>
      <c r="Z29" s="1138">
        <v>0</v>
      </c>
      <c r="AA29" s="1138">
        <v>4809875</v>
      </c>
    </row>
    <row r="30" spans="1:27" ht="13" x14ac:dyDescent="0.3">
      <c r="B30" s="878" t="s">
        <v>94</v>
      </c>
      <c r="C30" s="879">
        <f>SUM(C21:C29)</f>
        <v>190231115.39000005</v>
      </c>
      <c r="D30" s="879">
        <f t="shared" si="2"/>
        <v>15852592.94916667</v>
      </c>
      <c r="E30" s="879">
        <f t="shared" ref="E30:P30" si="10">SUM(E21:E29)</f>
        <v>15421012</v>
      </c>
      <c r="F30" s="879">
        <f t="shared" si="10"/>
        <v>16330219</v>
      </c>
      <c r="G30" s="879">
        <f t="shared" si="10"/>
        <v>15266574</v>
      </c>
      <c r="H30" s="879">
        <f>SUM(H21:H29)</f>
        <v>15112897</v>
      </c>
      <c r="I30" s="1013">
        <f>SUM(I21:I29)</f>
        <v>15878337</v>
      </c>
      <c r="J30" s="879">
        <f t="shared" si="10"/>
        <v>15128782</v>
      </c>
      <c r="K30" s="879">
        <f>SUM(K21:K29)</f>
        <v>15443992</v>
      </c>
      <c r="L30" s="879">
        <f>SUM(L21:L29)</f>
        <v>15407248</v>
      </c>
      <c r="M30" s="879">
        <f t="shared" si="10"/>
        <v>0</v>
      </c>
      <c r="N30" s="879">
        <f t="shared" si="10"/>
        <v>0</v>
      </c>
      <c r="O30" s="879">
        <f t="shared" si="10"/>
        <v>0</v>
      </c>
      <c r="P30" s="879">
        <f t="shared" si="10"/>
        <v>0</v>
      </c>
      <c r="Q30" s="879">
        <f>SUM(Q21:Q29)</f>
        <v>123989061</v>
      </c>
      <c r="R30" s="1013">
        <f t="shared" si="8"/>
        <v>126820743.59333336</v>
      </c>
      <c r="S30" s="882" t="e">
        <f>SUM(S21:S29)</f>
        <v>#REF!</v>
      </c>
      <c r="T30" s="661">
        <f t="shared" si="9"/>
        <v>2831682.5933333635</v>
      </c>
      <c r="V30" s="1137" t="s">
        <v>1130</v>
      </c>
      <c r="W30" s="1137" t="s">
        <v>354</v>
      </c>
      <c r="X30" s="1138">
        <v>4275423</v>
      </c>
      <c r="Y30" s="1169">
        <v>534452</v>
      </c>
      <c r="Z30" s="1138">
        <v>0</v>
      </c>
      <c r="AA30" s="1138">
        <v>4809875</v>
      </c>
    </row>
    <row r="31" spans="1:27" x14ac:dyDescent="0.25">
      <c r="B31" s="65" t="s">
        <v>95</v>
      </c>
      <c r="C31" s="370"/>
      <c r="D31" s="369">
        <f t="shared" si="2"/>
        <v>0</v>
      </c>
      <c r="E31" s="369"/>
      <c r="F31" s="370" t="s">
        <v>33</v>
      </c>
      <c r="G31" s="370"/>
      <c r="H31" s="1008"/>
      <c r="I31" s="370"/>
      <c r="J31" s="870"/>
      <c r="K31" s="870"/>
      <c r="L31" s="370"/>
      <c r="M31" s="370"/>
      <c r="N31" s="370"/>
      <c r="O31" s="370"/>
      <c r="P31" s="1008"/>
      <c r="Q31" s="870" t="s">
        <v>33</v>
      </c>
      <c r="R31" s="370" t="s">
        <v>33</v>
      </c>
      <c r="S31" s="658" t="s">
        <v>33</v>
      </c>
      <c r="T31" s="657" t="s">
        <v>33</v>
      </c>
      <c r="V31" s="1137" t="s">
        <v>1618</v>
      </c>
      <c r="W31" s="1137" t="s">
        <v>1619</v>
      </c>
      <c r="X31" s="1138">
        <v>1001500</v>
      </c>
      <c r="Y31" s="1138">
        <v>0</v>
      </c>
      <c r="Z31" s="1138">
        <v>0</v>
      </c>
      <c r="AA31" s="1138">
        <v>1001500</v>
      </c>
    </row>
    <row r="32" spans="1:27" x14ac:dyDescent="0.25">
      <c r="B32" s="62" t="s">
        <v>759</v>
      </c>
      <c r="C32" s="376">
        <v>0</v>
      </c>
      <c r="D32" s="433">
        <f t="shared" si="2"/>
        <v>0</v>
      </c>
      <c r="E32" s="433">
        <f>+D32/12</f>
        <v>0</v>
      </c>
      <c r="F32" s="364">
        <v>0</v>
      </c>
      <c r="G32" s="364">
        <v>0</v>
      </c>
      <c r="H32" s="1000">
        <v>0</v>
      </c>
      <c r="I32" s="364">
        <v>0</v>
      </c>
      <c r="J32" s="361">
        <v>179214</v>
      </c>
      <c r="K32" s="361">
        <v>0</v>
      </c>
      <c r="L32" s="364">
        <v>0</v>
      </c>
      <c r="M32" s="364"/>
      <c r="N32" s="364"/>
      <c r="O32" s="364"/>
      <c r="P32" s="1000"/>
      <c r="Q32" s="361">
        <f>SUM(E32:P32)</f>
        <v>179214</v>
      </c>
      <c r="R32" s="364">
        <f>+D32*$B$5</f>
        <v>0</v>
      </c>
      <c r="S32" s="658">
        <f>+R32-Q32</f>
        <v>-179214</v>
      </c>
      <c r="T32" s="656">
        <f>+R32-Q32</f>
        <v>-179214</v>
      </c>
      <c r="V32" s="1137" t="s">
        <v>1620</v>
      </c>
      <c r="W32" s="1137" t="s">
        <v>1621</v>
      </c>
      <c r="X32" s="1138">
        <v>1001500</v>
      </c>
      <c r="Y32" s="1138">
        <v>0</v>
      </c>
      <c r="Z32" s="1138">
        <v>0</v>
      </c>
      <c r="AA32" s="1138">
        <v>1001500</v>
      </c>
    </row>
    <row r="33" spans="2:27" x14ac:dyDescent="0.25">
      <c r="B33" s="62" t="s">
        <v>96</v>
      </c>
      <c r="C33" s="376">
        <v>0</v>
      </c>
      <c r="D33" s="433">
        <f t="shared" si="2"/>
        <v>0</v>
      </c>
      <c r="E33" s="433">
        <f>+D33/12</f>
        <v>0</v>
      </c>
      <c r="F33" s="364">
        <v>0</v>
      </c>
      <c r="G33" s="364">
        <f>46000+17700+274950</f>
        <v>338650</v>
      </c>
      <c r="H33" s="1000">
        <v>0</v>
      </c>
      <c r="I33" s="364">
        <v>176715</v>
      </c>
      <c r="J33" s="361">
        <v>0</v>
      </c>
      <c r="K33" s="361">
        <v>0</v>
      </c>
      <c r="L33" s="364">
        <v>0</v>
      </c>
      <c r="M33" s="364">
        <v>0</v>
      </c>
      <c r="N33" s="364">
        <v>0</v>
      </c>
      <c r="O33" s="364">
        <v>0</v>
      </c>
      <c r="P33" s="1000">
        <v>0</v>
      </c>
      <c r="Q33" s="361">
        <f>SUM(E33:P33)</f>
        <v>515365</v>
      </c>
      <c r="R33" s="364">
        <f>+D33*$B$5</f>
        <v>0</v>
      </c>
      <c r="S33" s="658">
        <f>+R33-Q33</f>
        <v>-515365</v>
      </c>
      <c r="T33" s="656">
        <f>+R33-Q33</f>
        <v>-515365</v>
      </c>
      <c r="V33" s="1137" t="s">
        <v>1622</v>
      </c>
      <c r="W33" s="1137" t="s">
        <v>1623</v>
      </c>
      <c r="X33" s="1138">
        <v>1001500</v>
      </c>
      <c r="Y33" s="1138">
        <v>0</v>
      </c>
      <c r="Z33" s="1138">
        <v>0</v>
      </c>
      <c r="AA33" s="1138">
        <v>1001500</v>
      </c>
    </row>
    <row r="34" spans="2:27" ht="13" x14ac:dyDescent="0.3">
      <c r="B34" s="883" t="s">
        <v>97</v>
      </c>
      <c r="C34" s="884">
        <f>SUM(C32:C33)</f>
        <v>0</v>
      </c>
      <c r="D34" s="885">
        <f>+C34/12</f>
        <v>0</v>
      </c>
      <c r="E34" s="885">
        <f t="shared" ref="E34:S34" si="11">SUM(E32:E33)</f>
        <v>0</v>
      </c>
      <c r="F34" s="886">
        <f t="shared" si="11"/>
        <v>0</v>
      </c>
      <c r="G34" s="886">
        <f t="shared" si="11"/>
        <v>338650</v>
      </c>
      <c r="H34" s="1014">
        <f>SUM(H32:H33)</f>
        <v>0</v>
      </c>
      <c r="I34" s="886">
        <f>SUM(I32:I33)</f>
        <v>176715</v>
      </c>
      <c r="J34" s="1015">
        <f t="shared" si="11"/>
        <v>179214</v>
      </c>
      <c r="K34" s="1015">
        <f>SUM(K32:K33)</f>
        <v>0</v>
      </c>
      <c r="L34" s="886">
        <v>0</v>
      </c>
      <c r="M34" s="886">
        <f t="shared" si="11"/>
        <v>0</v>
      </c>
      <c r="N34" s="886">
        <f t="shared" si="11"/>
        <v>0</v>
      </c>
      <c r="O34" s="886">
        <f t="shared" si="11"/>
        <v>0</v>
      </c>
      <c r="P34" s="1014">
        <f t="shared" si="11"/>
        <v>0</v>
      </c>
      <c r="Q34" s="1015">
        <f>SUM(E34:P34)</f>
        <v>694579</v>
      </c>
      <c r="R34" s="886">
        <f>SUM(R32:R33)</f>
        <v>0</v>
      </c>
      <c r="S34" s="662">
        <f t="shared" si="11"/>
        <v>-694579</v>
      </c>
      <c r="T34" s="656">
        <f>+R34-Q34</f>
        <v>-694579</v>
      </c>
      <c r="V34" s="1137" t="s">
        <v>1131</v>
      </c>
      <c r="W34" s="1137" t="s">
        <v>1132</v>
      </c>
      <c r="X34" s="1138">
        <v>9564823</v>
      </c>
      <c r="Y34" s="1169">
        <v>1443315</v>
      </c>
      <c r="Z34" s="1138">
        <v>0</v>
      </c>
      <c r="AA34" s="1138">
        <v>11008138</v>
      </c>
    </row>
    <row r="35" spans="2:27" s="1" customFormat="1" x14ac:dyDescent="0.25">
      <c r="B35" s="887" t="s">
        <v>98</v>
      </c>
      <c r="C35" s="370"/>
      <c r="D35" s="369">
        <f t="shared" si="2"/>
        <v>0</v>
      </c>
      <c r="E35" s="369"/>
      <c r="F35" s="370"/>
      <c r="G35" s="370"/>
      <c r="H35" s="1008"/>
      <c r="I35" s="370"/>
      <c r="J35" s="870"/>
      <c r="K35" s="870"/>
      <c r="L35" s="370"/>
      <c r="M35" s="370"/>
      <c r="N35" s="370"/>
      <c r="O35" s="370"/>
      <c r="P35" s="1008"/>
      <c r="Q35" s="870" t="s">
        <v>33</v>
      </c>
      <c r="R35" s="370" t="s">
        <v>33</v>
      </c>
      <c r="S35" s="658" t="s">
        <v>33</v>
      </c>
      <c r="T35" s="657" t="s">
        <v>33</v>
      </c>
      <c r="V35" s="1137" t="s">
        <v>1133</v>
      </c>
      <c r="W35" s="1137" t="s">
        <v>1134</v>
      </c>
      <c r="X35" s="1138">
        <v>9564823</v>
      </c>
      <c r="Y35" s="1169">
        <v>1443315</v>
      </c>
      <c r="Z35" s="1138">
        <v>0</v>
      </c>
      <c r="AA35" s="1138">
        <v>11008138</v>
      </c>
    </row>
    <row r="36" spans="2:27" x14ac:dyDescent="0.25">
      <c r="B36" s="62" t="s">
        <v>67</v>
      </c>
      <c r="C36" s="433">
        <v>2568001.5</v>
      </c>
      <c r="D36" s="433">
        <f>+C36/12</f>
        <v>214000.125</v>
      </c>
      <c r="E36" s="433">
        <v>0</v>
      </c>
      <c r="F36" s="364">
        <v>0</v>
      </c>
      <c r="G36" s="364">
        <v>595450</v>
      </c>
      <c r="H36" s="1000">
        <v>0</v>
      </c>
      <c r="I36" s="364">
        <v>781652</v>
      </c>
      <c r="J36" s="361"/>
      <c r="K36" s="361"/>
      <c r="L36" s="1165">
        <f>+Y56</f>
        <v>781652</v>
      </c>
      <c r="M36" s="364"/>
      <c r="N36" s="364"/>
      <c r="O36" s="364"/>
      <c r="P36" s="1000"/>
      <c r="Q36" s="361">
        <f t="shared" ref="Q36:Q43" si="12">SUM(E36:P36)</f>
        <v>2158754</v>
      </c>
      <c r="R36" s="364">
        <f t="shared" ref="R36:R44" si="13">+D36*$B$5</f>
        <v>1712001</v>
      </c>
      <c r="S36" s="658">
        <f>+R36-Q36</f>
        <v>-446753</v>
      </c>
      <c r="T36" s="656">
        <f t="shared" ref="T36:T44" si="14">+R36-Q36</f>
        <v>-446753</v>
      </c>
      <c r="V36" s="1137" t="s">
        <v>1135</v>
      </c>
      <c r="W36" s="1137" t="s">
        <v>357</v>
      </c>
      <c r="X36" s="1138">
        <v>9564823</v>
      </c>
      <c r="Y36" s="1169">
        <v>1443315</v>
      </c>
      <c r="Z36" s="1138">
        <v>0</v>
      </c>
      <c r="AA36" s="1138">
        <v>11008138</v>
      </c>
    </row>
    <row r="37" spans="2:27" x14ac:dyDescent="0.25">
      <c r="B37" s="887" t="s">
        <v>66</v>
      </c>
      <c r="C37" s="888">
        <f>33250000*1.15</f>
        <v>38237500</v>
      </c>
      <c r="D37" s="888">
        <f t="shared" ref="D37:D42" si="15">+C37/12</f>
        <v>3186458.3333333335</v>
      </c>
      <c r="E37" s="888">
        <v>3189683.88</v>
      </c>
      <c r="F37" s="889">
        <v>2628727</v>
      </c>
      <c r="G37" s="889">
        <v>2554892</v>
      </c>
      <c r="H37" s="1016">
        <v>2640861</v>
      </c>
      <c r="I37" s="889">
        <v>3098024</v>
      </c>
      <c r="J37" s="1017">
        <v>2908845</v>
      </c>
      <c r="K37" s="1017">
        <f>2964954</f>
        <v>2964954</v>
      </c>
      <c r="L37" s="1170">
        <f>+Y50</f>
        <v>2551875</v>
      </c>
      <c r="M37" s="889"/>
      <c r="N37" s="889"/>
      <c r="O37" s="889"/>
      <c r="P37" s="1016"/>
      <c r="Q37" s="1017">
        <f>SUM(E37:P37)</f>
        <v>22537861.879999999</v>
      </c>
      <c r="R37" s="889">
        <f t="shared" si="13"/>
        <v>25491666.666666668</v>
      </c>
      <c r="S37" s="658">
        <f>+R37-Q37</f>
        <v>2953804.786666669</v>
      </c>
      <c r="T37" s="656">
        <f t="shared" si="14"/>
        <v>2953804.786666669</v>
      </c>
      <c r="V37" s="1137" t="s">
        <v>1136</v>
      </c>
      <c r="W37" s="1137" t="s">
        <v>1137</v>
      </c>
      <c r="X37" s="1138">
        <v>155263472.88</v>
      </c>
      <c r="Y37" s="1138">
        <v>21826692</v>
      </c>
      <c r="Z37" s="1138">
        <v>0</v>
      </c>
      <c r="AA37" s="1138">
        <v>177090164.88</v>
      </c>
    </row>
    <row r="38" spans="2:27" x14ac:dyDescent="0.25">
      <c r="B38" s="62" t="s">
        <v>99</v>
      </c>
      <c r="C38" s="433">
        <v>3500000</v>
      </c>
      <c r="D38" s="433">
        <f t="shared" si="15"/>
        <v>291666.66666666669</v>
      </c>
      <c r="E38" s="433">
        <v>129706</v>
      </c>
      <c r="F38" s="364">
        <v>233099</v>
      </c>
      <c r="G38" s="364">
        <v>303870</v>
      </c>
      <c r="H38" s="1000">
        <v>205744</v>
      </c>
      <c r="I38" s="364">
        <v>217588</v>
      </c>
      <c r="J38" s="361">
        <v>249565</v>
      </c>
      <c r="K38" s="361">
        <f>956190</f>
        <v>956190</v>
      </c>
      <c r="L38" s="1165">
        <f>+Y48</f>
        <v>380094</v>
      </c>
      <c r="M38" s="364"/>
      <c r="N38" s="364"/>
      <c r="O38" s="364"/>
      <c r="P38" s="1000"/>
      <c r="Q38" s="361">
        <f t="shared" si="12"/>
        <v>2675856</v>
      </c>
      <c r="R38" s="364">
        <f t="shared" si="13"/>
        <v>2333333.3333333335</v>
      </c>
      <c r="S38" s="658">
        <f>+R38-Q38</f>
        <v>-342522.66666666651</v>
      </c>
      <c r="T38" s="656">
        <f t="shared" si="14"/>
        <v>-342522.66666666651</v>
      </c>
      <c r="V38" s="1137" t="s">
        <v>1138</v>
      </c>
      <c r="W38" s="1137" t="s">
        <v>1139</v>
      </c>
      <c r="X38" s="1138">
        <v>113623094</v>
      </c>
      <c r="Y38" s="1169">
        <v>16176904</v>
      </c>
      <c r="Z38" s="1138">
        <v>0</v>
      </c>
      <c r="AA38" s="1138">
        <v>129799998</v>
      </c>
    </row>
    <row r="39" spans="2:27" x14ac:dyDescent="0.25">
      <c r="B39" s="887" t="s">
        <v>100</v>
      </c>
      <c r="C39" s="888">
        <v>604000</v>
      </c>
      <c r="D39" s="888">
        <f t="shared" si="15"/>
        <v>50333.333333333336</v>
      </c>
      <c r="E39" s="888">
        <v>50100</v>
      </c>
      <c r="F39" s="889">
        <v>50115</v>
      </c>
      <c r="G39" s="889">
        <v>56102</v>
      </c>
      <c r="H39" s="1016">
        <v>56070</v>
      </c>
      <c r="I39" s="889">
        <v>56076</v>
      </c>
      <c r="J39" s="1017">
        <v>55806</v>
      </c>
      <c r="K39" s="1017">
        <v>55760</v>
      </c>
      <c r="L39" s="1170">
        <f>+Y41</f>
        <v>56144</v>
      </c>
      <c r="M39" s="889"/>
      <c r="N39" s="889"/>
      <c r="O39" s="889"/>
      <c r="P39" s="1016"/>
      <c r="Q39" s="1017">
        <f>SUM(E39:P39)</f>
        <v>436173</v>
      </c>
      <c r="R39" s="889">
        <f t="shared" si="13"/>
        <v>402666.66666666669</v>
      </c>
      <c r="S39" s="658">
        <f>+R39-Q39</f>
        <v>-33506.333333333314</v>
      </c>
      <c r="T39" s="656">
        <f t="shared" si="14"/>
        <v>-33506.333333333314</v>
      </c>
      <c r="V39" s="1137" t="s">
        <v>1140</v>
      </c>
      <c r="W39" s="1137" t="s">
        <v>360</v>
      </c>
      <c r="X39" s="1138">
        <v>93815361</v>
      </c>
      <c r="Y39" s="1169">
        <v>13354140</v>
      </c>
      <c r="Z39" s="1138">
        <v>0</v>
      </c>
      <c r="AA39" s="1138">
        <v>107169501</v>
      </c>
    </row>
    <row r="40" spans="2:27" x14ac:dyDescent="0.25">
      <c r="B40" s="60" t="s">
        <v>1226</v>
      </c>
      <c r="C40" s="369">
        <f>100988*12</f>
        <v>1211856</v>
      </c>
      <c r="D40" s="369">
        <f t="shared" si="15"/>
        <v>100988</v>
      </c>
      <c r="E40" s="369">
        <v>0</v>
      </c>
      <c r="F40" s="370">
        <v>0</v>
      </c>
      <c r="G40" s="370">
        <v>55250</v>
      </c>
      <c r="H40" s="1008">
        <v>0</v>
      </c>
      <c r="I40" s="370">
        <v>0</v>
      </c>
      <c r="J40" s="870"/>
      <c r="K40" s="870"/>
      <c r="L40" s="370"/>
      <c r="M40" s="370"/>
      <c r="N40" s="370"/>
      <c r="O40" s="370"/>
      <c r="P40" s="1008"/>
      <c r="Q40" s="870">
        <f t="shared" si="12"/>
        <v>55250</v>
      </c>
      <c r="R40" s="370">
        <f t="shared" si="13"/>
        <v>807904</v>
      </c>
      <c r="S40" s="658"/>
      <c r="T40" s="656">
        <f t="shared" si="14"/>
        <v>752654</v>
      </c>
      <c r="V40" s="1137" t="s">
        <v>1141</v>
      </c>
      <c r="W40" s="1137" t="s">
        <v>363</v>
      </c>
      <c r="X40" s="1138">
        <v>19427704</v>
      </c>
      <c r="Y40" s="1169">
        <v>2766620</v>
      </c>
      <c r="Z40" s="1138">
        <v>0</v>
      </c>
      <c r="AA40" s="1138">
        <v>22194324</v>
      </c>
    </row>
    <row r="41" spans="2:27" x14ac:dyDescent="0.25">
      <c r="B41" s="887" t="s">
        <v>101</v>
      </c>
      <c r="C41" s="888">
        <v>800000</v>
      </c>
      <c r="D41" s="888">
        <f t="shared" si="15"/>
        <v>66666.666666666672</v>
      </c>
      <c r="E41" s="888">
        <v>87582</v>
      </c>
      <c r="F41" s="889">
        <v>100988</v>
      </c>
      <c r="G41" s="889">
        <v>100988</v>
      </c>
      <c r="H41" s="1016">
        <v>100988</v>
      </c>
      <c r="I41" s="889">
        <v>100988</v>
      </c>
      <c r="J41" s="1017">
        <v>100988</v>
      </c>
      <c r="K41" s="1017">
        <v>100988</v>
      </c>
      <c r="L41" s="1170">
        <v>100988</v>
      </c>
      <c r="M41" s="889"/>
      <c r="N41" s="889"/>
      <c r="O41" s="889"/>
      <c r="P41" s="1016"/>
      <c r="Q41" s="1017">
        <f t="shared" si="12"/>
        <v>794498</v>
      </c>
      <c r="R41" s="889">
        <f t="shared" si="13"/>
        <v>533333.33333333337</v>
      </c>
      <c r="S41" s="658">
        <f>+R41-Q41</f>
        <v>-261164.66666666663</v>
      </c>
      <c r="T41" s="656">
        <f t="shared" si="14"/>
        <v>-261164.66666666663</v>
      </c>
      <c r="V41" s="1137" t="s">
        <v>1142</v>
      </c>
      <c r="W41" s="1137" t="s">
        <v>366</v>
      </c>
      <c r="X41" s="1138">
        <v>380029</v>
      </c>
      <c r="Y41" s="1169">
        <v>56144</v>
      </c>
      <c r="Z41" s="1138">
        <v>0</v>
      </c>
      <c r="AA41" s="1138">
        <v>436173</v>
      </c>
    </row>
    <row r="42" spans="2:27" x14ac:dyDescent="0.25">
      <c r="B42" s="62" t="s">
        <v>102</v>
      </c>
      <c r="C42" s="433">
        <f>(1187000+167200)*12</f>
        <v>16250400</v>
      </c>
      <c r="D42" s="433">
        <f t="shared" si="15"/>
        <v>1354200</v>
      </c>
      <c r="E42" s="433">
        <v>1354200</v>
      </c>
      <c r="F42" s="364">
        <v>1354200</v>
      </c>
      <c r="G42" s="364">
        <v>1354200</v>
      </c>
      <c r="H42" s="1000">
        <v>1354200</v>
      </c>
      <c r="I42" s="364">
        <v>1354200</v>
      </c>
      <c r="J42" s="361"/>
      <c r="K42" s="361">
        <v>1354200</v>
      </c>
      <c r="L42" s="1165">
        <f>+Y62</f>
        <v>2279100</v>
      </c>
      <c r="M42" s="364"/>
      <c r="N42" s="364"/>
      <c r="O42" s="364"/>
      <c r="P42" s="1000"/>
      <c r="Q42" s="361">
        <f t="shared" si="12"/>
        <v>10404300</v>
      </c>
      <c r="R42" s="364">
        <f t="shared" si="13"/>
        <v>10833600</v>
      </c>
      <c r="S42" s="658">
        <f>+R42-Q42</f>
        <v>429300</v>
      </c>
      <c r="T42" s="656">
        <f t="shared" si="14"/>
        <v>429300</v>
      </c>
      <c r="V42" s="1137" t="s">
        <v>1143</v>
      </c>
      <c r="W42" s="1137" t="s">
        <v>1144</v>
      </c>
      <c r="X42" s="1138">
        <v>17966012</v>
      </c>
      <c r="Y42" s="1169">
        <v>2566487</v>
      </c>
      <c r="Z42" s="1138">
        <v>0</v>
      </c>
      <c r="AA42" s="1138">
        <v>20532499</v>
      </c>
    </row>
    <row r="43" spans="2:27" x14ac:dyDescent="0.25">
      <c r="B43" s="62" t="s">
        <v>1409</v>
      </c>
      <c r="C43" s="433"/>
      <c r="D43" s="433"/>
      <c r="E43" s="433"/>
      <c r="F43" s="364"/>
      <c r="G43" s="433"/>
      <c r="H43" s="433"/>
      <c r="I43" s="364">
        <v>472500</v>
      </c>
      <c r="J43" s="433"/>
      <c r="K43" s="433">
        <v>529000</v>
      </c>
      <c r="L43" s="433">
        <v>0</v>
      </c>
      <c r="M43" s="433"/>
      <c r="N43" s="433"/>
      <c r="O43" s="433"/>
      <c r="P43" s="433"/>
      <c r="Q43" s="433">
        <f t="shared" si="12"/>
        <v>1001500</v>
      </c>
      <c r="R43" s="364">
        <f t="shared" si="13"/>
        <v>0</v>
      </c>
      <c r="S43" s="658"/>
      <c r="T43" s="656">
        <f t="shared" si="14"/>
        <v>-1001500</v>
      </c>
      <c r="V43" s="1137" t="s">
        <v>1145</v>
      </c>
      <c r="W43" s="1137" t="s">
        <v>369</v>
      </c>
      <c r="X43" s="1138">
        <v>17966012</v>
      </c>
      <c r="Y43" s="1169">
        <v>2566487</v>
      </c>
      <c r="Z43" s="1138">
        <v>0</v>
      </c>
      <c r="AA43" s="1138">
        <v>20532499</v>
      </c>
    </row>
    <row r="44" spans="2:27" ht="13" x14ac:dyDescent="0.3">
      <c r="B44" s="892" t="s">
        <v>103</v>
      </c>
      <c r="C44" s="893">
        <f>SUM(C36:C42)</f>
        <v>63171757.5</v>
      </c>
      <c r="D44" s="893">
        <f>+C44/12</f>
        <v>5264313.125</v>
      </c>
      <c r="E44" s="894">
        <f>SUM(E36:E42)</f>
        <v>4811271.88</v>
      </c>
      <c r="F44" s="893">
        <f>SUM(F36:F42)</f>
        <v>4367129</v>
      </c>
      <c r="G44" s="894">
        <f>SUM(G36:G42)</f>
        <v>5020752</v>
      </c>
      <c r="H44" s="894">
        <f>SUM(H36:H42)</f>
        <v>4357863</v>
      </c>
      <c r="I44" s="893">
        <f>SUM(I36:I43)</f>
        <v>6081028</v>
      </c>
      <c r="J44" s="894">
        <f t="shared" ref="J44:P44" si="16">SUM(J36:J42)</f>
        <v>3315204</v>
      </c>
      <c r="K44" s="894">
        <f>SUM(K36:K43)</f>
        <v>5961092</v>
      </c>
      <c r="L44" s="894">
        <f>SUM(L36:L43)</f>
        <v>6149853</v>
      </c>
      <c r="M44" s="894">
        <f t="shared" si="16"/>
        <v>0</v>
      </c>
      <c r="N44" s="894">
        <f t="shared" si="16"/>
        <v>0</v>
      </c>
      <c r="O44" s="894">
        <f t="shared" si="16"/>
        <v>0</v>
      </c>
      <c r="P44" s="894">
        <f t="shared" si="16"/>
        <v>0</v>
      </c>
      <c r="Q44" s="894">
        <f>SUM(Q36:Q43)</f>
        <v>40064192.879999995</v>
      </c>
      <c r="R44" s="893">
        <f t="shared" si="13"/>
        <v>42114505</v>
      </c>
      <c r="S44" s="897">
        <f>SUM(S36:S42)</f>
        <v>2299158.1200000024</v>
      </c>
      <c r="T44" s="661">
        <f t="shared" si="14"/>
        <v>2050312.1200000048</v>
      </c>
      <c r="V44" s="1137" t="s">
        <v>1146</v>
      </c>
      <c r="W44" s="1137" t="s">
        <v>1147</v>
      </c>
      <c r="X44" s="1138">
        <v>352408</v>
      </c>
      <c r="Y44" s="1169">
        <v>50344</v>
      </c>
      <c r="Z44" s="1138">
        <v>0</v>
      </c>
      <c r="AA44" s="1138">
        <v>402752</v>
      </c>
    </row>
    <row r="45" spans="2:27" x14ac:dyDescent="0.25">
      <c r="B45" s="66" t="s">
        <v>104</v>
      </c>
      <c r="C45" s="370"/>
      <c r="D45" s="369" t="s">
        <v>33</v>
      </c>
      <c r="E45" s="369"/>
      <c r="F45" s="370"/>
      <c r="G45" s="370"/>
      <c r="H45" s="1008"/>
      <c r="I45" s="370"/>
      <c r="J45" s="870"/>
      <c r="K45" s="870"/>
      <c r="L45" s="370"/>
      <c r="M45" s="370"/>
      <c r="N45" s="370"/>
      <c r="O45" s="370"/>
      <c r="P45" s="1008"/>
      <c r="Q45" s="870"/>
      <c r="R45" s="370" t="s">
        <v>33</v>
      </c>
      <c r="S45" s="663">
        <f>+F45+G45+E45</f>
        <v>0</v>
      </c>
      <c r="T45" s="657" t="s">
        <v>33</v>
      </c>
      <c r="V45" s="1137" t="s">
        <v>1148</v>
      </c>
      <c r="W45" s="1137" t="s">
        <v>371</v>
      </c>
      <c r="X45" s="1138">
        <v>352408</v>
      </c>
      <c r="Y45" s="1169">
        <v>50344</v>
      </c>
      <c r="Z45" s="1138">
        <v>0</v>
      </c>
      <c r="AA45" s="1138">
        <v>402752</v>
      </c>
    </row>
    <row r="46" spans="2:27" ht="14.25" customHeight="1" x14ac:dyDescent="0.25">
      <c r="B46" s="62" t="s">
        <v>105</v>
      </c>
      <c r="C46" s="364">
        <v>30797847</v>
      </c>
      <c r="D46" s="433">
        <f>+C46/12</f>
        <v>2566487.25</v>
      </c>
      <c r="E46" s="433">
        <v>2343824</v>
      </c>
      <c r="F46" s="364">
        <v>2343824</v>
      </c>
      <c r="G46" s="364">
        <v>2343824</v>
      </c>
      <c r="H46" s="1000">
        <v>3235079</v>
      </c>
      <c r="I46" s="364">
        <v>2566487</v>
      </c>
      <c r="J46" s="361">
        <v>2566487</v>
      </c>
      <c r="K46" s="361">
        <v>2566487</v>
      </c>
      <c r="L46" s="1165">
        <f>+Y43</f>
        <v>2566487</v>
      </c>
      <c r="M46" s="364"/>
      <c r="N46" s="364"/>
      <c r="O46" s="364"/>
      <c r="P46" s="1000"/>
      <c r="Q46" s="361">
        <f t="shared" ref="Q46:Q55" si="17">SUM(E46:P46)</f>
        <v>20532499</v>
      </c>
      <c r="R46" s="364">
        <f t="shared" ref="R46:R57" si="18">+D46*$B$5</f>
        <v>20531898</v>
      </c>
      <c r="S46" s="658">
        <f t="shared" ref="S46:S53" si="19">+R46-Q46</f>
        <v>-601</v>
      </c>
      <c r="T46" s="656">
        <f t="shared" ref="T46:T56" si="20">+R46-Q46</f>
        <v>-601</v>
      </c>
      <c r="V46" s="1137" t="s">
        <v>1624</v>
      </c>
      <c r="W46" s="1137" t="s">
        <v>1625</v>
      </c>
      <c r="X46" s="1138">
        <v>346700</v>
      </c>
      <c r="Y46" s="1169">
        <v>0</v>
      </c>
      <c r="Z46" s="1138">
        <v>0</v>
      </c>
      <c r="AA46" s="1138">
        <v>346700</v>
      </c>
    </row>
    <row r="47" spans="2:27" ht="14.25" customHeight="1" x14ac:dyDescent="0.25">
      <c r="B47" s="66" t="s">
        <v>65</v>
      </c>
      <c r="C47" s="898">
        <v>6413421</v>
      </c>
      <c r="D47" s="899">
        <f t="shared" ref="D47:D55" si="21">+C47/12</f>
        <v>534451.75</v>
      </c>
      <c r="E47" s="899">
        <v>488080</v>
      </c>
      <c r="F47" s="898">
        <v>488080</v>
      </c>
      <c r="G47" s="898">
        <v>627190</v>
      </c>
      <c r="H47" s="1018">
        <v>534352</v>
      </c>
      <c r="I47" s="898">
        <v>534352</v>
      </c>
      <c r="J47" s="1019">
        <v>534352</v>
      </c>
      <c r="K47" s="1019">
        <v>534452</v>
      </c>
      <c r="L47" s="1171">
        <v>534452</v>
      </c>
      <c r="M47" s="898"/>
      <c r="N47" s="898"/>
      <c r="O47" s="898"/>
      <c r="P47" s="1018"/>
      <c r="Q47" s="1019">
        <f t="shared" si="17"/>
        <v>4275310</v>
      </c>
      <c r="R47" s="898">
        <f t="shared" si="18"/>
        <v>4275614</v>
      </c>
      <c r="S47" s="658">
        <f t="shared" si="19"/>
        <v>304</v>
      </c>
      <c r="T47" s="656">
        <f t="shared" si="20"/>
        <v>304</v>
      </c>
      <c r="V47" s="1137" t="s">
        <v>1626</v>
      </c>
      <c r="W47" s="1137" t="s">
        <v>1625</v>
      </c>
      <c r="X47" s="1138">
        <v>346700</v>
      </c>
      <c r="Y47" s="1138">
        <v>0</v>
      </c>
      <c r="Z47" s="1138">
        <v>0</v>
      </c>
      <c r="AA47" s="1138">
        <v>346700</v>
      </c>
    </row>
    <row r="48" spans="2:27" x14ac:dyDescent="0.25">
      <c r="B48" s="62" t="s">
        <v>106</v>
      </c>
      <c r="C48" s="364">
        <v>534465</v>
      </c>
      <c r="D48" s="433">
        <f t="shared" si="21"/>
        <v>44538.75</v>
      </c>
      <c r="E48" s="433">
        <v>0</v>
      </c>
      <c r="F48" s="364">
        <v>0</v>
      </c>
      <c r="G48" s="364">
        <v>0</v>
      </c>
      <c r="H48" s="1000">
        <v>0</v>
      </c>
      <c r="I48" s="364">
        <v>0</v>
      </c>
      <c r="J48" s="361">
        <v>534565</v>
      </c>
      <c r="K48" s="361">
        <v>0</v>
      </c>
      <c r="L48" s="364">
        <v>0</v>
      </c>
      <c r="M48" s="364"/>
      <c r="N48" s="364"/>
      <c r="O48" s="364"/>
      <c r="P48" s="1000"/>
      <c r="Q48" s="361">
        <f t="shared" si="17"/>
        <v>534565</v>
      </c>
      <c r="R48" s="364">
        <f t="shared" si="18"/>
        <v>356310</v>
      </c>
      <c r="S48" s="658">
        <f t="shared" si="19"/>
        <v>-178255</v>
      </c>
      <c r="T48" s="656">
        <f t="shared" si="20"/>
        <v>-178255</v>
      </c>
      <c r="V48" s="1137" t="s">
        <v>1149</v>
      </c>
      <c r="W48" s="1137" t="s">
        <v>374</v>
      </c>
      <c r="X48" s="1138">
        <v>2296612</v>
      </c>
      <c r="Y48" s="1169">
        <v>380094</v>
      </c>
      <c r="Z48" s="1138">
        <v>0</v>
      </c>
      <c r="AA48" s="1138">
        <v>2676706</v>
      </c>
    </row>
    <row r="49" spans="2:27" x14ac:dyDescent="0.25">
      <c r="B49" s="66" t="s">
        <v>107</v>
      </c>
      <c r="C49" s="898">
        <v>603903</v>
      </c>
      <c r="D49" s="899">
        <f t="shared" si="21"/>
        <v>50325.25</v>
      </c>
      <c r="E49" s="899">
        <v>50344</v>
      </c>
      <c r="F49" s="898">
        <v>50344</v>
      </c>
      <c r="G49" s="898">
        <v>50344</v>
      </c>
      <c r="H49" s="1018">
        <v>50344</v>
      </c>
      <c r="I49" s="898">
        <v>50344</v>
      </c>
      <c r="J49" s="1019">
        <v>50344</v>
      </c>
      <c r="K49" s="1019">
        <v>50344</v>
      </c>
      <c r="L49" s="1171">
        <v>50344</v>
      </c>
      <c r="M49" s="898"/>
      <c r="N49" s="898"/>
      <c r="O49" s="898"/>
      <c r="P49" s="1018"/>
      <c r="Q49" s="1019">
        <f t="shared" si="17"/>
        <v>402752</v>
      </c>
      <c r="R49" s="898">
        <f t="shared" si="18"/>
        <v>402602</v>
      </c>
      <c r="S49" s="658">
        <f t="shared" si="19"/>
        <v>-150</v>
      </c>
      <c r="T49" s="656">
        <f t="shared" si="20"/>
        <v>-150</v>
      </c>
      <c r="V49" s="1137" t="s">
        <v>1150</v>
      </c>
      <c r="W49" s="1137" t="s">
        <v>374</v>
      </c>
      <c r="X49" s="1138">
        <v>2296612</v>
      </c>
      <c r="Y49" s="1169">
        <v>380094</v>
      </c>
      <c r="Z49" s="1138">
        <v>0</v>
      </c>
      <c r="AA49" s="1138">
        <v>2676706</v>
      </c>
    </row>
    <row r="50" spans="2:27" x14ac:dyDescent="0.25">
      <c r="B50" s="62" t="s">
        <v>108</v>
      </c>
      <c r="C50" s="364">
        <v>200000</v>
      </c>
      <c r="D50" s="433">
        <f t="shared" si="21"/>
        <v>16666.666666666668</v>
      </c>
      <c r="E50" s="433">
        <v>0</v>
      </c>
      <c r="F50" s="364">
        <v>0</v>
      </c>
      <c r="G50" s="364">
        <v>10000</v>
      </c>
      <c r="H50" s="1000">
        <v>10000</v>
      </c>
      <c r="I50" s="364">
        <v>0</v>
      </c>
      <c r="J50" s="361">
        <v>0</v>
      </c>
      <c r="K50" s="361">
        <v>0</v>
      </c>
      <c r="L50" s="364">
        <v>0</v>
      </c>
      <c r="M50" s="364"/>
      <c r="N50" s="364"/>
      <c r="O50" s="364"/>
      <c r="P50" s="1000"/>
      <c r="Q50" s="361">
        <f t="shared" si="17"/>
        <v>20000</v>
      </c>
      <c r="R50" s="364">
        <f t="shared" si="18"/>
        <v>133333.33333333334</v>
      </c>
      <c r="S50" s="658">
        <f t="shared" si="19"/>
        <v>113333.33333333334</v>
      </c>
      <c r="T50" s="656">
        <f t="shared" si="20"/>
        <v>113333.33333333334</v>
      </c>
      <c r="V50" s="1137" t="s">
        <v>1151</v>
      </c>
      <c r="W50" s="1137" t="s">
        <v>381</v>
      </c>
      <c r="X50" s="1138">
        <v>19985136.879999999</v>
      </c>
      <c r="Y50" s="1169">
        <v>2551875</v>
      </c>
      <c r="Z50" s="1138">
        <v>0</v>
      </c>
      <c r="AA50" s="1138">
        <v>22537011.879999999</v>
      </c>
    </row>
    <row r="51" spans="2:27" x14ac:dyDescent="0.25">
      <c r="B51" s="66" t="s">
        <v>109</v>
      </c>
      <c r="C51" s="898">
        <v>360000</v>
      </c>
      <c r="D51" s="899">
        <f t="shared" si="21"/>
        <v>30000</v>
      </c>
      <c r="E51" s="899">
        <v>0</v>
      </c>
      <c r="F51" s="898">
        <v>0</v>
      </c>
      <c r="G51" s="898">
        <v>26640</v>
      </c>
      <c r="H51" s="1018">
        <v>4390</v>
      </c>
      <c r="I51" s="898">
        <v>27030</v>
      </c>
      <c r="J51" s="1019">
        <v>0</v>
      </c>
      <c r="K51" s="1019">
        <v>75550</v>
      </c>
      <c r="L51" s="898">
        <v>0</v>
      </c>
      <c r="M51" s="898"/>
      <c r="N51" s="898"/>
      <c r="O51" s="898"/>
      <c r="P51" s="1018"/>
      <c r="Q51" s="1019">
        <f t="shared" si="17"/>
        <v>133610</v>
      </c>
      <c r="R51" s="898">
        <f t="shared" si="18"/>
        <v>240000</v>
      </c>
      <c r="S51" s="658">
        <f t="shared" si="19"/>
        <v>106390</v>
      </c>
      <c r="T51" s="656">
        <f t="shared" si="20"/>
        <v>106390</v>
      </c>
      <c r="V51" s="1137" t="s">
        <v>1152</v>
      </c>
      <c r="W51" s="1137" t="s">
        <v>381</v>
      </c>
      <c r="X51" s="1138">
        <v>19985136.879999999</v>
      </c>
      <c r="Y51" s="1169">
        <v>2551875</v>
      </c>
      <c r="Z51" s="1138">
        <v>0</v>
      </c>
      <c r="AA51" s="1138">
        <v>22537011.879999999</v>
      </c>
    </row>
    <row r="52" spans="2:27" x14ac:dyDescent="0.25">
      <c r="B52" s="62" t="s">
        <v>110</v>
      </c>
      <c r="C52" s="364">
        <v>150000</v>
      </c>
      <c r="D52" s="433">
        <f t="shared" si="21"/>
        <v>12500</v>
      </c>
      <c r="E52" s="433">
        <v>0</v>
      </c>
      <c r="F52" s="364">
        <v>0</v>
      </c>
      <c r="G52" s="364">
        <v>4500</v>
      </c>
      <c r="H52" s="1000">
        <v>0</v>
      </c>
      <c r="I52" s="364">
        <v>0</v>
      </c>
      <c r="J52" s="361">
        <v>0</v>
      </c>
      <c r="K52" s="361">
        <v>0</v>
      </c>
      <c r="L52" s="364">
        <v>0</v>
      </c>
      <c r="M52" s="364"/>
      <c r="N52" s="364"/>
      <c r="O52" s="364"/>
      <c r="P52" s="1000"/>
      <c r="Q52" s="361">
        <f t="shared" si="17"/>
        <v>4500</v>
      </c>
      <c r="R52" s="364">
        <f t="shared" si="18"/>
        <v>100000</v>
      </c>
      <c r="S52" s="658">
        <f t="shared" si="19"/>
        <v>95500</v>
      </c>
      <c r="T52" s="656">
        <f t="shared" si="20"/>
        <v>95500</v>
      </c>
      <c r="V52" s="1137" t="s">
        <v>1153</v>
      </c>
      <c r="W52" s="1137" t="s">
        <v>385</v>
      </c>
      <c r="X52" s="1138">
        <v>693510</v>
      </c>
      <c r="Y52" s="1169">
        <v>100988</v>
      </c>
      <c r="Z52" s="1138">
        <v>0</v>
      </c>
      <c r="AA52" s="1138">
        <v>794498</v>
      </c>
    </row>
    <row r="53" spans="2:27" x14ac:dyDescent="0.25">
      <c r="B53" s="66" t="s">
        <v>111</v>
      </c>
      <c r="C53" s="898">
        <v>2700000</v>
      </c>
      <c r="D53" s="899">
        <f t="shared" si="21"/>
        <v>225000</v>
      </c>
      <c r="E53" s="899">
        <v>191152.44</v>
      </c>
      <c r="F53" s="898">
        <v>189522.6</v>
      </c>
      <c r="G53" s="898">
        <v>196603.1</v>
      </c>
      <c r="H53" s="1018">
        <v>179705.1</v>
      </c>
      <c r="I53" s="898">
        <v>225057.48</v>
      </c>
      <c r="J53" s="1019">
        <v>101784</v>
      </c>
      <c r="K53" s="1019">
        <v>108924</v>
      </c>
      <c r="L53" s="1171">
        <f>+Y84</f>
        <v>206789.6</v>
      </c>
      <c r="M53" s="898"/>
      <c r="N53" s="898"/>
      <c r="O53" s="898"/>
      <c r="P53" s="1018"/>
      <c r="Q53" s="1019">
        <f t="shared" si="17"/>
        <v>1399538.32</v>
      </c>
      <c r="R53" s="898">
        <f t="shared" si="18"/>
        <v>1800000</v>
      </c>
      <c r="S53" s="658">
        <f t="shared" si="19"/>
        <v>400461.67999999993</v>
      </c>
      <c r="T53" s="656">
        <f t="shared" si="20"/>
        <v>400461.67999999993</v>
      </c>
      <c r="V53" s="1137" t="s">
        <v>1154</v>
      </c>
      <c r="W53" s="1137" t="s">
        <v>385</v>
      </c>
      <c r="X53" s="1138">
        <v>693510</v>
      </c>
      <c r="Y53" s="1169">
        <v>100988</v>
      </c>
      <c r="Z53" s="1138">
        <v>0</v>
      </c>
      <c r="AA53" s="1138">
        <v>794498</v>
      </c>
    </row>
    <row r="54" spans="2:27" s="145" customFormat="1" x14ac:dyDescent="0.25">
      <c r="B54" s="869" t="s">
        <v>68</v>
      </c>
      <c r="C54" s="901">
        <v>0</v>
      </c>
      <c r="D54" s="881">
        <f t="shared" si="21"/>
        <v>0</v>
      </c>
      <c r="E54" s="369">
        <v>0</v>
      </c>
      <c r="F54" s="370">
        <v>0</v>
      </c>
      <c r="G54" s="474">
        <v>1227</v>
      </c>
      <c r="H54" s="474">
        <v>5</v>
      </c>
      <c r="I54" s="1020">
        <v>-1887</v>
      </c>
      <c r="J54" s="474"/>
      <c r="K54" s="474">
        <v>1</v>
      </c>
      <c r="L54" s="474">
        <v>1</v>
      </c>
      <c r="M54" s="474"/>
      <c r="N54" s="474"/>
      <c r="O54" s="474"/>
      <c r="P54" s="474"/>
      <c r="Q54" s="440">
        <f t="shared" si="17"/>
        <v>-653</v>
      </c>
      <c r="R54" s="1020">
        <f t="shared" si="18"/>
        <v>0</v>
      </c>
      <c r="S54" s="658" t="e">
        <f>+#REF!-#REF!</f>
        <v>#REF!</v>
      </c>
      <c r="T54" s="656">
        <f t="shared" si="20"/>
        <v>653</v>
      </c>
      <c r="V54" s="1137" t="s">
        <v>1155</v>
      </c>
      <c r="W54" s="1137" t="s">
        <v>233</v>
      </c>
      <c r="X54" s="1138">
        <v>23060229</v>
      </c>
      <c r="Y54" s="1138">
        <v>5713951</v>
      </c>
      <c r="Z54" s="1138">
        <v>0</v>
      </c>
      <c r="AA54" s="1138">
        <v>28774180</v>
      </c>
    </row>
    <row r="55" spans="2:27" ht="15.75" hidden="1" customHeight="1" x14ac:dyDescent="0.25">
      <c r="B55" s="62" t="s">
        <v>112</v>
      </c>
      <c r="C55" s="659">
        <v>0</v>
      </c>
      <c r="D55" s="902">
        <f t="shared" si="21"/>
        <v>0</v>
      </c>
      <c r="E55" s="433"/>
      <c r="F55" s="364"/>
      <c r="G55" s="364"/>
      <c r="H55" s="1000"/>
      <c r="I55" s="364"/>
      <c r="J55" s="361"/>
      <c r="K55" s="361"/>
      <c r="L55" s="364"/>
      <c r="M55" s="364"/>
      <c r="N55" s="364"/>
      <c r="O55" s="364"/>
      <c r="P55" s="1000"/>
      <c r="Q55" s="361">
        <f t="shared" si="17"/>
        <v>0</v>
      </c>
      <c r="R55" s="364">
        <f t="shared" si="18"/>
        <v>0</v>
      </c>
      <c r="S55" s="658">
        <f>+R55-Q55</f>
        <v>0</v>
      </c>
      <c r="T55" s="656">
        <f t="shared" si="20"/>
        <v>0</v>
      </c>
      <c r="V55" s="1137" t="s">
        <v>1156</v>
      </c>
      <c r="W55" s="1137" t="s">
        <v>1157</v>
      </c>
      <c r="X55" s="1138">
        <v>1377102</v>
      </c>
      <c r="Y55" s="1138">
        <v>781652</v>
      </c>
      <c r="Z55" s="1138">
        <v>0</v>
      </c>
      <c r="AA55" s="1138">
        <v>2158754</v>
      </c>
    </row>
    <row r="56" spans="2:27" ht="13" x14ac:dyDescent="0.3">
      <c r="B56" s="67" t="s">
        <v>113</v>
      </c>
      <c r="C56" s="903">
        <f t="shared" ref="C56:J56" si="22">SUM(C46:C55)</f>
        <v>41759636</v>
      </c>
      <c r="D56" s="903">
        <f t="shared" si="22"/>
        <v>3479969.6666666665</v>
      </c>
      <c r="E56" s="903">
        <f t="shared" si="22"/>
        <v>3073400.44</v>
      </c>
      <c r="F56" s="903">
        <f t="shared" si="22"/>
        <v>3071770.6</v>
      </c>
      <c r="G56" s="903">
        <f t="shared" si="22"/>
        <v>3260328.1</v>
      </c>
      <c r="H56" s="1021">
        <f t="shared" si="22"/>
        <v>4013875.1</v>
      </c>
      <c r="I56" s="362">
        <f t="shared" si="22"/>
        <v>3401383.48</v>
      </c>
      <c r="J56" s="362">
        <f t="shared" si="22"/>
        <v>3787532</v>
      </c>
      <c r="K56" s="362">
        <f>SUM(K46:K55)</f>
        <v>3335758</v>
      </c>
      <c r="L56" s="362">
        <f>SUM(L46:L55)</f>
        <v>3358073.6</v>
      </c>
      <c r="M56" s="362"/>
      <c r="N56" s="362"/>
      <c r="O56" s="362"/>
      <c r="P56" s="999"/>
      <c r="Q56" s="362">
        <f>SUM(Q46:Q55)</f>
        <v>27302121.32</v>
      </c>
      <c r="R56" s="362">
        <f t="shared" si="18"/>
        <v>27839757.333333332</v>
      </c>
      <c r="S56" s="882" t="e">
        <f>SUM(S46:S55)</f>
        <v>#REF!</v>
      </c>
      <c r="T56" s="661">
        <f t="shared" si="20"/>
        <v>537636.01333333179</v>
      </c>
      <c r="V56" s="1137" t="s">
        <v>1158</v>
      </c>
      <c r="W56" s="1137" t="s">
        <v>274</v>
      </c>
      <c r="X56" s="1138">
        <v>1377102</v>
      </c>
      <c r="Y56" s="1169">
        <v>781652</v>
      </c>
      <c r="Z56" s="1138">
        <v>0</v>
      </c>
      <c r="AA56" s="1138">
        <v>2158754</v>
      </c>
    </row>
    <row r="57" spans="2:27" x14ac:dyDescent="0.25">
      <c r="B57" s="68" t="s">
        <v>118</v>
      </c>
      <c r="C57" s="903">
        <f>+C56+C44+C30+C34+C19</f>
        <v>356841927.21000004</v>
      </c>
      <c r="D57" s="406">
        <f>+D56+D44+D30+D19</f>
        <v>29736827.267500002</v>
      </c>
      <c r="E57" s="406">
        <f t="shared" ref="E57:P57" si="23">+E56+E44+E30+E34+E19</f>
        <v>29096206.32</v>
      </c>
      <c r="F57" s="362">
        <f t="shared" si="23"/>
        <v>28666715.600000001</v>
      </c>
      <c r="G57" s="903">
        <f t="shared" si="23"/>
        <v>29124953.100000001</v>
      </c>
      <c r="H57" s="1021">
        <f t="shared" si="23"/>
        <v>26968598.100000001</v>
      </c>
      <c r="I57" s="362">
        <f t="shared" si="23"/>
        <v>29889745.48</v>
      </c>
      <c r="J57" s="867">
        <f>+J56+J44+J30+J34+J19</f>
        <v>26648874</v>
      </c>
      <c r="K57" s="867">
        <f>+K56+K44+K30+K34+K19</f>
        <v>29171361</v>
      </c>
      <c r="L57" s="867">
        <f>+L56+L44+L30+L34+L19</f>
        <v>30300743.600000001</v>
      </c>
      <c r="M57" s="362">
        <f t="shared" si="23"/>
        <v>0</v>
      </c>
      <c r="N57" s="362">
        <f t="shared" si="23"/>
        <v>0</v>
      </c>
      <c r="O57" s="362">
        <f t="shared" si="23"/>
        <v>0</v>
      </c>
      <c r="P57" s="362">
        <f t="shared" si="23"/>
        <v>0</v>
      </c>
      <c r="Q57" s="867">
        <f>+Q56+Q44+Q30+Q34+Q19</f>
        <v>229867197.19999999</v>
      </c>
      <c r="R57" s="362">
        <f t="shared" si="18"/>
        <v>237894618.14000002</v>
      </c>
      <c r="S57" s="904" t="e">
        <f>+S56+S44+S30+S34+S19</f>
        <v>#REF!</v>
      </c>
      <c r="T57" s="904">
        <f>+T56+T44+T30+T34+T19</f>
        <v>8027420.9400000311</v>
      </c>
      <c r="U57" s="462" t="s">
        <v>33</v>
      </c>
      <c r="V57" s="1137" t="s">
        <v>1159</v>
      </c>
      <c r="W57" s="1137" t="s">
        <v>1160</v>
      </c>
      <c r="X57" s="1138">
        <v>21683127</v>
      </c>
      <c r="Y57" s="1138">
        <v>4932299</v>
      </c>
      <c r="Z57" s="1138">
        <v>0</v>
      </c>
      <c r="AA57" s="1138">
        <v>26615426</v>
      </c>
    </row>
    <row r="58" spans="2:27" ht="13" x14ac:dyDescent="0.3">
      <c r="B58" s="52"/>
      <c r="C58" s="383"/>
      <c r="D58" s="435"/>
      <c r="E58" s="362"/>
      <c r="F58" s="382"/>
      <c r="G58" s="382"/>
      <c r="H58" s="382"/>
      <c r="I58" s="382"/>
      <c r="J58" s="382"/>
      <c r="K58" s="382"/>
      <c r="L58" s="382"/>
      <c r="M58" s="382"/>
      <c r="N58" s="382"/>
      <c r="O58" s="382"/>
      <c r="P58" s="382"/>
      <c r="Q58" s="382"/>
      <c r="R58" s="382"/>
      <c r="S58" s="662"/>
      <c r="T58" s="667"/>
      <c r="V58" s="1137" t="s">
        <v>1161</v>
      </c>
      <c r="W58" s="1137" t="s">
        <v>277</v>
      </c>
      <c r="X58" s="1138">
        <v>4769336</v>
      </c>
      <c r="Y58" s="1169">
        <v>1519560</v>
      </c>
      <c r="Z58" s="1138">
        <v>0</v>
      </c>
      <c r="AA58" s="1138">
        <v>6288896</v>
      </c>
    </row>
    <row r="59" spans="2:27" ht="13" x14ac:dyDescent="0.3">
      <c r="B59" s="905" t="s">
        <v>219</v>
      </c>
      <c r="C59" s="906">
        <f>SUM(C60:C64)</f>
        <v>0</v>
      </c>
      <c r="D59" s="865"/>
      <c r="E59" s="865">
        <f>SUM(E60:E65)</f>
        <v>451228.69</v>
      </c>
      <c r="F59" s="907">
        <f>SUM(F60:F64)</f>
        <v>472103.33999999997</v>
      </c>
      <c r="G59" s="907">
        <f>SUM(G60:G64)</f>
        <v>455679.26</v>
      </c>
      <c r="H59" s="907">
        <f>SUM(H60:H64)</f>
        <v>411197.13</v>
      </c>
      <c r="I59" s="907">
        <f>SUM(I60:I65)</f>
        <v>713029.05</v>
      </c>
      <c r="J59" s="907">
        <f>SUM(J60:J65)</f>
        <v>414671.35999999999</v>
      </c>
      <c r="K59" s="907">
        <f>SUM(K60:K65)</f>
        <v>602175.76</v>
      </c>
      <c r="L59" s="907">
        <f>SUM(L60:L65)</f>
        <v>519706.7</v>
      </c>
      <c r="M59" s="907">
        <f t="shared" ref="M59:S59" si="24">SUM(M60:M64)</f>
        <v>0</v>
      </c>
      <c r="N59" s="907">
        <f t="shared" si="24"/>
        <v>0</v>
      </c>
      <c r="O59" s="907">
        <f t="shared" si="24"/>
        <v>0</v>
      </c>
      <c r="P59" s="907">
        <f t="shared" si="24"/>
        <v>0</v>
      </c>
      <c r="Q59" s="907">
        <f>SUM(Q60:Q65)</f>
        <v>4039791.29</v>
      </c>
      <c r="R59" s="907">
        <f t="shared" si="24"/>
        <v>0</v>
      </c>
      <c r="S59" s="910">
        <f t="shared" si="24"/>
        <v>-3791338.55</v>
      </c>
      <c r="T59" s="661">
        <f>+Q59</f>
        <v>4039791.29</v>
      </c>
      <c r="V59" s="1137" t="s">
        <v>1162</v>
      </c>
      <c r="W59" s="1137" t="s">
        <v>210</v>
      </c>
      <c r="X59" s="1138">
        <v>1310610</v>
      </c>
      <c r="Y59" s="1169">
        <v>111750</v>
      </c>
      <c r="Z59" s="1138">
        <v>0</v>
      </c>
      <c r="AA59" s="1138">
        <v>1422360</v>
      </c>
    </row>
    <row r="60" spans="2:27" x14ac:dyDescent="0.25">
      <c r="B60" s="106" t="s">
        <v>121</v>
      </c>
      <c r="C60" s="376"/>
      <c r="D60" s="361"/>
      <c r="E60" s="361">
        <v>69013</v>
      </c>
      <c r="F60" s="364">
        <v>95407</v>
      </c>
      <c r="G60" s="382">
        <v>139518</v>
      </c>
      <c r="H60" s="382">
        <v>92495</v>
      </c>
      <c r="I60" s="382">
        <v>136086</v>
      </c>
      <c r="J60" s="382">
        <v>108094</v>
      </c>
      <c r="K60" s="382">
        <v>249985</v>
      </c>
      <c r="L60" s="382">
        <f>+Z20</f>
        <v>188163</v>
      </c>
      <c r="M60" s="382"/>
      <c r="N60" s="382"/>
      <c r="O60" s="382"/>
      <c r="P60" s="382"/>
      <c r="Q60" s="382">
        <f t="shared" ref="Q60:Q65" si="25">SUM(E60:P60)</f>
        <v>1078761</v>
      </c>
      <c r="R60" s="382">
        <v>0</v>
      </c>
      <c r="S60" s="668">
        <f>+R60-Q60</f>
        <v>-1078761</v>
      </c>
      <c r="T60" s="657"/>
      <c r="V60" s="1137" t="s">
        <v>1163</v>
      </c>
      <c r="W60" s="1137" t="s">
        <v>240</v>
      </c>
      <c r="X60" s="1138">
        <v>828038</v>
      </c>
      <c r="Y60" s="1169">
        <v>80000</v>
      </c>
      <c r="Z60" s="1138">
        <v>0</v>
      </c>
      <c r="AA60" s="1138">
        <v>908038</v>
      </c>
    </row>
    <row r="61" spans="2:27" x14ac:dyDescent="0.25">
      <c r="B61" s="913" t="s">
        <v>122</v>
      </c>
      <c r="C61" s="914"/>
      <c r="D61" s="915"/>
      <c r="E61" s="915">
        <f>669.24+123715.45</f>
        <v>124384.69</v>
      </c>
      <c r="F61" s="916">
        <f>52094.04+1011.3</f>
        <v>53105.340000000004</v>
      </c>
      <c r="G61" s="916">
        <f>57021.36+1056.9</f>
        <v>58078.26</v>
      </c>
      <c r="H61" s="916">
        <f>1143+59728.13</f>
        <v>60871.13</v>
      </c>
      <c r="I61" s="916">
        <v>67835.31</v>
      </c>
      <c r="J61" s="916">
        <v>48746.36</v>
      </c>
      <c r="K61" s="916">
        <f>4108.41+88124.35</f>
        <v>92232.760000000009</v>
      </c>
      <c r="L61" s="916">
        <f>+Z14</f>
        <v>69440.7</v>
      </c>
      <c r="M61" s="916"/>
      <c r="N61" s="916"/>
      <c r="O61" s="916"/>
      <c r="P61" s="916"/>
      <c r="Q61" s="916">
        <f t="shared" si="25"/>
        <v>574694.54999999993</v>
      </c>
      <c r="R61" s="916">
        <v>0</v>
      </c>
      <c r="S61" s="668">
        <f>+R61-Q61</f>
        <v>-574694.54999999993</v>
      </c>
      <c r="T61" s="657"/>
      <c r="V61" s="1137" t="s">
        <v>1164</v>
      </c>
      <c r="W61" s="1137" t="s">
        <v>244</v>
      </c>
      <c r="X61" s="1138">
        <v>1480360</v>
      </c>
      <c r="Y61" s="1138">
        <v>0</v>
      </c>
      <c r="Z61" s="1138">
        <v>0</v>
      </c>
      <c r="AA61" s="1138">
        <v>1480360</v>
      </c>
    </row>
    <row r="62" spans="2:27" x14ac:dyDescent="0.25">
      <c r="B62" s="106" t="s">
        <v>1227</v>
      </c>
      <c r="C62" s="376"/>
      <c r="D62" s="361"/>
      <c r="E62" s="361"/>
      <c r="F62" s="364">
        <v>0</v>
      </c>
      <c r="G62" s="382"/>
      <c r="H62" s="382"/>
      <c r="I62" s="382">
        <v>0</v>
      </c>
      <c r="J62" s="382">
        <v>0</v>
      </c>
      <c r="K62" s="382">
        <v>0</v>
      </c>
      <c r="L62" s="382">
        <v>0</v>
      </c>
      <c r="M62" s="382"/>
      <c r="N62" s="382"/>
      <c r="O62" s="382"/>
      <c r="P62" s="382"/>
      <c r="Q62" s="382">
        <f t="shared" si="25"/>
        <v>0</v>
      </c>
      <c r="R62" s="382">
        <v>0</v>
      </c>
      <c r="S62" s="668">
        <f>+R62-Q62</f>
        <v>0</v>
      </c>
      <c r="T62" s="657"/>
      <c r="V62" s="1137" t="s">
        <v>1165</v>
      </c>
      <c r="W62" s="1137" t="s">
        <v>247</v>
      </c>
      <c r="X62" s="1138">
        <v>8125200</v>
      </c>
      <c r="Y62" s="1169">
        <v>2279100</v>
      </c>
      <c r="Z62" s="1138">
        <v>0</v>
      </c>
      <c r="AA62" s="1138">
        <v>10404300</v>
      </c>
    </row>
    <row r="63" spans="2:27" x14ac:dyDescent="0.25">
      <c r="B63" s="913" t="s">
        <v>123</v>
      </c>
      <c r="C63" s="914"/>
      <c r="D63" s="915"/>
      <c r="E63" s="915">
        <v>257831</v>
      </c>
      <c r="F63" s="916">
        <v>323591</v>
      </c>
      <c r="G63" s="916">
        <v>257831</v>
      </c>
      <c r="H63" s="916">
        <v>257831</v>
      </c>
      <c r="I63" s="916">
        <v>257831</v>
      </c>
      <c r="J63" s="916">
        <v>257831</v>
      </c>
      <c r="K63" s="916">
        <v>259958</v>
      </c>
      <c r="L63" s="916">
        <v>262103</v>
      </c>
      <c r="M63" s="916"/>
      <c r="N63" s="916"/>
      <c r="O63" s="916"/>
      <c r="P63" s="916"/>
      <c r="Q63" s="916">
        <f t="shared" si="25"/>
        <v>2134807</v>
      </c>
      <c r="R63" s="916">
        <v>0</v>
      </c>
      <c r="S63" s="668">
        <f>+R63-Q63</f>
        <v>-2134807</v>
      </c>
      <c r="T63" s="657"/>
      <c r="V63" s="1137" t="s">
        <v>1166</v>
      </c>
      <c r="W63" s="1137" t="s">
        <v>212</v>
      </c>
      <c r="X63" s="1138">
        <v>4331053</v>
      </c>
      <c r="Y63" s="1169">
        <v>801889</v>
      </c>
      <c r="Z63" s="1138">
        <v>0</v>
      </c>
      <c r="AA63" s="1138">
        <v>5132942</v>
      </c>
    </row>
    <row r="64" spans="2:27" x14ac:dyDescent="0.25">
      <c r="B64" s="106" t="s">
        <v>124</v>
      </c>
      <c r="C64" s="376"/>
      <c r="D64" s="364"/>
      <c r="E64" s="364"/>
      <c r="F64" s="364"/>
      <c r="G64" s="382">
        <v>252</v>
      </c>
      <c r="H64" s="382"/>
      <c r="I64" s="382">
        <f>2321+503</f>
        <v>2824</v>
      </c>
      <c r="J64" s="382">
        <v>0</v>
      </c>
      <c r="K64" s="382">
        <v>0</v>
      </c>
      <c r="L64" s="382">
        <v>0</v>
      </c>
      <c r="M64" s="382"/>
      <c r="N64" s="382"/>
      <c r="O64" s="382"/>
      <c r="P64" s="382"/>
      <c r="Q64" s="382">
        <f t="shared" si="25"/>
        <v>3076</v>
      </c>
      <c r="R64" s="382">
        <v>0</v>
      </c>
      <c r="S64" s="668">
        <f>+R64-Q64</f>
        <v>-3076</v>
      </c>
      <c r="T64" s="657"/>
      <c r="V64" s="1137" t="s">
        <v>1627</v>
      </c>
      <c r="W64" s="1137" t="s">
        <v>775</v>
      </c>
      <c r="X64" s="1138">
        <v>698530</v>
      </c>
      <c r="Y64" s="1138">
        <v>0</v>
      </c>
      <c r="Z64" s="1138">
        <v>0</v>
      </c>
      <c r="AA64" s="1138">
        <v>698530</v>
      </c>
    </row>
    <row r="65" spans="2:27" x14ac:dyDescent="0.25">
      <c r="B65" s="918" t="s">
        <v>1410</v>
      </c>
      <c r="C65" s="919"/>
      <c r="D65" s="920"/>
      <c r="E65" s="920"/>
      <c r="F65" s="920"/>
      <c r="G65" s="886"/>
      <c r="H65" s="886"/>
      <c r="I65" s="916">
        <v>248452.74</v>
      </c>
      <c r="J65" s="916">
        <v>0</v>
      </c>
      <c r="K65" s="916">
        <v>0</v>
      </c>
      <c r="L65" s="916">
        <v>0</v>
      </c>
      <c r="M65" s="916"/>
      <c r="N65" s="916"/>
      <c r="O65" s="916"/>
      <c r="P65" s="916"/>
      <c r="Q65" s="382">
        <f t="shared" si="25"/>
        <v>248452.74</v>
      </c>
      <c r="R65" s="916"/>
      <c r="S65" s="668"/>
      <c r="T65" s="922"/>
      <c r="V65" s="1137" t="s">
        <v>1167</v>
      </c>
      <c r="W65" s="1137" t="s">
        <v>1168</v>
      </c>
      <c r="X65" s="1138">
        <v>140000</v>
      </c>
      <c r="Y65" s="1169">
        <v>140000</v>
      </c>
      <c r="Z65" s="1138">
        <v>0</v>
      </c>
      <c r="AA65" s="1138">
        <v>280000</v>
      </c>
    </row>
    <row r="66" spans="2:27" ht="15.5" x14ac:dyDescent="0.35">
      <c r="B66" s="271" t="s">
        <v>566</v>
      </c>
      <c r="C66" s="384">
        <f>+C8-C57</f>
        <v>-0.21000003814697266</v>
      </c>
      <c r="D66" s="385">
        <f>+D8-D57</f>
        <v>-1.7500001937150955E-2</v>
      </c>
      <c r="E66" s="669">
        <f t="shared" ref="E66:Q66" si="26">+E8-E57+E59</f>
        <v>56589.369999999704</v>
      </c>
      <c r="F66" s="669">
        <f t="shared" si="26"/>
        <v>506954.73999999848</v>
      </c>
      <c r="G66" s="385">
        <f t="shared" si="26"/>
        <v>32293.159999998519</v>
      </c>
      <c r="H66" s="385">
        <f t="shared" si="26"/>
        <v>6280234.0299999984</v>
      </c>
      <c r="I66" s="1022">
        <f>+I8-I57+I59</f>
        <v>558867.5699999996</v>
      </c>
      <c r="J66" s="1022">
        <f t="shared" si="26"/>
        <v>3501381.36</v>
      </c>
      <c r="K66" s="1028">
        <f t="shared" si="26"/>
        <v>1166398.76</v>
      </c>
      <c r="L66" s="1028">
        <f t="shared" si="26"/>
        <v>-45452.900000001478</v>
      </c>
      <c r="M66" s="1022">
        <f t="shared" si="26"/>
        <v>0</v>
      </c>
      <c r="N66" s="1022">
        <f t="shared" si="26"/>
        <v>0</v>
      </c>
      <c r="O66" s="1022">
        <f t="shared" si="26"/>
        <v>0</v>
      </c>
      <c r="P66" s="1022">
        <f t="shared" si="26"/>
        <v>0</v>
      </c>
      <c r="Q66" s="1022">
        <f t="shared" si="26"/>
        <v>12057266.090000011</v>
      </c>
      <c r="R66" s="1022">
        <v>0</v>
      </c>
      <c r="S66" s="670" t="e">
        <f>+S8-S57+S59</f>
        <v>#REF!</v>
      </c>
      <c r="T66" s="670">
        <f>+T57-T8+T59</f>
        <v>12057266.23000003</v>
      </c>
      <c r="V66" s="1137" t="s">
        <v>1169</v>
      </c>
      <c r="W66" s="1137" t="s">
        <v>1170</v>
      </c>
      <c r="X66" s="1138">
        <v>350000</v>
      </c>
      <c r="Y66" s="1138">
        <v>0</v>
      </c>
      <c r="Z66" s="1138">
        <v>0</v>
      </c>
      <c r="AA66" s="1138">
        <v>350000</v>
      </c>
    </row>
    <row r="67" spans="2:27" hidden="1" x14ac:dyDescent="0.25">
      <c r="B67" s="415"/>
      <c r="C67" s="353"/>
      <c r="D67" s="353"/>
      <c r="E67" s="353"/>
      <c r="F67" s="387">
        <f>SUM(E66:F66)</f>
        <v>563544.10999999824</v>
      </c>
      <c r="G67" s="387">
        <f>SUM(E66:G66)</f>
        <v>595837.26999999676</v>
      </c>
      <c r="H67" s="387">
        <f>SUM(E66:H66)</f>
        <v>6876071.2999999952</v>
      </c>
      <c r="I67" s="387">
        <f>SUM(E66:I66)</f>
        <v>7434938.8699999945</v>
      </c>
      <c r="J67" s="387"/>
      <c r="K67" s="387"/>
      <c r="L67" s="387"/>
      <c r="M67" s="387"/>
      <c r="N67" s="387"/>
      <c r="O67" s="387"/>
      <c r="P67" s="387"/>
      <c r="Q67" s="387"/>
      <c r="R67" s="387"/>
      <c r="T67" s="667"/>
      <c r="V67" s="1137" t="s">
        <v>1171</v>
      </c>
      <c r="W67" s="1137" t="s">
        <v>298</v>
      </c>
      <c r="X67" s="1138">
        <v>350000</v>
      </c>
      <c r="Y67" s="1138">
        <v>0</v>
      </c>
      <c r="Z67" s="1138">
        <v>0</v>
      </c>
      <c r="AA67" s="1138">
        <v>350000</v>
      </c>
    </row>
    <row r="68" spans="2:27" x14ac:dyDescent="0.25">
      <c r="B68" s="672"/>
      <c r="C68" s="408"/>
      <c r="D68" s="408"/>
      <c r="E68" s="408"/>
      <c r="F68" s="408"/>
      <c r="G68" s="408"/>
      <c r="H68" s="408"/>
      <c r="I68" s="361">
        <f>SUM(E66:I66)</f>
        <v>7434938.8699999945</v>
      </c>
      <c r="J68" s="361">
        <f>SUM(E66:J66)</f>
        <v>10936320.229999995</v>
      </c>
      <c r="K68" s="361">
        <f>SUM(E66:K66)</f>
        <v>12102718.989999995</v>
      </c>
      <c r="L68" s="361">
        <f>SUM(E66:L66)</f>
        <v>12057266.089999992</v>
      </c>
      <c r="M68" s="361"/>
      <c r="N68" s="361" t="s">
        <v>33</v>
      </c>
      <c r="O68" s="361" t="s">
        <v>33</v>
      </c>
      <c r="P68" s="361"/>
      <c r="Q68" s="361"/>
      <c r="R68" s="361"/>
      <c r="S68" s="1023" t="e">
        <f>+Q66+S66</f>
        <v>#REF!</v>
      </c>
      <c r="T68" s="44"/>
      <c r="U68" s="462" t="s">
        <v>33</v>
      </c>
      <c r="V68" s="1137" t="s">
        <v>1172</v>
      </c>
      <c r="W68" s="1137" t="s">
        <v>1120</v>
      </c>
      <c r="X68" s="1138">
        <v>2793128.88</v>
      </c>
      <c r="Y68" s="1138">
        <v>278187</v>
      </c>
      <c r="Z68" s="1138">
        <v>0</v>
      </c>
      <c r="AA68" s="1138">
        <v>3071315.88</v>
      </c>
    </row>
    <row r="69" spans="2:27" x14ac:dyDescent="0.25">
      <c r="B69" s="289" t="s">
        <v>456</v>
      </c>
      <c r="C69" s="474"/>
      <c r="D69" s="474"/>
      <c r="E69" s="474"/>
      <c r="F69" s="674" t="s">
        <v>40</v>
      </c>
      <c r="G69" s="474"/>
      <c r="H69" s="474"/>
      <c r="I69" s="474"/>
      <c r="J69" s="474"/>
      <c r="K69" s="404" t="s">
        <v>40</v>
      </c>
      <c r="L69" s="474"/>
      <c r="M69" s="440"/>
      <c r="N69" s="664"/>
      <c r="O69" s="474"/>
      <c r="P69" s="474"/>
      <c r="Q69" s="474"/>
      <c r="R69" s="440"/>
      <c r="S69" s="405"/>
      <c r="T69" s="145"/>
      <c r="V69" s="1137" t="s">
        <v>1173</v>
      </c>
      <c r="W69" s="1137" t="s">
        <v>1174</v>
      </c>
      <c r="X69" s="1138">
        <v>1238793</v>
      </c>
      <c r="Y69" s="1169">
        <v>77500</v>
      </c>
      <c r="Z69" s="1138">
        <v>0</v>
      </c>
      <c r="AA69" s="1138">
        <v>1316293</v>
      </c>
    </row>
    <row r="70" spans="2:27" x14ac:dyDescent="0.25">
      <c r="B70" s="289" t="s">
        <v>119</v>
      </c>
      <c r="C70" s="474"/>
      <c r="D70" s="474"/>
      <c r="E70" s="474"/>
      <c r="F70" s="474" t="s">
        <v>48</v>
      </c>
      <c r="G70" s="474"/>
      <c r="H70" s="474"/>
      <c r="I70" s="474"/>
      <c r="J70" s="440"/>
      <c r="K70" s="675" t="s">
        <v>48</v>
      </c>
      <c r="L70" s="440"/>
      <c r="M70" s="474"/>
      <c r="N70" s="664"/>
      <c r="O70" s="474" t="s">
        <v>33</v>
      </c>
      <c r="P70" s="474"/>
      <c r="Q70" s="474"/>
      <c r="R70" s="474"/>
      <c r="S70" s="405"/>
      <c r="T70" s="145"/>
      <c r="V70" s="1137" t="s">
        <v>1175</v>
      </c>
      <c r="W70" s="1137" t="s">
        <v>215</v>
      </c>
      <c r="X70" s="1138">
        <v>1105183</v>
      </c>
      <c r="Y70" s="1169">
        <v>77500</v>
      </c>
      <c r="Z70" s="1138">
        <v>0</v>
      </c>
      <c r="AA70" s="1138">
        <v>1182683</v>
      </c>
    </row>
    <row r="71" spans="2:27" x14ac:dyDescent="0.25">
      <c r="B71" s="145"/>
      <c r="C71" s="474"/>
      <c r="D71" s="474"/>
      <c r="E71" s="474"/>
      <c r="F71" s="474"/>
      <c r="G71" s="474"/>
      <c r="H71" s="474"/>
      <c r="I71" s="474"/>
      <c r="J71" s="474"/>
      <c r="K71" s="474"/>
      <c r="L71" s="474"/>
      <c r="M71" s="474"/>
      <c r="N71" s="664"/>
      <c r="O71" s="474"/>
      <c r="P71" s="474"/>
      <c r="Q71" s="474"/>
      <c r="R71" s="474"/>
      <c r="S71" s="405"/>
      <c r="T71" s="145"/>
      <c r="V71" s="1137" t="s">
        <v>1176</v>
      </c>
      <c r="W71" s="1137" t="s">
        <v>264</v>
      </c>
      <c r="X71" s="1138">
        <v>133610</v>
      </c>
      <c r="Y71" s="1138">
        <v>0</v>
      </c>
      <c r="Z71" s="1138">
        <v>0</v>
      </c>
      <c r="AA71" s="1138">
        <v>133610</v>
      </c>
    </row>
    <row r="72" spans="2:27" x14ac:dyDescent="0.25">
      <c r="B72" s="145"/>
      <c r="C72" s="474"/>
      <c r="D72" s="474"/>
      <c r="E72" s="474"/>
      <c r="F72" s="474"/>
      <c r="G72" s="474"/>
      <c r="H72" s="474"/>
      <c r="I72" s="474"/>
      <c r="J72" s="474"/>
      <c r="K72" s="474"/>
      <c r="L72" s="474"/>
      <c r="M72" s="474"/>
      <c r="N72" s="664"/>
      <c r="O72" s="474"/>
      <c r="P72" s="474"/>
      <c r="Q72" s="474"/>
      <c r="R72" s="474"/>
      <c r="S72" s="405"/>
      <c r="T72" s="145"/>
      <c r="V72" s="1137" t="s">
        <v>1177</v>
      </c>
      <c r="W72" s="1137" t="s">
        <v>1178</v>
      </c>
      <c r="X72" s="1138">
        <v>20000</v>
      </c>
      <c r="Y72" s="1138">
        <v>0</v>
      </c>
      <c r="Z72" s="1138">
        <v>0</v>
      </c>
      <c r="AA72" s="1138">
        <v>20000</v>
      </c>
    </row>
    <row r="73" spans="2:27" x14ac:dyDescent="0.25">
      <c r="B73" s="1633" t="s">
        <v>962</v>
      </c>
      <c r="C73" s="1634"/>
      <c r="D73"/>
      <c r="U73" s="462" t="s">
        <v>33</v>
      </c>
      <c r="V73" s="1137" t="s">
        <v>1182</v>
      </c>
      <c r="W73" s="1137" t="s">
        <v>1183</v>
      </c>
      <c r="X73" s="1138">
        <v>837137</v>
      </c>
      <c r="Y73" s="1169">
        <v>200687</v>
      </c>
      <c r="Z73" s="1138">
        <v>0</v>
      </c>
      <c r="AA73" s="1138">
        <v>1037824</v>
      </c>
    </row>
    <row r="74" spans="2:27" x14ac:dyDescent="0.25">
      <c r="B74" s="302" t="s">
        <v>773</v>
      </c>
      <c r="C74" s="638">
        <f>-49920464</f>
        <v>-49920464</v>
      </c>
      <c r="D74"/>
      <c r="U74" s="1" t="s">
        <v>33</v>
      </c>
      <c r="V74" s="1137" t="s">
        <v>1184</v>
      </c>
      <c r="W74" s="1137" t="s">
        <v>295</v>
      </c>
      <c r="X74" s="1138">
        <v>781887</v>
      </c>
      <c r="Y74" s="1169">
        <v>200687</v>
      </c>
      <c r="Z74" s="1138">
        <v>0</v>
      </c>
      <c r="AA74" s="1138">
        <v>982574</v>
      </c>
    </row>
    <row r="75" spans="2:27" x14ac:dyDescent="0.25">
      <c r="B75" s="639" t="s">
        <v>963</v>
      </c>
      <c r="C75" s="640">
        <v>-893269.33</v>
      </c>
      <c r="D75"/>
      <c r="V75" s="1137" t="s">
        <v>1185</v>
      </c>
      <c r="W75" s="1137" t="s">
        <v>1186</v>
      </c>
      <c r="X75" s="1138">
        <v>55250</v>
      </c>
      <c r="Y75" s="1138">
        <v>0</v>
      </c>
      <c r="Z75" s="1138">
        <v>0</v>
      </c>
      <c r="AA75" s="1138">
        <v>55250</v>
      </c>
    </row>
    <row r="76" spans="2:27" x14ac:dyDescent="0.25">
      <c r="B76" s="641" t="s">
        <v>964</v>
      </c>
      <c r="C76" s="642">
        <f>SUM(C74:C75)</f>
        <v>-50813733.329999998</v>
      </c>
      <c r="D76"/>
      <c r="V76" s="1137" t="s">
        <v>1187</v>
      </c>
      <c r="W76" s="1137" t="s">
        <v>998</v>
      </c>
      <c r="X76" s="1138">
        <v>692698.88</v>
      </c>
      <c r="Y76" s="1138">
        <v>0</v>
      </c>
      <c r="Z76" s="1138">
        <v>0</v>
      </c>
      <c r="AA76" s="1138">
        <v>692698.88</v>
      </c>
    </row>
    <row r="77" spans="2:27" x14ac:dyDescent="0.25">
      <c r="B77" s="639" t="s">
        <v>965</v>
      </c>
      <c r="C77" s="643"/>
      <c r="D77"/>
      <c r="V77" s="1137" t="s">
        <v>1188</v>
      </c>
      <c r="W77" s="1137" t="s">
        <v>1189</v>
      </c>
      <c r="X77" s="1138">
        <v>338650</v>
      </c>
      <c r="Y77" s="1138">
        <v>0</v>
      </c>
      <c r="Z77" s="1138">
        <v>0</v>
      </c>
      <c r="AA77" s="1138">
        <v>338650</v>
      </c>
    </row>
    <row r="78" spans="2:27" x14ac:dyDescent="0.25">
      <c r="B78" s="302" t="s">
        <v>75</v>
      </c>
      <c r="C78" s="640">
        <v>7425682</v>
      </c>
      <c r="D78"/>
      <c r="V78" s="1137" t="s">
        <v>1628</v>
      </c>
      <c r="W78" s="1137" t="s">
        <v>619</v>
      </c>
      <c r="X78" s="1138">
        <v>355929</v>
      </c>
      <c r="Y78" s="1138">
        <v>0</v>
      </c>
      <c r="Z78" s="1138">
        <v>0</v>
      </c>
      <c r="AA78" s="1138">
        <v>355929</v>
      </c>
    </row>
    <row r="79" spans="2:27" x14ac:dyDescent="0.25">
      <c r="B79" s="302" t="s">
        <v>58</v>
      </c>
      <c r="C79" s="640">
        <v>8550122</v>
      </c>
      <c r="D79"/>
      <c r="V79" s="1137" t="s">
        <v>1190</v>
      </c>
      <c r="W79" s="1137" t="s">
        <v>432</v>
      </c>
      <c r="X79" s="1138">
        <v>-1880.12</v>
      </c>
      <c r="Y79" s="1138">
        <v>0</v>
      </c>
      <c r="Z79" s="1138">
        <v>0</v>
      </c>
      <c r="AA79" s="1138">
        <v>-1880.12</v>
      </c>
    </row>
    <row r="80" spans="2:27" x14ac:dyDescent="0.25">
      <c r="B80" s="302" t="s">
        <v>220</v>
      </c>
      <c r="C80" s="640">
        <v>3837291</v>
      </c>
      <c r="D80"/>
      <c r="V80" s="1137" t="s">
        <v>1191</v>
      </c>
      <c r="W80" s="1137" t="s">
        <v>1192</v>
      </c>
      <c r="X80" s="1138">
        <v>2063902</v>
      </c>
      <c r="Y80" s="1169">
        <v>297356</v>
      </c>
      <c r="Z80" s="1138">
        <v>0</v>
      </c>
      <c r="AA80" s="1138">
        <v>2361258</v>
      </c>
    </row>
    <row r="81" spans="2:27" x14ac:dyDescent="0.25">
      <c r="B81" s="302" t="s">
        <v>224</v>
      </c>
      <c r="C81" s="640">
        <v>23006463.5</v>
      </c>
      <c r="D81"/>
      <c r="V81" s="1137" t="s">
        <v>1193</v>
      </c>
      <c r="W81" s="1137" t="s">
        <v>1194</v>
      </c>
      <c r="X81" s="1138">
        <v>2063902</v>
      </c>
      <c r="Y81" s="1169">
        <v>297356</v>
      </c>
      <c r="Z81" s="1138">
        <v>0</v>
      </c>
      <c r="AA81" s="1138">
        <v>2361258</v>
      </c>
    </row>
    <row r="82" spans="2:27" x14ac:dyDescent="0.25">
      <c r="B82" s="302" t="s">
        <v>966</v>
      </c>
      <c r="C82" s="640">
        <v>7994163.0700000003</v>
      </c>
      <c r="D82"/>
      <c r="V82" s="1137" t="s">
        <v>1195</v>
      </c>
      <c r="W82" s="1137" t="s">
        <v>217</v>
      </c>
      <c r="X82" s="1138">
        <v>2063902</v>
      </c>
      <c r="Y82" s="1169">
        <v>297356</v>
      </c>
      <c r="Z82" s="1138">
        <v>0</v>
      </c>
      <c r="AA82" s="1138">
        <v>2361258</v>
      </c>
    </row>
    <row r="83" spans="2:27" x14ac:dyDescent="0.25">
      <c r="B83" s="644" t="s">
        <v>967</v>
      </c>
      <c r="C83" s="645">
        <f>SUM(C78:C82)</f>
        <v>50813721.57</v>
      </c>
      <c r="D83"/>
      <c r="V83" s="1137" t="s">
        <v>1196</v>
      </c>
      <c r="W83" s="1137" t="s">
        <v>1103</v>
      </c>
      <c r="X83" s="1138">
        <v>1193975.72</v>
      </c>
      <c r="Y83" s="1169">
        <v>206789.6</v>
      </c>
      <c r="Z83" s="1138">
        <v>0</v>
      </c>
      <c r="AA83" s="1138">
        <v>1400765.32</v>
      </c>
    </row>
    <row r="84" spans="2:27" x14ac:dyDescent="0.25">
      <c r="C84" s="325"/>
      <c r="D84"/>
      <c r="V84" s="1137" t="s">
        <v>1197</v>
      </c>
      <c r="W84" s="1137" t="s">
        <v>1105</v>
      </c>
      <c r="X84" s="1138">
        <v>1187594.54</v>
      </c>
      <c r="Y84" s="1169">
        <v>206789.6</v>
      </c>
      <c r="Z84" s="1138">
        <v>0</v>
      </c>
      <c r="AA84" s="1138">
        <v>1394384.14</v>
      </c>
    </row>
    <row r="85" spans="2:27" x14ac:dyDescent="0.25">
      <c r="C85" s="325"/>
      <c r="D85"/>
      <c r="V85" s="1137" t="s">
        <v>1198</v>
      </c>
      <c r="W85" s="1137" t="s">
        <v>1199</v>
      </c>
      <c r="X85" s="1138">
        <v>1187594.54</v>
      </c>
      <c r="Y85" s="1169">
        <v>206789.6</v>
      </c>
      <c r="Z85" s="1138">
        <v>0</v>
      </c>
      <c r="AA85" s="1138">
        <v>1394384.14</v>
      </c>
    </row>
    <row r="86" spans="2:27" x14ac:dyDescent="0.25">
      <c r="B86" s="1633" t="s">
        <v>962</v>
      </c>
      <c r="C86" s="1634"/>
      <c r="D86"/>
      <c r="V86" s="1137" t="s">
        <v>1200</v>
      </c>
      <c r="W86" s="1137" t="s">
        <v>302</v>
      </c>
      <c r="X86" s="1138">
        <v>658414.54</v>
      </c>
      <c r="Y86" s="1138">
        <v>22193.5</v>
      </c>
      <c r="Z86" s="1138">
        <v>0</v>
      </c>
      <c r="AA86" s="1138">
        <v>680608.04</v>
      </c>
    </row>
    <row r="87" spans="2:27" x14ac:dyDescent="0.25">
      <c r="B87" s="302" t="s">
        <v>773</v>
      </c>
      <c r="C87" s="638">
        <f>-49920464</f>
        <v>-49920464</v>
      </c>
      <c r="V87" s="1137" t="s">
        <v>1629</v>
      </c>
      <c r="W87" s="1137" t="s">
        <v>1630</v>
      </c>
      <c r="X87" s="1138">
        <v>0</v>
      </c>
      <c r="Y87" s="1138">
        <v>83538</v>
      </c>
      <c r="Z87" s="1138">
        <v>0</v>
      </c>
      <c r="AA87" s="1138">
        <v>83538</v>
      </c>
    </row>
    <row r="88" spans="2:27" x14ac:dyDescent="0.25">
      <c r="B88" s="639" t="s">
        <v>963</v>
      </c>
      <c r="C88" s="640">
        <v>-893269.33</v>
      </c>
      <c r="V88" s="1137" t="s">
        <v>1201</v>
      </c>
      <c r="W88" s="1137" t="s">
        <v>305</v>
      </c>
      <c r="X88" s="1138">
        <v>529180</v>
      </c>
      <c r="Y88" s="1138">
        <v>101058.1</v>
      </c>
      <c r="Z88" s="1138">
        <v>0</v>
      </c>
      <c r="AA88" s="1138">
        <v>630238.1</v>
      </c>
    </row>
    <row r="89" spans="2:27" x14ac:dyDescent="0.25">
      <c r="B89" s="641" t="s">
        <v>964</v>
      </c>
      <c r="C89" s="642">
        <f>SUM(C87:C88)</f>
        <v>-50813733.329999998</v>
      </c>
      <c r="V89" s="1137" t="s">
        <v>1202</v>
      </c>
      <c r="W89" s="1137" t="s">
        <v>1203</v>
      </c>
      <c r="X89" s="1138">
        <v>6381.18</v>
      </c>
      <c r="Y89" s="1138">
        <v>0</v>
      </c>
      <c r="Z89" s="1138">
        <v>0</v>
      </c>
      <c r="AA89" s="1138">
        <v>6381.18</v>
      </c>
    </row>
    <row r="90" spans="2:27" x14ac:dyDescent="0.25">
      <c r="B90" s="639" t="s">
        <v>965</v>
      </c>
      <c r="C90" s="643"/>
      <c r="V90" s="1137" t="s">
        <v>1204</v>
      </c>
      <c r="W90" s="1137" t="s">
        <v>1205</v>
      </c>
      <c r="X90" s="1138">
        <v>6381.18</v>
      </c>
      <c r="Y90" s="1138">
        <v>0</v>
      </c>
      <c r="Z90" s="1138">
        <v>0</v>
      </c>
      <c r="AA90" s="1138">
        <v>6381.18</v>
      </c>
    </row>
    <row r="91" spans="2:27" x14ac:dyDescent="0.25">
      <c r="B91" s="302" t="s">
        <v>75</v>
      </c>
      <c r="C91" s="640">
        <v>7425682</v>
      </c>
    </row>
    <row r="92" spans="2:27" x14ac:dyDescent="0.25">
      <c r="B92" s="302" t="s">
        <v>58</v>
      </c>
      <c r="C92" s="640">
        <v>0</v>
      </c>
    </row>
    <row r="93" spans="2:27" x14ac:dyDescent="0.25">
      <c r="B93" s="302" t="s">
        <v>220</v>
      </c>
      <c r="C93" s="640">
        <v>3837291</v>
      </c>
    </row>
    <row r="94" spans="2:27" x14ac:dyDescent="0.25">
      <c r="B94" s="302" t="s">
        <v>224</v>
      </c>
      <c r="C94" s="640">
        <v>0</v>
      </c>
    </row>
    <row r="95" spans="2:27" x14ac:dyDescent="0.25">
      <c r="B95" s="302" t="s">
        <v>966</v>
      </c>
      <c r="C95" s="640">
        <v>7994163.0700000003</v>
      </c>
    </row>
    <row r="96" spans="2:27" x14ac:dyDescent="0.25">
      <c r="B96" s="644" t="s">
        <v>967</v>
      </c>
      <c r="C96" s="645">
        <f>SUM(C91:C95)</f>
        <v>19257136.07</v>
      </c>
    </row>
    <row r="97" spans="2:3" x14ac:dyDescent="0.25">
      <c r="C97"/>
    </row>
    <row r="98" spans="2:3" x14ac:dyDescent="0.25">
      <c r="B98" s="289" t="s">
        <v>1402</v>
      </c>
      <c r="C98" s="404">
        <v>31805050</v>
      </c>
    </row>
  </sheetData>
  <mergeCells count="4">
    <mergeCell ref="B1:S1"/>
    <mergeCell ref="B3:S3"/>
    <mergeCell ref="B73:C73"/>
    <mergeCell ref="B86:C86"/>
  </mergeCell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9E31B-CC5C-412C-87B5-0BA0EDA92083}">
  <sheetPr>
    <tabColor rgb="FFFFFF00"/>
  </sheetPr>
  <dimension ref="A1:BG40"/>
  <sheetViews>
    <sheetView topLeftCell="A42" zoomScale="99" zoomScaleNormal="99" workbookViewId="0">
      <selection activeCell="AG37" sqref="AG37"/>
    </sheetView>
  </sheetViews>
  <sheetFormatPr baseColWidth="10" defaultRowHeight="10.5" x14ac:dyDescent="0.25"/>
  <cols>
    <col min="1" max="1" width="10.90625" style="1533" customWidth="1"/>
    <col min="2" max="2" width="10.90625" style="1533" hidden="1" customWidth="1"/>
    <col min="3" max="3" width="13" style="1533" hidden="1" customWidth="1"/>
    <col min="4" max="5" width="10.90625" style="1533" hidden="1" customWidth="1"/>
    <col min="6" max="7" width="10.90625" style="1386" hidden="1" customWidth="1"/>
    <col min="8" max="8" width="13" style="1386" hidden="1" customWidth="1"/>
    <col min="9" max="10" width="10.90625" style="1386" hidden="1" customWidth="1"/>
    <col min="11" max="11" width="10.90625" style="1533" hidden="1" customWidth="1"/>
    <col min="12" max="12" width="36.1796875" style="1533" hidden="1" customWidth="1"/>
    <col min="13" max="15" width="10.90625" style="1533" hidden="1" customWidth="1"/>
    <col min="16" max="20" width="10.90625" style="1386" hidden="1" customWidth="1"/>
    <col min="21" max="22" width="10.90625" style="1533" hidden="1" customWidth="1"/>
    <col min="23" max="23" width="10.90625" style="1533" customWidth="1"/>
    <col min="24" max="25" width="10.90625" style="1533" hidden="1" customWidth="1"/>
    <col min="26" max="27" width="10.90625" style="1386" hidden="1" customWidth="1"/>
    <col min="28" max="28" width="10.90625" style="1386" customWidth="1"/>
    <col min="29" max="30" width="10.90625" style="1386" hidden="1" customWidth="1"/>
    <col min="31" max="32" width="10.90625" style="1533" hidden="1" customWidth="1"/>
    <col min="33" max="33" width="10.90625" style="1533" customWidth="1"/>
    <col min="34" max="35" width="10.90625" style="1533" hidden="1" customWidth="1"/>
    <col min="36" max="37" width="10.90625" style="1386" hidden="1" customWidth="1"/>
    <col min="38" max="38" width="10.90625" style="1386" customWidth="1"/>
    <col min="39" max="40" width="10.90625" style="1386" hidden="1" customWidth="1"/>
    <col min="41" max="42" width="10.90625" style="1533" hidden="1" customWidth="1"/>
    <col min="43" max="43" width="10.90625" style="1533"/>
    <col min="44" max="45" width="10.90625" style="1533" hidden="1" customWidth="1"/>
    <col min="46" max="47" width="10.90625" style="1386" hidden="1" customWidth="1"/>
    <col min="48" max="48" width="10.90625" style="1386" customWidth="1"/>
    <col min="49" max="51" width="10.90625" style="1386" hidden="1" customWidth="1"/>
    <col min="52" max="52" width="10.90625" style="1386"/>
    <col min="53" max="54" width="10.90625" style="1386" hidden="1" customWidth="1"/>
    <col min="55" max="55" width="10.90625" style="1386"/>
    <col min="56" max="57" width="10.90625" style="1386" hidden="1" customWidth="1"/>
    <col min="58" max="58" width="16.54296875" style="1386" customWidth="1"/>
    <col min="59" max="59" width="11.453125" style="1386" bestFit="1" customWidth="1"/>
    <col min="60" max="16384" width="10.90625" style="1386"/>
  </cols>
  <sheetData>
    <row r="1" spans="1:58" x14ac:dyDescent="0.25">
      <c r="C1" s="1534">
        <v>45992</v>
      </c>
      <c r="H1" s="1535">
        <v>45962</v>
      </c>
      <c r="M1" s="1534">
        <v>45931</v>
      </c>
      <c r="R1" s="1535">
        <v>45901</v>
      </c>
      <c r="W1" s="1534">
        <v>45870</v>
      </c>
      <c r="AB1" s="1535">
        <v>45839</v>
      </c>
      <c r="AE1" s="1534"/>
      <c r="AG1" s="1534">
        <v>45809</v>
      </c>
      <c r="AL1" s="1535">
        <v>45778</v>
      </c>
      <c r="AQ1" s="1534">
        <v>45383</v>
      </c>
      <c r="AV1" s="1535">
        <v>45352</v>
      </c>
      <c r="AY1" s="1536"/>
      <c r="AZ1" s="1537">
        <v>45689</v>
      </c>
      <c r="BA1" s="1536"/>
      <c r="BB1" s="1536"/>
      <c r="BC1" s="1535">
        <v>45658</v>
      </c>
      <c r="BF1" s="1535">
        <v>45261</v>
      </c>
    </row>
    <row r="2" spans="1:58" x14ac:dyDescent="0.25">
      <c r="A2" s="1716" t="s">
        <v>1378</v>
      </c>
      <c r="B2" s="1717"/>
      <c r="C2" s="1717"/>
      <c r="D2" s="1717"/>
      <c r="E2" s="1718"/>
      <c r="F2" s="1719" t="s">
        <v>1379</v>
      </c>
      <c r="G2" s="1720"/>
      <c r="H2" s="1720"/>
      <c r="I2" s="1720"/>
      <c r="J2" s="1721"/>
      <c r="K2" s="1716" t="s">
        <v>1380</v>
      </c>
      <c r="L2" s="1717"/>
      <c r="M2" s="1717"/>
      <c r="N2" s="1717"/>
      <c r="O2" s="1718"/>
      <c r="P2" s="1538"/>
      <c r="Q2" s="1715" t="s">
        <v>895</v>
      </c>
      <c r="R2" s="1715"/>
      <c r="S2" s="1715"/>
      <c r="T2" s="1539"/>
      <c r="U2" s="1540"/>
      <c r="V2" s="1722" t="s">
        <v>225</v>
      </c>
      <c r="W2" s="1722"/>
      <c r="X2" s="1722"/>
      <c r="Y2" s="1541"/>
      <c r="Z2" s="1538"/>
      <c r="AA2" s="1715" t="s">
        <v>896</v>
      </c>
      <c r="AB2" s="1715"/>
      <c r="AC2" s="1715"/>
      <c r="AD2" s="1539"/>
      <c r="AE2" s="1540"/>
      <c r="AF2" s="1722" t="s">
        <v>1381</v>
      </c>
      <c r="AG2" s="1722"/>
      <c r="AH2" s="1722"/>
      <c r="AI2" s="1541"/>
      <c r="AJ2" s="1538"/>
      <c r="AK2" s="1720" t="s">
        <v>1382</v>
      </c>
      <c r="AL2" s="1720"/>
      <c r="AM2" s="1721"/>
      <c r="AN2" s="1539"/>
      <c r="AO2" s="1540"/>
      <c r="AP2" s="1722" t="s">
        <v>926</v>
      </c>
      <c r="AQ2" s="1722"/>
      <c r="AR2" s="1722"/>
      <c r="AS2" s="1541"/>
      <c r="AT2" s="1538"/>
      <c r="AU2" s="1715" t="s">
        <v>1384</v>
      </c>
      <c r="AV2" s="1715"/>
      <c r="AW2" s="1715"/>
      <c r="AX2" s="1538"/>
      <c r="AY2" s="1723" t="s">
        <v>1383</v>
      </c>
      <c r="AZ2" s="1723"/>
      <c r="BA2" s="1723"/>
      <c r="BB2" s="1723"/>
      <c r="BC2" s="1715" t="s">
        <v>898</v>
      </c>
      <c r="BD2" s="1715"/>
      <c r="BE2" s="1715"/>
    </row>
    <row r="3" spans="1:58" ht="21" x14ac:dyDescent="0.25">
      <c r="A3" s="1466" t="s">
        <v>53</v>
      </c>
      <c r="B3" s="1466" t="s">
        <v>54</v>
      </c>
      <c r="C3" s="1466" t="s">
        <v>63</v>
      </c>
      <c r="D3" s="1467" t="s">
        <v>226</v>
      </c>
      <c r="E3" s="1466" t="s">
        <v>72</v>
      </c>
      <c r="F3" s="1468" t="s">
        <v>53</v>
      </c>
      <c r="G3" s="1468" t="s">
        <v>54</v>
      </c>
      <c r="H3" s="1468" t="s">
        <v>63</v>
      </c>
      <c r="I3" s="1469" t="s">
        <v>226</v>
      </c>
      <c r="J3" s="1468" t="s">
        <v>72</v>
      </c>
      <c r="K3" s="1466" t="s">
        <v>53</v>
      </c>
      <c r="L3" s="1466" t="s">
        <v>54</v>
      </c>
      <c r="M3" s="1466" t="s">
        <v>63</v>
      </c>
      <c r="N3" s="1467" t="s">
        <v>226</v>
      </c>
      <c r="O3" s="1466" t="s">
        <v>72</v>
      </c>
      <c r="P3" s="1470" t="s">
        <v>53</v>
      </c>
      <c r="Q3" s="1471" t="s">
        <v>54</v>
      </c>
      <c r="R3" s="1468" t="s">
        <v>63</v>
      </c>
      <c r="S3" s="1472" t="s">
        <v>226</v>
      </c>
      <c r="T3" s="1468" t="s">
        <v>72</v>
      </c>
      <c r="U3" s="1473" t="s">
        <v>53</v>
      </c>
      <c r="V3" s="1474" t="s">
        <v>54</v>
      </c>
      <c r="W3" s="1532" t="s">
        <v>63</v>
      </c>
      <c r="X3" s="1475" t="s">
        <v>226</v>
      </c>
      <c r="Y3" s="1466" t="s">
        <v>72</v>
      </c>
      <c r="Z3" s="1470" t="s">
        <v>53</v>
      </c>
      <c r="AA3" s="1471" t="s">
        <v>54</v>
      </c>
      <c r="AB3" s="1476" t="s">
        <v>63</v>
      </c>
      <c r="AC3" s="1469" t="s">
        <v>226</v>
      </c>
      <c r="AD3" s="1468" t="s">
        <v>72</v>
      </c>
      <c r="AE3" s="1473" t="s">
        <v>53</v>
      </c>
      <c r="AF3" s="1474" t="s">
        <v>54</v>
      </c>
      <c r="AG3" s="1532" t="s">
        <v>63</v>
      </c>
      <c r="AH3" s="1475" t="s">
        <v>226</v>
      </c>
      <c r="AI3" s="1466" t="s">
        <v>72</v>
      </c>
      <c r="AJ3" s="1470" t="s">
        <v>53</v>
      </c>
      <c r="AK3" s="1471" t="s">
        <v>54</v>
      </c>
      <c r="AL3" s="1476" t="s">
        <v>63</v>
      </c>
      <c r="AM3" s="1472" t="s">
        <v>226</v>
      </c>
      <c r="AN3" s="1468" t="s">
        <v>72</v>
      </c>
      <c r="AO3" s="1473" t="s">
        <v>53</v>
      </c>
      <c r="AP3" s="1474" t="s">
        <v>54</v>
      </c>
      <c r="AQ3" s="1532" t="s">
        <v>63</v>
      </c>
      <c r="AR3" s="1475" t="s">
        <v>226</v>
      </c>
      <c r="AS3" s="1466" t="s">
        <v>72</v>
      </c>
      <c r="AT3" s="1470" t="s">
        <v>53</v>
      </c>
      <c r="AU3" s="1471" t="s">
        <v>54</v>
      </c>
      <c r="AV3" s="1476" t="s">
        <v>63</v>
      </c>
      <c r="AW3" s="1472" t="s">
        <v>927</v>
      </c>
      <c r="AX3" s="1470" t="s">
        <v>72</v>
      </c>
      <c r="AY3" s="1477" t="s">
        <v>321</v>
      </c>
      <c r="AZ3" s="1478" t="s">
        <v>309</v>
      </c>
      <c r="BA3" s="1478" t="s">
        <v>950</v>
      </c>
      <c r="BB3" s="1477" t="s">
        <v>322</v>
      </c>
      <c r="BC3" s="1479" t="s">
        <v>309</v>
      </c>
      <c r="BD3" s="1480" t="s">
        <v>950</v>
      </c>
      <c r="BE3" s="1481" t="s">
        <v>322</v>
      </c>
    </row>
    <row r="4" spans="1:58" x14ac:dyDescent="0.25">
      <c r="A4" s="1482" t="s">
        <v>127</v>
      </c>
      <c r="B4" s="1483" t="s">
        <v>572</v>
      </c>
      <c r="C4" s="1484"/>
      <c r="D4" s="1485"/>
      <c r="E4" s="1486">
        <f t="shared" ref="E4:E31" si="0">+C4-D4</f>
        <v>0</v>
      </c>
      <c r="F4" s="1487" t="s">
        <v>127</v>
      </c>
      <c r="G4" s="1488" t="s">
        <v>572</v>
      </c>
      <c r="H4" s="1489"/>
      <c r="I4" s="1490"/>
      <c r="J4" s="1491">
        <f>+H4-I4</f>
        <v>0</v>
      </c>
      <c r="K4" s="1482" t="s">
        <v>127</v>
      </c>
      <c r="L4" s="1542" t="s">
        <v>836</v>
      </c>
      <c r="M4" s="1484"/>
      <c r="N4" s="1485"/>
      <c r="O4" s="1486">
        <f>+M4-N4</f>
        <v>0</v>
      </c>
      <c r="P4" s="1492" t="s">
        <v>127</v>
      </c>
      <c r="Q4" s="1543" t="s">
        <v>866</v>
      </c>
      <c r="R4" s="1493"/>
      <c r="S4" s="1490"/>
      <c r="T4" s="1491">
        <f>+R4-S4</f>
        <v>0</v>
      </c>
      <c r="U4" s="1494" t="s">
        <v>127</v>
      </c>
      <c r="V4" s="1544" t="s">
        <v>866</v>
      </c>
      <c r="W4" s="1545">
        <f>'Notas agost 2025'!D12</f>
        <v>3065812</v>
      </c>
      <c r="X4" s="1545">
        <v>3065812</v>
      </c>
      <c r="Y4" s="1486">
        <f>+W4-X4</f>
        <v>0</v>
      </c>
      <c r="Z4" s="1492" t="s">
        <v>127</v>
      </c>
      <c r="AA4" s="1543" t="s">
        <v>866</v>
      </c>
      <c r="AB4" s="1546">
        <v>1747986</v>
      </c>
      <c r="AC4" s="1546">
        <v>1747986</v>
      </c>
      <c r="AD4" s="1547">
        <f>+AB4-AC4</f>
        <v>0</v>
      </c>
      <c r="AE4" s="1494" t="s">
        <v>127</v>
      </c>
      <c r="AF4" s="1544" t="s">
        <v>866</v>
      </c>
      <c r="AG4" s="1489">
        <v>2649758</v>
      </c>
      <c r="AH4" s="1490">
        <v>2649758</v>
      </c>
      <c r="AI4" s="1486">
        <f>+AG4-AH4</f>
        <v>0</v>
      </c>
      <c r="AJ4" s="1492" t="s">
        <v>127</v>
      </c>
      <c r="AK4" s="1543" t="s">
        <v>866</v>
      </c>
      <c r="AL4" s="1548">
        <v>1593320</v>
      </c>
      <c r="AM4" s="1548">
        <v>1593320</v>
      </c>
      <c r="AN4" s="1491">
        <v>0</v>
      </c>
      <c r="AO4" s="1494" t="s">
        <v>127</v>
      </c>
      <c r="AP4" s="1544" t="s">
        <v>866</v>
      </c>
      <c r="AQ4" s="1549">
        <v>1274603</v>
      </c>
      <c r="AR4" s="1549">
        <v>1274603</v>
      </c>
      <c r="AS4" s="1486">
        <f>+AQ4-AR4</f>
        <v>0</v>
      </c>
      <c r="AT4" s="1492" t="s">
        <v>127</v>
      </c>
      <c r="AU4" s="1543" t="s">
        <v>928</v>
      </c>
      <c r="AV4" s="1550">
        <v>1110627</v>
      </c>
      <c r="AW4" s="1550">
        <v>1110627</v>
      </c>
      <c r="AX4" s="1551">
        <f>+AV4-AW4</f>
        <v>0</v>
      </c>
      <c r="AY4" s="1494" t="s">
        <v>127</v>
      </c>
      <c r="AZ4" s="1495">
        <v>2069141</v>
      </c>
      <c r="BA4" s="1498">
        <v>2069141</v>
      </c>
      <c r="BB4" s="1486">
        <f>+AZ4-BA4</f>
        <v>0</v>
      </c>
      <c r="BC4" s="1496">
        <v>2028481</v>
      </c>
      <c r="BD4" s="1546">
        <v>2028481</v>
      </c>
      <c r="BE4" s="1552">
        <f t="shared" ref="BE4:BE32" si="1">+BC4-BD4</f>
        <v>0</v>
      </c>
    </row>
    <row r="5" spans="1:58" x14ac:dyDescent="0.25">
      <c r="A5" s="1494" t="s">
        <v>128</v>
      </c>
      <c r="B5" s="1483" t="s">
        <v>573</v>
      </c>
      <c r="C5" s="1484"/>
      <c r="D5" s="1485"/>
      <c r="E5" s="1486">
        <f t="shared" si="0"/>
        <v>0</v>
      </c>
      <c r="F5" s="1492" t="s">
        <v>128</v>
      </c>
      <c r="G5" s="1488" t="s">
        <v>573</v>
      </c>
      <c r="H5" s="1489"/>
      <c r="I5" s="1497"/>
      <c r="J5" s="1491">
        <f t="shared" ref="J5:J32" si="2">+H5-I5</f>
        <v>0</v>
      </c>
      <c r="K5" s="1494" t="s">
        <v>128</v>
      </c>
      <c r="L5" s="1542" t="s">
        <v>837</v>
      </c>
      <c r="M5" s="1484"/>
      <c r="N5" s="1498"/>
      <c r="O5" s="1486">
        <f t="shared" ref="O5:O34" si="3">+M5-N5</f>
        <v>0</v>
      </c>
      <c r="P5" s="1492" t="s">
        <v>128</v>
      </c>
      <c r="Q5" s="1543" t="s">
        <v>867</v>
      </c>
      <c r="R5" s="1493"/>
      <c r="S5" s="1490"/>
      <c r="T5" s="1491">
        <f t="shared" ref="T5:T31" si="4">+R5-S5</f>
        <v>0</v>
      </c>
      <c r="U5" s="1494" t="s">
        <v>128</v>
      </c>
      <c r="V5" s="1544" t="s">
        <v>867</v>
      </c>
      <c r="W5" s="1545">
        <f>'Notas agost 2025'!D13</f>
        <v>0</v>
      </c>
      <c r="X5" s="1545">
        <v>0</v>
      </c>
      <c r="Y5" s="1486">
        <f t="shared" ref="Y5:Y31" si="5">+W5-X5</f>
        <v>0</v>
      </c>
      <c r="Z5" s="1492" t="s">
        <v>128</v>
      </c>
      <c r="AA5" s="1543" t="s">
        <v>867</v>
      </c>
      <c r="AB5" s="1546">
        <v>0</v>
      </c>
      <c r="AC5" s="1553">
        <v>0</v>
      </c>
      <c r="AD5" s="1547">
        <f t="shared" ref="AD5:AD32" si="6">+AB5-AC5</f>
        <v>0</v>
      </c>
      <c r="AE5" s="1494" t="s">
        <v>128</v>
      </c>
      <c r="AF5" s="1544" t="s">
        <v>867</v>
      </c>
      <c r="AG5" s="1489">
        <v>0</v>
      </c>
      <c r="AH5" s="1497">
        <v>0</v>
      </c>
      <c r="AI5" s="1486">
        <f t="shared" ref="AI5:AI31" si="7">+AG5-AH5</f>
        <v>0</v>
      </c>
      <c r="AJ5" s="1492" t="s">
        <v>128</v>
      </c>
      <c r="AK5" s="1543" t="s">
        <v>867</v>
      </c>
      <c r="AL5" s="1548">
        <v>0</v>
      </c>
      <c r="AM5" s="1548">
        <v>0</v>
      </c>
      <c r="AN5" s="1491">
        <v>0</v>
      </c>
      <c r="AO5" s="1494" t="s">
        <v>128</v>
      </c>
      <c r="AP5" s="1544" t="s">
        <v>867</v>
      </c>
      <c r="AQ5" s="1549">
        <v>0</v>
      </c>
      <c r="AR5" s="1549"/>
      <c r="AS5" s="1486">
        <f t="shared" ref="AS5:AS31" si="8">+AQ5-AR5</f>
        <v>0</v>
      </c>
      <c r="AT5" s="1492" t="s">
        <v>128</v>
      </c>
      <c r="AU5" s="1543" t="s">
        <v>929</v>
      </c>
      <c r="AV5" s="1550">
        <v>0</v>
      </c>
      <c r="AW5" s="1550"/>
      <c r="AX5" s="1551">
        <f t="shared" ref="AX5:AX31" si="9">+AV5-AW5</f>
        <v>0</v>
      </c>
      <c r="AY5" s="1494" t="s">
        <v>128</v>
      </c>
      <c r="AZ5" s="1495">
        <v>0</v>
      </c>
      <c r="BA5" s="1498"/>
      <c r="BB5" s="1486">
        <f t="shared" ref="BB5:BB32" si="10">+AZ5-BA5</f>
        <v>0</v>
      </c>
      <c r="BC5" s="1499">
        <v>924765</v>
      </c>
      <c r="BD5" s="1553">
        <v>924765</v>
      </c>
      <c r="BE5" s="1552">
        <f t="shared" si="1"/>
        <v>0</v>
      </c>
    </row>
    <row r="6" spans="1:58" x14ac:dyDescent="0.25">
      <c r="A6" s="1494" t="s">
        <v>129</v>
      </c>
      <c r="B6" s="1483" t="s">
        <v>574</v>
      </c>
      <c r="C6" s="1484"/>
      <c r="D6" s="1485"/>
      <c r="E6" s="1486">
        <f t="shared" si="0"/>
        <v>0</v>
      </c>
      <c r="F6" s="1492" t="s">
        <v>129</v>
      </c>
      <c r="G6" s="1488" t="s">
        <v>574</v>
      </c>
      <c r="H6" s="1489"/>
      <c r="I6" s="1497"/>
      <c r="J6" s="1491">
        <f t="shared" si="2"/>
        <v>0</v>
      </c>
      <c r="K6" s="1494" t="s">
        <v>129</v>
      </c>
      <c r="L6" s="1542" t="s">
        <v>838</v>
      </c>
      <c r="M6" s="1484"/>
      <c r="N6" s="1498"/>
      <c r="O6" s="1486">
        <f t="shared" si="3"/>
        <v>0</v>
      </c>
      <c r="P6" s="1492" t="s">
        <v>129</v>
      </c>
      <c r="Q6" s="1543" t="s">
        <v>868</v>
      </c>
      <c r="R6" s="1493"/>
      <c r="S6" s="1490"/>
      <c r="T6" s="1491">
        <f t="shared" si="4"/>
        <v>0</v>
      </c>
      <c r="U6" s="1494" t="s">
        <v>129</v>
      </c>
      <c r="V6" s="1544" t="s">
        <v>868</v>
      </c>
      <c r="W6" s="1545">
        <f>'Notas agost 2025'!D14</f>
        <v>0</v>
      </c>
      <c r="X6" s="1545">
        <v>0</v>
      </c>
      <c r="Y6" s="1486">
        <f t="shared" si="5"/>
        <v>0</v>
      </c>
      <c r="Z6" s="1492" t="s">
        <v>129</v>
      </c>
      <c r="AA6" s="1543" t="s">
        <v>868</v>
      </c>
      <c r="AB6" s="1546">
        <v>0</v>
      </c>
      <c r="AC6" s="1553">
        <v>0</v>
      </c>
      <c r="AD6" s="1547">
        <f t="shared" si="6"/>
        <v>0</v>
      </c>
      <c r="AE6" s="1494" t="s">
        <v>129</v>
      </c>
      <c r="AF6" s="1544" t="s">
        <v>868</v>
      </c>
      <c r="AG6" s="1489">
        <v>0</v>
      </c>
      <c r="AH6" s="1497">
        <v>0</v>
      </c>
      <c r="AI6" s="1486">
        <f t="shared" si="7"/>
        <v>0</v>
      </c>
      <c r="AJ6" s="1492" t="s">
        <v>129</v>
      </c>
      <c r="AK6" s="1543" t="s">
        <v>868</v>
      </c>
      <c r="AL6" s="1548">
        <v>0</v>
      </c>
      <c r="AM6" s="1548">
        <v>0</v>
      </c>
      <c r="AN6" s="1491">
        <v>0</v>
      </c>
      <c r="AO6" s="1494" t="s">
        <v>129</v>
      </c>
      <c r="AP6" s="1544" t="s">
        <v>868</v>
      </c>
      <c r="AQ6" s="1549">
        <v>0</v>
      </c>
      <c r="AR6" s="1549"/>
      <c r="AS6" s="1486">
        <f t="shared" si="8"/>
        <v>0</v>
      </c>
      <c r="AT6" s="1492" t="s">
        <v>129</v>
      </c>
      <c r="AU6" s="1543" t="s">
        <v>868</v>
      </c>
      <c r="AV6" s="1550">
        <v>0</v>
      </c>
      <c r="AW6" s="1550"/>
      <c r="AX6" s="1551">
        <f t="shared" si="9"/>
        <v>0</v>
      </c>
      <c r="AY6" s="1494" t="s">
        <v>129</v>
      </c>
      <c r="AZ6" s="1495">
        <v>0</v>
      </c>
      <c r="BA6" s="1498"/>
      <c r="BB6" s="1486">
        <f t="shared" si="10"/>
        <v>0</v>
      </c>
      <c r="BC6" s="1499">
        <v>0</v>
      </c>
      <c r="BD6" s="1553">
        <v>0</v>
      </c>
      <c r="BE6" s="1552">
        <f t="shared" si="1"/>
        <v>0</v>
      </c>
    </row>
    <row r="7" spans="1:58" x14ac:dyDescent="0.25">
      <c r="A7" s="1494" t="s">
        <v>130</v>
      </c>
      <c r="B7" s="1483" t="s">
        <v>575</v>
      </c>
      <c r="C7" s="1484"/>
      <c r="D7" s="1485"/>
      <c r="E7" s="1486">
        <f t="shared" si="0"/>
        <v>0</v>
      </c>
      <c r="F7" s="1492" t="s">
        <v>130</v>
      </c>
      <c r="G7" s="1488" t="s">
        <v>575</v>
      </c>
      <c r="H7" s="1489"/>
      <c r="I7" s="1497"/>
      <c r="J7" s="1491">
        <f t="shared" si="2"/>
        <v>0</v>
      </c>
      <c r="K7" s="1494" t="s">
        <v>130</v>
      </c>
      <c r="L7" s="1542" t="s">
        <v>839</v>
      </c>
      <c r="M7" s="1484"/>
      <c r="N7" s="1498"/>
      <c r="O7" s="1486">
        <f t="shared" si="3"/>
        <v>0</v>
      </c>
      <c r="P7" s="1492" t="s">
        <v>130</v>
      </c>
      <c r="Q7" s="1543" t="s">
        <v>869</v>
      </c>
      <c r="R7" s="1493"/>
      <c r="S7" s="1490"/>
      <c r="T7" s="1491">
        <f t="shared" si="4"/>
        <v>0</v>
      </c>
      <c r="U7" s="1494" t="s">
        <v>130</v>
      </c>
      <c r="V7" s="1544" t="s">
        <v>869</v>
      </c>
      <c r="W7" s="1545">
        <f>'Notas agost 2025'!D15</f>
        <v>0</v>
      </c>
      <c r="X7" s="1545">
        <v>0</v>
      </c>
      <c r="Y7" s="1486">
        <f t="shared" si="5"/>
        <v>0</v>
      </c>
      <c r="Z7" s="1492" t="s">
        <v>130</v>
      </c>
      <c r="AA7" s="1543" t="s">
        <v>869</v>
      </c>
      <c r="AB7" s="1546">
        <v>930723</v>
      </c>
      <c r="AC7" s="1546">
        <v>930723</v>
      </c>
      <c r="AD7" s="1547">
        <f t="shared" si="6"/>
        <v>0</v>
      </c>
      <c r="AE7" s="1494" t="s">
        <v>130</v>
      </c>
      <c r="AF7" s="1544" t="s">
        <v>869</v>
      </c>
      <c r="AG7" s="1489">
        <v>0</v>
      </c>
      <c r="AH7" s="1497">
        <v>0</v>
      </c>
      <c r="AI7" s="1486">
        <f t="shared" si="7"/>
        <v>0</v>
      </c>
      <c r="AJ7" s="1492" t="s">
        <v>130</v>
      </c>
      <c r="AK7" s="1543" t="s">
        <v>869</v>
      </c>
      <c r="AL7" s="1548">
        <v>0</v>
      </c>
      <c r="AM7" s="1548">
        <v>0</v>
      </c>
      <c r="AN7" s="1491">
        <v>0</v>
      </c>
      <c r="AO7" s="1494" t="s">
        <v>130</v>
      </c>
      <c r="AP7" s="1544" t="s">
        <v>869</v>
      </c>
      <c r="AQ7" s="1549">
        <v>1027815</v>
      </c>
      <c r="AR7" s="1549">
        <v>1027815</v>
      </c>
      <c r="AS7" s="1486">
        <f t="shared" si="8"/>
        <v>0</v>
      </c>
      <c r="AT7" s="1492" t="s">
        <v>130</v>
      </c>
      <c r="AU7" s="1543" t="s">
        <v>930</v>
      </c>
      <c r="AV7" s="1550">
        <v>0</v>
      </c>
      <c r="AW7" s="1550"/>
      <c r="AX7" s="1551">
        <f t="shared" si="9"/>
        <v>0</v>
      </c>
      <c r="AY7" s="1494" t="s">
        <v>130</v>
      </c>
      <c r="AZ7" s="1495">
        <v>0</v>
      </c>
      <c r="BA7" s="1498"/>
      <c r="BB7" s="1486">
        <f t="shared" si="10"/>
        <v>0</v>
      </c>
      <c r="BC7" s="1499">
        <v>0</v>
      </c>
      <c r="BD7" s="1553">
        <v>0</v>
      </c>
      <c r="BE7" s="1552">
        <f t="shared" si="1"/>
        <v>0</v>
      </c>
    </row>
    <row r="8" spans="1:58" x14ac:dyDescent="0.25">
      <c r="A8" s="1500" t="s">
        <v>131</v>
      </c>
      <c r="B8" s="1483" t="s">
        <v>576</v>
      </c>
      <c r="C8" s="1484"/>
      <c r="D8" s="1485"/>
      <c r="E8" s="1486">
        <f t="shared" si="0"/>
        <v>0</v>
      </c>
      <c r="F8" s="1501" t="s">
        <v>131</v>
      </c>
      <c r="G8" s="1488" t="s">
        <v>576</v>
      </c>
      <c r="H8" s="1489"/>
      <c r="I8" s="1490"/>
      <c r="J8" s="1491">
        <f t="shared" si="2"/>
        <v>0</v>
      </c>
      <c r="K8" s="1500" t="s">
        <v>131</v>
      </c>
      <c r="L8" s="1542" t="s">
        <v>840</v>
      </c>
      <c r="M8" s="1484"/>
      <c r="N8" s="1485"/>
      <c r="O8" s="1486">
        <f t="shared" si="3"/>
        <v>0</v>
      </c>
      <c r="P8" s="1492" t="s">
        <v>131</v>
      </c>
      <c r="Q8" s="1543" t="s">
        <v>870</v>
      </c>
      <c r="R8" s="1493"/>
      <c r="S8" s="1490"/>
      <c r="T8" s="1491">
        <f t="shared" si="4"/>
        <v>0</v>
      </c>
      <c r="U8" s="1494" t="s">
        <v>131</v>
      </c>
      <c r="V8" s="1544" t="s">
        <v>870</v>
      </c>
      <c r="W8" s="1545">
        <f>'Notas agost 2025'!D16</f>
        <v>1291585</v>
      </c>
      <c r="X8" s="1545">
        <f>1291585+5000</f>
        <v>1296585</v>
      </c>
      <c r="Y8" s="1486">
        <v>5000</v>
      </c>
      <c r="Z8" s="1492" t="s">
        <v>131</v>
      </c>
      <c r="AA8" s="1543" t="s">
        <v>870</v>
      </c>
      <c r="AB8" s="1546">
        <v>1033633</v>
      </c>
      <c r="AC8" s="1546">
        <v>1033633</v>
      </c>
      <c r="AD8" s="1547">
        <f t="shared" si="6"/>
        <v>0</v>
      </c>
      <c r="AE8" s="1494" t="s">
        <v>131</v>
      </c>
      <c r="AF8" s="1544" t="s">
        <v>870</v>
      </c>
      <c r="AG8" s="1502">
        <f>-78357+1200000</f>
        <v>1121643</v>
      </c>
      <c r="AH8" s="1554">
        <v>-78357</v>
      </c>
      <c r="AI8" s="1486">
        <f t="shared" si="7"/>
        <v>1200000</v>
      </c>
      <c r="AJ8" s="1492" t="s">
        <v>131</v>
      </c>
      <c r="AK8" s="1543" t="s">
        <v>870</v>
      </c>
      <c r="AL8" s="1548">
        <v>9461</v>
      </c>
      <c r="AM8" s="1548">
        <v>9461</v>
      </c>
      <c r="AN8" s="1491">
        <v>0</v>
      </c>
      <c r="AO8" s="1494" t="s">
        <v>131</v>
      </c>
      <c r="AP8" s="1544" t="s">
        <v>870</v>
      </c>
      <c r="AQ8" s="1549">
        <v>1242367</v>
      </c>
      <c r="AR8" s="1549">
        <v>1242367</v>
      </c>
      <c r="AS8" s="1486">
        <f t="shared" si="8"/>
        <v>0</v>
      </c>
      <c r="AT8" s="1492" t="s">
        <v>131</v>
      </c>
      <c r="AU8" s="1543" t="s">
        <v>931</v>
      </c>
      <c r="AV8" s="1550">
        <v>230558</v>
      </c>
      <c r="AW8" s="1550">
        <v>230558</v>
      </c>
      <c r="AX8" s="1551">
        <f t="shared" si="9"/>
        <v>0</v>
      </c>
      <c r="AY8" s="1494" t="s">
        <v>131</v>
      </c>
      <c r="AZ8" s="1495">
        <v>196296</v>
      </c>
      <c r="BA8" s="1498">
        <v>196296</v>
      </c>
      <c r="BB8" s="1486">
        <f t="shared" si="10"/>
        <v>0</v>
      </c>
      <c r="BC8" s="1499">
        <v>162716</v>
      </c>
      <c r="BD8" s="1553">
        <v>162716</v>
      </c>
      <c r="BE8" s="1552">
        <f t="shared" si="1"/>
        <v>0</v>
      </c>
    </row>
    <row r="9" spans="1:58" x14ac:dyDescent="0.25">
      <c r="A9" s="1494" t="s">
        <v>132</v>
      </c>
      <c r="B9" s="1483" t="s">
        <v>577</v>
      </c>
      <c r="C9" s="1484"/>
      <c r="D9" s="1485"/>
      <c r="E9" s="1486">
        <f t="shared" si="0"/>
        <v>0</v>
      </c>
      <c r="F9" s="1492" t="s">
        <v>132</v>
      </c>
      <c r="G9" s="1488" t="s">
        <v>577</v>
      </c>
      <c r="H9" s="1489"/>
      <c r="I9" s="1497"/>
      <c r="J9" s="1491">
        <f t="shared" si="2"/>
        <v>0</v>
      </c>
      <c r="K9" s="1494" t="s">
        <v>132</v>
      </c>
      <c r="L9" s="1542" t="s">
        <v>841</v>
      </c>
      <c r="M9" s="1484"/>
      <c r="N9" s="1498"/>
      <c r="O9" s="1486">
        <f t="shared" si="3"/>
        <v>0</v>
      </c>
      <c r="P9" s="1492" t="s">
        <v>132</v>
      </c>
      <c r="Q9" s="1543" t="s">
        <v>871</v>
      </c>
      <c r="R9" s="1493"/>
      <c r="S9" s="1490"/>
      <c r="T9" s="1491">
        <f t="shared" si="4"/>
        <v>0</v>
      </c>
      <c r="U9" s="1494" t="s">
        <v>132</v>
      </c>
      <c r="V9" s="1544" t="s">
        <v>871</v>
      </c>
      <c r="W9" s="1545">
        <f>'Notas agost 2025'!D17</f>
        <v>0</v>
      </c>
      <c r="X9" s="1545">
        <v>0</v>
      </c>
      <c r="Y9" s="1486">
        <f t="shared" si="5"/>
        <v>0</v>
      </c>
      <c r="Z9" s="1492" t="s">
        <v>132</v>
      </c>
      <c r="AA9" s="1543" t="s">
        <v>871</v>
      </c>
      <c r="AB9" s="1546">
        <v>0</v>
      </c>
      <c r="AC9" s="1553">
        <v>0</v>
      </c>
      <c r="AD9" s="1547">
        <f t="shared" si="6"/>
        <v>0</v>
      </c>
      <c r="AE9" s="1494" t="s">
        <v>132</v>
      </c>
      <c r="AF9" s="1544" t="s">
        <v>871</v>
      </c>
      <c r="AG9" s="1489">
        <v>0</v>
      </c>
      <c r="AH9" s="1497">
        <v>0</v>
      </c>
      <c r="AI9" s="1486">
        <f t="shared" si="7"/>
        <v>0</v>
      </c>
      <c r="AJ9" s="1492" t="s">
        <v>132</v>
      </c>
      <c r="AK9" s="1543" t="s">
        <v>871</v>
      </c>
      <c r="AL9" s="1548">
        <v>0</v>
      </c>
      <c r="AM9" s="1548">
        <v>0</v>
      </c>
      <c r="AN9" s="1491">
        <v>0</v>
      </c>
      <c r="AO9" s="1494" t="s">
        <v>132</v>
      </c>
      <c r="AP9" s="1544" t="s">
        <v>871</v>
      </c>
      <c r="AQ9" s="1549">
        <v>0</v>
      </c>
      <c r="AR9" s="1549"/>
      <c r="AS9" s="1486">
        <f t="shared" si="8"/>
        <v>0</v>
      </c>
      <c r="AT9" s="1492" t="s">
        <v>132</v>
      </c>
      <c r="AU9" s="1543" t="s">
        <v>932</v>
      </c>
      <c r="AV9" s="1550">
        <v>0</v>
      </c>
      <c r="AW9" s="1550"/>
      <c r="AX9" s="1551">
        <f t="shared" si="9"/>
        <v>0</v>
      </c>
      <c r="AY9" s="1494" t="s">
        <v>132</v>
      </c>
      <c r="AZ9" s="1495">
        <v>0</v>
      </c>
      <c r="BA9" s="1498"/>
      <c r="BB9" s="1486">
        <f t="shared" si="10"/>
        <v>0</v>
      </c>
      <c r="BC9" s="1499">
        <v>0</v>
      </c>
      <c r="BD9" s="1553">
        <v>0</v>
      </c>
      <c r="BE9" s="1552">
        <f t="shared" si="1"/>
        <v>0</v>
      </c>
    </row>
    <row r="10" spans="1:58" x14ac:dyDescent="0.25">
      <c r="A10" s="1494" t="s">
        <v>133</v>
      </c>
      <c r="B10" s="1483" t="s">
        <v>578</v>
      </c>
      <c r="C10" s="1484"/>
      <c r="D10" s="1485"/>
      <c r="E10" s="1486">
        <f t="shared" si="0"/>
        <v>0</v>
      </c>
      <c r="F10" s="1492" t="s">
        <v>133</v>
      </c>
      <c r="G10" s="1488" t="s">
        <v>578</v>
      </c>
      <c r="H10" s="1489"/>
      <c r="I10" s="1497"/>
      <c r="J10" s="1491">
        <f t="shared" si="2"/>
        <v>0</v>
      </c>
      <c r="K10" s="1494" t="s">
        <v>133</v>
      </c>
      <c r="L10" s="1542" t="s">
        <v>842</v>
      </c>
      <c r="M10" s="1484"/>
      <c r="N10" s="1498"/>
      <c r="O10" s="1486">
        <f t="shared" si="3"/>
        <v>0</v>
      </c>
      <c r="P10" s="1492" t="s">
        <v>133</v>
      </c>
      <c r="Q10" s="1543" t="s">
        <v>872</v>
      </c>
      <c r="R10" s="1493"/>
      <c r="S10" s="1490"/>
      <c r="T10" s="1491">
        <f t="shared" si="4"/>
        <v>0</v>
      </c>
      <c r="U10" s="1494" t="s">
        <v>133</v>
      </c>
      <c r="V10" s="1544" t="s">
        <v>872</v>
      </c>
      <c r="W10" s="1545">
        <f>'Notas agost 2025'!D18</f>
        <v>0</v>
      </c>
      <c r="X10" s="1545">
        <v>0</v>
      </c>
      <c r="Y10" s="1486">
        <f t="shared" si="5"/>
        <v>0</v>
      </c>
      <c r="Z10" s="1492" t="s">
        <v>133</v>
      </c>
      <c r="AA10" s="1543" t="s">
        <v>872</v>
      </c>
      <c r="AB10" s="1546">
        <v>0</v>
      </c>
      <c r="AC10" s="1553">
        <v>0</v>
      </c>
      <c r="AD10" s="1547">
        <f t="shared" si="6"/>
        <v>0</v>
      </c>
      <c r="AE10" s="1494" t="s">
        <v>133</v>
      </c>
      <c r="AF10" s="1544" t="s">
        <v>872</v>
      </c>
      <c r="AG10" s="1489">
        <v>0</v>
      </c>
      <c r="AH10" s="1497">
        <v>0</v>
      </c>
      <c r="AI10" s="1486">
        <f t="shared" si="7"/>
        <v>0</v>
      </c>
      <c r="AJ10" s="1492" t="s">
        <v>133</v>
      </c>
      <c r="AK10" s="1543" t="s">
        <v>872</v>
      </c>
      <c r="AL10" s="1548">
        <v>-39735</v>
      </c>
      <c r="AM10" s="1548">
        <v>-39735</v>
      </c>
      <c r="AN10" s="1491">
        <v>0</v>
      </c>
      <c r="AO10" s="1494" t="s">
        <v>133</v>
      </c>
      <c r="AP10" s="1544" t="s">
        <v>872</v>
      </c>
      <c r="AQ10" s="1549">
        <v>-39735</v>
      </c>
      <c r="AR10" s="1549">
        <v>60</v>
      </c>
      <c r="AS10" s="1486">
        <f t="shared" si="8"/>
        <v>-39795</v>
      </c>
      <c r="AT10" s="1492" t="s">
        <v>133</v>
      </c>
      <c r="AU10" s="1543" t="s">
        <v>933</v>
      </c>
      <c r="AV10" s="1550">
        <v>-39795</v>
      </c>
      <c r="AW10" s="1550"/>
      <c r="AX10" s="1551">
        <f t="shared" si="9"/>
        <v>-39795</v>
      </c>
      <c r="AY10" s="1494" t="s">
        <v>133</v>
      </c>
      <c r="AZ10" s="1495">
        <v>-39795</v>
      </c>
      <c r="BA10" s="1498"/>
      <c r="BB10" s="1486">
        <f t="shared" si="10"/>
        <v>-39795</v>
      </c>
      <c r="BC10" s="1499">
        <v>1140</v>
      </c>
      <c r="BD10" s="1553">
        <v>56138</v>
      </c>
      <c r="BE10" s="1552">
        <f t="shared" si="1"/>
        <v>-54998</v>
      </c>
    </row>
    <row r="11" spans="1:58" x14ac:dyDescent="0.25">
      <c r="A11" s="1494" t="s">
        <v>134</v>
      </c>
      <c r="B11" s="1483" t="s">
        <v>579</v>
      </c>
      <c r="C11" s="1484"/>
      <c r="D11" s="1485"/>
      <c r="E11" s="1486">
        <f t="shared" si="0"/>
        <v>0</v>
      </c>
      <c r="F11" s="1492" t="s">
        <v>134</v>
      </c>
      <c r="G11" s="1488" t="s">
        <v>579</v>
      </c>
      <c r="H11" s="1489"/>
      <c r="I11" s="1497"/>
      <c r="J11" s="1491">
        <f t="shared" si="2"/>
        <v>0</v>
      </c>
      <c r="K11" s="1494" t="s">
        <v>134</v>
      </c>
      <c r="L11" s="1542" t="s">
        <v>843</v>
      </c>
      <c r="M11" s="1484"/>
      <c r="N11" s="1498"/>
      <c r="O11" s="1486">
        <f t="shared" si="3"/>
        <v>0</v>
      </c>
      <c r="P11" s="1492" t="s">
        <v>134</v>
      </c>
      <c r="Q11" s="1543" t="s">
        <v>873</v>
      </c>
      <c r="R11" s="1493"/>
      <c r="S11" s="1490"/>
      <c r="T11" s="1491">
        <f t="shared" si="4"/>
        <v>0</v>
      </c>
      <c r="U11" s="1494" t="s">
        <v>134</v>
      </c>
      <c r="V11" s="1544" t="s">
        <v>873</v>
      </c>
      <c r="W11" s="1545">
        <f>'Notas agost 2025'!D19</f>
        <v>-2367</v>
      </c>
      <c r="X11" s="1545">
        <v>-2367</v>
      </c>
      <c r="Y11" s="1486">
        <f t="shared" si="5"/>
        <v>0</v>
      </c>
      <c r="Z11" s="1492" t="s">
        <v>134</v>
      </c>
      <c r="AA11" s="1543" t="s">
        <v>873</v>
      </c>
      <c r="AB11" s="1546">
        <v>0</v>
      </c>
      <c r="AC11" s="1553">
        <v>0</v>
      </c>
      <c r="AD11" s="1547">
        <f t="shared" si="6"/>
        <v>0</v>
      </c>
      <c r="AE11" s="1494" t="s">
        <v>134</v>
      </c>
      <c r="AF11" s="1544" t="s">
        <v>873</v>
      </c>
      <c r="AG11" s="1489">
        <v>-817432</v>
      </c>
      <c r="AH11" s="1490">
        <v>-817432</v>
      </c>
      <c r="AI11" s="1486">
        <f t="shared" si="7"/>
        <v>0</v>
      </c>
      <c r="AJ11" s="1492" t="s">
        <v>134</v>
      </c>
      <c r="AK11" s="1543" t="s">
        <v>873</v>
      </c>
      <c r="AL11" s="1548">
        <v>-1634864</v>
      </c>
      <c r="AM11" s="1548">
        <v>-1634864</v>
      </c>
      <c r="AN11" s="1491">
        <v>0</v>
      </c>
      <c r="AO11" s="1494" t="s">
        <v>134</v>
      </c>
      <c r="AP11" s="1544" t="s">
        <v>873</v>
      </c>
      <c r="AQ11" s="1549">
        <v>0</v>
      </c>
      <c r="AR11" s="1549">
        <v>0</v>
      </c>
      <c r="AS11" s="1486">
        <f t="shared" si="8"/>
        <v>0</v>
      </c>
      <c r="AT11" s="1492" t="s">
        <v>134</v>
      </c>
      <c r="AU11" s="1543" t="s">
        <v>934</v>
      </c>
      <c r="AV11" s="1550">
        <v>802</v>
      </c>
      <c r="AW11" s="1550">
        <v>802</v>
      </c>
      <c r="AX11" s="1551">
        <f t="shared" si="9"/>
        <v>0</v>
      </c>
      <c r="AY11" s="1494" t="s">
        <v>134</v>
      </c>
      <c r="AZ11" s="1495">
        <v>792</v>
      </c>
      <c r="BA11" s="1498">
        <v>792</v>
      </c>
      <c r="BB11" s="1486">
        <f t="shared" si="10"/>
        <v>0</v>
      </c>
      <c r="BC11" s="1499">
        <v>39006</v>
      </c>
      <c r="BD11" s="1546">
        <v>39006</v>
      </c>
      <c r="BE11" s="1552">
        <f t="shared" si="1"/>
        <v>0</v>
      </c>
    </row>
    <row r="12" spans="1:58" x14ac:dyDescent="0.25">
      <c r="A12" s="1494" t="s">
        <v>135</v>
      </c>
      <c r="B12" s="1483" t="s">
        <v>751</v>
      </c>
      <c r="C12" s="1484"/>
      <c r="D12" s="1485"/>
      <c r="E12" s="1486">
        <f t="shared" si="0"/>
        <v>0</v>
      </c>
      <c r="F12" s="1492" t="s">
        <v>135</v>
      </c>
      <c r="G12" s="1488" t="s">
        <v>751</v>
      </c>
      <c r="H12" s="1489"/>
      <c r="I12" s="1497"/>
      <c r="J12" s="1491">
        <f t="shared" si="2"/>
        <v>0</v>
      </c>
      <c r="K12" s="1494" t="s">
        <v>135</v>
      </c>
      <c r="L12" s="1542" t="s">
        <v>844</v>
      </c>
      <c r="M12" s="1484"/>
      <c r="N12" s="1498"/>
      <c r="O12" s="1486">
        <f t="shared" si="3"/>
        <v>0</v>
      </c>
      <c r="P12" s="1492" t="s">
        <v>135</v>
      </c>
      <c r="Q12" s="1543" t="s">
        <v>874</v>
      </c>
      <c r="R12" s="1493"/>
      <c r="S12" s="1490"/>
      <c r="T12" s="1491">
        <f t="shared" si="4"/>
        <v>0</v>
      </c>
      <c r="U12" s="1494" t="s">
        <v>135</v>
      </c>
      <c r="V12" s="1544" t="s">
        <v>874</v>
      </c>
      <c r="W12" s="1545">
        <f>'Notas agost 2025'!D20</f>
        <v>0</v>
      </c>
      <c r="X12" s="1545">
        <v>0</v>
      </c>
      <c r="Y12" s="1486">
        <f t="shared" si="5"/>
        <v>0</v>
      </c>
      <c r="Z12" s="1492" t="s">
        <v>135</v>
      </c>
      <c r="AA12" s="1543" t="s">
        <v>874</v>
      </c>
      <c r="AB12" s="1546">
        <v>-99800</v>
      </c>
      <c r="AC12" s="1546">
        <v>-99800</v>
      </c>
      <c r="AD12" s="1547">
        <f t="shared" si="6"/>
        <v>0</v>
      </c>
      <c r="AE12" s="1494" t="s">
        <v>135</v>
      </c>
      <c r="AF12" s="1544" t="s">
        <v>874</v>
      </c>
      <c r="AG12" s="1489">
        <v>-99900</v>
      </c>
      <c r="AH12" s="1490">
        <v>-99900</v>
      </c>
      <c r="AI12" s="1486">
        <f t="shared" si="7"/>
        <v>0</v>
      </c>
      <c r="AJ12" s="1492" t="s">
        <v>135</v>
      </c>
      <c r="AK12" s="1543" t="s">
        <v>874</v>
      </c>
      <c r="AL12" s="1548">
        <v>0</v>
      </c>
      <c r="AM12" s="1548">
        <v>0</v>
      </c>
      <c r="AN12" s="1491">
        <v>0</v>
      </c>
      <c r="AO12" s="1494" t="s">
        <v>135</v>
      </c>
      <c r="AP12" s="1544" t="s">
        <v>874</v>
      </c>
      <c r="AQ12" s="1549">
        <v>121144</v>
      </c>
      <c r="AR12" s="1549">
        <v>121144</v>
      </c>
      <c r="AS12" s="1486">
        <f t="shared" si="8"/>
        <v>0</v>
      </c>
      <c r="AT12" s="1492" t="s">
        <v>135</v>
      </c>
      <c r="AU12" s="1543" t="s">
        <v>874</v>
      </c>
      <c r="AV12" s="1550">
        <v>0</v>
      </c>
      <c r="AW12" s="1550"/>
      <c r="AX12" s="1551">
        <f t="shared" si="9"/>
        <v>0</v>
      </c>
      <c r="AY12" s="1494" t="s">
        <v>135</v>
      </c>
      <c r="AZ12" s="1495">
        <v>0</v>
      </c>
      <c r="BA12" s="1498">
        <v>6</v>
      </c>
      <c r="BB12" s="1486">
        <f t="shared" si="10"/>
        <v>-6</v>
      </c>
      <c r="BC12" s="1499">
        <v>41314</v>
      </c>
      <c r="BD12" s="1553">
        <v>41314</v>
      </c>
      <c r="BE12" s="1552">
        <f t="shared" si="1"/>
        <v>0</v>
      </c>
    </row>
    <row r="13" spans="1:58" x14ac:dyDescent="0.25">
      <c r="A13" s="1494" t="s">
        <v>136</v>
      </c>
      <c r="B13" s="1483" t="s">
        <v>580</v>
      </c>
      <c r="C13" s="1484"/>
      <c r="D13" s="1485"/>
      <c r="E13" s="1486">
        <f t="shared" si="0"/>
        <v>0</v>
      </c>
      <c r="F13" s="1492" t="s">
        <v>136</v>
      </c>
      <c r="G13" s="1488" t="s">
        <v>580</v>
      </c>
      <c r="H13" s="1489"/>
      <c r="I13" s="1497"/>
      <c r="J13" s="1491">
        <f t="shared" si="2"/>
        <v>0</v>
      </c>
      <c r="K13" s="1494" t="s">
        <v>136</v>
      </c>
      <c r="L13" s="1542" t="s">
        <v>845</v>
      </c>
      <c r="M13" s="1484"/>
      <c r="N13" s="1498"/>
      <c r="O13" s="1486">
        <f t="shared" si="3"/>
        <v>0</v>
      </c>
      <c r="P13" s="1492" t="s">
        <v>136</v>
      </c>
      <c r="Q13" s="1543" t="s">
        <v>875</v>
      </c>
      <c r="R13" s="1493"/>
      <c r="S13" s="1490"/>
      <c r="T13" s="1491">
        <f t="shared" si="4"/>
        <v>0</v>
      </c>
      <c r="U13" s="1494" t="s">
        <v>136</v>
      </c>
      <c r="V13" s="1544" t="s">
        <v>875</v>
      </c>
      <c r="W13" s="1545">
        <f>'Notas agost 2025'!D21</f>
        <v>240477</v>
      </c>
      <c r="X13" s="1545">
        <v>240477</v>
      </c>
      <c r="Y13" s="1486">
        <f t="shared" si="5"/>
        <v>0</v>
      </c>
      <c r="Z13" s="1492" t="s">
        <v>136</v>
      </c>
      <c r="AA13" s="1543" t="s">
        <v>875</v>
      </c>
      <c r="AB13" s="1546">
        <v>0</v>
      </c>
      <c r="AC13" s="1553">
        <v>0</v>
      </c>
      <c r="AD13" s="1547">
        <f t="shared" si="6"/>
        <v>0</v>
      </c>
      <c r="AE13" s="1494" t="s">
        <v>136</v>
      </c>
      <c r="AF13" s="1544" t="s">
        <v>875</v>
      </c>
      <c r="AG13" s="1489">
        <v>0</v>
      </c>
      <c r="AH13" s="1497">
        <v>0</v>
      </c>
      <c r="AI13" s="1486">
        <f t="shared" si="7"/>
        <v>0</v>
      </c>
      <c r="AJ13" s="1492" t="s">
        <v>136</v>
      </c>
      <c r="AK13" s="1543" t="s">
        <v>875</v>
      </c>
      <c r="AL13" s="1548">
        <v>0</v>
      </c>
      <c r="AM13" s="1548">
        <v>0</v>
      </c>
      <c r="AN13" s="1491">
        <v>0</v>
      </c>
      <c r="AO13" s="1494" t="s">
        <v>136</v>
      </c>
      <c r="AP13" s="1544" t="s">
        <v>875</v>
      </c>
      <c r="AQ13" s="1549">
        <v>0</v>
      </c>
      <c r="AR13" s="1549">
        <v>0</v>
      </c>
      <c r="AS13" s="1486">
        <f t="shared" si="8"/>
        <v>0</v>
      </c>
      <c r="AT13" s="1492" t="s">
        <v>136</v>
      </c>
      <c r="AU13" s="1543" t="s">
        <v>875</v>
      </c>
      <c r="AV13" s="1550">
        <v>12</v>
      </c>
      <c r="AW13" s="1550">
        <v>12</v>
      </c>
      <c r="AX13" s="1551">
        <f t="shared" si="9"/>
        <v>0</v>
      </c>
      <c r="AY13" s="1494" t="s">
        <v>136</v>
      </c>
      <c r="AZ13" s="1495">
        <v>6</v>
      </c>
      <c r="BA13" s="1498"/>
      <c r="BB13" s="1486">
        <f t="shared" si="10"/>
        <v>6</v>
      </c>
      <c r="BC13" s="1499">
        <v>0</v>
      </c>
      <c r="BD13" s="1553">
        <v>0</v>
      </c>
      <c r="BE13" s="1552">
        <f t="shared" si="1"/>
        <v>0</v>
      </c>
    </row>
    <row r="14" spans="1:58" x14ac:dyDescent="0.25">
      <c r="A14" s="1482" t="s">
        <v>137</v>
      </c>
      <c r="B14" s="1483" t="s">
        <v>581</v>
      </c>
      <c r="C14" s="1484"/>
      <c r="D14" s="1485"/>
      <c r="E14" s="1486">
        <f t="shared" si="0"/>
        <v>0</v>
      </c>
      <c r="F14" s="1487" t="s">
        <v>137</v>
      </c>
      <c r="G14" s="1488" t="s">
        <v>581</v>
      </c>
      <c r="H14" s="1489"/>
      <c r="I14" s="1490"/>
      <c r="J14" s="1491">
        <f t="shared" si="2"/>
        <v>0</v>
      </c>
      <c r="K14" s="1482" t="s">
        <v>137</v>
      </c>
      <c r="L14" s="1542" t="s">
        <v>846</v>
      </c>
      <c r="M14" s="1484"/>
      <c r="N14" s="1485"/>
      <c r="O14" s="1486">
        <f t="shared" si="3"/>
        <v>0</v>
      </c>
      <c r="P14" s="1492" t="s">
        <v>137</v>
      </c>
      <c r="Q14" s="1543" t="s">
        <v>876</v>
      </c>
      <c r="R14" s="1493"/>
      <c r="S14" s="1490"/>
      <c r="T14" s="1491">
        <f t="shared" si="4"/>
        <v>0</v>
      </c>
      <c r="U14" s="1494" t="s">
        <v>137</v>
      </c>
      <c r="V14" s="1544" t="s">
        <v>876</v>
      </c>
      <c r="W14" s="1545">
        <f>'Notas agost 2025'!D22</f>
        <v>2160408</v>
      </c>
      <c r="X14" s="1545">
        <v>2160408</v>
      </c>
      <c r="Y14" s="1486">
        <f t="shared" si="5"/>
        <v>0</v>
      </c>
      <c r="Z14" s="1492" t="s">
        <v>137</v>
      </c>
      <c r="AA14" s="1543" t="s">
        <v>876</v>
      </c>
      <c r="AB14" s="1546">
        <v>1000000</v>
      </c>
      <c r="AC14" s="1546">
        <v>1000000</v>
      </c>
      <c r="AD14" s="1547">
        <f t="shared" si="6"/>
        <v>0</v>
      </c>
      <c r="AE14" s="1494" t="s">
        <v>137</v>
      </c>
      <c r="AF14" s="1544" t="s">
        <v>876</v>
      </c>
      <c r="AG14" s="1489">
        <v>1476264</v>
      </c>
      <c r="AH14" s="1490">
        <v>1476264</v>
      </c>
      <c r="AI14" s="1486">
        <f t="shared" si="7"/>
        <v>0</v>
      </c>
      <c r="AJ14" s="1492" t="s">
        <v>137</v>
      </c>
      <c r="AK14" s="1543" t="s">
        <v>876</v>
      </c>
      <c r="AL14" s="1548">
        <v>554504</v>
      </c>
      <c r="AM14" s="1548">
        <v>554504</v>
      </c>
      <c r="AN14" s="1491">
        <v>0</v>
      </c>
      <c r="AO14" s="1494" t="s">
        <v>137</v>
      </c>
      <c r="AP14" s="1544" t="s">
        <v>876</v>
      </c>
      <c r="AQ14" s="1549">
        <v>602172</v>
      </c>
      <c r="AR14" s="1549">
        <v>602172</v>
      </c>
      <c r="AS14" s="1486">
        <f t="shared" si="8"/>
        <v>0</v>
      </c>
      <c r="AT14" s="1492" t="s">
        <v>137</v>
      </c>
      <c r="AU14" s="1543" t="s">
        <v>876</v>
      </c>
      <c r="AV14" s="1550">
        <v>878842</v>
      </c>
      <c r="AW14" s="1550">
        <v>878842</v>
      </c>
      <c r="AX14" s="1551">
        <f t="shared" si="9"/>
        <v>0</v>
      </c>
      <c r="AY14" s="1494" t="s">
        <v>137</v>
      </c>
      <c r="AZ14" s="1495">
        <v>0</v>
      </c>
      <c r="BA14" s="1485"/>
      <c r="BB14" s="1486">
        <f t="shared" si="10"/>
        <v>0</v>
      </c>
      <c r="BC14" s="1499">
        <v>0</v>
      </c>
      <c r="BD14" s="1546">
        <v>0</v>
      </c>
      <c r="BE14" s="1552">
        <f t="shared" si="1"/>
        <v>0</v>
      </c>
    </row>
    <row r="15" spans="1:58" x14ac:dyDescent="0.25">
      <c r="A15" s="1494" t="s">
        <v>138</v>
      </c>
      <c r="B15" s="1483" t="s">
        <v>582</v>
      </c>
      <c r="C15" s="1484"/>
      <c r="D15" s="1485"/>
      <c r="E15" s="1486">
        <f t="shared" si="0"/>
        <v>0</v>
      </c>
      <c r="F15" s="1492" t="s">
        <v>138</v>
      </c>
      <c r="G15" s="1488" t="s">
        <v>582</v>
      </c>
      <c r="H15" s="1489"/>
      <c r="I15" s="1490"/>
      <c r="J15" s="1491">
        <f t="shared" si="2"/>
        <v>0</v>
      </c>
      <c r="K15" s="1494" t="s">
        <v>138</v>
      </c>
      <c r="L15" s="1542" t="s">
        <v>847</v>
      </c>
      <c r="M15" s="1484"/>
      <c r="N15" s="1485"/>
      <c r="O15" s="1486">
        <f t="shared" si="3"/>
        <v>0</v>
      </c>
      <c r="P15" s="1492" t="s">
        <v>138</v>
      </c>
      <c r="Q15" s="1543" t="s">
        <v>877</v>
      </c>
      <c r="R15" s="1493"/>
      <c r="S15" s="1490"/>
      <c r="T15" s="1491">
        <f t="shared" si="4"/>
        <v>0</v>
      </c>
      <c r="U15" s="1494" t="s">
        <v>138</v>
      </c>
      <c r="V15" s="1544" t="s">
        <v>877</v>
      </c>
      <c r="W15" s="1545">
        <f>'Notas agost 2025'!D23</f>
        <v>-323473</v>
      </c>
      <c r="X15" s="1545">
        <v>-323473</v>
      </c>
      <c r="Y15" s="1486">
        <f t="shared" si="5"/>
        <v>0</v>
      </c>
      <c r="Z15" s="1492" t="s">
        <v>138</v>
      </c>
      <c r="AA15" s="1543" t="s">
        <v>877</v>
      </c>
      <c r="AB15" s="1546">
        <v>-411027</v>
      </c>
      <c r="AC15" s="1546">
        <v>-411027</v>
      </c>
      <c r="AD15" s="1547">
        <f t="shared" si="6"/>
        <v>0</v>
      </c>
      <c r="AE15" s="1494" t="s">
        <v>138</v>
      </c>
      <c r="AF15" s="1544" t="s">
        <v>877</v>
      </c>
      <c r="AG15" s="1489">
        <v>-339283</v>
      </c>
      <c r="AH15" s="1490">
        <v>-339283</v>
      </c>
      <c r="AI15" s="1486">
        <f t="shared" si="7"/>
        <v>0</v>
      </c>
      <c r="AJ15" s="1492" t="s">
        <v>138</v>
      </c>
      <c r="AK15" s="1543" t="s">
        <v>877</v>
      </c>
      <c r="AL15" s="1548">
        <v>-267539</v>
      </c>
      <c r="AM15" s="1548">
        <v>-267539</v>
      </c>
      <c r="AN15" s="1491">
        <v>0</v>
      </c>
      <c r="AO15" s="1494" t="s">
        <v>138</v>
      </c>
      <c r="AP15" s="1544" t="s">
        <v>877</v>
      </c>
      <c r="AQ15" s="1549">
        <v>-455093</v>
      </c>
      <c r="AR15" s="1549">
        <v>-455093</v>
      </c>
      <c r="AS15" s="1486">
        <f t="shared" si="8"/>
        <v>0</v>
      </c>
      <c r="AT15" s="1492" t="s">
        <v>138</v>
      </c>
      <c r="AU15" s="1543" t="s">
        <v>935</v>
      </c>
      <c r="AV15" s="1550">
        <v>-390617</v>
      </c>
      <c r="AW15" s="1550">
        <v>-390617</v>
      </c>
      <c r="AX15" s="1551">
        <f t="shared" si="9"/>
        <v>0</v>
      </c>
      <c r="AY15" s="1494" t="s">
        <v>138</v>
      </c>
      <c r="AZ15" s="1495">
        <v>1094702</v>
      </c>
      <c r="BA15" s="1485">
        <v>1094702</v>
      </c>
      <c r="BB15" s="1486">
        <f t="shared" si="10"/>
        <v>0</v>
      </c>
      <c r="BC15" s="1499">
        <v>100169</v>
      </c>
      <c r="BD15" s="1546">
        <v>100169</v>
      </c>
      <c r="BE15" s="1552">
        <f t="shared" si="1"/>
        <v>0</v>
      </c>
    </row>
    <row r="16" spans="1:58" x14ac:dyDescent="0.25">
      <c r="A16" s="1494" t="s">
        <v>139</v>
      </c>
      <c r="B16" s="1483" t="s">
        <v>583</v>
      </c>
      <c r="C16" s="1484"/>
      <c r="D16" s="1485"/>
      <c r="E16" s="1486">
        <f t="shared" si="0"/>
        <v>0</v>
      </c>
      <c r="F16" s="1492" t="s">
        <v>139</v>
      </c>
      <c r="G16" s="1488" t="s">
        <v>583</v>
      </c>
      <c r="H16" s="1489"/>
      <c r="I16" s="1497"/>
      <c r="J16" s="1491">
        <f t="shared" si="2"/>
        <v>0</v>
      </c>
      <c r="K16" s="1494" t="s">
        <v>139</v>
      </c>
      <c r="L16" s="1542" t="s">
        <v>848</v>
      </c>
      <c r="M16" s="1484"/>
      <c r="N16" s="1498"/>
      <c r="O16" s="1486">
        <f t="shared" si="3"/>
        <v>0</v>
      </c>
      <c r="P16" s="1492" t="s">
        <v>139</v>
      </c>
      <c r="Q16" s="1543" t="s">
        <v>878</v>
      </c>
      <c r="R16" s="1493"/>
      <c r="S16" s="1490"/>
      <c r="T16" s="1491">
        <f t="shared" si="4"/>
        <v>0</v>
      </c>
      <c r="U16" s="1494" t="s">
        <v>139</v>
      </c>
      <c r="V16" s="1544" t="s">
        <v>878</v>
      </c>
      <c r="W16" s="1545">
        <f>'Notas agost 2025'!D24</f>
        <v>0</v>
      </c>
      <c r="X16" s="1545">
        <v>0</v>
      </c>
      <c r="Y16" s="1486">
        <f t="shared" si="5"/>
        <v>0</v>
      </c>
      <c r="Z16" s="1492" t="s">
        <v>139</v>
      </c>
      <c r="AA16" s="1543" t="s">
        <v>878</v>
      </c>
      <c r="AB16" s="1546">
        <v>0</v>
      </c>
      <c r="AC16" s="1553">
        <v>0</v>
      </c>
      <c r="AD16" s="1547">
        <f t="shared" si="6"/>
        <v>0</v>
      </c>
      <c r="AE16" s="1494" t="s">
        <v>139</v>
      </c>
      <c r="AF16" s="1544" t="s">
        <v>878</v>
      </c>
      <c r="AG16" s="1489">
        <v>0</v>
      </c>
      <c r="AH16" s="1497">
        <v>0</v>
      </c>
      <c r="AI16" s="1486">
        <f t="shared" si="7"/>
        <v>0</v>
      </c>
      <c r="AJ16" s="1492" t="s">
        <v>139</v>
      </c>
      <c r="AK16" s="1543" t="s">
        <v>878</v>
      </c>
      <c r="AL16" s="1548">
        <v>0</v>
      </c>
      <c r="AM16" s="1548">
        <v>0</v>
      </c>
      <c r="AN16" s="1491">
        <v>0</v>
      </c>
      <c r="AO16" s="1494" t="s">
        <v>139</v>
      </c>
      <c r="AP16" s="1544" t="s">
        <v>878</v>
      </c>
      <c r="AQ16" s="1549">
        <v>0</v>
      </c>
      <c r="AR16" s="1549"/>
      <c r="AS16" s="1486">
        <f t="shared" si="8"/>
        <v>0</v>
      </c>
      <c r="AT16" s="1492" t="s">
        <v>139</v>
      </c>
      <c r="AU16" s="1543" t="s">
        <v>878</v>
      </c>
      <c r="AV16" s="1550">
        <v>0</v>
      </c>
      <c r="AW16" s="1550"/>
      <c r="AX16" s="1551">
        <f t="shared" si="9"/>
        <v>0</v>
      </c>
      <c r="AY16" s="1494" t="s">
        <v>139</v>
      </c>
      <c r="AZ16" s="1495">
        <v>0</v>
      </c>
      <c r="BA16" s="1498"/>
      <c r="BB16" s="1486">
        <f t="shared" si="10"/>
        <v>0</v>
      </c>
      <c r="BC16" s="1499">
        <v>0</v>
      </c>
      <c r="BD16" s="1553">
        <v>0</v>
      </c>
      <c r="BE16" s="1552">
        <f t="shared" si="1"/>
        <v>0</v>
      </c>
    </row>
    <row r="17" spans="1:57" x14ac:dyDescent="0.25">
      <c r="A17" s="1494" t="s">
        <v>140</v>
      </c>
      <c r="B17" s="1483" t="s">
        <v>752</v>
      </c>
      <c r="C17" s="1484"/>
      <c r="D17" s="1485"/>
      <c r="E17" s="1486">
        <f t="shared" si="0"/>
        <v>0</v>
      </c>
      <c r="F17" s="1492" t="s">
        <v>140</v>
      </c>
      <c r="G17" s="1488" t="s">
        <v>752</v>
      </c>
      <c r="H17" s="1489"/>
      <c r="I17" s="1497"/>
      <c r="J17" s="1491">
        <f t="shared" si="2"/>
        <v>0</v>
      </c>
      <c r="K17" s="1494" t="s">
        <v>140</v>
      </c>
      <c r="L17" s="1542" t="s">
        <v>849</v>
      </c>
      <c r="M17" s="1484"/>
      <c r="N17" s="1498"/>
      <c r="O17" s="1486">
        <f t="shared" si="3"/>
        <v>0</v>
      </c>
      <c r="P17" s="1492" t="s">
        <v>140</v>
      </c>
      <c r="Q17" s="1543" t="s">
        <v>879</v>
      </c>
      <c r="R17" s="1493"/>
      <c r="S17" s="1490"/>
      <c r="T17" s="1491">
        <f t="shared" si="4"/>
        <v>0</v>
      </c>
      <c r="U17" s="1494" t="s">
        <v>140</v>
      </c>
      <c r="V17" s="1544" t="s">
        <v>879</v>
      </c>
      <c r="W17" s="1545">
        <f>'Notas agost 2025'!D25</f>
        <v>0</v>
      </c>
      <c r="X17" s="1545">
        <v>0</v>
      </c>
      <c r="Y17" s="1486">
        <f t="shared" si="5"/>
        <v>0</v>
      </c>
      <c r="Z17" s="1492" t="s">
        <v>140</v>
      </c>
      <c r="AA17" s="1543" t="s">
        <v>879</v>
      </c>
      <c r="AB17" s="1546">
        <v>0</v>
      </c>
      <c r="AC17" s="1553">
        <v>0</v>
      </c>
      <c r="AD17" s="1547">
        <f t="shared" si="6"/>
        <v>0</v>
      </c>
      <c r="AE17" s="1494" t="s">
        <v>140</v>
      </c>
      <c r="AF17" s="1544" t="s">
        <v>879</v>
      </c>
      <c r="AG17" s="1489">
        <v>0</v>
      </c>
      <c r="AH17" s="1497">
        <v>0</v>
      </c>
      <c r="AI17" s="1486">
        <f t="shared" si="7"/>
        <v>0</v>
      </c>
      <c r="AJ17" s="1492" t="s">
        <v>140</v>
      </c>
      <c r="AK17" s="1543" t="s">
        <v>879</v>
      </c>
      <c r="AL17" s="1548">
        <v>0</v>
      </c>
      <c r="AM17" s="1548">
        <v>0</v>
      </c>
      <c r="AN17" s="1491">
        <v>0</v>
      </c>
      <c r="AO17" s="1494" t="s">
        <v>140</v>
      </c>
      <c r="AP17" s="1544" t="s">
        <v>879</v>
      </c>
      <c r="AQ17" s="1549">
        <v>0</v>
      </c>
      <c r="AR17" s="1549"/>
      <c r="AS17" s="1486">
        <f t="shared" si="8"/>
        <v>0</v>
      </c>
      <c r="AT17" s="1492" t="s">
        <v>140</v>
      </c>
      <c r="AU17" s="1543" t="s">
        <v>936</v>
      </c>
      <c r="AV17" s="1550">
        <v>0</v>
      </c>
      <c r="AW17" s="1550"/>
      <c r="AX17" s="1551">
        <f t="shared" si="9"/>
        <v>0</v>
      </c>
      <c r="AY17" s="1494" t="s">
        <v>140</v>
      </c>
      <c r="AZ17" s="1495">
        <v>0</v>
      </c>
      <c r="BA17" s="1498"/>
      <c r="BB17" s="1486">
        <f t="shared" si="10"/>
        <v>0</v>
      </c>
      <c r="BC17" s="1499">
        <v>0</v>
      </c>
      <c r="BD17" s="1553">
        <v>0</v>
      </c>
      <c r="BE17" s="1552">
        <f t="shared" si="1"/>
        <v>0</v>
      </c>
    </row>
    <row r="18" spans="1:57" x14ac:dyDescent="0.25">
      <c r="A18" s="1494" t="s">
        <v>141</v>
      </c>
      <c r="B18" s="1483" t="s">
        <v>584</v>
      </c>
      <c r="C18" s="1484"/>
      <c r="D18" s="1485"/>
      <c r="E18" s="1486">
        <f t="shared" si="0"/>
        <v>0</v>
      </c>
      <c r="F18" s="1492" t="s">
        <v>141</v>
      </c>
      <c r="G18" s="1488" t="s">
        <v>584</v>
      </c>
      <c r="H18" s="1489"/>
      <c r="I18" s="1497"/>
      <c r="J18" s="1491">
        <f t="shared" si="2"/>
        <v>0</v>
      </c>
      <c r="K18" s="1494" t="s">
        <v>141</v>
      </c>
      <c r="L18" s="1542" t="s">
        <v>850</v>
      </c>
      <c r="M18" s="1484"/>
      <c r="N18" s="1498"/>
      <c r="O18" s="1486">
        <f t="shared" si="3"/>
        <v>0</v>
      </c>
      <c r="P18" s="1492" t="s">
        <v>141</v>
      </c>
      <c r="Q18" s="1543" t="s">
        <v>880</v>
      </c>
      <c r="R18" s="1493"/>
      <c r="S18" s="1490"/>
      <c r="T18" s="1491">
        <f t="shared" si="4"/>
        <v>0</v>
      </c>
      <c r="U18" s="1494" t="s">
        <v>141</v>
      </c>
      <c r="V18" s="1544" t="s">
        <v>880</v>
      </c>
      <c r="W18" s="1545">
        <f>'Notas agost 2025'!D26</f>
        <v>0</v>
      </c>
      <c r="X18" s="1545">
        <v>0</v>
      </c>
      <c r="Y18" s="1486">
        <f t="shared" si="5"/>
        <v>0</v>
      </c>
      <c r="Z18" s="1492" t="s">
        <v>141</v>
      </c>
      <c r="AA18" s="1543" t="s">
        <v>880</v>
      </c>
      <c r="AB18" s="1546">
        <v>608316</v>
      </c>
      <c r="AC18" s="1546">
        <v>608316</v>
      </c>
      <c r="AD18" s="1547">
        <f t="shared" si="6"/>
        <v>0</v>
      </c>
      <c r="AE18" s="1494" t="s">
        <v>141</v>
      </c>
      <c r="AF18" s="1544" t="s">
        <v>880</v>
      </c>
      <c r="AG18" s="1489">
        <v>1548623</v>
      </c>
      <c r="AH18" s="1490">
        <v>1548623</v>
      </c>
      <c r="AI18" s="1486">
        <f t="shared" si="7"/>
        <v>0</v>
      </c>
      <c r="AJ18" s="1492" t="s">
        <v>141</v>
      </c>
      <c r="AK18" s="1543" t="s">
        <v>880</v>
      </c>
      <c r="AL18" s="1548">
        <v>1490118</v>
      </c>
      <c r="AM18" s="1548">
        <v>1490118</v>
      </c>
      <c r="AN18" s="1491">
        <v>0</v>
      </c>
      <c r="AO18" s="1494" t="s">
        <v>141</v>
      </c>
      <c r="AP18" s="1544" t="s">
        <v>880</v>
      </c>
      <c r="AQ18" s="1549">
        <v>161290</v>
      </c>
      <c r="AR18" s="1549">
        <v>161290</v>
      </c>
      <c r="AS18" s="1486">
        <f t="shared" si="8"/>
        <v>0</v>
      </c>
      <c r="AT18" s="1492" t="s">
        <v>141</v>
      </c>
      <c r="AU18" s="1543" t="s">
        <v>937</v>
      </c>
      <c r="AV18" s="1555">
        <v>25253</v>
      </c>
      <c r="AW18" s="1555">
        <v>25253</v>
      </c>
      <c r="AX18" s="1551">
        <f t="shared" si="9"/>
        <v>0</v>
      </c>
      <c r="AY18" s="1494" t="s">
        <v>141</v>
      </c>
      <c r="AZ18" s="1495">
        <v>32101</v>
      </c>
      <c r="BA18" s="1485">
        <v>32101</v>
      </c>
      <c r="BB18" s="1486">
        <f t="shared" si="10"/>
        <v>0</v>
      </c>
      <c r="BC18" s="1499">
        <v>136823</v>
      </c>
      <c r="BD18" s="1546">
        <v>136823</v>
      </c>
      <c r="BE18" s="1552">
        <f t="shared" si="1"/>
        <v>0</v>
      </c>
    </row>
    <row r="19" spans="1:57" x14ac:dyDescent="0.25">
      <c r="A19" s="1494" t="s">
        <v>142</v>
      </c>
      <c r="B19" s="1483" t="s">
        <v>585</v>
      </c>
      <c r="C19" s="1484"/>
      <c r="D19" s="1485"/>
      <c r="E19" s="1486">
        <f t="shared" si="0"/>
        <v>0</v>
      </c>
      <c r="F19" s="1492" t="s">
        <v>142</v>
      </c>
      <c r="G19" s="1488" t="s">
        <v>585</v>
      </c>
      <c r="H19" s="1489"/>
      <c r="I19" s="1497"/>
      <c r="J19" s="1491">
        <f t="shared" si="2"/>
        <v>0</v>
      </c>
      <c r="K19" s="1494" t="s">
        <v>142</v>
      </c>
      <c r="L19" s="1542" t="s">
        <v>851</v>
      </c>
      <c r="M19" s="1484"/>
      <c r="N19" s="1498"/>
      <c r="O19" s="1486">
        <f t="shared" si="3"/>
        <v>0</v>
      </c>
      <c r="P19" s="1492" t="s">
        <v>142</v>
      </c>
      <c r="Q19" s="1543" t="s">
        <v>881</v>
      </c>
      <c r="R19" s="1493"/>
      <c r="S19" s="1490"/>
      <c r="T19" s="1491">
        <f t="shared" si="4"/>
        <v>0</v>
      </c>
      <c r="U19" s="1494" t="s">
        <v>142</v>
      </c>
      <c r="V19" s="1544" t="s">
        <v>881</v>
      </c>
      <c r="W19" s="1545">
        <f>'Notas agost 2025'!D27</f>
        <v>0</v>
      </c>
      <c r="X19" s="1545">
        <v>0</v>
      </c>
      <c r="Y19" s="1486">
        <f t="shared" si="5"/>
        <v>0</v>
      </c>
      <c r="Z19" s="1492" t="s">
        <v>142</v>
      </c>
      <c r="AA19" s="1543" t="s">
        <v>881</v>
      </c>
      <c r="AB19" s="1546">
        <v>0</v>
      </c>
      <c r="AC19" s="1553">
        <v>0</v>
      </c>
      <c r="AD19" s="1547">
        <f t="shared" si="6"/>
        <v>0</v>
      </c>
      <c r="AE19" s="1494" t="s">
        <v>142</v>
      </c>
      <c r="AF19" s="1544" t="s">
        <v>881</v>
      </c>
      <c r="AG19" s="1489">
        <v>0</v>
      </c>
      <c r="AH19" s="1497">
        <v>0</v>
      </c>
      <c r="AI19" s="1486">
        <f t="shared" si="7"/>
        <v>0</v>
      </c>
      <c r="AJ19" s="1492" t="s">
        <v>142</v>
      </c>
      <c r="AK19" s="1543" t="s">
        <v>881</v>
      </c>
      <c r="AL19" s="1548">
        <v>0</v>
      </c>
      <c r="AM19" s="1548">
        <v>0</v>
      </c>
      <c r="AN19" s="1491">
        <v>0</v>
      </c>
      <c r="AO19" s="1494" t="s">
        <v>142</v>
      </c>
      <c r="AP19" s="1544" t="s">
        <v>881</v>
      </c>
      <c r="AQ19" s="1549">
        <v>0</v>
      </c>
      <c r="AR19" s="1549"/>
      <c r="AS19" s="1486">
        <f t="shared" si="8"/>
        <v>0</v>
      </c>
      <c r="AT19" s="1492" t="s">
        <v>142</v>
      </c>
      <c r="AU19" s="1543" t="s">
        <v>938</v>
      </c>
      <c r="AV19" s="1550">
        <v>0</v>
      </c>
      <c r="AW19" s="1550"/>
      <c r="AX19" s="1551">
        <f t="shared" si="9"/>
        <v>0</v>
      </c>
      <c r="AY19" s="1494" t="s">
        <v>142</v>
      </c>
      <c r="AZ19" s="1495">
        <v>0</v>
      </c>
      <c r="BA19" s="1498"/>
      <c r="BB19" s="1486">
        <f t="shared" si="10"/>
        <v>0</v>
      </c>
      <c r="BC19" s="1499">
        <v>0</v>
      </c>
      <c r="BD19" s="1553">
        <v>0</v>
      </c>
      <c r="BE19" s="1552">
        <f t="shared" si="1"/>
        <v>0</v>
      </c>
    </row>
    <row r="20" spans="1:57" x14ac:dyDescent="0.25">
      <c r="A20" s="1494" t="s">
        <v>143</v>
      </c>
      <c r="B20" s="1483" t="s">
        <v>753</v>
      </c>
      <c r="C20" s="1484"/>
      <c r="D20" s="1485"/>
      <c r="E20" s="1486">
        <f t="shared" si="0"/>
        <v>0</v>
      </c>
      <c r="F20" s="1492" t="s">
        <v>143</v>
      </c>
      <c r="G20" s="1488" t="s">
        <v>753</v>
      </c>
      <c r="H20" s="1489"/>
      <c r="I20" s="1497"/>
      <c r="J20" s="1491">
        <f t="shared" si="2"/>
        <v>0</v>
      </c>
      <c r="K20" s="1494" t="s">
        <v>143</v>
      </c>
      <c r="L20" s="1542" t="s">
        <v>852</v>
      </c>
      <c r="M20" s="1484"/>
      <c r="N20" s="1498"/>
      <c r="O20" s="1486">
        <f t="shared" si="3"/>
        <v>0</v>
      </c>
      <c r="P20" s="1492" t="s">
        <v>143</v>
      </c>
      <c r="Q20" s="1543" t="s">
        <v>882</v>
      </c>
      <c r="R20" s="1493"/>
      <c r="S20" s="1490"/>
      <c r="T20" s="1491">
        <f t="shared" si="4"/>
        <v>0</v>
      </c>
      <c r="U20" s="1494" t="s">
        <v>143</v>
      </c>
      <c r="V20" s="1544" t="s">
        <v>882</v>
      </c>
      <c r="W20" s="1545">
        <f>'Notas agost 2025'!D28</f>
        <v>0</v>
      </c>
      <c r="X20" s="1545">
        <v>0</v>
      </c>
      <c r="Y20" s="1486">
        <f t="shared" si="5"/>
        <v>0</v>
      </c>
      <c r="Z20" s="1492" t="s">
        <v>143</v>
      </c>
      <c r="AA20" s="1543" t="s">
        <v>882</v>
      </c>
      <c r="AB20" s="1546">
        <v>0</v>
      </c>
      <c r="AC20" s="1553">
        <v>0</v>
      </c>
      <c r="AD20" s="1547">
        <f t="shared" si="6"/>
        <v>0</v>
      </c>
      <c r="AE20" s="1494" t="s">
        <v>143</v>
      </c>
      <c r="AF20" s="1544" t="s">
        <v>882</v>
      </c>
      <c r="AG20" s="1489">
        <v>0</v>
      </c>
      <c r="AH20" s="1497">
        <v>0</v>
      </c>
      <c r="AI20" s="1486">
        <f t="shared" si="7"/>
        <v>0</v>
      </c>
      <c r="AJ20" s="1492" t="s">
        <v>143</v>
      </c>
      <c r="AK20" s="1543" t="s">
        <v>882</v>
      </c>
      <c r="AL20" s="1548">
        <v>-37458</v>
      </c>
      <c r="AM20" s="1548">
        <v>-37458</v>
      </c>
      <c r="AN20" s="1491">
        <v>0</v>
      </c>
      <c r="AO20" s="1494" t="s">
        <v>143</v>
      </c>
      <c r="AP20" s="1544" t="s">
        <v>882</v>
      </c>
      <c r="AQ20" s="1549">
        <v>-1242726</v>
      </c>
      <c r="AR20" s="1549">
        <v>-1242726</v>
      </c>
      <c r="AS20" s="1486">
        <f t="shared" si="8"/>
        <v>0</v>
      </c>
      <c r="AT20" s="1492" t="s">
        <v>143</v>
      </c>
      <c r="AU20" s="1543" t="s">
        <v>939</v>
      </c>
      <c r="AV20" s="1550">
        <v>0</v>
      </c>
      <c r="AW20" s="1550"/>
      <c r="AX20" s="1551">
        <f t="shared" si="9"/>
        <v>0</v>
      </c>
      <c r="AY20" s="1494" t="s">
        <v>143</v>
      </c>
      <c r="AZ20" s="1495">
        <v>0</v>
      </c>
      <c r="BA20" s="1485"/>
      <c r="BB20" s="1486">
        <f t="shared" si="10"/>
        <v>0</v>
      </c>
      <c r="BC20" s="1499">
        <v>0</v>
      </c>
      <c r="BD20" s="1553">
        <v>0</v>
      </c>
      <c r="BE20" s="1552">
        <f t="shared" si="1"/>
        <v>0</v>
      </c>
    </row>
    <row r="21" spans="1:57" x14ac:dyDescent="0.25">
      <c r="A21" s="1494" t="s">
        <v>144</v>
      </c>
      <c r="B21" s="1483" t="s">
        <v>586</v>
      </c>
      <c r="C21" s="1484"/>
      <c r="D21" s="1485"/>
      <c r="E21" s="1486">
        <f t="shared" si="0"/>
        <v>0</v>
      </c>
      <c r="F21" s="1492" t="s">
        <v>144</v>
      </c>
      <c r="G21" s="1488" t="s">
        <v>586</v>
      </c>
      <c r="H21" s="1489"/>
      <c r="I21" s="1490"/>
      <c r="J21" s="1491">
        <f t="shared" si="2"/>
        <v>0</v>
      </c>
      <c r="K21" s="1494" t="s">
        <v>144</v>
      </c>
      <c r="L21" s="1542" t="s">
        <v>853</v>
      </c>
      <c r="M21" s="1484"/>
      <c r="N21" s="1485"/>
      <c r="O21" s="1486">
        <f t="shared" si="3"/>
        <v>0</v>
      </c>
      <c r="P21" s="1492" t="s">
        <v>144</v>
      </c>
      <c r="Q21" s="1543" t="s">
        <v>883</v>
      </c>
      <c r="R21" s="1493"/>
      <c r="S21" s="1490"/>
      <c r="T21" s="1556">
        <f t="shared" si="4"/>
        <v>0</v>
      </c>
      <c r="U21" s="1494" t="s">
        <v>144</v>
      </c>
      <c r="V21" s="1544" t="s">
        <v>883</v>
      </c>
      <c r="W21" s="1545">
        <f>'Notas agost 2025'!D29</f>
        <v>2279924</v>
      </c>
      <c r="X21" s="1545">
        <v>2279924</v>
      </c>
      <c r="Y21" s="1486">
        <f t="shared" si="5"/>
        <v>0</v>
      </c>
      <c r="Z21" s="1492" t="s">
        <v>144</v>
      </c>
      <c r="AA21" s="1543" t="s">
        <v>883</v>
      </c>
      <c r="AB21" s="1546">
        <v>1003279</v>
      </c>
      <c r="AC21" s="1546">
        <v>1003279</v>
      </c>
      <c r="AD21" s="1547">
        <f t="shared" si="6"/>
        <v>0</v>
      </c>
      <c r="AE21" s="1494" t="s">
        <v>144</v>
      </c>
      <c r="AF21" s="1544" t="s">
        <v>883</v>
      </c>
      <c r="AG21" s="1489">
        <v>0</v>
      </c>
      <c r="AH21" s="1497">
        <v>0</v>
      </c>
      <c r="AI21" s="1486">
        <f t="shared" si="7"/>
        <v>0</v>
      </c>
      <c r="AJ21" s="1492" t="s">
        <v>144</v>
      </c>
      <c r="AK21" s="1543" t="s">
        <v>883</v>
      </c>
      <c r="AL21" s="1548">
        <v>0</v>
      </c>
      <c r="AM21" s="1548">
        <v>0</v>
      </c>
      <c r="AN21" s="1491">
        <v>0</v>
      </c>
      <c r="AO21" s="1494" t="s">
        <v>144</v>
      </c>
      <c r="AP21" s="1544" t="s">
        <v>883</v>
      </c>
      <c r="AQ21" s="1549">
        <v>1026425</v>
      </c>
      <c r="AR21" s="1549">
        <v>1026425</v>
      </c>
      <c r="AS21" s="1486">
        <f t="shared" si="8"/>
        <v>0</v>
      </c>
      <c r="AT21" s="1492" t="s">
        <v>144</v>
      </c>
      <c r="AU21" s="1543" t="s">
        <v>940</v>
      </c>
      <c r="AV21" s="1550">
        <v>998218</v>
      </c>
      <c r="AW21" s="1550">
        <v>998218</v>
      </c>
      <c r="AX21" s="1551">
        <f t="shared" si="9"/>
        <v>0</v>
      </c>
      <c r="AY21" s="1494" t="s">
        <v>144</v>
      </c>
      <c r="AZ21" s="1495">
        <v>1146852</v>
      </c>
      <c r="BA21" s="1498">
        <v>1146552</v>
      </c>
      <c r="BB21" s="1486">
        <f t="shared" si="10"/>
        <v>300</v>
      </c>
      <c r="BC21" s="1499">
        <v>958699</v>
      </c>
      <c r="BD21" s="1546">
        <v>958699</v>
      </c>
      <c r="BE21" s="1552">
        <f t="shared" si="1"/>
        <v>0</v>
      </c>
    </row>
    <row r="22" spans="1:57" x14ac:dyDescent="0.25">
      <c r="A22" s="1494" t="s">
        <v>145</v>
      </c>
      <c r="B22" s="1483" t="s">
        <v>754</v>
      </c>
      <c r="C22" s="1484"/>
      <c r="D22" s="1485"/>
      <c r="E22" s="1486">
        <f t="shared" si="0"/>
        <v>0</v>
      </c>
      <c r="F22" s="1492" t="s">
        <v>145</v>
      </c>
      <c r="G22" s="1488" t="s">
        <v>754</v>
      </c>
      <c r="H22" s="1489"/>
      <c r="I22" s="1497"/>
      <c r="J22" s="1491">
        <f t="shared" si="2"/>
        <v>0</v>
      </c>
      <c r="K22" s="1494" t="s">
        <v>145</v>
      </c>
      <c r="L22" s="1542" t="s">
        <v>854</v>
      </c>
      <c r="M22" s="1484"/>
      <c r="N22" s="1498"/>
      <c r="O22" s="1486">
        <f t="shared" si="3"/>
        <v>0</v>
      </c>
      <c r="P22" s="1492" t="s">
        <v>145</v>
      </c>
      <c r="Q22" s="1543" t="s">
        <v>884</v>
      </c>
      <c r="R22" s="1493"/>
      <c r="S22" s="1490"/>
      <c r="T22" s="1491">
        <f t="shared" si="4"/>
        <v>0</v>
      </c>
      <c r="U22" s="1494" t="s">
        <v>145</v>
      </c>
      <c r="V22" s="1544" t="s">
        <v>884</v>
      </c>
      <c r="W22" s="1545">
        <f>'Notas agost 2025'!D30</f>
        <v>1670320</v>
      </c>
      <c r="X22" s="1545">
        <v>1670320</v>
      </c>
      <c r="Y22" s="1486">
        <f t="shared" si="5"/>
        <v>0</v>
      </c>
      <c r="Z22" s="1492" t="s">
        <v>145</v>
      </c>
      <c r="AA22" s="1543" t="s">
        <v>884</v>
      </c>
      <c r="AB22" s="1546">
        <v>0</v>
      </c>
      <c r="AC22" s="1553">
        <v>0</v>
      </c>
      <c r="AD22" s="1547">
        <f t="shared" si="6"/>
        <v>0</v>
      </c>
      <c r="AE22" s="1494" t="s">
        <v>145</v>
      </c>
      <c r="AF22" s="1544" t="s">
        <v>884</v>
      </c>
      <c r="AG22" s="1489">
        <v>2688126</v>
      </c>
      <c r="AH22" s="1490">
        <v>2688126</v>
      </c>
      <c r="AI22" s="1486">
        <f t="shared" si="7"/>
        <v>0</v>
      </c>
      <c r="AJ22" s="1492" t="s">
        <v>145</v>
      </c>
      <c r="AK22" s="1543" t="s">
        <v>884</v>
      </c>
      <c r="AL22" s="1548">
        <v>1333938</v>
      </c>
      <c r="AM22" s="1548">
        <v>1333938</v>
      </c>
      <c r="AN22" s="1491">
        <v>0</v>
      </c>
      <c r="AO22" s="1494" t="s">
        <v>145</v>
      </c>
      <c r="AP22" s="1544" t="s">
        <v>884</v>
      </c>
      <c r="AQ22" s="1549">
        <v>-336383</v>
      </c>
      <c r="AR22" s="1549">
        <v>-336383</v>
      </c>
      <c r="AS22" s="1486">
        <f t="shared" si="8"/>
        <v>0</v>
      </c>
      <c r="AT22" s="1492" t="s">
        <v>145</v>
      </c>
      <c r="AU22" s="1543" t="s">
        <v>941</v>
      </c>
      <c r="AV22" s="1555">
        <v>0</v>
      </c>
      <c r="AW22" s="1555"/>
      <c r="AX22" s="1551">
        <f t="shared" si="9"/>
        <v>0</v>
      </c>
      <c r="AY22" s="1494" t="s">
        <v>145</v>
      </c>
      <c r="AZ22" s="1495">
        <v>0</v>
      </c>
      <c r="BA22" s="1485"/>
      <c r="BB22" s="1486">
        <f t="shared" si="10"/>
        <v>0</v>
      </c>
      <c r="BC22" s="1499">
        <v>0</v>
      </c>
      <c r="BD22" s="1546">
        <v>0</v>
      </c>
      <c r="BE22" s="1552">
        <f t="shared" si="1"/>
        <v>0</v>
      </c>
    </row>
    <row r="23" spans="1:57" x14ac:dyDescent="0.25">
      <c r="A23" s="1494" t="s">
        <v>146</v>
      </c>
      <c r="B23" s="1483" t="s">
        <v>755</v>
      </c>
      <c r="C23" s="1484"/>
      <c r="D23" s="1485"/>
      <c r="E23" s="1486">
        <f t="shared" si="0"/>
        <v>0</v>
      </c>
      <c r="F23" s="1492" t="s">
        <v>146</v>
      </c>
      <c r="G23" s="1488" t="s">
        <v>755</v>
      </c>
      <c r="H23" s="1489"/>
      <c r="I23" s="1497"/>
      <c r="J23" s="1491">
        <f t="shared" si="2"/>
        <v>0</v>
      </c>
      <c r="K23" s="1494" t="s">
        <v>146</v>
      </c>
      <c r="L23" s="1542" t="s">
        <v>855</v>
      </c>
      <c r="M23" s="1484"/>
      <c r="N23" s="1498"/>
      <c r="O23" s="1486">
        <f t="shared" si="3"/>
        <v>0</v>
      </c>
      <c r="P23" s="1492" t="s">
        <v>146</v>
      </c>
      <c r="Q23" s="1543" t="s">
        <v>885</v>
      </c>
      <c r="R23" s="1493"/>
      <c r="S23" s="1490"/>
      <c r="T23" s="1491">
        <f t="shared" si="4"/>
        <v>0</v>
      </c>
      <c r="U23" s="1494" t="s">
        <v>146</v>
      </c>
      <c r="V23" s="1544" t="s">
        <v>885</v>
      </c>
      <c r="W23" s="1545">
        <f>'Notas agost 2025'!D31</f>
        <v>0</v>
      </c>
      <c r="X23" s="1545">
        <v>0</v>
      </c>
      <c r="Y23" s="1486">
        <f t="shared" si="5"/>
        <v>0</v>
      </c>
      <c r="Z23" s="1492" t="s">
        <v>146</v>
      </c>
      <c r="AA23" s="1543" t="s">
        <v>885</v>
      </c>
      <c r="AB23" s="1546">
        <v>1184963</v>
      </c>
      <c r="AC23" s="1546">
        <v>1184963</v>
      </c>
      <c r="AD23" s="1547">
        <f t="shared" si="6"/>
        <v>0</v>
      </c>
      <c r="AE23" s="1494" t="s">
        <v>146</v>
      </c>
      <c r="AF23" s="1544" t="s">
        <v>885</v>
      </c>
      <c r="AG23" s="1489">
        <v>0</v>
      </c>
      <c r="AH23" s="1497">
        <v>0</v>
      </c>
      <c r="AI23" s="1486">
        <f t="shared" si="7"/>
        <v>0</v>
      </c>
      <c r="AJ23" s="1492" t="s">
        <v>146</v>
      </c>
      <c r="AK23" s="1543" t="s">
        <v>885</v>
      </c>
      <c r="AL23" s="1548">
        <v>292815</v>
      </c>
      <c r="AM23" s="1548">
        <v>0</v>
      </c>
      <c r="AN23" s="1491">
        <v>292815</v>
      </c>
      <c r="AO23" s="1494" t="s">
        <v>146</v>
      </c>
      <c r="AP23" s="1544" t="s">
        <v>885</v>
      </c>
      <c r="AQ23" s="1549">
        <v>-6000</v>
      </c>
      <c r="AR23" s="1549">
        <v>-298815</v>
      </c>
      <c r="AS23" s="1486">
        <f t="shared" si="8"/>
        <v>292815</v>
      </c>
      <c r="AT23" s="1492" t="s">
        <v>146</v>
      </c>
      <c r="AU23" s="1543" t="s">
        <v>942</v>
      </c>
      <c r="AV23" s="1550">
        <v>0</v>
      </c>
      <c r="AW23" s="1550"/>
      <c r="AX23" s="1551">
        <f t="shared" si="9"/>
        <v>0</v>
      </c>
      <c r="AY23" s="1494" t="s">
        <v>146</v>
      </c>
      <c r="AZ23" s="1495">
        <v>0</v>
      </c>
      <c r="BA23" s="1498"/>
      <c r="BB23" s="1486">
        <f t="shared" si="10"/>
        <v>0</v>
      </c>
      <c r="BC23" s="1499">
        <v>0</v>
      </c>
      <c r="BD23" s="1553">
        <v>0</v>
      </c>
      <c r="BE23" s="1552">
        <f t="shared" si="1"/>
        <v>0</v>
      </c>
    </row>
    <row r="24" spans="1:57" x14ac:dyDescent="0.25">
      <c r="A24" s="1494" t="s">
        <v>147</v>
      </c>
      <c r="B24" s="1483" t="s">
        <v>433</v>
      </c>
      <c r="C24" s="1484"/>
      <c r="D24" s="1485"/>
      <c r="E24" s="1486">
        <f t="shared" si="0"/>
        <v>0</v>
      </c>
      <c r="F24" s="1492" t="s">
        <v>147</v>
      </c>
      <c r="G24" s="1488" t="s">
        <v>433</v>
      </c>
      <c r="H24" s="1489"/>
      <c r="I24" s="1490"/>
      <c r="J24" s="1491">
        <f t="shared" si="2"/>
        <v>0</v>
      </c>
      <c r="K24" s="1494" t="s">
        <v>147</v>
      </c>
      <c r="L24" s="1542" t="s">
        <v>856</v>
      </c>
      <c r="M24" s="1484"/>
      <c r="N24" s="1485"/>
      <c r="O24" s="1486">
        <f t="shared" si="3"/>
        <v>0</v>
      </c>
      <c r="P24" s="1492" t="s">
        <v>147</v>
      </c>
      <c r="Q24" s="1543" t="s">
        <v>886</v>
      </c>
      <c r="R24" s="1493"/>
      <c r="S24" s="1490"/>
      <c r="T24" s="1491">
        <f t="shared" si="4"/>
        <v>0</v>
      </c>
      <c r="U24" s="1494" t="s">
        <v>147</v>
      </c>
      <c r="V24" s="1544" t="s">
        <v>886</v>
      </c>
      <c r="W24" s="1545">
        <f>'Notas agost 2025'!D32</f>
        <v>-87545</v>
      </c>
      <c r="X24" s="1545">
        <v>-87545</v>
      </c>
      <c r="Y24" s="1486">
        <f t="shared" si="5"/>
        <v>0</v>
      </c>
      <c r="Z24" s="1492" t="s">
        <v>147</v>
      </c>
      <c r="AA24" s="1543" t="s">
        <v>886</v>
      </c>
      <c r="AB24" s="1546">
        <v>-69145</v>
      </c>
      <c r="AC24" s="1546">
        <v>-69145</v>
      </c>
      <c r="AD24" s="1547">
        <f t="shared" si="6"/>
        <v>0</v>
      </c>
      <c r="AE24" s="1494" t="s">
        <v>147</v>
      </c>
      <c r="AF24" s="1544" t="s">
        <v>886</v>
      </c>
      <c r="AG24" s="1489">
        <v>-50745</v>
      </c>
      <c r="AH24" s="1490">
        <v>-50745</v>
      </c>
      <c r="AI24" s="1486">
        <f t="shared" si="7"/>
        <v>0</v>
      </c>
      <c r="AJ24" s="1492" t="s">
        <v>147</v>
      </c>
      <c r="AK24" s="1543" t="s">
        <v>886</v>
      </c>
      <c r="AL24" s="1548">
        <v>-32345</v>
      </c>
      <c r="AM24" s="1548">
        <v>-32345</v>
      </c>
      <c r="AN24" s="1491">
        <v>0</v>
      </c>
      <c r="AO24" s="1494" t="s">
        <v>147</v>
      </c>
      <c r="AP24" s="1544" t="s">
        <v>886</v>
      </c>
      <c r="AQ24" s="1549">
        <v>-13499</v>
      </c>
      <c r="AR24" s="1549">
        <v>-13508</v>
      </c>
      <c r="AS24" s="1486">
        <f t="shared" si="8"/>
        <v>9</v>
      </c>
      <c r="AT24" s="1492" t="s">
        <v>147</v>
      </c>
      <c r="AU24" s="1543" t="s">
        <v>943</v>
      </c>
      <c r="AV24" s="1555">
        <v>9</v>
      </c>
      <c r="AW24" s="1555"/>
      <c r="AX24" s="1551">
        <f t="shared" si="9"/>
        <v>9</v>
      </c>
      <c r="AY24" s="1494" t="s">
        <v>147</v>
      </c>
      <c r="AZ24" s="1495">
        <v>60152</v>
      </c>
      <c r="BA24" s="1485">
        <v>60143</v>
      </c>
      <c r="BB24" s="1486">
        <f t="shared" si="10"/>
        <v>9</v>
      </c>
      <c r="BC24" s="1499">
        <v>58938</v>
      </c>
      <c r="BD24" s="1546">
        <v>58938</v>
      </c>
      <c r="BE24" s="1552">
        <f t="shared" si="1"/>
        <v>0</v>
      </c>
    </row>
    <row r="25" spans="1:57" x14ac:dyDescent="0.25">
      <c r="A25" s="1494" t="s">
        <v>148</v>
      </c>
      <c r="B25" s="1483" t="s">
        <v>756</v>
      </c>
      <c r="C25" s="1484"/>
      <c r="D25" s="1485"/>
      <c r="E25" s="1486">
        <f t="shared" si="0"/>
        <v>0</v>
      </c>
      <c r="F25" s="1492" t="s">
        <v>148</v>
      </c>
      <c r="G25" s="1488" t="s">
        <v>756</v>
      </c>
      <c r="H25" s="1489"/>
      <c r="I25" s="1490"/>
      <c r="J25" s="1491">
        <f t="shared" si="2"/>
        <v>0</v>
      </c>
      <c r="K25" s="1494" t="s">
        <v>148</v>
      </c>
      <c r="L25" s="1542" t="s">
        <v>857</v>
      </c>
      <c r="M25" s="1484"/>
      <c r="N25" s="1485"/>
      <c r="O25" s="1486">
        <f t="shared" si="3"/>
        <v>0</v>
      </c>
      <c r="P25" s="1492" t="s">
        <v>148</v>
      </c>
      <c r="Q25" s="1543" t="s">
        <v>887</v>
      </c>
      <c r="R25" s="1493"/>
      <c r="S25" s="1490"/>
      <c r="T25" s="1491">
        <f t="shared" si="4"/>
        <v>0</v>
      </c>
      <c r="U25" s="1494" t="s">
        <v>148</v>
      </c>
      <c r="V25" s="1544" t="s">
        <v>887</v>
      </c>
      <c r="W25" s="1545">
        <f>'Notas agost 2025'!D33</f>
        <v>1489736</v>
      </c>
      <c r="X25" s="1545">
        <v>1489736</v>
      </c>
      <c r="Y25" s="1486">
        <f t="shared" si="5"/>
        <v>0</v>
      </c>
      <c r="Z25" s="1492" t="s">
        <v>148</v>
      </c>
      <c r="AA25" s="1543" t="s">
        <v>887</v>
      </c>
      <c r="AB25" s="1546">
        <v>0</v>
      </c>
      <c r="AC25" s="1553">
        <v>0</v>
      </c>
      <c r="AD25" s="1547">
        <f t="shared" si="6"/>
        <v>0</v>
      </c>
      <c r="AE25" s="1494" t="s">
        <v>148</v>
      </c>
      <c r="AF25" s="1544" t="s">
        <v>887</v>
      </c>
      <c r="AG25" s="1489">
        <v>0</v>
      </c>
      <c r="AH25" s="1497">
        <v>0</v>
      </c>
      <c r="AI25" s="1486">
        <f t="shared" si="7"/>
        <v>0</v>
      </c>
      <c r="AJ25" s="1492" t="s">
        <v>148</v>
      </c>
      <c r="AK25" s="1543" t="s">
        <v>887</v>
      </c>
      <c r="AL25" s="1548">
        <v>0</v>
      </c>
      <c r="AM25" s="1548">
        <v>0</v>
      </c>
      <c r="AN25" s="1491">
        <v>0</v>
      </c>
      <c r="AO25" s="1494" t="s">
        <v>148</v>
      </c>
      <c r="AP25" s="1544" t="s">
        <v>887</v>
      </c>
      <c r="AQ25" s="1549">
        <v>0</v>
      </c>
      <c r="AR25" s="1549">
        <v>-90000</v>
      </c>
      <c r="AS25" s="1486">
        <f t="shared" si="8"/>
        <v>90000</v>
      </c>
      <c r="AT25" s="1492" t="s">
        <v>148</v>
      </c>
      <c r="AU25" s="1543" t="s">
        <v>944</v>
      </c>
      <c r="AV25" s="1550">
        <v>90000</v>
      </c>
      <c r="AW25" s="1550">
        <v>90000</v>
      </c>
      <c r="AX25" s="1551">
        <f t="shared" si="9"/>
        <v>0</v>
      </c>
      <c r="AY25" s="1494" t="s">
        <v>148</v>
      </c>
      <c r="AZ25" s="1495">
        <v>1148350</v>
      </c>
      <c r="BA25" s="1498">
        <v>1148350</v>
      </c>
      <c r="BB25" s="1486">
        <f t="shared" si="10"/>
        <v>0</v>
      </c>
      <c r="BC25" s="1499">
        <v>0</v>
      </c>
      <c r="BD25" s="1553">
        <v>0</v>
      </c>
      <c r="BE25" s="1552">
        <f t="shared" si="1"/>
        <v>0</v>
      </c>
    </row>
    <row r="26" spans="1:57" x14ac:dyDescent="0.25">
      <c r="A26" s="1494" t="s">
        <v>149</v>
      </c>
      <c r="B26" s="1483" t="s">
        <v>587</v>
      </c>
      <c r="C26" s="1484"/>
      <c r="D26" s="1485"/>
      <c r="E26" s="1486">
        <f t="shared" si="0"/>
        <v>0</v>
      </c>
      <c r="F26" s="1492" t="s">
        <v>149</v>
      </c>
      <c r="G26" s="1488" t="s">
        <v>587</v>
      </c>
      <c r="H26" s="1489"/>
      <c r="I26" s="1490"/>
      <c r="J26" s="1491">
        <f t="shared" si="2"/>
        <v>0</v>
      </c>
      <c r="K26" s="1494" t="s">
        <v>149</v>
      </c>
      <c r="L26" s="1542" t="s">
        <v>858</v>
      </c>
      <c r="M26" s="1484"/>
      <c r="N26" s="1485"/>
      <c r="O26" s="1486">
        <f t="shared" si="3"/>
        <v>0</v>
      </c>
      <c r="P26" s="1492" t="s">
        <v>149</v>
      </c>
      <c r="Q26" s="1543" t="s">
        <v>888</v>
      </c>
      <c r="R26" s="1493"/>
      <c r="S26" s="1490"/>
      <c r="T26" s="1491">
        <f t="shared" si="4"/>
        <v>0</v>
      </c>
      <c r="U26" s="1494" t="s">
        <v>149</v>
      </c>
      <c r="V26" s="1544" t="s">
        <v>888</v>
      </c>
      <c r="W26" s="1545">
        <f>'Notas agost 2025'!D34</f>
        <v>0</v>
      </c>
      <c r="X26" s="1545">
        <v>0</v>
      </c>
      <c r="Y26" s="1486">
        <f t="shared" si="5"/>
        <v>0</v>
      </c>
      <c r="Z26" s="1492" t="s">
        <v>149</v>
      </c>
      <c r="AA26" s="1543" t="s">
        <v>888</v>
      </c>
      <c r="AB26" s="1546">
        <v>0</v>
      </c>
      <c r="AC26" s="1553">
        <v>0</v>
      </c>
      <c r="AD26" s="1547">
        <f t="shared" si="6"/>
        <v>0</v>
      </c>
      <c r="AE26" s="1494" t="s">
        <v>149</v>
      </c>
      <c r="AF26" s="1544" t="s">
        <v>888</v>
      </c>
      <c r="AG26" s="1489">
        <v>1115679</v>
      </c>
      <c r="AH26" s="1490">
        <v>1115679</v>
      </c>
      <c r="AI26" s="1486">
        <f t="shared" si="7"/>
        <v>0</v>
      </c>
      <c r="AJ26" s="1492" t="s">
        <v>149</v>
      </c>
      <c r="AK26" s="1543" t="s">
        <v>888</v>
      </c>
      <c r="AL26" s="1548">
        <v>0</v>
      </c>
      <c r="AM26" s="1548">
        <v>0</v>
      </c>
      <c r="AN26" s="1491">
        <v>0</v>
      </c>
      <c r="AO26" s="1494" t="s">
        <v>149</v>
      </c>
      <c r="AP26" s="1544" t="s">
        <v>888</v>
      </c>
      <c r="AQ26" s="1549">
        <v>0</v>
      </c>
      <c r="AR26" s="1549">
        <v>-89510</v>
      </c>
      <c r="AS26" s="1486">
        <f t="shared" si="8"/>
        <v>89510</v>
      </c>
      <c r="AT26" s="1492" t="s">
        <v>149</v>
      </c>
      <c r="AU26" s="1543" t="s">
        <v>888</v>
      </c>
      <c r="AV26" s="1550">
        <v>0</v>
      </c>
      <c r="AW26" s="1550"/>
      <c r="AX26" s="1551">
        <f t="shared" si="9"/>
        <v>0</v>
      </c>
      <c r="AY26" s="1494" t="s">
        <v>149</v>
      </c>
      <c r="AZ26" s="1495">
        <v>0</v>
      </c>
      <c r="BA26" s="1498"/>
      <c r="BB26" s="1486">
        <f t="shared" si="10"/>
        <v>0</v>
      </c>
      <c r="BC26" s="1499">
        <v>0</v>
      </c>
      <c r="BD26" s="1553">
        <v>0</v>
      </c>
      <c r="BE26" s="1552">
        <f t="shared" si="1"/>
        <v>0</v>
      </c>
    </row>
    <row r="27" spans="1:57" x14ac:dyDescent="0.25">
      <c r="A27" s="1494" t="s">
        <v>150</v>
      </c>
      <c r="B27" s="1483" t="s">
        <v>588</v>
      </c>
      <c r="C27" s="1484"/>
      <c r="D27" s="1485"/>
      <c r="E27" s="1486">
        <f t="shared" si="0"/>
        <v>0</v>
      </c>
      <c r="F27" s="1492" t="s">
        <v>150</v>
      </c>
      <c r="G27" s="1488" t="s">
        <v>588</v>
      </c>
      <c r="H27" s="1489"/>
      <c r="I27" s="1497"/>
      <c r="J27" s="1491">
        <f t="shared" si="2"/>
        <v>0</v>
      </c>
      <c r="K27" s="1494" t="s">
        <v>150</v>
      </c>
      <c r="L27" s="1542" t="s">
        <v>859</v>
      </c>
      <c r="M27" s="1484"/>
      <c r="N27" s="1498"/>
      <c r="O27" s="1486">
        <f t="shared" si="3"/>
        <v>0</v>
      </c>
      <c r="P27" s="1492" t="s">
        <v>150</v>
      </c>
      <c r="Q27" s="1543" t="s">
        <v>889</v>
      </c>
      <c r="R27" s="1493"/>
      <c r="S27" s="1490"/>
      <c r="T27" s="1491">
        <f t="shared" si="4"/>
        <v>0</v>
      </c>
      <c r="U27" s="1494" t="s">
        <v>150</v>
      </c>
      <c r="V27" s="1544" t="s">
        <v>889</v>
      </c>
      <c r="W27" s="1545">
        <f>'Notas agost 2025'!D35</f>
        <v>0</v>
      </c>
      <c r="X27" s="1545">
        <v>0</v>
      </c>
      <c r="Y27" s="1486">
        <f t="shared" si="5"/>
        <v>0</v>
      </c>
      <c r="Z27" s="1492" t="s">
        <v>150</v>
      </c>
      <c r="AA27" s="1543" t="s">
        <v>889</v>
      </c>
      <c r="AB27" s="1546">
        <v>0</v>
      </c>
      <c r="AC27" s="1553">
        <v>0</v>
      </c>
      <c r="AD27" s="1547">
        <f t="shared" si="6"/>
        <v>0</v>
      </c>
      <c r="AE27" s="1494" t="s">
        <v>150</v>
      </c>
      <c r="AF27" s="1544" t="s">
        <v>889</v>
      </c>
      <c r="AG27" s="1489">
        <v>0</v>
      </c>
      <c r="AH27" s="1497">
        <v>0</v>
      </c>
      <c r="AI27" s="1486">
        <f t="shared" si="7"/>
        <v>0</v>
      </c>
      <c r="AJ27" s="1492" t="s">
        <v>150</v>
      </c>
      <c r="AK27" s="1543" t="s">
        <v>889</v>
      </c>
      <c r="AL27" s="1548">
        <v>0</v>
      </c>
      <c r="AM27" s="1548">
        <v>0</v>
      </c>
      <c r="AN27" s="1491">
        <v>0</v>
      </c>
      <c r="AO27" s="1494" t="s">
        <v>150</v>
      </c>
      <c r="AP27" s="1544" t="s">
        <v>889</v>
      </c>
      <c r="AQ27" s="1549">
        <v>0</v>
      </c>
      <c r="AR27" s="1549"/>
      <c r="AS27" s="1486">
        <f t="shared" si="8"/>
        <v>0</v>
      </c>
      <c r="AT27" s="1492" t="s">
        <v>150</v>
      </c>
      <c r="AU27" s="1543" t="s">
        <v>945</v>
      </c>
      <c r="AV27" s="1550">
        <v>0</v>
      </c>
      <c r="AW27" s="1550"/>
      <c r="AX27" s="1551">
        <f t="shared" si="9"/>
        <v>0</v>
      </c>
      <c r="AY27" s="1494" t="s">
        <v>150</v>
      </c>
      <c r="AZ27" s="1495">
        <v>89510</v>
      </c>
      <c r="BA27" s="1498">
        <v>89510</v>
      </c>
      <c r="BB27" s="1486">
        <f t="shared" si="10"/>
        <v>0</v>
      </c>
      <c r="BC27" s="1499">
        <v>0</v>
      </c>
      <c r="BD27" s="1553">
        <v>0</v>
      </c>
      <c r="BE27" s="1552">
        <f t="shared" si="1"/>
        <v>0</v>
      </c>
    </row>
    <row r="28" spans="1:57" x14ac:dyDescent="0.25">
      <c r="A28" s="1494" t="s">
        <v>151</v>
      </c>
      <c r="B28" s="1483" t="s">
        <v>589</v>
      </c>
      <c r="C28" s="1484"/>
      <c r="D28" s="1485"/>
      <c r="E28" s="1486">
        <f t="shared" si="0"/>
        <v>0</v>
      </c>
      <c r="F28" s="1492" t="s">
        <v>151</v>
      </c>
      <c r="G28" s="1488" t="s">
        <v>589</v>
      </c>
      <c r="H28" s="1489"/>
      <c r="I28" s="1490"/>
      <c r="J28" s="1491">
        <f t="shared" si="2"/>
        <v>0</v>
      </c>
      <c r="K28" s="1494" t="s">
        <v>151</v>
      </c>
      <c r="L28" s="1542" t="s">
        <v>860</v>
      </c>
      <c r="M28" s="1484"/>
      <c r="N28" s="1485"/>
      <c r="O28" s="1486">
        <f t="shared" si="3"/>
        <v>0</v>
      </c>
      <c r="P28" s="1492" t="s">
        <v>151</v>
      </c>
      <c r="Q28" s="1543" t="s">
        <v>890</v>
      </c>
      <c r="R28" s="1493"/>
      <c r="S28" s="1490"/>
      <c r="T28" s="1491">
        <f t="shared" si="4"/>
        <v>0</v>
      </c>
      <c r="U28" s="1494" t="s">
        <v>151</v>
      </c>
      <c r="V28" s="1544" t="s">
        <v>890</v>
      </c>
      <c r="W28" s="1545">
        <f>'Notas agost 2025'!D36</f>
        <v>630524</v>
      </c>
      <c r="X28" s="1545">
        <f>630524-260</f>
        <v>630264</v>
      </c>
      <c r="Y28" s="1486">
        <v>-260</v>
      </c>
      <c r="Z28" s="1492" t="s">
        <v>151</v>
      </c>
      <c r="AA28" s="1543" t="s">
        <v>890</v>
      </c>
      <c r="AB28" s="1546">
        <v>470260</v>
      </c>
      <c r="AC28" s="1546">
        <v>470260</v>
      </c>
      <c r="AD28" s="1547">
        <f t="shared" si="6"/>
        <v>0</v>
      </c>
      <c r="AE28" s="1494" t="s">
        <v>151</v>
      </c>
      <c r="AF28" s="1544" t="s">
        <v>890</v>
      </c>
      <c r="AG28" s="1489">
        <v>2176048</v>
      </c>
      <c r="AH28" s="1490">
        <v>2176048</v>
      </c>
      <c r="AI28" s="1486">
        <f t="shared" si="7"/>
        <v>0</v>
      </c>
      <c r="AJ28" s="1492" t="s">
        <v>151</v>
      </c>
      <c r="AK28" s="1543" t="s">
        <v>890</v>
      </c>
      <c r="AL28" s="1548">
        <v>679927</v>
      </c>
      <c r="AM28" s="1548">
        <v>679927</v>
      </c>
      <c r="AN28" s="1491">
        <v>0</v>
      </c>
      <c r="AO28" s="1494" t="s">
        <v>151</v>
      </c>
      <c r="AP28" s="1544" t="s">
        <v>890</v>
      </c>
      <c r="AQ28" s="1549">
        <v>240918</v>
      </c>
      <c r="AR28" s="1549">
        <v>240918</v>
      </c>
      <c r="AS28" s="1486">
        <f t="shared" si="8"/>
        <v>0</v>
      </c>
      <c r="AT28" s="1492" t="s">
        <v>151</v>
      </c>
      <c r="AU28" s="1543" t="s">
        <v>946</v>
      </c>
      <c r="AV28" s="1550">
        <v>25448</v>
      </c>
      <c r="AW28" s="1550">
        <v>25448</v>
      </c>
      <c r="AX28" s="1551">
        <f t="shared" si="9"/>
        <v>0</v>
      </c>
      <c r="AY28" s="1494" t="s">
        <v>151</v>
      </c>
      <c r="AZ28" s="1495">
        <v>16343</v>
      </c>
      <c r="BA28" s="1485">
        <v>16343</v>
      </c>
      <c r="BB28" s="1486">
        <f t="shared" si="10"/>
        <v>0</v>
      </c>
      <c r="BC28" s="1499">
        <v>7419</v>
      </c>
      <c r="BD28" s="1546">
        <v>7419</v>
      </c>
      <c r="BE28" s="1552">
        <f t="shared" si="1"/>
        <v>0</v>
      </c>
    </row>
    <row r="29" spans="1:57" x14ac:dyDescent="0.25">
      <c r="A29" s="1494" t="s">
        <v>152</v>
      </c>
      <c r="B29" s="1483" t="s">
        <v>590</v>
      </c>
      <c r="C29" s="1484"/>
      <c r="D29" s="1485"/>
      <c r="E29" s="1486">
        <f t="shared" si="0"/>
        <v>0</v>
      </c>
      <c r="F29" s="1492" t="s">
        <v>152</v>
      </c>
      <c r="G29" s="1488" t="s">
        <v>590</v>
      </c>
      <c r="H29" s="1489"/>
      <c r="I29" s="1490"/>
      <c r="J29" s="1491">
        <f t="shared" si="2"/>
        <v>0</v>
      </c>
      <c r="K29" s="1494" t="s">
        <v>152</v>
      </c>
      <c r="L29" s="1542" t="s">
        <v>861</v>
      </c>
      <c r="M29" s="1484"/>
      <c r="N29" s="1485"/>
      <c r="O29" s="1486">
        <f t="shared" si="3"/>
        <v>0</v>
      </c>
      <c r="P29" s="1492" t="s">
        <v>152</v>
      </c>
      <c r="Q29" s="1543" t="s">
        <v>891</v>
      </c>
      <c r="R29" s="1493"/>
      <c r="S29" s="1490"/>
      <c r="T29" s="1556">
        <f t="shared" si="4"/>
        <v>0</v>
      </c>
      <c r="U29" s="1494" t="s">
        <v>152</v>
      </c>
      <c r="V29" s="1544" t="s">
        <v>891</v>
      </c>
      <c r="W29" s="1545">
        <f>'Notas agost 2025'!D37</f>
        <v>860984</v>
      </c>
      <c r="X29" s="1545">
        <v>860984</v>
      </c>
      <c r="Y29" s="1486">
        <f t="shared" si="5"/>
        <v>0</v>
      </c>
      <c r="Z29" s="1492" t="s">
        <v>152</v>
      </c>
      <c r="AA29" s="1543" t="s">
        <v>891</v>
      </c>
      <c r="AB29" s="1546">
        <v>1289903</v>
      </c>
      <c r="AC29" s="1546">
        <v>1289903</v>
      </c>
      <c r="AD29" s="1547">
        <f t="shared" si="6"/>
        <v>0</v>
      </c>
      <c r="AE29" s="1494" t="s">
        <v>152</v>
      </c>
      <c r="AF29" s="1544" t="s">
        <v>891</v>
      </c>
      <c r="AG29" s="1489">
        <v>1074050</v>
      </c>
      <c r="AH29" s="1490">
        <v>1074050</v>
      </c>
      <c r="AI29" s="1486">
        <f t="shared" si="7"/>
        <v>0</v>
      </c>
      <c r="AJ29" s="1492" t="s">
        <v>152</v>
      </c>
      <c r="AK29" s="1543" t="s">
        <v>891</v>
      </c>
      <c r="AL29" s="1548">
        <v>0</v>
      </c>
      <c r="AM29" s="1548">
        <v>0</v>
      </c>
      <c r="AN29" s="1491">
        <v>0</v>
      </c>
      <c r="AO29" s="1494" t="s">
        <v>152</v>
      </c>
      <c r="AP29" s="1544" t="s">
        <v>891</v>
      </c>
      <c r="AQ29" s="1549">
        <v>-98916</v>
      </c>
      <c r="AR29" s="1549">
        <v>-98916</v>
      </c>
      <c r="AS29" s="1486">
        <f t="shared" si="8"/>
        <v>0</v>
      </c>
      <c r="AT29" s="1492" t="s">
        <v>152</v>
      </c>
      <c r="AU29" s="1543" t="s">
        <v>947</v>
      </c>
      <c r="AV29" s="1555">
        <v>1200679</v>
      </c>
      <c r="AW29" s="1555">
        <v>1200679</v>
      </c>
      <c r="AX29" s="1551">
        <f t="shared" si="9"/>
        <v>0</v>
      </c>
      <c r="AY29" s="1494" t="s">
        <v>152</v>
      </c>
      <c r="AZ29" s="1495">
        <v>160715</v>
      </c>
      <c r="BA29" s="1498">
        <v>160715</v>
      </c>
      <c r="BB29" s="1486">
        <f t="shared" si="10"/>
        <v>0</v>
      </c>
      <c r="BC29" s="1499">
        <v>170552</v>
      </c>
      <c r="BD29" s="1553">
        <v>170552</v>
      </c>
      <c r="BE29" s="1552">
        <f t="shared" si="1"/>
        <v>0</v>
      </c>
    </row>
    <row r="30" spans="1:57" x14ac:dyDescent="0.25">
      <c r="A30" s="1494" t="s">
        <v>153</v>
      </c>
      <c r="B30" s="1483" t="s">
        <v>591</v>
      </c>
      <c r="C30" s="1484"/>
      <c r="D30" s="1485"/>
      <c r="E30" s="1486">
        <f t="shared" si="0"/>
        <v>0</v>
      </c>
      <c r="F30" s="1492" t="s">
        <v>153</v>
      </c>
      <c r="G30" s="1488" t="s">
        <v>591</v>
      </c>
      <c r="H30" s="1489"/>
      <c r="I30" s="1497"/>
      <c r="J30" s="1491">
        <f t="shared" si="2"/>
        <v>0</v>
      </c>
      <c r="K30" s="1494" t="s">
        <v>153</v>
      </c>
      <c r="L30" s="1542" t="s">
        <v>862</v>
      </c>
      <c r="M30" s="1484"/>
      <c r="N30" s="1498"/>
      <c r="O30" s="1486">
        <f t="shared" si="3"/>
        <v>0</v>
      </c>
      <c r="P30" s="1492" t="s">
        <v>153</v>
      </c>
      <c r="Q30" s="1543" t="s">
        <v>892</v>
      </c>
      <c r="R30" s="1493"/>
      <c r="S30" s="1490"/>
      <c r="T30" s="1491">
        <f t="shared" si="4"/>
        <v>0</v>
      </c>
      <c r="U30" s="1494" t="s">
        <v>153</v>
      </c>
      <c r="V30" s="1544" t="s">
        <v>892</v>
      </c>
      <c r="W30" s="1545">
        <f>'Notas agost 2025'!D38</f>
        <v>0</v>
      </c>
      <c r="X30" s="1545">
        <v>0</v>
      </c>
      <c r="Y30" s="1486">
        <f t="shared" si="5"/>
        <v>0</v>
      </c>
      <c r="Z30" s="1492" t="s">
        <v>153</v>
      </c>
      <c r="AA30" s="1543" t="s">
        <v>892</v>
      </c>
      <c r="AB30" s="1546">
        <v>0</v>
      </c>
      <c r="AC30" s="1553">
        <v>0</v>
      </c>
      <c r="AD30" s="1547">
        <f t="shared" si="6"/>
        <v>0</v>
      </c>
      <c r="AE30" s="1494" t="s">
        <v>153</v>
      </c>
      <c r="AF30" s="1544" t="s">
        <v>892</v>
      </c>
      <c r="AG30" s="1489">
        <v>0</v>
      </c>
      <c r="AH30" s="1497">
        <v>0</v>
      </c>
      <c r="AI30" s="1486">
        <f t="shared" si="7"/>
        <v>0</v>
      </c>
      <c r="AJ30" s="1492" t="s">
        <v>153</v>
      </c>
      <c r="AK30" s="1543" t="s">
        <v>892</v>
      </c>
      <c r="AL30" s="1548">
        <v>0</v>
      </c>
      <c r="AM30" s="1548">
        <v>0</v>
      </c>
      <c r="AN30" s="1491">
        <v>0</v>
      </c>
      <c r="AO30" s="1494" t="s">
        <v>153</v>
      </c>
      <c r="AP30" s="1544" t="s">
        <v>892</v>
      </c>
      <c r="AQ30" s="1549">
        <v>0</v>
      </c>
      <c r="AR30" s="1549">
        <v>0</v>
      </c>
      <c r="AS30" s="1486">
        <f t="shared" si="8"/>
        <v>0</v>
      </c>
      <c r="AT30" s="1492" t="s">
        <v>153</v>
      </c>
      <c r="AU30" s="1543" t="s">
        <v>948</v>
      </c>
      <c r="AV30" s="1550">
        <v>-584</v>
      </c>
      <c r="AW30" s="1550">
        <v>-584</v>
      </c>
      <c r="AX30" s="1551">
        <f t="shared" si="9"/>
        <v>0</v>
      </c>
      <c r="AY30" s="1494" t="s">
        <v>153</v>
      </c>
      <c r="AZ30" s="1495">
        <v>0</v>
      </c>
      <c r="BA30" s="1498"/>
      <c r="BB30" s="1486">
        <f t="shared" si="10"/>
        <v>0</v>
      </c>
      <c r="BC30" s="1499">
        <v>0</v>
      </c>
      <c r="BD30" s="1553">
        <v>0</v>
      </c>
      <c r="BE30" s="1552">
        <f t="shared" si="1"/>
        <v>0</v>
      </c>
    </row>
    <row r="31" spans="1:57" x14ac:dyDescent="0.25">
      <c r="A31" s="1494" t="s">
        <v>154</v>
      </c>
      <c r="B31" s="1483" t="s">
        <v>592</v>
      </c>
      <c r="C31" s="1484"/>
      <c r="D31" s="1485"/>
      <c r="E31" s="1486">
        <f t="shared" si="0"/>
        <v>0</v>
      </c>
      <c r="F31" s="1492" t="s">
        <v>154</v>
      </c>
      <c r="G31" s="1488" t="s">
        <v>592</v>
      </c>
      <c r="H31" s="1489"/>
      <c r="I31" s="1497"/>
      <c r="J31" s="1491">
        <f t="shared" si="2"/>
        <v>0</v>
      </c>
      <c r="K31" s="1494" t="s">
        <v>154</v>
      </c>
      <c r="L31" s="1542" t="s">
        <v>863</v>
      </c>
      <c r="M31" s="1484"/>
      <c r="N31" s="1498"/>
      <c r="O31" s="1486">
        <f t="shared" si="3"/>
        <v>0</v>
      </c>
      <c r="P31" s="1492" t="s">
        <v>154</v>
      </c>
      <c r="Q31" s="1543" t="s">
        <v>893</v>
      </c>
      <c r="R31" s="1493"/>
      <c r="S31" s="1490"/>
      <c r="T31" s="1491">
        <f t="shared" si="4"/>
        <v>0</v>
      </c>
      <c r="U31" s="1494" t="s">
        <v>154</v>
      </c>
      <c r="V31" s="1544" t="s">
        <v>893</v>
      </c>
      <c r="W31" s="1545">
        <f>'Notas agost 2025'!D39</f>
        <v>1147183</v>
      </c>
      <c r="X31" s="1545">
        <v>1147183</v>
      </c>
      <c r="Y31" s="1486">
        <f t="shared" si="5"/>
        <v>0</v>
      </c>
      <c r="Z31" s="1492" t="s">
        <v>154</v>
      </c>
      <c r="AA31" s="1543" t="s">
        <v>893</v>
      </c>
      <c r="AB31" s="1546">
        <v>0</v>
      </c>
      <c r="AC31" s="1553">
        <v>0</v>
      </c>
      <c r="AD31" s="1547">
        <f t="shared" si="6"/>
        <v>0</v>
      </c>
      <c r="AE31" s="1494" t="s">
        <v>154</v>
      </c>
      <c r="AF31" s="1544" t="s">
        <v>893</v>
      </c>
      <c r="AG31" s="1489">
        <v>-846</v>
      </c>
      <c r="AH31" s="1497">
        <v>-846</v>
      </c>
      <c r="AI31" s="1486">
        <f t="shared" si="7"/>
        <v>0</v>
      </c>
      <c r="AJ31" s="1492" t="s">
        <v>154</v>
      </c>
      <c r="AK31" s="1543" t="s">
        <v>893</v>
      </c>
      <c r="AL31" s="1548">
        <v>0</v>
      </c>
      <c r="AM31" s="1548">
        <v>0</v>
      </c>
      <c r="AN31" s="1491">
        <v>0</v>
      </c>
      <c r="AO31" s="1494" t="s">
        <v>154</v>
      </c>
      <c r="AP31" s="1544" t="s">
        <v>893</v>
      </c>
      <c r="AQ31" s="1549">
        <v>1011731</v>
      </c>
      <c r="AR31" s="1549">
        <v>1011731</v>
      </c>
      <c r="AS31" s="1486">
        <f t="shared" si="8"/>
        <v>0</v>
      </c>
      <c r="AT31" s="1492" t="s">
        <v>154</v>
      </c>
      <c r="AU31" s="1543" t="s">
        <v>893</v>
      </c>
      <c r="AV31" s="1550">
        <v>0</v>
      </c>
      <c r="AW31" s="1550">
        <v>0</v>
      </c>
      <c r="AX31" s="1551">
        <f t="shared" si="9"/>
        <v>0</v>
      </c>
      <c r="AY31" s="1494" t="s">
        <v>154</v>
      </c>
      <c r="AZ31" s="1495">
        <f>-865705+874880</f>
        <v>9175</v>
      </c>
      <c r="BA31" s="1498">
        <f>-874880+9175</f>
        <v>-865705</v>
      </c>
      <c r="BB31" s="1486">
        <f t="shared" si="10"/>
        <v>874880</v>
      </c>
      <c r="BC31" s="1499">
        <v>0</v>
      </c>
      <c r="BD31" s="1553">
        <v>0</v>
      </c>
      <c r="BE31" s="1552">
        <f t="shared" si="1"/>
        <v>0</v>
      </c>
    </row>
    <row r="32" spans="1:57" x14ac:dyDescent="0.25">
      <c r="A32" s="1494" t="s">
        <v>155</v>
      </c>
      <c r="B32" s="1483" t="s">
        <v>593</v>
      </c>
      <c r="C32" s="1484"/>
      <c r="D32" s="1485"/>
      <c r="E32" s="1486"/>
      <c r="F32" s="1492" t="s">
        <v>155</v>
      </c>
      <c r="G32" s="1488" t="s">
        <v>593</v>
      </c>
      <c r="H32" s="1489"/>
      <c r="I32" s="1497"/>
      <c r="J32" s="1491">
        <f t="shared" si="2"/>
        <v>0</v>
      </c>
      <c r="K32" s="1494" t="s">
        <v>155</v>
      </c>
      <c r="L32" s="1542" t="s">
        <v>864</v>
      </c>
      <c r="M32" s="1484"/>
      <c r="N32" s="1498"/>
      <c r="O32" s="1486">
        <f t="shared" si="3"/>
        <v>0</v>
      </c>
      <c r="P32" s="1492" t="s">
        <v>155</v>
      </c>
      <c r="Q32" s="1543" t="s">
        <v>894</v>
      </c>
      <c r="R32" s="1490"/>
      <c r="S32" s="1497"/>
      <c r="T32" s="1539">
        <v>0</v>
      </c>
      <c r="U32" s="1494" t="s">
        <v>155</v>
      </c>
      <c r="V32" s="1557" t="s">
        <v>894</v>
      </c>
      <c r="W32" s="1545">
        <f>'Notas agost 2025'!D40</f>
        <v>0</v>
      </c>
      <c r="X32" s="1558">
        <v>0</v>
      </c>
      <c r="Y32" s="1541">
        <v>0</v>
      </c>
      <c r="Z32" s="1492" t="s">
        <v>155</v>
      </c>
      <c r="AA32" s="1559" t="s">
        <v>894</v>
      </c>
      <c r="AB32" s="1546">
        <v>0</v>
      </c>
      <c r="AC32" s="1553">
        <v>0</v>
      </c>
      <c r="AD32" s="1547">
        <f t="shared" si="6"/>
        <v>0</v>
      </c>
      <c r="AE32" s="1494" t="s">
        <v>155</v>
      </c>
      <c r="AF32" s="1544" t="s">
        <v>894</v>
      </c>
      <c r="AG32" s="1489">
        <v>0</v>
      </c>
      <c r="AH32" s="1497">
        <v>0</v>
      </c>
      <c r="AI32" s="1536">
        <v>0</v>
      </c>
      <c r="AJ32" s="1492" t="s">
        <v>155</v>
      </c>
      <c r="AK32" s="1543" t="s">
        <v>894</v>
      </c>
      <c r="AL32" s="1548">
        <v>0</v>
      </c>
      <c r="AM32" s="1548">
        <v>0</v>
      </c>
      <c r="AN32" s="1189">
        <v>0</v>
      </c>
      <c r="AO32" s="1494" t="s">
        <v>155</v>
      </c>
      <c r="AP32" s="1544" t="s">
        <v>894</v>
      </c>
      <c r="AQ32" s="1549">
        <v>-246401</v>
      </c>
      <c r="AR32" s="1549">
        <v>-246401</v>
      </c>
      <c r="AS32" s="1536">
        <v>0</v>
      </c>
      <c r="AT32" s="1492" t="s">
        <v>155</v>
      </c>
      <c r="AU32" s="1543" t="s">
        <v>894</v>
      </c>
      <c r="AV32" s="1189">
        <v>0</v>
      </c>
      <c r="AW32" s="1550">
        <v>0</v>
      </c>
      <c r="AX32" s="1560"/>
      <c r="AY32" s="1494" t="s">
        <v>155</v>
      </c>
      <c r="AZ32" s="1495">
        <v>0</v>
      </c>
      <c r="BA32" s="1498">
        <v>0</v>
      </c>
      <c r="BB32" s="1486">
        <f t="shared" si="10"/>
        <v>0</v>
      </c>
      <c r="BC32" s="1499">
        <v>0</v>
      </c>
      <c r="BD32" s="1553">
        <v>0</v>
      </c>
      <c r="BE32" s="1552">
        <f t="shared" si="1"/>
        <v>0</v>
      </c>
    </row>
    <row r="33" spans="1:59" ht="11" thickBot="1" x14ac:dyDescent="0.3">
      <c r="A33" s="1503"/>
      <c r="B33" s="1504"/>
      <c r="C33" s="1505"/>
      <c r="D33" s="1506"/>
      <c r="E33" s="1507"/>
      <c r="F33" s="1508"/>
      <c r="G33" s="1509"/>
      <c r="H33" s="1510"/>
      <c r="I33" s="1511"/>
      <c r="J33" s="1512"/>
      <c r="K33" s="1503"/>
      <c r="L33" s="1561"/>
      <c r="M33" s="1505"/>
      <c r="N33" s="1513"/>
      <c r="O33" s="1507"/>
      <c r="P33" s="1508"/>
      <c r="Q33" s="1559"/>
      <c r="R33" s="1562"/>
      <c r="S33" s="1511"/>
      <c r="T33" s="1539"/>
      <c r="U33" s="1503"/>
      <c r="V33" s="1557"/>
      <c r="W33" s="1545"/>
      <c r="X33" s="1558"/>
      <c r="Y33" s="1541"/>
      <c r="Z33" s="1508"/>
      <c r="AA33" s="1559"/>
      <c r="AB33" s="1514">
        <f>SUM(AB4:AB32)</f>
        <v>8689091</v>
      </c>
      <c r="AC33" s="1490">
        <v>11341985</v>
      </c>
      <c r="AD33" s="1514">
        <f>SUM(AD4:AD32)</f>
        <v>0</v>
      </c>
      <c r="AE33" s="1541"/>
      <c r="AF33" s="1515" t="s">
        <v>64</v>
      </c>
      <c r="AG33" s="1514">
        <f>SUM(AG4:AG32)</f>
        <v>12541985</v>
      </c>
      <c r="AH33" s="1490">
        <v>11341985</v>
      </c>
      <c r="AI33" s="1507"/>
      <c r="AJ33" s="1539"/>
      <c r="AK33" s="1516"/>
      <c r="AL33" s="1563"/>
      <c r="AM33" s="1563"/>
      <c r="AN33" s="1512"/>
      <c r="AO33" s="1541"/>
      <c r="AP33" s="1515"/>
      <c r="AQ33" s="1564"/>
      <c r="AR33" s="1564"/>
      <c r="AS33" s="1507"/>
      <c r="AT33" s="1539"/>
      <c r="AU33" s="1516"/>
      <c r="AV33" s="1565"/>
      <c r="AW33" s="1565"/>
      <c r="AX33" s="1566"/>
      <c r="AY33" s="1517"/>
      <c r="AZ33" s="1518"/>
      <c r="BA33" s="1485"/>
      <c r="BB33" s="1519"/>
      <c r="BC33" s="1520"/>
      <c r="BD33" s="1521"/>
      <c r="BE33" s="1521">
        <f>SUM(BE4:BE32)</f>
        <v>-54998</v>
      </c>
      <c r="BF33" s="1386" t="s">
        <v>955</v>
      </c>
    </row>
    <row r="34" spans="1:59" s="1570" customFormat="1" ht="11" thickTop="1" x14ac:dyDescent="0.25">
      <c r="A34" s="1567" t="s">
        <v>952</v>
      </c>
      <c r="B34" s="1522" t="s">
        <v>64</v>
      </c>
      <c r="C34" s="1523">
        <f>SUM(C4:C32)</f>
        <v>0</v>
      </c>
      <c r="D34" s="1523">
        <f>SUM(D4:D32)</f>
        <v>0</v>
      </c>
      <c r="E34" s="1523">
        <f>SUM(E4:E32)</f>
        <v>0</v>
      </c>
      <c r="F34" s="1567"/>
      <c r="G34" s="1522" t="s">
        <v>64</v>
      </c>
      <c r="H34" s="1523">
        <f>SUM(H4:H32)</f>
        <v>0</v>
      </c>
      <c r="I34" s="1523">
        <f>SUM(I4:I32)</f>
        <v>0</v>
      </c>
      <c r="J34" s="1523">
        <f>SUM(J4:J32)</f>
        <v>0</v>
      </c>
      <c r="K34" s="1567"/>
      <c r="L34" s="1522" t="s">
        <v>64</v>
      </c>
      <c r="M34" s="1523"/>
      <c r="N34" s="1568"/>
      <c r="O34" s="1525">
        <f t="shared" si="3"/>
        <v>0</v>
      </c>
      <c r="P34" s="1567"/>
      <c r="Q34" s="1522" t="s">
        <v>64</v>
      </c>
      <c r="R34" s="1569">
        <f>SUM(R4:R31)</f>
        <v>0</v>
      </c>
      <c r="S34" s="1569">
        <f t="shared" ref="S34:BC34" si="11">SUM(S4:S31)</f>
        <v>0</v>
      </c>
      <c r="T34" s="1569">
        <f t="shared" si="11"/>
        <v>0</v>
      </c>
      <c r="U34" s="1569">
        <f t="shared" si="11"/>
        <v>0</v>
      </c>
      <c r="V34" s="1569">
        <f t="shared" si="11"/>
        <v>0</v>
      </c>
      <c r="W34" s="1569">
        <f t="shared" si="11"/>
        <v>14423568</v>
      </c>
      <c r="X34" s="1569">
        <f t="shared" si="11"/>
        <v>14428308</v>
      </c>
      <c r="Y34" s="1569">
        <f t="shared" si="11"/>
        <v>4740</v>
      </c>
      <c r="Z34" s="1569">
        <f t="shared" si="11"/>
        <v>0</v>
      </c>
      <c r="AA34" s="1569">
        <f t="shared" si="11"/>
        <v>0</v>
      </c>
      <c r="AB34" s="1569">
        <f t="shared" si="11"/>
        <v>8689091</v>
      </c>
      <c r="AC34" s="1569">
        <f t="shared" si="11"/>
        <v>8689091</v>
      </c>
      <c r="AD34" s="1569">
        <f t="shared" si="11"/>
        <v>0</v>
      </c>
      <c r="AE34" s="1569">
        <f t="shared" si="11"/>
        <v>0</v>
      </c>
      <c r="AF34" s="1569">
        <f t="shared" si="11"/>
        <v>0</v>
      </c>
      <c r="AG34" s="1569">
        <f t="shared" si="11"/>
        <v>12541985</v>
      </c>
      <c r="AH34" s="1569">
        <f t="shared" si="11"/>
        <v>11341985</v>
      </c>
      <c r="AI34" s="1569">
        <f t="shared" si="11"/>
        <v>1200000</v>
      </c>
      <c r="AJ34" s="1569">
        <f t="shared" si="11"/>
        <v>0</v>
      </c>
      <c r="AK34" s="1569">
        <f t="shared" si="11"/>
        <v>0</v>
      </c>
      <c r="AL34" s="1569">
        <f t="shared" si="11"/>
        <v>3942142</v>
      </c>
      <c r="AM34" s="1569">
        <f t="shared" si="11"/>
        <v>3649327</v>
      </c>
      <c r="AN34" s="1569">
        <f t="shared" si="11"/>
        <v>292815</v>
      </c>
      <c r="AO34" s="1569">
        <f t="shared" si="11"/>
        <v>0</v>
      </c>
      <c r="AP34" s="1569">
        <f t="shared" si="11"/>
        <v>0</v>
      </c>
      <c r="AQ34" s="1569">
        <f t="shared" si="11"/>
        <v>4516113</v>
      </c>
      <c r="AR34" s="1569">
        <f t="shared" si="11"/>
        <v>4083574</v>
      </c>
      <c r="AS34" s="1569">
        <f t="shared" si="11"/>
        <v>432539</v>
      </c>
      <c r="AT34" s="1569">
        <f t="shared" si="11"/>
        <v>0</v>
      </c>
      <c r="AU34" s="1569">
        <f t="shared" si="11"/>
        <v>0</v>
      </c>
      <c r="AV34" s="1569">
        <f t="shared" si="11"/>
        <v>4129452</v>
      </c>
      <c r="AW34" s="1569">
        <f t="shared" si="11"/>
        <v>4169238</v>
      </c>
      <c r="AX34" s="1569">
        <f t="shared" si="11"/>
        <v>-39786</v>
      </c>
      <c r="AY34" s="1569">
        <f t="shared" si="11"/>
        <v>0</v>
      </c>
      <c r="AZ34" s="1569">
        <f t="shared" si="11"/>
        <v>5984340</v>
      </c>
      <c r="BA34" s="1569">
        <f t="shared" si="11"/>
        <v>5148946</v>
      </c>
      <c r="BB34" s="1569">
        <f t="shared" si="11"/>
        <v>835394</v>
      </c>
      <c r="BC34" s="1569">
        <f t="shared" si="11"/>
        <v>4630022</v>
      </c>
      <c r="BF34" s="1571">
        <f>(C34+H34+M34+R34+W34+AB34+AG34+AL34+AQ34+AV34+AZ34+BC34)/12</f>
        <v>4904726.083333333</v>
      </c>
    </row>
    <row r="35" spans="1:59" s="1547" customFormat="1" x14ac:dyDescent="0.25">
      <c r="A35" s="1572" t="s">
        <v>107</v>
      </c>
      <c r="B35" s="1524"/>
      <c r="C35" s="1572"/>
      <c r="D35" s="1572">
        <v>0</v>
      </c>
      <c r="E35" s="1572"/>
      <c r="F35" s="1572"/>
      <c r="G35" s="1524"/>
      <c r="H35" s="1572"/>
      <c r="I35" s="1572"/>
      <c r="J35" s="1572"/>
      <c r="K35" s="1491"/>
      <c r="L35" s="1524"/>
      <c r="M35" s="1491"/>
      <c r="N35" s="1491"/>
      <c r="O35" s="1491"/>
      <c r="P35" s="1491"/>
      <c r="Q35" s="1524"/>
      <c r="R35" s="1491"/>
      <c r="S35" s="1491"/>
      <c r="T35" s="1491"/>
      <c r="U35" s="1491"/>
      <c r="V35" s="1524"/>
      <c r="W35" s="1491">
        <v>46112831</v>
      </c>
      <c r="X35" s="1491"/>
      <c r="Y35" s="1491"/>
      <c r="Z35" s="1491"/>
      <c r="AA35" s="1524"/>
      <c r="AB35" s="1491">
        <v>42527554</v>
      </c>
      <c r="AC35" s="1491"/>
      <c r="AD35" s="1491"/>
      <c r="AE35" s="1491"/>
      <c r="AF35" s="1524"/>
      <c r="AG35" s="1491">
        <v>33785820</v>
      </c>
      <c r="AH35" s="1491"/>
      <c r="AI35" s="1491"/>
      <c r="AJ35" s="1491"/>
      <c r="AK35" s="1524"/>
      <c r="AL35" s="1491">
        <v>42169112</v>
      </c>
      <c r="AM35" s="1491"/>
      <c r="AN35" s="1491"/>
      <c r="AO35" s="1491"/>
      <c r="AP35" s="1491"/>
      <c r="AQ35" s="1491">
        <v>36919858</v>
      </c>
      <c r="AR35" s="1491"/>
      <c r="AS35" s="1491"/>
      <c r="AT35" s="1491"/>
      <c r="AU35" s="1491"/>
      <c r="AV35" s="1491">
        <v>34865211</v>
      </c>
      <c r="AW35" s="1491"/>
      <c r="AX35" s="1491"/>
      <c r="AY35" s="1491"/>
      <c r="AZ35" s="1491">
        <v>33481694</v>
      </c>
      <c r="BA35" s="1491"/>
      <c r="BB35" s="1491"/>
      <c r="BC35" s="1491">
        <v>32149530</v>
      </c>
      <c r="BF35" s="1573">
        <f>(C35+H35+M35+R35+W35+AB35+AG35+AL35+AQ35+AV35+AZ35+BC35)/12</f>
        <v>25167634.166666668</v>
      </c>
      <c r="BG35" s="1547">
        <f>SUM(C35:BC35)</f>
        <v>302011610</v>
      </c>
    </row>
    <row r="36" spans="1:59" s="1547" customFormat="1" x14ac:dyDescent="0.25">
      <c r="A36" s="1525" t="s">
        <v>953</v>
      </c>
      <c r="B36" s="1525"/>
      <c r="C36" s="1525">
        <f>C35-C34</f>
        <v>0</v>
      </c>
      <c r="D36" s="1525">
        <f t="shared" ref="D36:BE36" si="12">D35-D34</f>
        <v>0</v>
      </c>
      <c r="E36" s="1525">
        <f t="shared" si="12"/>
        <v>0</v>
      </c>
      <c r="F36" s="1525">
        <f t="shared" si="12"/>
        <v>0</v>
      </c>
      <c r="G36" s="1525" t="e">
        <f t="shared" si="12"/>
        <v>#VALUE!</v>
      </c>
      <c r="H36" s="1525">
        <f t="shared" si="12"/>
        <v>0</v>
      </c>
      <c r="I36" s="1525">
        <f t="shared" si="12"/>
        <v>0</v>
      </c>
      <c r="J36" s="1525">
        <f t="shared" si="12"/>
        <v>0</v>
      </c>
      <c r="K36" s="1525">
        <f t="shared" si="12"/>
        <v>0</v>
      </c>
      <c r="L36" s="1525" t="e">
        <f t="shared" si="12"/>
        <v>#VALUE!</v>
      </c>
      <c r="M36" s="1525">
        <f t="shared" si="12"/>
        <v>0</v>
      </c>
      <c r="N36" s="1525">
        <f t="shared" si="12"/>
        <v>0</v>
      </c>
      <c r="O36" s="1525">
        <f t="shared" si="12"/>
        <v>0</v>
      </c>
      <c r="P36" s="1525">
        <f t="shared" si="12"/>
        <v>0</v>
      </c>
      <c r="Q36" s="1525" t="e">
        <f t="shared" si="12"/>
        <v>#VALUE!</v>
      </c>
      <c r="R36" s="1525">
        <f t="shared" si="12"/>
        <v>0</v>
      </c>
      <c r="S36" s="1525">
        <f t="shared" si="12"/>
        <v>0</v>
      </c>
      <c r="T36" s="1525">
        <f t="shared" si="12"/>
        <v>0</v>
      </c>
      <c r="U36" s="1525">
        <f t="shared" si="12"/>
        <v>0</v>
      </c>
      <c r="V36" s="1525">
        <f t="shared" si="12"/>
        <v>0</v>
      </c>
      <c r="W36" s="1525">
        <f t="shared" si="12"/>
        <v>31689263</v>
      </c>
      <c r="X36" s="1525">
        <f t="shared" si="12"/>
        <v>-14428308</v>
      </c>
      <c r="Y36" s="1525">
        <f t="shared" si="12"/>
        <v>-4740</v>
      </c>
      <c r="Z36" s="1525">
        <f t="shared" si="12"/>
        <v>0</v>
      </c>
      <c r="AA36" s="1525">
        <f t="shared" si="12"/>
        <v>0</v>
      </c>
      <c r="AB36" s="1525">
        <f t="shared" si="12"/>
        <v>33838463</v>
      </c>
      <c r="AC36" s="1525">
        <f t="shared" si="12"/>
        <v>-8689091</v>
      </c>
      <c r="AD36" s="1525">
        <f t="shared" si="12"/>
        <v>0</v>
      </c>
      <c r="AE36" s="1525">
        <f t="shared" si="12"/>
        <v>0</v>
      </c>
      <c r="AF36" s="1525">
        <f t="shared" si="12"/>
        <v>0</v>
      </c>
      <c r="AG36" s="1525">
        <v>22443835</v>
      </c>
      <c r="AH36" s="1525">
        <f t="shared" si="12"/>
        <v>-11341985</v>
      </c>
      <c r="AI36" s="1525">
        <f t="shared" si="12"/>
        <v>-1200000</v>
      </c>
      <c r="AJ36" s="1525">
        <f t="shared" si="12"/>
        <v>0</v>
      </c>
      <c r="AK36" s="1525">
        <f t="shared" si="12"/>
        <v>0</v>
      </c>
      <c r="AL36" s="1525">
        <v>38519785</v>
      </c>
      <c r="AM36" s="1525">
        <f t="shared" si="12"/>
        <v>-3649327</v>
      </c>
      <c r="AN36" s="1525">
        <f t="shared" si="12"/>
        <v>-292815</v>
      </c>
      <c r="AO36" s="1525">
        <f t="shared" si="12"/>
        <v>0</v>
      </c>
      <c r="AP36" s="1525">
        <f t="shared" si="12"/>
        <v>0</v>
      </c>
      <c r="AQ36" s="1525">
        <f t="shared" si="12"/>
        <v>32403745</v>
      </c>
      <c r="AR36" s="1525">
        <f t="shared" si="12"/>
        <v>-4083574</v>
      </c>
      <c r="AS36" s="1525">
        <f t="shared" si="12"/>
        <v>-432539</v>
      </c>
      <c r="AT36" s="1525">
        <f t="shared" si="12"/>
        <v>0</v>
      </c>
      <c r="AU36" s="1525">
        <f t="shared" si="12"/>
        <v>0</v>
      </c>
      <c r="AV36" s="1525">
        <f t="shared" si="12"/>
        <v>30735759</v>
      </c>
      <c r="AW36" s="1525">
        <f t="shared" si="12"/>
        <v>-4169238</v>
      </c>
      <c r="AX36" s="1525">
        <f t="shared" si="12"/>
        <v>39786</v>
      </c>
      <c r="AY36" s="1525">
        <f t="shared" si="12"/>
        <v>0</v>
      </c>
      <c r="AZ36" s="1525">
        <f t="shared" si="12"/>
        <v>27497354</v>
      </c>
      <c r="BA36" s="1525">
        <f t="shared" si="12"/>
        <v>-5148946</v>
      </c>
      <c r="BB36" s="1525">
        <f t="shared" si="12"/>
        <v>-835394</v>
      </c>
      <c r="BC36" s="1525">
        <f t="shared" si="12"/>
        <v>27519508</v>
      </c>
      <c r="BD36" s="1525">
        <f t="shared" si="12"/>
        <v>0</v>
      </c>
      <c r="BE36" s="1525">
        <f t="shared" si="12"/>
        <v>0</v>
      </c>
    </row>
    <row r="37" spans="1:59" x14ac:dyDescent="0.25">
      <c r="A37" s="1533" t="s">
        <v>954</v>
      </c>
      <c r="C37" s="1574" t="e">
        <f>C34/C35</f>
        <v>#DIV/0!</v>
      </c>
      <c r="D37" s="1574" t="e">
        <f t="shared" ref="D37:BC37" si="13">D34/D35</f>
        <v>#DIV/0!</v>
      </c>
      <c r="E37" s="1574" t="e">
        <f t="shared" si="13"/>
        <v>#DIV/0!</v>
      </c>
      <c r="F37" s="1574" t="e">
        <f t="shared" si="13"/>
        <v>#DIV/0!</v>
      </c>
      <c r="G37" s="1574" t="e">
        <f t="shared" si="13"/>
        <v>#VALUE!</v>
      </c>
      <c r="H37" s="1574" t="e">
        <f t="shared" si="13"/>
        <v>#DIV/0!</v>
      </c>
      <c r="I37" s="1574" t="e">
        <f t="shared" si="13"/>
        <v>#DIV/0!</v>
      </c>
      <c r="J37" s="1574" t="e">
        <f t="shared" si="13"/>
        <v>#DIV/0!</v>
      </c>
      <c r="K37" s="1574" t="e">
        <f t="shared" si="13"/>
        <v>#DIV/0!</v>
      </c>
      <c r="L37" s="1574" t="e">
        <f t="shared" si="13"/>
        <v>#VALUE!</v>
      </c>
      <c r="M37" s="1574" t="e">
        <f t="shared" si="13"/>
        <v>#DIV/0!</v>
      </c>
      <c r="N37" s="1574" t="e">
        <f t="shared" si="13"/>
        <v>#DIV/0!</v>
      </c>
      <c r="O37" s="1574" t="e">
        <f t="shared" si="13"/>
        <v>#DIV/0!</v>
      </c>
      <c r="P37" s="1574" t="e">
        <f t="shared" si="13"/>
        <v>#DIV/0!</v>
      </c>
      <c r="Q37" s="1574" t="e">
        <f t="shared" si="13"/>
        <v>#VALUE!</v>
      </c>
      <c r="R37" s="1574" t="e">
        <f t="shared" si="13"/>
        <v>#DIV/0!</v>
      </c>
      <c r="S37" s="1574" t="e">
        <f t="shared" si="13"/>
        <v>#DIV/0!</v>
      </c>
      <c r="T37" s="1574" t="e">
        <f t="shared" si="13"/>
        <v>#DIV/0!</v>
      </c>
      <c r="U37" s="1574" t="e">
        <f t="shared" si="13"/>
        <v>#DIV/0!</v>
      </c>
      <c r="V37" s="1574" t="e">
        <f t="shared" si="13"/>
        <v>#DIV/0!</v>
      </c>
      <c r="W37" s="1574">
        <f t="shared" si="13"/>
        <v>0.3127886032414709</v>
      </c>
      <c r="X37" s="1574" t="e">
        <f t="shared" si="13"/>
        <v>#DIV/0!</v>
      </c>
      <c r="Y37" s="1574" t="e">
        <f t="shared" si="13"/>
        <v>#DIV/0!</v>
      </c>
      <c r="Z37" s="1574" t="e">
        <f t="shared" si="13"/>
        <v>#DIV/0!</v>
      </c>
      <c r="AA37" s="1574" t="e">
        <f t="shared" si="13"/>
        <v>#DIV/0!</v>
      </c>
      <c r="AB37" s="1574">
        <f t="shared" si="13"/>
        <v>0.2043167354510913</v>
      </c>
      <c r="AC37" s="1574" t="e">
        <f t="shared" si="13"/>
        <v>#DIV/0!</v>
      </c>
      <c r="AD37" s="1574" t="e">
        <f t="shared" si="13"/>
        <v>#DIV/0!</v>
      </c>
      <c r="AE37" s="1574" t="e">
        <f t="shared" si="13"/>
        <v>#DIV/0!</v>
      </c>
      <c r="AF37" s="1574" t="e">
        <f t="shared" si="13"/>
        <v>#DIV/0!</v>
      </c>
      <c r="AG37" s="1574">
        <f t="shared" si="13"/>
        <v>0.37122038180514783</v>
      </c>
      <c r="AH37" s="1574" t="e">
        <f t="shared" si="13"/>
        <v>#DIV/0!</v>
      </c>
      <c r="AI37" s="1574" t="e">
        <f t="shared" si="13"/>
        <v>#DIV/0!</v>
      </c>
      <c r="AJ37" s="1574" t="e">
        <f t="shared" si="13"/>
        <v>#DIV/0!</v>
      </c>
      <c r="AK37" s="1574" t="e">
        <f t="shared" si="13"/>
        <v>#DIV/0!</v>
      </c>
      <c r="AL37" s="1574">
        <f t="shared" si="13"/>
        <v>9.3484112257331858E-2</v>
      </c>
      <c r="AM37" s="1574" t="e">
        <f t="shared" si="13"/>
        <v>#DIV/0!</v>
      </c>
      <c r="AN37" s="1574" t="e">
        <f t="shared" si="13"/>
        <v>#DIV/0!</v>
      </c>
      <c r="AO37" s="1574" t="e">
        <f t="shared" si="13"/>
        <v>#DIV/0!</v>
      </c>
      <c r="AP37" s="1574" t="e">
        <f t="shared" si="13"/>
        <v>#DIV/0!</v>
      </c>
      <c r="AQ37" s="1574">
        <f t="shared" si="13"/>
        <v>0.12232205768505393</v>
      </c>
      <c r="AR37" s="1574"/>
      <c r="AS37" s="1574"/>
      <c r="AT37" s="1574"/>
      <c r="AU37" s="1574"/>
      <c r="AV37" s="1574">
        <f t="shared" si="13"/>
        <v>0.11844047064565305</v>
      </c>
      <c r="AW37" s="1574"/>
      <c r="AX37" s="1574"/>
      <c r="AY37" s="1574"/>
      <c r="AZ37" s="1574">
        <f t="shared" si="13"/>
        <v>0.17873468409334367</v>
      </c>
      <c r="BA37" s="1574"/>
      <c r="BB37" s="1574"/>
      <c r="BC37" s="1574">
        <f t="shared" si="13"/>
        <v>0.14401523132686544</v>
      </c>
      <c r="BF37" s="1575"/>
    </row>
    <row r="38" spans="1:59" x14ac:dyDescent="0.25">
      <c r="W38" s="1533" t="s">
        <v>1635</v>
      </c>
      <c r="AB38" s="1386" t="s">
        <v>1529</v>
      </c>
      <c r="AG38" s="1533" t="s">
        <v>1483</v>
      </c>
      <c r="AL38" s="1386" t="s">
        <v>1480</v>
      </c>
      <c r="AQ38" s="1533" t="s">
        <v>1479</v>
      </c>
      <c r="AV38" s="1386" t="s">
        <v>1478</v>
      </c>
      <c r="AZ38" s="1386" t="s">
        <v>1477</v>
      </c>
      <c r="BC38" s="1386" t="s">
        <v>1476</v>
      </c>
    </row>
    <row r="40" spans="1:59" x14ac:dyDescent="0.25">
      <c r="BF40" s="1576">
        <f>BF34/BF35</f>
        <v>0.19488228614787356</v>
      </c>
    </row>
  </sheetData>
  <mergeCells count="12">
    <mergeCell ref="BC2:BE2"/>
    <mergeCell ref="A2:E2"/>
    <mergeCell ref="F2:J2"/>
    <mergeCell ref="K2:O2"/>
    <mergeCell ref="Q2:S2"/>
    <mergeCell ref="V2:X2"/>
    <mergeCell ref="AA2:AC2"/>
    <mergeCell ref="AF2:AH2"/>
    <mergeCell ref="AK2:AM2"/>
    <mergeCell ref="AP2:AR2"/>
    <mergeCell ref="AU2:AW2"/>
    <mergeCell ref="AY2:BB2"/>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778C0-599A-40C2-BE84-ED33D9EB8CEE}">
  <dimension ref="A1:C31"/>
  <sheetViews>
    <sheetView workbookViewId="0">
      <selection activeCell="G11" sqref="G11"/>
    </sheetView>
  </sheetViews>
  <sheetFormatPr baseColWidth="10" defaultRowHeight="12.5" x14ac:dyDescent="0.25"/>
  <cols>
    <col min="2" max="2" width="15.6328125" customWidth="1"/>
    <col min="3" max="3" width="21.54296875" customWidth="1"/>
  </cols>
  <sheetData>
    <row r="1" spans="1:3" ht="20.5" x14ac:dyDescent="0.25">
      <c r="A1" s="69" t="s">
        <v>53</v>
      </c>
      <c r="B1" s="1039" t="s">
        <v>63</v>
      </c>
      <c r="C1" s="350" t="s">
        <v>226</v>
      </c>
    </row>
    <row r="2" spans="1:3" ht="13" x14ac:dyDescent="0.3">
      <c r="A2" s="347" t="s">
        <v>127</v>
      </c>
      <c r="B2" s="518">
        <v>1747986</v>
      </c>
      <c r="C2" s="518" t="s">
        <v>1588</v>
      </c>
    </row>
    <row r="3" spans="1:3" ht="13" x14ac:dyDescent="0.3">
      <c r="A3" s="347" t="s">
        <v>128</v>
      </c>
      <c r="B3" s="518">
        <v>0</v>
      </c>
      <c r="C3" s="520"/>
    </row>
    <row r="4" spans="1:3" ht="13" x14ac:dyDescent="0.3">
      <c r="A4" s="347" t="s">
        <v>129</v>
      </c>
      <c r="B4" s="518">
        <v>0</v>
      </c>
      <c r="C4" s="520"/>
    </row>
    <row r="5" spans="1:3" ht="13" x14ac:dyDescent="0.3">
      <c r="A5" s="347" t="s">
        <v>130</v>
      </c>
      <c r="B5" s="518">
        <v>930723</v>
      </c>
      <c r="C5" s="518"/>
    </row>
    <row r="6" spans="1:3" ht="13" x14ac:dyDescent="0.3">
      <c r="A6" s="1040" t="s">
        <v>131</v>
      </c>
      <c r="B6" s="518">
        <v>1033633</v>
      </c>
      <c r="C6" s="518" t="s">
        <v>1588</v>
      </c>
    </row>
    <row r="7" spans="1:3" ht="13" x14ac:dyDescent="0.3">
      <c r="A7" s="347" t="s">
        <v>132</v>
      </c>
      <c r="B7" s="518">
        <v>0</v>
      </c>
      <c r="C7" s="520"/>
    </row>
    <row r="8" spans="1:3" ht="13" x14ac:dyDescent="0.3">
      <c r="A8" s="347" t="s">
        <v>133</v>
      </c>
      <c r="B8" s="518">
        <v>0</v>
      </c>
      <c r="C8" s="520"/>
    </row>
    <row r="9" spans="1:3" ht="13" x14ac:dyDescent="0.3">
      <c r="A9" s="347" t="s">
        <v>134</v>
      </c>
      <c r="B9" s="518">
        <v>0</v>
      </c>
      <c r="C9" s="520"/>
    </row>
    <row r="10" spans="1:3" ht="13" x14ac:dyDescent="0.3">
      <c r="A10" s="347" t="s">
        <v>135</v>
      </c>
      <c r="B10" s="518">
        <v>-99800</v>
      </c>
      <c r="C10" s="518"/>
    </row>
    <row r="11" spans="1:3" ht="13" x14ac:dyDescent="0.3">
      <c r="A11" s="347" t="s">
        <v>136</v>
      </c>
      <c r="B11" s="518">
        <v>0</v>
      </c>
      <c r="C11" s="520"/>
    </row>
    <row r="12" spans="1:3" ht="13" x14ac:dyDescent="0.3">
      <c r="A12" s="347" t="s">
        <v>137</v>
      </c>
      <c r="B12" s="518">
        <v>1000000</v>
      </c>
      <c r="C12" s="518" t="s">
        <v>1588</v>
      </c>
    </row>
    <row r="13" spans="1:3" ht="13" x14ac:dyDescent="0.3">
      <c r="A13" s="347" t="s">
        <v>138</v>
      </c>
      <c r="B13" s="518">
        <v>-411027</v>
      </c>
      <c r="C13" s="518"/>
    </row>
    <row r="14" spans="1:3" ht="13" x14ac:dyDescent="0.3">
      <c r="A14" s="347" t="s">
        <v>139</v>
      </c>
      <c r="B14" s="518">
        <v>0</v>
      </c>
      <c r="C14" s="520"/>
    </row>
    <row r="15" spans="1:3" ht="13" x14ac:dyDescent="0.3">
      <c r="A15" s="347" t="s">
        <v>140</v>
      </c>
      <c r="B15" s="518">
        <v>0</v>
      </c>
      <c r="C15" s="520"/>
    </row>
    <row r="16" spans="1:3" ht="13" x14ac:dyDescent="0.3">
      <c r="A16" s="347" t="s">
        <v>141</v>
      </c>
      <c r="B16" s="518">
        <v>608316</v>
      </c>
      <c r="C16" s="518"/>
    </row>
    <row r="17" spans="1:3" ht="13" x14ac:dyDescent="0.3">
      <c r="A17" s="347" t="s">
        <v>142</v>
      </c>
      <c r="B17" s="518">
        <v>0</v>
      </c>
      <c r="C17" s="520"/>
    </row>
    <row r="18" spans="1:3" ht="13" x14ac:dyDescent="0.3">
      <c r="A18" s="347" t="s">
        <v>143</v>
      </c>
      <c r="B18" s="518">
        <v>0</v>
      </c>
      <c r="C18" s="520"/>
    </row>
    <row r="19" spans="1:3" ht="13" x14ac:dyDescent="0.3">
      <c r="A19" s="347" t="s">
        <v>144</v>
      </c>
      <c r="B19" s="518">
        <v>1003279</v>
      </c>
      <c r="C19" s="518">
        <v>1003279</v>
      </c>
    </row>
    <row r="20" spans="1:3" ht="13" x14ac:dyDescent="0.3">
      <c r="A20" s="347" t="s">
        <v>145</v>
      </c>
      <c r="B20" s="518">
        <v>0</v>
      </c>
      <c r="C20" s="520">
        <v>0</v>
      </c>
    </row>
    <row r="21" spans="1:3" ht="13" x14ac:dyDescent="0.3">
      <c r="A21" s="347" t="s">
        <v>146</v>
      </c>
      <c r="B21" s="518">
        <v>1184963</v>
      </c>
      <c r="C21" s="518" t="s">
        <v>1588</v>
      </c>
    </row>
    <row r="22" spans="1:3" ht="13" x14ac:dyDescent="0.3">
      <c r="A22" s="347" t="s">
        <v>147</v>
      </c>
      <c r="B22" s="518">
        <v>-69145</v>
      </c>
      <c r="C22" s="518"/>
    </row>
    <row r="23" spans="1:3" ht="13" x14ac:dyDescent="0.3">
      <c r="A23" s="347" t="s">
        <v>148</v>
      </c>
      <c r="B23" s="518">
        <v>0</v>
      </c>
      <c r="C23" s="520"/>
    </row>
    <row r="24" spans="1:3" ht="13" x14ac:dyDescent="0.3">
      <c r="A24" s="347" t="s">
        <v>149</v>
      </c>
      <c r="B24" s="518">
        <v>0</v>
      </c>
      <c r="C24" s="520"/>
    </row>
    <row r="25" spans="1:3" ht="13" x14ac:dyDescent="0.3">
      <c r="A25" s="347" t="s">
        <v>150</v>
      </c>
      <c r="B25" s="518">
        <v>0</v>
      </c>
      <c r="C25" s="520"/>
    </row>
    <row r="26" spans="1:3" ht="13" x14ac:dyDescent="0.3">
      <c r="A26" s="347" t="s">
        <v>151</v>
      </c>
      <c r="B26" s="518">
        <v>470260</v>
      </c>
      <c r="C26" s="518"/>
    </row>
    <row r="27" spans="1:3" ht="13" x14ac:dyDescent="0.3">
      <c r="A27" s="347" t="s">
        <v>152</v>
      </c>
      <c r="B27" s="518">
        <v>1289903</v>
      </c>
      <c r="C27" s="518">
        <v>1289903</v>
      </c>
    </row>
    <row r="28" spans="1:3" ht="13" x14ac:dyDescent="0.3">
      <c r="A28" s="347" t="s">
        <v>153</v>
      </c>
      <c r="B28" s="518">
        <v>0</v>
      </c>
      <c r="C28" s="520">
        <v>0</v>
      </c>
    </row>
    <row r="29" spans="1:3" ht="13" x14ac:dyDescent="0.3">
      <c r="A29" s="347" t="s">
        <v>154</v>
      </c>
      <c r="B29" s="518">
        <v>0</v>
      </c>
      <c r="C29" s="520">
        <v>0</v>
      </c>
    </row>
    <row r="30" spans="1:3" ht="13" x14ac:dyDescent="0.3">
      <c r="A30" s="347" t="s">
        <v>155</v>
      </c>
      <c r="B30" s="518">
        <v>0</v>
      </c>
      <c r="C30" s="520">
        <v>0</v>
      </c>
    </row>
    <row r="31" spans="1:3" ht="13" x14ac:dyDescent="0.3">
      <c r="A31" s="1043"/>
      <c r="B31" s="995">
        <f>SUM(B2:B30)</f>
        <v>8689091</v>
      </c>
      <c r="C31" s="50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7E7EE-44B0-4314-8B84-F9592E653644}">
  <dimension ref="B1:G97"/>
  <sheetViews>
    <sheetView workbookViewId="0">
      <selection activeCell="F5" sqref="F5"/>
    </sheetView>
  </sheetViews>
  <sheetFormatPr baseColWidth="10" defaultRowHeight="12.5" x14ac:dyDescent="0.25"/>
  <cols>
    <col min="1" max="1" width="4.7265625" customWidth="1"/>
    <col min="2" max="2" width="13" customWidth="1"/>
    <col min="3" max="3" width="24" customWidth="1"/>
    <col min="4" max="4" width="14.54296875" customWidth="1"/>
    <col min="5" max="5" width="16.81640625" style="18" customWidth="1"/>
    <col min="6" max="6" width="30.26953125" customWidth="1"/>
    <col min="7" max="7" width="14.26953125" bestFit="1" customWidth="1"/>
    <col min="257" max="257" width="4.7265625" customWidth="1"/>
    <col min="258" max="258" width="13" customWidth="1"/>
    <col min="259" max="259" width="24" customWidth="1"/>
    <col min="260" max="260" width="14.54296875" customWidth="1"/>
    <col min="261" max="261" width="16.81640625" customWidth="1"/>
    <col min="262" max="262" width="30.26953125" customWidth="1"/>
    <col min="263" max="263" width="14.26953125" bestFit="1" customWidth="1"/>
    <col min="513" max="513" width="4.7265625" customWidth="1"/>
    <col min="514" max="514" width="13" customWidth="1"/>
    <col min="515" max="515" width="24" customWidth="1"/>
    <col min="516" max="516" width="14.54296875" customWidth="1"/>
    <col min="517" max="517" width="16.81640625" customWidth="1"/>
    <col min="518" max="518" width="30.26953125" customWidth="1"/>
    <col min="519" max="519" width="14.26953125" bestFit="1" customWidth="1"/>
    <col min="769" max="769" width="4.7265625" customWidth="1"/>
    <col min="770" max="770" width="13" customWidth="1"/>
    <col min="771" max="771" width="24" customWidth="1"/>
    <col min="772" max="772" width="14.54296875" customWidth="1"/>
    <col min="773" max="773" width="16.81640625" customWidth="1"/>
    <col min="774" max="774" width="30.26953125" customWidth="1"/>
    <col min="775" max="775" width="14.26953125" bestFit="1" customWidth="1"/>
    <col min="1025" max="1025" width="4.7265625" customWidth="1"/>
    <col min="1026" max="1026" width="13" customWidth="1"/>
    <col min="1027" max="1027" width="24" customWidth="1"/>
    <col min="1028" max="1028" width="14.54296875" customWidth="1"/>
    <col min="1029" max="1029" width="16.81640625" customWidth="1"/>
    <col min="1030" max="1030" width="30.26953125" customWidth="1"/>
    <col min="1031" max="1031" width="14.26953125" bestFit="1" customWidth="1"/>
    <col min="1281" max="1281" width="4.7265625" customWidth="1"/>
    <col min="1282" max="1282" width="13" customWidth="1"/>
    <col min="1283" max="1283" width="24" customWidth="1"/>
    <col min="1284" max="1284" width="14.54296875" customWidth="1"/>
    <col min="1285" max="1285" width="16.81640625" customWidth="1"/>
    <col min="1286" max="1286" width="30.26953125" customWidth="1"/>
    <col min="1287" max="1287" width="14.26953125" bestFit="1" customWidth="1"/>
    <col min="1537" max="1537" width="4.7265625" customWidth="1"/>
    <col min="1538" max="1538" width="13" customWidth="1"/>
    <col min="1539" max="1539" width="24" customWidth="1"/>
    <col min="1540" max="1540" width="14.54296875" customWidth="1"/>
    <col min="1541" max="1541" width="16.81640625" customWidth="1"/>
    <col min="1542" max="1542" width="30.26953125" customWidth="1"/>
    <col min="1543" max="1543" width="14.26953125" bestFit="1" customWidth="1"/>
    <col min="1793" max="1793" width="4.7265625" customWidth="1"/>
    <col min="1794" max="1794" width="13" customWidth="1"/>
    <col min="1795" max="1795" width="24" customWidth="1"/>
    <col min="1796" max="1796" width="14.54296875" customWidth="1"/>
    <col min="1797" max="1797" width="16.81640625" customWidth="1"/>
    <col min="1798" max="1798" width="30.26953125" customWidth="1"/>
    <col min="1799" max="1799" width="14.26953125" bestFit="1" customWidth="1"/>
    <col min="2049" max="2049" width="4.7265625" customWidth="1"/>
    <col min="2050" max="2050" width="13" customWidth="1"/>
    <col min="2051" max="2051" width="24" customWidth="1"/>
    <col min="2052" max="2052" width="14.54296875" customWidth="1"/>
    <col min="2053" max="2053" width="16.81640625" customWidth="1"/>
    <col min="2054" max="2054" width="30.26953125" customWidth="1"/>
    <col min="2055" max="2055" width="14.26953125" bestFit="1" customWidth="1"/>
    <col min="2305" max="2305" width="4.7265625" customWidth="1"/>
    <col min="2306" max="2306" width="13" customWidth="1"/>
    <col min="2307" max="2307" width="24" customWidth="1"/>
    <col min="2308" max="2308" width="14.54296875" customWidth="1"/>
    <col min="2309" max="2309" width="16.81640625" customWidth="1"/>
    <col min="2310" max="2310" width="30.26953125" customWidth="1"/>
    <col min="2311" max="2311" width="14.26953125" bestFit="1" customWidth="1"/>
    <col min="2561" max="2561" width="4.7265625" customWidth="1"/>
    <col min="2562" max="2562" width="13" customWidth="1"/>
    <col min="2563" max="2563" width="24" customWidth="1"/>
    <col min="2564" max="2564" width="14.54296875" customWidth="1"/>
    <col min="2565" max="2565" width="16.81640625" customWidth="1"/>
    <col min="2566" max="2566" width="30.26953125" customWidth="1"/>
    <col min="2567" max="2567" width="14.26953125" bestFit="1" customWidth="1"/>
    <col min="2817" max="2817" width="4.7265625" customWidth="1"/>
    <col min="2818" max="2818" width="13" customWidth="1"/>
    <col min="2819" max="2819" width="24" customWidth="1"/>
    <col min="2820" max="2820" width="14.54296875" customWidth="1"/>
    <col min="2821" max="2821" width="16.81640625" customWidth="1"/>
    <col min="2822" max="2822" width="30.26953125" customWidth="1"/>
    <col min="2823" max="2823" width="14.26953125" bestFit="1" customWidth="1"/>
    <col min="3073" max="3073" width="4.7265625" customWidth="1"/>
    <col min="3074" max="3074" width="13" customWidth="1"/>
    <col min="3075" max="3075" width="24" customWidth="1"/>
    <col min="3076" max="3076" width="14.54296875" customWidth="1"/>
    <col min="3077" max="3077" width="16.81640625" customWidth="1"/>
    <col min="3078" max="3078" width="30.26953125" customWidth="1"/>
    <col min="3079" max="3079" width="14.26953125" bestFit="1" customWidth="1"/>
    <col min="3329" max="3329" width="4.7265625" customWidth="1"/>
    <col min="3330" max="3330" width="13" customWidth="1"/>
    <col min="3331" max="3331" width="24" customWidth="1"/>
    <col min="3332" max="3332" width="14.54296875" customWidth="1"/>
    <col min="3333" max="3333" width="16.81640625" customWidth="1"/>
    <col min="3334" max="3334" width="30.26953125" customWidth="1"/>
    <col min="3335" max="3335" width="14.26953125" bestFit="1" customWidth="1"/>
    <col min="3585" max="3585" width="4.7265625" customWidth="1"/>
    <col min="3586" max="3586" width="13" customWidth="1"/>
    <col min="3587" max="3587" width="24" customWidth="1"/>
    <col min="3588" max="3588" width="14.54296875" customWidth="1"/>
    <col min="3589" max="3589" width="16.81640625" customWidth="1"/>
    <col min="3590" max="3590" width="30.26953125" customWidth="1"/>
    <col min="3591" max="3591" width="14.26953125" bestFit="1" customWidth="1"/>
    <col min="3841" max="3841" width="4.7265625" customWidth="1"/>
    <col min="3842" max="3842" width="13" customWidth="1"/>
    <col min="3843" max="3843" width="24" customWidth="1"/>
    <col min="3844" max="3844" width="14.54296875" customWidth="1"/>
    <col min="3845" max="3845" width="16.81640625" customWidth="1"/>
    <col min="3846" max="3846" width="30.26953125" customWidth="1"/>
    <col min="3847" max="3847" width="14.26953125" bestFit="1" customWidth="1"/>
    <col min="4097" max="4097" width="4.7265625" customWidth="1"/>
    <col min="4098" max="4098" width="13" customWidth="1"/>
    <col min="4099" max="4099" width="24" customWidth="1"/>
    <col min="4100" max="4100" width="14.54296875" customWidth="1"/>
    <col min="4101" max="4101" width="16.81640625" customWidth="1"/>
    <col min="4102" max="4102" width="30.26953125" customWidth="1"/>
    <col min="4103" max="4103" width="14.26953125" bestFit="1" customWidth="1"/>
    <col min="4353" max="4353" width="4.7265625" customWidth="1"/>
    <col min="4354" max="4354" width="13" customWidth="1"/>
    <col min="4355" max="4355" width="24" customWidth="1"/>
    <col min="4356" max="4356" width="14.54296875" customWidth="1"/>
    <col min="4357" max="4357" width="16.81640625" customWidth="1"/>
    <col min="4358" max="4358" width="30.26953125" customWidth="1"/>
    <col min="4359" max="4359" width="14.26953125" bestFit="1" customWidth="1"/>
    <col min="4609" max="4609" width="4.7265625" customWidth="1"/>
    <col min="4610" max="4610" width="13" customWidth="1"/>
    <col min="4611" max="4611" width="24" customWidth="1"/>
    <col min="4612" max="4612" width="14.54296875" customWidth="1"/>
    <col min="4613" max="4613" width="16.81640625" customWidth="1"/>
    <col min="4614" max="4614" width="30.26953125" customWidth="1"/>
    <col min="4615" max="4615" width="14.26953125" bestFit="1" customWidth="1"/>
    <col min="4865" max="4865" width="4.7265625" customWidth="1"/>
    <col min="4866" max="4866" width="13" customWidth="1"/>
    <col min="4867" max="4867" width="24" customWidth="1"/>
    <col min="4868" max="4868" width="14.54296875" customWidth="1"/>
    <col min="4869" max="4869" width="16.81640625" customWidth="1"/>
    <col min="4870" max="4870" width="30.26953125" customWidth="1"/>
    <col min="4871" max="4871" width="14.26953125" bestFit="1" customWidth="1"/>
    <col min="5121" max="5121" width="4.7265625" customWidth="1"/>
    <col min="5122" max="5122" width="13" customWidth="1"/>
    <col min="5123" max="5123" width="24" customWidth="1"/>
    <col min="5124" max="5124" width="14.54296875" customWidth="1"/>
    <col min="5125" max="5125" width="16.81640625" customWidth="1"/>
    <col min="5126" max="5126" width="30.26953125" customWidth="1"/>
    <col min="5127" max="5127" width="14.26953125" bestFit="1" customWidth="1"/>
    <col min="5377" max="5377" width="4.7265625" customWidth="1"/>
    <col min="5378" max="5378" width="13" customWidth="1"/>
    <col min="5379" max="5379" width="24" customWidth="1"/>
    <col min="5380" max="5380" width="14.54296875" customWidth="1"/>
    <col min="5381" max="5381" width="16.81640625" customWidth="1"/>
    <col min="5382" max="5382" width="30.26953125" customWidth="1"/>
    <col min="5383" max="5383" width="14.26953125" bestFit="1" customWidth="1"/>
    <col min="5633" max="5633" width="4.7265625" customWidth="1"/>
    <col min="5634" max="5634" width="13" customWidth="1"/>
    <col min="5635" max="5635" width="24" customWidth="1"/>
    <col min="5636" max="5636" width="14.54296875" customWidth="1"/>
    <col min="5637" max="5637" width="16.81640625" customWidth="1"/>
    <col min="5638" max="5638" width="30.26953125" customWidth="1"/>
    <col min="5639" max="5639" width="14.26953125" bestFit="1" customWidth="1"/>
    <col min="5889" max="5889" width="4.7265625" customWidth="1"/>
    <col min="5890" max="5890" width="13" customWidth="1"/>
    <col min="5891" max="5891" width="24" customWidth="1"/>
    <col min="5892" max="5892" width="14.54296875" customWidth="1"/>
    <col min="5893" max="5893" width="16.81640625" customWidth="1"/>
    <col min="5894" max="5894" width="30.26953125" customWidth="1"/>
    <col min="5895" max="5895" width="14.26953125" bestFit="1" customWidth="1"/>
    <col min="6145" max="6145" width="4.7265625" customWidth="1"/>
    <col min="6146" max="6146" width="13" customWidth="1"/>
    <col min="6147" max="6147" width="24" customWidth="1"/>
    <col min="6148" max="6148" width="14.54296875" customWidth="1"/>
    <col min="6149" max="6149" width="16.81640625" customWidth="1"/>
    <col min="6150" max="6150" width="30.26953125" customWidth="1"/>
    <col min="6151" max="6151" width="14.26953125" bestFit="1" customWidth="1"/>
    <col min="6401" max="6401" width="4.7265625" customWidth="1"/>
    <col min="6402" max="6402" width="13" customWidth="1"/>
    <col min="6403" max="6403" width="24" customWidth="1"/>
    <col min="6404" max="6404" width="14.54296875" customWidth="1"/>
    <col min="6405" max="6405" width="16.81640625" customWidth="1"/>
    <col min="6406" max="6406" width="30.26953125" customWidth="1"/>
    <col min="6407" max="6407" width="14.26953125" bestFit="1" customWidth="1"/>
    <col min="6657" max="6657" width="4.7265625" customWidth="1"/>
    <col min="6658" max="6658" width="13" customWidth="1"/>
    <col min="6659" max="6659" width="24" customWidth="1"/>
    <col min="6660" max="6660" width="14.54296875" customWidth="1"/>
    <col min="6661" max="6661" width="16.81640625" customWidth="1"/>
    <col min="6662" max="6662" width="30.26953125" customWidth="1"/>
    <col min="6663" max="6663" width="14.26953125" bestFit="1" customWidth="1"/>
    <col min="6913" max="6913" width="4.7265625" customWidth="1"/>
    <col min="6914" max="6914" width="13" customWidth="1"/>
    <col min="6915" max="6915" width="24" customWidth="1"/>
    <col min="6916" max="6916" width="14.54296875" customWidth="1"/>
    <col min="6917" max="6917" width="16.81640625" customWidth="1"/>
    <col min="6918" max="6918" width="30.26953125" customWidth="1"/>
    <col min="6919" max="6919" width="14.26953125" bestFit="1" customWidth="1"/>
    <col min="7169" max="7169" width="4.7265625" customWidth="1"/>
    <col min="7170" max="7170" width="13" customWidth="1"/>
    <col min="7171" max="7171" width="24" customWidth="1"/>
    <col min="7172" max="7172" width="14.54296875" customWidth="1"/>
    <col min="7173" max="7173" width="16.81640625" customWidth="1"/>
    <col min="7174" max="7174" width="30.26953125" customWidth="1"/>
    <col min="7175" max="7175" width="14.26953125" bestFit="1" customWidth="1"/>
    <col min="7425" max="7425" width="4.7265625" customWidth="1"/>
    <col min="7426" max="7426" width="13" customWidth="1"/>
    <col min="7427" max="7427" width="24" customWidth="1"/>
    <col min="7428" max="7428" width="14.54296875" customWidth="1"/>
    <col min="7429" max="7429" width="16.81640625" customWidth="1"/>
    <col min="7430" max="7430" width="30.26953125" customWidth="1"/>
    <col min="7431" max="7431" width="14.26953125" bestFit="1" customWidth="1"/>
    <col min="7681" max="7681" width="4.7265625" customWidth="1"/>
    <col min="7682" max="7682" width="13" customWidth="1"/>
    <col min="7683" max="7683" width="24" customWidth="1"/>
    <col min="7684" max="7684" width="14.54296875" customWidth="1"/>
    <col min="7685" max="7685" width="16.81640625" customWidth="1"/>
    <col min="7686" max="7686" width="30.26953125" customWidth="1"/>
    <col min="7687" max="7687" width="14.26953125" bestFit="1" customWidth="1"/>
    <col min="7937" max="7937" width="4.7265625" customWidth="1"/>
    <col min="7938" max="7938" width="13" customWidth="1"/>
    <col min="7939" max="7939" width="24" customWidth="1"/>
    <col min="7940" max="7940" width="14.54296875" customWidth="1"/>
    <col min="7941" max="7941" width="16.81640625" customWidth="1"/>
    <col min="7942" max="7942" width="30.26953125" customWidth="1"/>
    <col min="7943" max="7943" width="14.26953125" bestFit="1" customWidth="1"/>
    <col min="8193" max="8193" width="4.7265625" customWidth="1"/>
    <col min="8194" max="8194" width="13" customWidth="1"/>
    <col min="8195" max="8195" width="24" customWidth="1"/>
    <col min="8196" max="8196" width="14.54296875" customWidth="1"/>
    <col min="8197" max="8197" width="16.81640625" customWidth="1"/>
    <col min="8198" max="8198" width="30.26953125" customWidth="1"/>
    <col min="8199" max="8199" width="14.26953125" bestFit="1" customWidth="1"/>
    <col min="8449" max="8449" width="4.7265625" customWidth="1"/>
    <col min="8450" max="8450" width="13" customWidth="1"/>
    <col min="8451" max="8451" width="24" customWidth="1"/>
    <col min="8452" max="8452" width="14.54296875" customWidth="1"/>
    <col min="8453" max="8453" width="16.81640625" customWidth="1"/>
    <col min="8454" max="8454" width="30.26953125" customWidth="1"/>
    <col min="8455" max="8455" width="14.26953125" bestFit="1" customWidth="1"/>
    <col min="8705" max="8705" width="4.7265625" customWidth="1"/>
    <col min="8706" max="8706" width="13" customWidth="1"/>
    <col min="8707" max="8707" width="24" customWidth="1"/>
    <col min="8708" max="8708" width="14.54296875" customWidth="1"/>
    <col min="8709" max="8709" width="16.81640625" customWidth="1"/>
    <col min="8710" max="8710" width="30.26953125" customWidth="1"/>
    <col min="8711" max="8711" width="14.26953125" bestFit="1" customWidth="1"/>
    <col min="8961" max="8961" width="4.7265625" customWidth="1"/>
    <col min="8962" max="8962" width="13" customWidth="1"/>
    <col min="8963" max="8963" width="24" customWidth="1"/>
    <col min="8964" max="8964" width="14.54296875" customWidth="1"/>
    <col min="8965" max="8965" width="16.81640625" customWidth="1"/>
    <col min="8966" max="8966" width="30.26953125" customWidth="1"/>
    <col min="8967" max="8967" width="14.26953125" bestFit="1" customWidth="1"/>
    <col min="9217" max="9217" width="4.7265625" customWidth="1"/>
    <col min="9218" max="9218" width="13" customWidth="1"/>
    <col min="9219" max="9219" width="24" customWidth="1"/>
    <col min="9220" max="9220" width="14.54296875" customWidth="1"/>
    <col min="9221" max="9221" width="16.81640625" customWidth="1"/>
    <col min="9222" max="9222" width="30.26953125" customWidth="1"/>
    <col min="9223" max="9223" width="14.26953125" bestFit="1" customWidth="1"/>
    <col min="9473" max="9473" width="4.7265625" customWidth="1"/>
    <col min="9474" max="9474" width="13" customWidth="1"/>
    <col min="9475" max="9475" width="24" customWidth="1"/>
    <col min="9476" max="9476" width="14.54296875" customWidth="1"/>
    <col min="9477" max="9477" width="16.81640625" customWidth="1"/>
    <col min="9478" max="9478" width="30.26953125" customWidth="1"/>
    <col min="9479" max="9479" width="14.26953125" bestFit="1" customWidth="1"/>
    <col min="9729" max="9729" width="4.7265625" customWidth="1"/>
    <col min="9730" max="9730" width="13" customWidth="1"/>
    <col min="9731" max="9731" width="24" customWidth="1"/>
    <col min="9732" max="9732" width="14.54296875" customWidth="1"/>
    <col min="9733" max="9733" width="16.81640625" customWidth="1"/>
    <col min="9734" max="9734" width="30.26953125" customWidth="1"/>
    <col min="9735" max="9735" width="14.26953125" bestFit="1" customWidth="1"/>
    <col min="9985" max="9985" width="4.7265625" customWidth="1"/>
    <col min="9986" max="9986" width="13" customWidth="1"/>
    <col min="9987" max="9987" width="24" customWidth="1"/>
    <col min="9988" max="9988" width="14.54296875" customWidth="1"/>
    <col min="9989" max="9989" width="16.81640625" customWidth="1"/>
    <col min="9990" max="9990" width="30.26953125" customWidth="1"/>
    <col min="9991" max="9991" width="14.26953125" bestFit="1" customWidth="1"/>
    <col min="10241" max="10241" width="4.7265625" customWidth="1"/>
    <col min="10242" max="10242" width="13" customWidth="1"/>
    <col min="10243" max="10243" width="24" customWidth="1"/>
    <col min="10244" max="10244" width="14.54296875" customWidth="1"/>
    <col min="10245" max="10245" width="16.81640625" customWidth="1"/>
    <col min="10246" max="10246" width="30.26953125" customWidth="1"/>
    <col min="10247" max="10247" width="14.26953125" bestFit="1" customWidth="1"/>
    <col min="10497" max="10497" width="4.7265625" customWidth="1"/>
    <col min="10498" max="10498" width="13" customWidth="1"/>
    <col min="10499" max="10499" width="24" customWidth="1"/>
    <col min="10500" max="10500" width="14.54296875" customWidth="1"/>
    <col min="10501" max="10501" width="16.81640625" customWidth="1"/>
    <col min="10502" max="10502" width="30.26953125" customWidth="1"/>
    <col min="10503" max="10503" width="14.26953125" bestFit="1" customWidth="1"/>
    <col min="10753" max="10753" width="4.7265625" customWidth="1"/>
    <col min="10754" max="10754" width="13" customWidth="1"/>
    <col min="10755" max="10755" width="24" customWidth="1"/>
    <col min="10756" max="10756" width="14.54296875" customWidth="1"/>
    <col min="10757" max="10757" width="16.81640625" customWidth="1"/>
    <col min="10758" max="10758" width="30.26953125" customWidth="1"/>
    <col min="10759" max="10759" width="14.26953125" bestFit="1" customWidth="1"/>
    <col min="11009" max="11009" width="4.7265625" customWidth="1"/>
    <col min="11010" max="11010" width="13" customWidth="1"/>
    <col min="11011" max="11011" width="24" customWidth="1"/>
    <col min="11012" max="11012" width="14.54296875" customWidth="1"/>
    <col min="11013" max="11013" width="16.81640625" customWidth="1"/>
    <col min="11014" max="11014" width="30.26953125" customWidth="1"/>
    <col min="11015" max="11015" width="14.26953125" bestFit="1" customWidth="1"/>
    <col min="11265" max="11265" width="4.7265625" customWidth="1"/>
    <col min="11266" max="11266" width="13" customWidth="1"/>
    <col min="11267" max="11267" width="24" customWidth="1"/>
    <col min="11268" max="11268" width="14.54296875" customWidth="1"/>
    <col min="11269" max="11269" width="16.81640625" customWidth="1"/>
    <col min="11270" max="11270" width="30.26953125" customWidth="1"/>
    <col min="11271" max="11271" width="14.26953125" bestFit="1" customWidth="1"/>
    <col min="11521" max="11521" width="4.7265625" customWidth="1"/>
    <col min="11522" max="11522" width="13" customWidth="1"/>
    <col min="11523" max="11523" width="24" customWidth="1"/>
    <col min="11524" max="11524" width="14.54296875" customWidth="1"/>
    <col min="11525" max="11525" width="16.81640625" customWidth="1"/>
    <col min="11526" max="11526" width="30.26953125" customWidth="1"/>
    <col min="11527" max="11527" width="14.26953125" bestFit="1" customWidth="1"/>
    <col min="11777" max="11777" width="4.7265625" customWidth="1"/>
    <col min="11778" max="11778" width="13" customWidth="1"/>
    <col min="11779" max="11779" width="24" customWidth="1"/>
    <col min="11780" max="11780" width="14.54296875" customWidth="1"/>
    <col min="11781" max="11781" width="16.81640625" customWidth="1"/>
    <col min="11782" max="11782" width="30.26953125" customWidth="1"/>
    <col min="11783" max="11783" width="14.26953125" bestFit="1" customWidth="1"/>
    <col min="12033" max="12033" width="4.7265625" customWidth="1"/>
    <col min="12034" max="12034" width="13" customWidth="1"/>
    <col min="12035" max="12035" width="24" customWidth="1"/>
    <col min="12036" max="12036" width="14.54296875" customWidth="1"/>
    <col min="12037" max="12037" width="16.81640625" customWidth="1"/>
    <col min="12038" max="12038" width="30.26953125" customWidth="1"/>
    <col min="12039" max="12039" width="14.26953125" bestFit="1" customWidth="1"/>
    <col min="12289" max="12289" width="4.7265625" customWidth="1"/>
    <col min="12290" max="12290" width="13" customWidth="1"/>
    <col min="12291" max="12291" width="24" customWidth="1"/>
    <col min="12292" max="12292" width="14.54296875" customWidth="1"/>
    <col min="12293" max="12293" width="16.81640625" customWidth="1"/>
    <col min="12294" max="12294" width="30.26953125" customWidth="1"/>
    <col min="12295" max="12295" width="14.26953125" bestFit="1" customWidth="1"/>
    <col min="12545" max="12545" width="4.7265625" customWidth="1"/>
    <col min="12546" max="12546" width="13" customWidth="1"/>
    <col min="12547" max="12547" width="24" customWidth="1"/>
    <col min="12548" max="12548" width="14.54296875" customWidth="1"/>
    <col min="12549" max="12549" width="16.81640625" customWidth="1"/>
    <col min="12550" max="12550" width="30.26953125" customWidth="1"/>
    <col min="12551" max="12551" width="14.26953125" bestFit="1" customWidth="1"/>
    <col min="12801" max="12801" width="4.7265625" customWidth="1"/>
    <col min="12802" max="12802" width="13" customWidth="1"/>
    <col min="12803" max="12803" width="24" customWidth="1"/>
    <col min="12804" max="12804" width="14.54296875" customWidth="1"/>
    <col min="12805" max="12805" width="16.81640625" customWidth="1"/>
    <col min="12806" max="12806" width="30.26953125" customWidth="1"/>
    <col min="12807" max="12807" width="14.26953125" bestFit="1" customWidth="1"/>
    <col min="13057" max="13057" width="4.7265625" customWidth="1"/>
    <col min="13058" max="13058" width="13" customWidth="1"/>
    <col min="13059" max="13059" width="24" customWidth="1"/>
    <col min="13060" max="13060" width="14.54296875" customWidth="1"/>
    <col min="13061" max="13061" width="16.81640625" customWidth="1"/>
    <col min="13062" max="13062" width="30.26953125" customWidth="1"/>
    <col min="13063" max="13063" width="14.26953125" bestFit="1" customWidth="1"/>
    <col min="13313" max="13313" width="4.7265625" customWidth="1"/>
    <col min="13314" max="13314" width="13" customWidth="1"/>
    <col min="13315" max="13315" width="24" customWidth="1"/>
    <col min="13316" max="13316" width="14.54296875" customWidth="1"/>
    <col min="13317" max="13317" width="16.81640625" customWidth="1"/>
    <col min="13318" max="13318" width="30.26953125" customWidth="1"/>
    <col min="13319" max="13319" width="14.26953125" bestFit="1" customWidth="1"/>
    <col min="13569" max="13569" width="4.7265625" customWidth="1"/>
    <col min="13570" max="13570" width="13" customWidth="1"/>
    <col min="13571" max="13571" width="24" customWidth="1"/>
    <col min="13572" max="13572" width="14.54296875" customWidth="1"/>
    <col min="13573" max="13573" width="16.81640625" customWidth="1"/>
    <col min="13574" max="13574" width="30.26953125" customWidth="1"/>
    <col min="13575" max="13575" width="14.26953125" bestFit="1" customWidth="1"/>
    <col min="13825" max="13825" width="4.7265625" customWidth="1"/>
    <col min="13826" max="13826" width="13" customWidth="1"/>
    <col min="13827" max="13827" width="24" customWidth="1"/>
    <col min="13828" max="13828" width="14.54296875" customWidth="1"/>
    <col min="13829" max="13829" width="16.81640625" customWidth="1"/>
    <col min="13830" max="13830" width="30.26953125" customWidth="1"/>
    <col min="13831" max="13831" width="14.26953125" bestFit="1" customWidth="1"/>
    <col min="14081" max="14081" width="4.7265625" customWidth="1"/>
    <col min="14082" max="14082" width="13" customWidth="1"/>
    <col min="14083" max="14083" width="24" customWidth="1"/>
    <col min="14084" max="14084" width="14.54296875" customWidth="1"/>
    <col min="14085" max="14085" width="16.81640625" customWidth="1"/>
    <col min="14086" max="14086" width="30.26953125" customWidth="1"/>
    <col min="14087" max="14087" width="14.26953125" bestFit="1" customWidth="1"/>
    <col min="14337" max="14337" width="4.7265625" customWidth="1"/>
    <col min="14338" max="14338" width="13" customWidth="1"/>
    <col min="14339" max="14339" width="24" customWidth="1"/>
    <col min="14340" max="14340" width="14.54296875" customWidth="1"/>
    <col min="14341" max="14341" width="16.81640625" customWidth="1"/>
    <col min="14342" max="14342" width="30.26953125" customWidth="1"/>
    <col min="14343" max="14343" width="14.26953125" bestFit="1" customWidth="1"/>
    <col min="14593" max="14593" width="4.7265625" customWidth="1"/>
    <col min="14594" max="14594" width="13" customWidth="1"/>
    <col min="14595" max="14595" width="24" customWidth="1"/>
    <col min="14596" max="14596" width="14.54296875" customWidth="1"/>
    <col min="14597" max="14597" width="16.81640625" customWidth="1"/>
    <col min="14598" max="14598" width="30.26953125" customWidth="1"/>
    <col min="14599" max="14599" width="14.26953125" bestFit="1" customWidth="1"/>
    <col min="14849" max="14849" width="4.7265625" customWidth="1"/>
    <col min="14850" max="14850" width="13" customWidth="1"/>
    <col min="14851" max="14851" width="24" customWidth="1"/>
    <col min="14852" max="14852" width="14.54296875" customWidth="1"/>
    <col min="14853" max="14853" width="16.81640625" customWidth="1"/>
    <col min="14854" max="14854" width="30.26953125" customWidth="1"/>
    <col min="14855" max="14855" width="14.26953125" bestFit="1" customWidth="1"/>
    <col min="15105" max="15105" width="4.7265625" customWidth="1"/>
    <col min="15106" max="15106" width="13" customWidth="1"/>
    <col min="15107" max="15107" width="24" customWidth="1"/>
    <col min="15108" max="15108" width="14.54296875" customWidth="1"/>
    <col min="15109" max="15109" width="16.81640625" customWidth="1"/>
    <col min="15110" max="15110" width="30.26953125" customWidth="1"/>
    <col min="15111" max="15111" width="14.26953125" bestFit="1" customWidth="1"/>
    <col min="15361" max="15361" width="4.7265625" customWidth="1"/>
    <col min="15362" max="15362" width="13" customWidth="1"/>
    <col min="15363" max="15363" width="24" customWidth="1"/>
    <col min="15364" max="15364" width="14.54296875" customWidth="1"/>
    <col min="15365" max="15365" width="16.81640625" customWidth="1"/>
    <col min="15366" max="15366" width="30.26953125" customWidth="1"/>
    <col min="15367" max="15367" width="14.26953125" bestFit="1" customWidth="1"/>
    <col min="15617" max="15617" width="4.7265625" customWidth="1"/>
    <col min="15618" max="15618" width="13" customWidth="1"/>
    <col min="15619" max="15619" width="24" customWidth="1"/>
    <col min="15620" max="15620" width="14.54296875" customWidth="1"/>
    <col min="15621" max="15621" width="16.81640625" customWidth="1"/>
    <col min="15622" max="15622" width="30.26953125" customWidth="1"/>
    <col min="15623" max="15623" width="14.26953125" bestFit="1" customWidth="1"/>
    <col min="15873" max="15873" width="4.7265625" customWidth="1"/>
    <col min="15874" max="15874" width="13" customWidth="1"/>
    <col min="15875" max="15875" width="24" customWidth="1"/>
    <col min="15876" max="15876" width="14.54296875" customWidth="1"/>
    <col min="15877" max="15877" width="16.81640625" customWidth="1"/>
    <col min="15878" max="15878" width="30.26953125" customWidth="1"/>
    <col min="15879" max="15879" width="14.26953125" bestFit="1" customWidth="1"/>
    <col min="16129" max="16129" width="4.7265625" customWidth="1"/>
    <col min="16130" max="16130" width="13" customWidth="1"/>
    <col min="16131" max="16131" width="24" customWidth="1"/>
    <col min="16132" max="16132" width="14.54296875" customWidth="1"/>
    <col min="16133" max="16133" width="16.81640625" customWidth="1"/>
    <col min="16134" max="16134" width="30.26953125" customWidth="1"/>
    <col min="16135" max="16135" width="14.26953125" bestFit="1" customWidth="1"/>
  </cols>
  <sheetData>
    <row r="1" spans="2:7" ht="13.5" customHeight="1" x14ac:dyDescent="0.25">
      <c r="B1" s="1649" t="s">
        <v>33</v>
      </c>
      <c r="C1" s="1650"/>
      <c r="D1" s="1650"/>
      <c r="E1" s="1650"/>
      <c r="F1" s="1651"/>
    </row>
    <row r="2" spans="2:7" ht="13.5" customHeight="1" x14ac:dyDescent="0.25">
      <c r="B2" s="1731" t="s">
        <v>1632</v>
      </c>
      <c r="C2" s="1732"/>
      <c r="D2" s="1732"/>
      <c r="E2" s="1732"/>
      <c r="F2" s="1733"/>
    </row>
    <row r="3" spans="2:7" ht="13.5" customHeight="1" x14ac:dyDescent="0.4">
      <c r="B3" s="30"/>
      <c r="C3" s="1035" t="s">
        <v>1422</v>
      </c>
      <c r="D3" s="1035" t="s">
        <v>1423</v>
      </c>
      <c r="E3" s="1036" t="s">
        <v>31</v>
      </c>
      <c r="F3" s="43"/>
    </row>
    <row r="4" spans="2:7" ht="13.5" customHeight="1" x14ac:dyDescent="0.25">
      <c r="B4" s="30"/>
      <c r="C4" s="264" t="s">
        <v>1426</v>
      </c>
      <c r="D4" s="272" t="s">
        <v>1427</v>
      </c>
      <c r="E4" s="156">
        <v>534252</v>
      </c>
      <c r="F4" s="43"/>
    </row>
    <row r="5" spans="2:7" ht="13.5" customHeight="1" x14ac:dyDescent="0.25">
      <c r="B5" s="30"/>
      <c r="C5" s="264" t="s">
        <v>1525</v>
      </c>
      <c r="D5" s="272" t="s">
        <v>1526</v>
      </c>
      <c r="E5" s="156">
        <v>496</v>
      </c>
      <c r="F5" s="43"/>
    </row>
    <row r="6" spans="2:7" ht="13.5" customHeight="1" x14ac:dyDescent="0.25">
      <c r="B6" s="30"/>
      <c r="C6" s="264" t="s">
        <v>237</v>
      </c>
      <c r="D6" s="272" t="s">
        <v>1430</v>
      </c>
      <c r="E6" s="156">
        <f>-142800+285600</f>
        <v>142800</v>
      </c>
      <c r="F6" s="43"/>
    </row>
    <row r="7" spans="2:7" ht="13.5" customHeight="1" x14ac:dyDescent="0.25">
      <c r="B7" s="30"/>
      <c r="C7" s="264" t="s">
        <v>1431</v>
      </c>
      <c r="D7" s="272" t="s">
        <v>1432</v>
      </c>
      <c r="E7" s="156">
        <f>+[3]ESFA!C38</f>
        <v>135159.06000000099</v>
      </c>
      <c r="F7" s="43"/>
    </row>
    <row r="8" spans="2:7" ht="13.5" customHeight="1" x14ac:dyDescent="0.35">
      <c r="B8" s="1037"/>
      <c r="C8" s="956" t="s">
        <v>1433</v>
      </c>
      <c r="D8" s="957" t="s">
        <v>33</v>
      </c>
      <c r="E8" s="986">
        <f>SUM(E4:E7)</f>
        <v>812707.06000000099</v>
      </c>
      <c r="F8" s="44"/>
    </row>
    <row r="9" spans="2:7" ht="13.5" customHeight="1" x14ac:dyDescent="0.25">
      <c r="B9" s="415"/>
      <c r="C9" s="1"/>
      <c r="D9" s="1"/>
      <c r="E9" s="1038" t="s">
        <v>33</v>
      </c>
      <c r="F9" s="43"/>
    </row>
    <row r="10" spans="2:7" ht="13.5" customHeight="1" x14ac:dyDescent="0.25">
      <c r="B10" s="28"/>
      <c r="C10" s="1734" t="s">
        <v>225</v>
      </c>
      <c r="D10" s="1734"/>
      <c r="E10" s="1734"/>
      <c r="F10" s="108"/>
    </row>
    <row r="11" spans="2:7" ht="13.5" customHeight="1" x14ac:dyDescent="0.3">
      <c r="B11" s="69" t="s">
        <v>53</v>
      </c>
      <c r="C11" s="69" t="s">
        <v>54</v>
      </c>
      <c r="D11" s="1039" t="s">
        <v>63</v>
      </c>
      <c r="E11" s="350" t="s">
        <v>226</v>
      </c>
      <c r="F11" s="1526" t="s">
        <v>72</v>
      </c>
    </row>
    <row r="12" spans="2:7" ht="13.5" customHeight="1" x14ac:dyDescent="0.35">
      <c r="B12" s="347" t="s">
        <v>127</v>
      </c>
      <c r="C12" s="13" t="s">
        <v>836</v>
      </c>
      <c r="D12" s="1527">
        <v>3065812</v>
      </c>
      <c r="E12" s="1528">
        <v>0</v>
      </c>
      <c r="F12" s="1529"/>
    </row>
    <row r="13" spans="2:7" ht="13.5" customHeight="1" x14ac:dyDescent="0.35">
      <c r="B13" s="347" t="s">
        <v>128</v>
      </c>
      <c r="C13" s="13" t="s">
        <v>837</v>
      </c>
      <c r="D13" s="1530">
        <v>0</v>
      </c>
      <c r="E13" s="1528">
        <v>0</v>
      </c>
      <c r="F13" s="1529"/>
    </row>
    <row r="14" spans="2:7" ht="13.5" customHeight="1" x14ac:dyDescent="0.35">
      <c r="B14" s="347" t="s">
        <v>129</v>
      </c>
      <c r="C14" s="13" t="s">
        <v>838</v>
      </c>
      <c r="D14" s="1530">
        <v>0</v>
      </c>
      <c r="E14" s="1528">
        <v>0</v>
      </c>
      <c r="F14" s="1529"/>
    </row>
    <row r="15" spans="2:7" ht="13.5" customHeight="1" x14ac:dyDescent="0.35">
      <c r="B15" s="347" t="s">
        <v>130</v>
      </c>
      <c r="C15" s="13" t="s">
        <v>839</v>
      </c>
      <c r="D15" s="1530">
        <v>0</v>
      </c>
      <c r="E15" s="1528">
        <v>0</v>
      </c>
      <c r="F15" s="1529"/>
    </row>
    <row r="16" spans="2:7" ht="13.5" customHeight="1" x14ac:dyDescent="0.35">
      <c r="B16" s="1040" t="s">
        <v>131</v>
      </c>
      <c r="C16" s="1041" t="s">
        <v>840</v>
      </c>
      <c r="D16" s="1527">
        <v>1291585</v>
      </c>
      <c r="E16" s="1528">
        <v>5000</v>
      </c>
      <c r="F16" s="1531" t="s">
        <v>1633</v>
      </c>
      <c r="G16" s="1" t="s">
        <v>33</v>
      </c>
    </row>
    <row r="17" spans="2:7" ht="13.5" customHeight="1" x14ac:dyDescent="0.35">
      <c r="B17" s="347" t="s">
        <v>132</v>
      </c>
      <c r="C17" s="13" t="s">
        <v>841</v>
      </c>
      <c r="D17" s="1530">
        <v>0</v>
      </c>
      <c r="E17" s="1528">
        <v>0</v>
      </c>
      <c r="F17" s="1529"/>
    </row>
    <row r="18" spans="2:7" ht="13.5" customHeight="1" x14ac:dyDescent="0.35">
      <c r="B18" s="347" t="s">
        <v>133</v>
      </c>
      <c r="C18" s="13" t="s">
        <v>842</v>
      </c>
      <c r="D18" s="1530">
        <v>0</v>
      </c>
      <c r="E18" s="1528">
        <v>0</v>
      </c>
      <c r="F18" s="1529"/>
      <c r="G18" s="1042" t="s">
        <v>33</v>
      </c>
    </row>
    <row r="19" spans="2:7" ht="13.5" customHeight="1" x14ac:dyDescent="0.35">
      <c r="B19" s="347" t="s">
        <v>134</v>
      </c>
      <c r="C19" s="13" t="s">
        <v>843</v>
      </c>
      <c r="D19" s="1527">
        <v>-2367</v>
      </c>
      <c r="E19" s="1528">
        <v>0</v>
      </c>
      <c r="F19" s="1529"/>
    </row>
    <row r="20" spans="2:7" ht="13.5" customHeight="1" x14ac:dyDescent="0.35">
      <c r="B20" s="347" t="s">
        <v>135</v>
      </c>
      <c r="C20" s="13" t="s">
        <v>844</v>
      </c>
      <c r="D20" s="1530">
        <v>0</v>
      </c>
      <c r="E20" s="1528">
        <v>0</v>
      </c>
      <c r="F20" s="1529"/>
    </row>
    <row r="21" spans="2:7" ht="13.5" customHeight="1" x14ac:dyDescent="0.35">
      <c r="B21" s="347" t="s">
        <v>136</v>
      </c>
      <c r="C21" s="13" t="s">
        <v>845</v>
      </c>
      <c r="D21" s="1527">
        <v>240477</v>
      </c>
      <c r="E21" s="1528">
        <v>0</v>
      </c>
      <c r="F21" s="1529"/>
    </row>
    <row r="22" spans="2:7" ht="13.5" customHeight="1" x14ac:dyDescent="0.35">
      <c r="B22" s="347" t="s">
        <v>137</v>
      </c>
      <c r="C22" s="13" t="s">
        <v>846</v>
      </c>
      <c r="D22" s="1527">
        <v>2160408</v>
      </c>
      <c r="E22" s="1528">
        <v>0</v>
      </c>
      <c r="F22" s="1529"/>
    </row>
    <row r="23" spans="2:7" ht="13.5" customHeight="1" x14ac:dyDescent="0.35">
      <c r="B23" s="347" t="s">
        <v>138</v>
      </c>
      <c r="C23" s="13" t="s">
        <v>847</v>
      </c>
      <c r="D23" s="1527">
        <v>-323473</v>
      </c>
      <c r="E23" s="1528">
        <v>0</v>
      </c>
      <c r="F23" s="1529"/>
    </row>
    <row r="24" spans="2:7" ht="13.5" customHeight="1" x14ac:dyDescent="0.35">
      <c r="B24" s="347" t="s">
        <v>139</v>
      </c>
      <c r="C24" s="13" t="s">
        <v>848</v>
      </c>
      <c r="D24" s="1530">
        <v>0</v>
      </c>
      <c r="E24" s="1528">
        <v>0</v>
      </c>
      <c r="F24" s="1529"/>
    </row>
    <row r="25" spans="2:7" ht="13.5" customHeight="1" x14ac:dyDescent="0.35">
      <c r="B25" s="347" t="s">
        <v>140</v>
      </c>
      <c r="C25" s="13" t="s">
        <v>849</v>
      </c>
      <c r="D25" s="1530">
        <v>0</v>
      </c>
      <c r="E25" s="1528">
        <v>0</v>
      </c>
      <c r="F25" s="1529"/>
    </row>
    <row r="26" spans="2:7" ht="13.5" customHeight="1" x14ac:dyDescent="0.35">
      <c r="B26" s="347" t="s">
        <v>141</v>
      </c>
      <c r="C26" s="13" t="s">
        <v>850</v>
      </c>
      <c r="D26" s="1530">
        <v>0</v>
      </c>
      <c r="E26" s="1528">
        <v>0</v>
      </c>
      <c r="F26" s="1529"/>
    </row>
    <row r="27" spans="2:7" ht="13.5" customHeight="1" x14ac:dyDescent="0.35">
      <c r="B27" s="347" t="s">
        <v>142</v>
      </c>
      <c r="C27" s="13" t="s">
        <v>851</v>
      </c>
      <c r="D27" s="1530">
        <v>0</v>
      </c>
      <c r="E27" s="1528">
        <v>0</v>
      </c>
      <c r="F27" s="1529"/>
    </row>
    <row r="28" spans="2:7" ht="13.5" customHeight="1" x14ac:dyDescent="0.35">
      <c r="B28" s="347" t="s">
        <v>143</v>
      </c>
      <c r="C28" s="13" t="s">
        <v>852</v>
      </c>
      <c r="D28" s="1530">
        <v>0</v>
      </c>
      <c r="E28" s="1528">
        <v>0</v>
      </c>
      <c r="F28" s="1529"/>
    </row>
    <row r="29" spans="2:7" ht="13.5" customHeight="1" x14ac:dyDescent="0.35">
      <c r="B29" s="347" t="s">
        <v>144</v>
      </c>
      <c r="C29" s="13" t="s">
        <v>853</v>
      </c>
      <c r="D29" s="1527">
        <v>2279924</v>
      </c>
      <c r="E29" s="1528">
        <v>0</v>
      </c>
      <c r="F29" s="1529"/>
    </row>
    <row r="30" spans="2:7" ht="13.5" customHeight="1" x14ac:dyDescent="0.35">
      <c r="B30" s="347" t="s">
        <v>145</v>
      </c>
      <c r="C30" s="13" t="s">
        <v>854</v>
      </c>
      <c r="D30" s="1527">
        <v>1670320</v>
      </c>
      <c r="E30" s="1528">
        <v>0</v>
      </c>
      <c r="F30" s="1529"/>
    </row>
    <row r="31" spans="2:7" ht="13.5" customHeight="1" x14ac:dyDescent="0.35">
      <c r="B31" s="347" t="s">
        <v>146</v>
      </c>
      <c r="C31" s="13" t="s">
        <v>855</v>
      </c>
      <c r="D31" s="1530">
        <v>0</v>
      </c>
      <c r="E31" s="1528">
        <v>0</v>
      </c>
      <c r="F31" s="1529"/>
      <c r="G31" s="1" t="s">
        <v>33</v>
      </c>
    </row>
    <row r="32" spans="2:7" ht="13.5" customHeight="1" x14ac:dyDescent="0.35">
      <c r="B32" s="347" t="s">
        <v>147</v>
      </c>
      <c r="C32" s="13" t="s">
        <v>856</v>
      </c>
      <c r="D32" s="1527">
        <v>-87545</v>
      </c>
      <c r="E32" s="1528">
        <v>0</v>
      </c>
      <c r="F32" s="1529"/>
    </row>
    <row r="33" spans="2:7" ht="13.5" customHeight="1" x14ac:dyDescent="0.35">
      <c r="B33" s="347" t="s">
        <v>148</v>
      </c>
      <c r="C33" s="13" t="s">
        <v>857</v>
      </c>
      <c r="D33" s="1527">
        <v>1489736</v>
      </c>
      <c r="E33" s="1528">
        <v>0</v>
      </c>
      <c r="F33" s="1529"/>
      <c r="G33" s="1" t="s">
        <v>33</v>
      </c>
    </row>
    <row r="34" spans="2:7" ht="13.5" customHeight="1" x14ac:dyDescent="0.35">
      <c r="B34" s="347" t="s">
        <v>149</v>
      </c>
      <c r="C34" s="13" t="s">
        <v>858</v>
      </c>
      <c r="D34" s="1530">
        <v>0</v>
      </c>
      <c r="E34" s="1528">
        <v>0</v>
      </c>
      <c r="F34" s="1529"/>
      <c r="G34" s="1" t="s">
        <v>33</v>
      </c>
    </row>
    <row r="35" spans="2:7" ht="13.5" customHeight="1" x14ac:dyDescent="0.35">
      <c r="B35" s="347" t="s">
        <v>150</v>
      </c>
      <c r="C35" s="13" t="s">
        <v>1435</v>
      </c>
      <c r="D35" s="1530">
        <v>0</v>
      </c>
      <c r="E35" s="1528">
        <v>0</v>
      </c>
      <c r="F35" s="1529"/>
    </row>
    <row r="36" spans="2:7" ht="13.5" customHeight="1" x14ac:dyDescent="0.35">
      <c r="B36" s="347" t="s">
        <v>151</v>
      </c>
      <c r="C36" s="13" t="s">
        <v>860</v>
      </c>
      <c r="D36" s="1527">
        <v>630524</v>
      </c>
      <c r="E36" s="1528">
        <v>-260</v>
      </c>
      <c r="F36" s="1531" t="s">
        <v>1634</v>
      </c>
    </row>
    <row r="37" spans="2:7" ht="13.5" customHeight="1" x14ac:dyDescent="0.35">
      <c r="B37" s="347" t="s">
        <v>152</v>
      </c>
      <c r="C37" s="13" t="s">
        <v>861</v>
      </c>
      <c r="D37" s="1527">
        <v>860984</v>
      </c>
      <c r="E37" s="1528">
        <v>0</v>
      </c>
      <c r="F37" s="1529"/>
    </row>
    <row r="38" spans="2:7" ht="13.5" customHeight="1" x14ac:dyDescent="0.35">
      <c r="B38" s="347" t="s">
        <v>153</v>
      </c>
      <c r="C38" s="13" t="s">
        <v>862</v>
      </c>
      <c r="D38" s="1530">
        <v>0</v>
      </c>
      <c r="E38" s="1528">
        <v>0</v>
      </c>
      <c r="F38" s="504"/>
    </row>
    <row r="39" spans="2:7" ht="13.5" customHeight="1" x14ac:dyDescent="0.35">
      <c r="B39" s="347" t="s">
        <v>154</v>
      </c>
      <c r="C39" s="13" t="s">
        <v>863</v>
      </c>
      <c r="D39" s="1527">
        <v>1147183</v>
      </c>
      <c r="E39" s="1528">
        <v>0</v>
      </c>
      <c r="F39" s="504"/>
    </row>
    <row r="40" spans="2:7" ht="13.5" customHeight="1" x14ac:dyDescent="0.35">
      <c r="B40" s="347" t="s">
        <v>155</v>
      </c>
      <c r="C40" s="13" t="s">
        <v>864</v>
      </c>
      <c r="D40" s="1530">
        <v>0</v>
      </c>
      <c r="E40" s="1529"/>
      <c r="F40" s="504"/>
    </row>
    <row r="41" spans="2:7" ht="13.5" customHeight="1" x14ac:dyDescent="0.25">
      <c r="B41" s="1043"/>
      <c r="C41" s="1044" t="s">
        <v>64</v>
      </c>
      <c r="D41" s="995">
        <f>SUM(D12:D40)</f>
        <v>14423568</v>
      </c>
      <c r="E41" s="995">
        <f>SUM(E12:E40)</f>
        <v>4740</v>
      </c>
      <c r="F41" s="995">
        <f>SUM(F12:F40)</f>
        <v>0</v>
      </c>
    </row>
    <row r="42" spans="2:7" ht="13.5" customHeight="1" x14ac:dyDescent="0.25">
      <c r="B42" s="1045"/>
      <c r="C42" s="1046"/>
      <c r="D42" s="1047"/>
      <c r="E42" s="1047"/>
      <c r="F42" s="1048"/>
    </row>
    <row r="43" spans="2:7" ht="13.5" customHeight="1" x14ac:dyDescent="0.3">
      <c r="B43" s="1049"/>
      <c r="C43" s="1050" t="s">
        <v>270</v>
      </c>
      <c r="D43" s="1051"/>
      <c r="E43" s="1051">
        <f>408000+408000</f>
        <v>816000</v>
      </c>
      <c r="F43" s="1052"/>
    </row>
    <row r="44" spans="2:7" ht="13.5" customHeight="1" x14ac:dyDescent="0.25">
      <c r="B44" s="415"/>
      <c r="C44" s="1053"/>
      <c r="D44" s="1054"/>
      <c r="E44" s="1054"/>
      <c r="F44" s="416"/>
    </row>
    <row r="45" spans="2:7" ht="13.5" customHeight="1" x14ac:dyDescent="0.25">
      <c r="B45" s="1735" t="s">
        <v>498</v>
      </c>
      <c r="C45" s="1736"/>
      <c r="D45" s="1736"/>
      <c r="E45" s="1736"/>
      <c r="F45" s="1737"/>
    </row>
    <row r="46" spans="2:7" ht="13.5" customHeight="1" x14ac:dyDescent="0.25">
      <c r="B46" s="1738" t="s">
        <v>1436</v>
      </c>
      <c r="C46" s="1739"/>
      <c r="D46" s="1739"/>
      <c r="E46" s="1739"/>
      <c r="F46" s="1740"/>
    </row>
    <row r="47" spans="2:7" ht="13.5" customHeight="1" x14ac:dyDescent="0.25">
      <c r="B47" s="1055" t="s">
        <v>499</v>
      </c>
      <c r="C47" s="1056" t="s">
        <v>460</v>
      </c>
      <c r="D47" s="1057" t="s">
        <v>1437</v>
      </c>
      <c r="E47" s="1056" t="s">
        <v>461</v>
      </c>
      <c r="F47" s="1058" t="s">
        <v>1438</v>
      </c>
    </row>
    <row r="48" spans="2:7" ht="13.5" customHeight="1" x14ac:dyDescent="0.25">
      <c r="B48" s="272" t="s">
        <v>570</v>
      </c>
      <c r="C48" s="272" t="s">
        <v>571</v>
      </c>
      <c r="D48" s="109" t="s">
        <v>127</v>
      </c>
      <c r="E48" s="272" t="s">
        <v>572</v>
      </c>
      <c r="F48" s="156">
        <v>1950549</v>
      </c>
    </row>
    <row r="49" spans="2:6" ht="13.5" customHeight="1" x14ac:dyDescent="0.25">
      <c r="B49" s="272" t="s">
        <v>570</v>
      </c>
      <c r="C49" s="272" t="s">
        <v>571</v>
      </c>
      <c r="D49" s="109" t="s">
        <v>128</v>
      </c>
      <c r="E49" s="272" t="s">
        <v>573</v>
      </c>
      <c r="F49" s="156">
        <v>1824816</v>
      </c>
    </row>
    <row r="50" spans="2:6" ht="13.5" customHeight="1" x14ac:dyDescent="0.25">
      <c r="B50" s="272" t="s">
        <v>570</v>
      </c>
      <c r="C50" s="272" t="s">
        <v>571</v>
      </c>
      <c r="D50" s="109" t="s">
        <v>129</v>
      </c>
      <c r="E50" s="272" t="s">
        <v>574</v>
      </c>
      <c r="F50" s="156">
        <v>1806129</v>
      </c>
    </row>
    <row r="51" spans="2:6" ht="13.5" customHeight="1" x14ac:dyDescent="0.25">
      <c r="B51" s="272" t="s">
        <v>570</v>
      </c>
      <c r="C51" s="272" t="s">
        <v>571</v>
      </c>
      <c r="D51" s="109" t="s">
        <v>130</v>
      </c>
      <c r="E51" s="272" t="s">
        <v>575</v>
      </c>
      <c r="F51" s="156">
        <v>1772712</v>
      </c>
    </row>
    <row r="52" spans="2:6" ht="13.5" customHeight="1" x14ac:dyDescent="0.25">
      <c r="B52" s="272" t="s">
        <v>570</v>
      </c>
      <c r="C52" s="272" t="s">
        <v>571</v>
      </c>
      <c r="D52" s="109" t="s">
        <v>131</v>
      </c>
      <c r="E52" s="272" t="s">
        <v>576</v>
      </c>
      <c r="F52" s="156">
        <v>1737030</v>
      </c>
    </row>
    <row r="53" spans="2:6" ht="13.5" customHeight="1" x14ac:dyDescent="0.25">
      <c r="B53" s="272" t="s">
        <v>570</v>
      </c>
      <c r="C53" s="272" t="s">
        <v>571</v>
      </c>
      <c r="D53" s="109" t="s">
        <v>132</v>
      </c>
      <c r="E53" s="272" t="s">
        <v>577</v>
      </c>
      <c r="F53" s="156">
        <v>1714377</v>
      </c>
    </row>
    <row r="54" spans="2:6" ht="13.5" customHeight="1" x14ac:dyDescent="0.25">
      <c r="B54" s="272" t="s">
        <v>570</v>
      </c>
      <c r="C54" s="272" t="s">
        <v>571</v>
      </c>
      <c r="D54" s="109" t="s">
        <v>133</v>
      </c>
      <c r="E54" s="272" t="s">
        <v>578</v>
      </c>
      <c r="F54" s="156">
        <v>1588644</v>
      </c>
    </row>
    <row r="55" spans="2:6" ht="13.5" customHeight="1" x14ac:dyDescent="0.25">
      <c r="B55" s="272" t="s">
        <v>570</v>
      </c>
      <c r="C55" s="272" t="s">
        <v>571</v>
      </c>
      <c r="D55" s="109" t="s">
        <v>134</v>
      </c>
      <c r="E55" s="272" t="s">
        <v>579</v>
      </c>
      <c r="F55" s="156">
        <v>1557240</v>
      </c>
    </row>
    <row r="56" spans="2:6" ht="13.5" customHeight="1" x14ac:dyDescent="0.25">
      <c r="B56" s="272" t="s">
        <v>570</v>
      </c>
      <c r="C56" s="272" t="s">
        <v>571</v>
      </c>
      <c r="D56" s="109" t="s">
        <v>135</v>
      </c>
      <c r="E56" s="272" t="s">
        <v>1439</v>
      </c>
      <c r="F56" s="156">
        <v>1658874</v>
      </c>
    </row>
    <row r="57" spans="2:6" ht="13.5" customHeight="1" x14ac:dyDescent="0.25">
      <c r="B57" s="272" t="s">
        <v>570</v>
      </c>
      <c r="C57" s="272" t="s">
        <v>571</v>
      </c>
      <c r="D57" s="109" t="s">
        <v>136</v>
      </c>
      <c r="E57" s="272" t="s">
        <v>580</v>
      </c>
      <c r="F57" s="156">
        <v>1816323</v>
      </c>
    </row>
    <row r="58" spans="2:6" ht="13.5" customHeight="1" x14ac:dyDescent="0.25">
      <c r="B58" s="272" t="s">
        <v>570</v>
      </c>
      <c r="C58" s="272" t="s">
        <v>571</v>
      </c>
      <c r="D58" s="109" t="s">
        <v>137</v>
      </c>
      <c r="E58" s="272" t="s">
        <v>581</v>
      </c>
      <c r="F58" s="156">
        <v>1734201</v>
      </c>
    </row>
    <row r="59" spans="2:6" ht="13.5" customHeight="1" x14ac:dyDescent="0.25">
      <c r="B59" s="272" t="s">
        <v>570</v>
      </c>
      <c r="C59" s="272" t="s">
        <v>571</v>
      </c>
      <c r="D59" s="109" t="s">
        <v>138</v>
      </c>
      <c r="E59" s="272" t="s">
        <v>582</v>
      </c>
      <c r="F59" s="156">
        <v>1958478</v>
      </c>
    </row>
    <row r="60" spans="2:6" ht="13.5" customHeight="1" x14ac:dyDescent="0.25">
      <c r="B60" s="272" t="s">
        <v>570</v>
      </c>
      <c r="C60" s="272" t="s">
        <v>571</v>
      </c>
      <c r="D60" s="109" t="s">
        <v>139</v>
      </c>
      <c r="E60" s="272" t="s">
        <v>583</v>
      </c>
      <c r="F60" s="156">
        <v>1958478</v>
      </c>
    </row>
    <row r="61" spans="2:6" ht="13.5" customHeight="1" x14ac:dyDescent="0.25">
      <c r="B61" s="272" t="s">
        <v>570</v>
      </c>
      <c r="C61" s="272" t="s">
        <v>571</v>
      </c>
      <c r="D61" s="109" t="s">
        <v>140</v>
      </c>
      <c r="E61" s="272" t="s">
        <v>1440</v>
      </c>
      <c r="F61" s="156">
        <v>1958478</v>
      </c>
    </row>
    <row r="62" spans="2:6" ht="13.5" customHeight="1" x14ac:dyDescent="0.25">
      <c r="B62" s="272" t="s">
        <v>570</v>
      </c>
      <c r="C62" s="272" t="s">
        <v>571</v>
      </c>
      <c r="D62" s="109" t="s">
        <v>141</v>
      </c>
      <c r="E62" s="272" t="s">
        <v>584</v>
      </c>
      <c r="F62" s="156">
        <v>1958478</v>
      </c>
    </row>
    <row r="63" spans="2:6" ht="13.5" customHeight="1" x14ac:dyDescent="0.25">
      <c r="B63" s="272" t="s">
        <v>570</v>
      </c>
      <c r="C63" s="272" t="s">
        <v>571</v>
      </c>
      <c r="D63" s="109" t="s">
        <v>142</v>
      </c>
      <c r="E63" s="272" t="s">
        <v>585</v>
      </c>
      <c r="F63" s="156">
        <v>1958478</v>
      </c>
    </row>
    <row r="64" spans="2:6" ht="13.5" customHeight="1" x14ac:dyDescent="0.25">
      <c r="B64" s="272" t="s">
        <v>570</v>
      </c>
      <c r="C64" s="272" t="s">
        <v>571</v>
      </c>
      <c r="D64" s="109" t="s">
        <v>143</v>
      </c>
      <c r="E64" s="272" t="s">
        <v>1441</v>
      </c>
      <c r="F64" s="156">
        <v>1833312</v>
      </c>
    </row>
    <row r="65" spans="2:6" ht="13.5" customHeight="1" x14ac:dyDescent="0.25">
      <c r="B65" s="272" t="s">
        <v>570</v>
      </c>
      <c r="C65" s="272" t="s">
        <v>571</v>
      </c>
      <c r="D65" s="109" t="s">
        <v>144</v>
      </c>
      <c r="E65" s="272" t="s">
        <v>586</v>
      </c>
      <c r="F65" s="156">
        <v>1910904</v>
      </c>
    </row>
    <row r="66" spans="2:6" ht="13.5" customHeight="1" x14ac:dyDescent="0.25">
      <c r="B66" s="272" t="s">
        <v>570</v>
      </c>
      <c r="C66" s="272" t="s">
        <v>571</v>
      </c>
      <c r="D66" s="109" t="s">
        <v>145</v>
      </c>
      <c r="E66" s="272" t="s">
        <v>1442</v>
      </c>
      <c r="F66" s="156">
        <v>2540700</v>
      </c>
    </row>
    <row r="67" spans="2:6" ht="13.5" customHeight="1" x14ac:dyDescent="0.25">
      <c r="B67" s="272" t="s">
        <v>570</v>
      </c>
      <c r="C67" s="272" t="s">
        <v>571</v>
      </c>
      <c r="D67" s="109" t="s">
        <v>146</v>
      </c>
      <c r="E67" s="272" t="s">
        <v>1443</v>
      </c>
      <c r="F67" s="156">
        <v>2256951</v>
      </c>
    </row>
    <row r="68" spans="2:6" ht="13.5" customHeight="1" x14ac:dyDescent="0.25">
      <c r="B68" s="272" t="s">
        <v>570</v>
      </c>
      <c r="C68" s="272" t="s">
        <v>571</v>
      </c>
      <c r="D68" s="109" t="s">
        <v>147</v>
      </c>
      <c r="E68" s="272" t="s">
        <v>433</v>
      </c>
      <c r="F68" s="156">
        <v>2353233</v>
      </c>
    </row>
    <row r="69" spans="2:6" ht="13.5" customHeight="1" x14ac:dyDescent="0.25">
      <c r="B69" s="272" t="s">
        <v>570</v>
      </c>
      <c r="C69" s="272" t="s">
        <v>571</v>
      </c>
      <c r="D69" s="109" t="s">
        <v>148</v>
      </c>
      <c r="E69" s="272" t="s">
        <v>1444</v>
      </c>
      <c r="F69" s="156">
        <v>2266014</v>
      </c>
    </row>
    <row r="70" spans="2:6" ht="13.5" customHeight="1" x14ac:dyDescent="0.25">
      <c r="B70" s="272" t="s">
        <v>570</v>
      </c>
      <c r="C70" s="272" t="s">
        <v>571</v>
      </c>
      <c r="D70" s="109" t="s">
        <v>149</v>
      </c>
      <c r="E70" s="272" t="s">
        <v>587</v>
      </c>
      <c r="F70" s="156">
        <v>2124990</v>
      </c>
    </row>
    <row r="71" spans="2:6" ht="13.5" customHeight="1" x14ac:dyDescent="0.25">
      <c r="B71" s="272" t="s">
        <v>570</v>
      </c>
      <c r="C71" s="272" t="s">
        <v>571</v>
      </c>
      <c r="D71" s="109" t="s">
        <v>150</v>
      </c>
      <c r="E71" s="272" t="s">
        <v>588</v>
      </c>
      <c r="F71" s="156">
        <v>2186724</v>
      </c>
    </row>
    <row r="72" spans="2:6" ht="13.5" customHeight="1" x14ac:dyDescent="0.25">
      <c r="B72" s="272" t="s">
        <v>570</v>
      </c>
      <c r="C72" s="272" t="s">
        <v>571</v>
      </c>
      <c r="D72" s="109" t="s">
        <v>151</v>
      </c>
      <c r="E72" s="272" t="s">
        <v>589</v>
      </c>
      <c r="F72" s="156">
        <v>2823312</v>
      </c>
    </row>
    <row r="73" spans="2:6" ht="13.5" customHeight="1" x14ac:dyDescent="0.25">
      <c r="B73" s="272" t="s">
        <v>570</v>
      </c>
      <c r="C73" s="272" t="s">
        <v>571</v>
      </c>
      <c r="D73" s="109" t="s">
        <v>152</v>
      </c>
      <c r="E73" s="272" t="s">
        <v>590</v>
      </c>
      <c r="F73" s="156">
        <v>2045700</v>
      </c>
    </row>
    <row r="74" spans="2:6" ht="13.5" customHeight="1" x14ac:dyDescent="0.25">
      <c r="B74" s="272" t="s">
        <v>570</v>
      </c>
      <c r="C74" s="272" t="s">
        <v>571</v>
      </c>
      <c r="D74" s="109" t="s">
        <v>153</v>
      </c>
      <c r="E74" s="272" t="s">
        <v>591</v>
      </c>
      <c r="F74" s="156">
        <v>1735332</v>
      </c>
    </row>
    <row r="75" spans="2:6" ht="13.5" customHeight="1" x14ac:dyDescent="0.25">
      <c r="B75" s="272" t="s">
        <v>570</v>
      </c>
      <c r="C75" s="272" t="s">
        <v>571</v>
      </c>
      <c r="D75" s="109" t="s">
        <v>154</v>
      </c>
      <c r="E75" s="272" t="s">
        <v>592</v>
      </c>
      <c r="F75" s="156">
        <v>1744959</v>
      </c>
    </row>
    <row r="76" spans="2:6" ht="13.5" customHeight="1" x14ac:dyDescent="0.25">
      <c r="B76" s="272" t="s">
        <v>570</v>
      </c>
      <c r="C76" s="272" t="s">
        <v>571</v>
      </c>
      <c r="D76" s="109" t="s">
        <v>155</v>
      </c>
      <c r="E76" s="272" t="s">
        <v>593</v>
      </c>
      <c r="F76" s="156">
        <v>1861065</v>
      </c>
    </row>
    <row r="77" spans="2:6" ht="13.5" customHeight="1" x14ac:dyDescent="0.25">
      <c r="B77" s="1741" t="s">
        <v>1445</v>
      </c>
      <c r="C77" s="1742"/>
      <c r="D77" s="1742"/>
      <c r="E77" s="1743"/>
      <c r="F77" s="1059">
        <f>SUM(F48:F76)</f>
        <v>56636481</v>
      </c>
    </row>
    <row r="78" spans="2:6" ht="13.5" customHeight="1" x14ac:dyDescent="0.25">
      <c r="B78" s="1724" t="s">
        <v>1446</v>
      </c>
      <c r="C78" s="1725"/>
      <c r="D78" s="1725"/>
      <c r="E78" s="1725"/>
      <c r="F78" s="1726"/>
    </row>
    <row r="79" spans="2:6" ht="13.5" customHeight="1" x14ac:dyDescent="0.25">
      <c r="B79" s="945" t="s">
        <v>1447</v>
      </c>
      <c r="C79" s="969" t="s">
        <v>1448</v>
      </c>
      <c r="D79" s="947"/>
      <c r="E79" s="945" t="s">
        <v>448</v>
      </c>
      <c r="F79" s="946">
        <v>1467000</v>
      </c>
    </row>
    <row r="80" spans="2:6" ht="13.5" customHeight="1" x14ac:dyDescent="0.25">
      <c r="B80" s="945" t="s">
        <v>1449</v>
      </c>
      <c r="C80" s="969" t="s">
        <v>1450</v>
      </c>
      <c r="D80" s="947"/>
      <c r="E80" s="945" t="s">
        <v>448</v>
      </c>
      <c r="F80" s="946">
        <v>266000</v>
      </c>
    </row>
    <row r="81" spans="2:6" ht="13.5" customHeight="1" x14ac:dyDescent="0.25">
      <c r="B81" s="1060" t="s">
        <v>1451</v>
      </c>
      <c r="C81" s="1061" t="s">
        <v>1452</v>
      </c>
      <c r="D81" s="945" t="s">
        <v>1453</v>
      </c>
      <c r="E81" s="945" t="s">
        <v>391</v>
      </c>
      <c r="F81" s="946">
        <v>2132350</v>
      </c>
    </row>
    <row r="82" spans="2:6" ht="13.5" customHeight="1" x14ac:dyDescent="0.25">
      <c r="B82" s="1060" t="s">
        <v>1451</v>
      </c>
      <c r="C82" s="1061" t="s">
        <v>1452</v>
      </c>
      <c r="D82" s="1060" t="s">
        <v>1454</v>
      </c>
      <c r="E82" s="945" t="s">
        <v>391</v>
      </c>
      <c r="F82" s="1062">
        <v>-1184249</v>
      </c>
    </row>
    <row r="83" spans="2:6" ht="13.5" customHeight="1" x14ac:dyDescent="0.25">
      <c r="B83" s="1060" t="s">
        <v>1451</v>
      </c>
      <c r="C83" s="1061" t="s">
        <v>1452</v>
      </c>
      <c r="D83" s="1060" t="s">
        <v>1455</v>
      </c>
      <c r="E83" s="945" t="s">
        <v>391</v>
      </c>
      <c r="F83" s="1062">
        <v>1115699</v>
      </c>
    </row>
    <row r="84" spans="2:6" ht="13.5" customHeight="1" x14ac:dyDescent="0.25">
      <c r="B84" s="1060" t="s">
        <v>1451</v>
      </c>
      <c r="C84" s="1061" t="s">
        <v>1452</v>
      </c>
      <c r="D84" s="1060" t="s">
        <v>1456</v>
      </c>
      <c r="E84" s="945" t="s">
        <v>391</v>
      </c>
      <c r="F84" s="1062">
        <v>25300</v>
      </c>
    </row>
    <row r="85" spans="2:6" ht="13.5" customHeight="1" x14ac:dyDescent="0.25">
      <c r="B85" s="1060" t="s">
        <v>1451</v>
      </c>
      <c r="C85" s="1061" t="s">
        <v>1457</v>
      </c>
      <c r="D85" s="1060" t="s">
        <v>1458</v>
      </c>
      <c r="E85" s="1060" t="s">
        <v>391</v>
      </c>
      <c r="F85" s="1062">
        <v>196899</v>
      </c>
    </row>
    <row r="86" spans="2:6" ht="13.5" customHeight="1" x14ac:dyDescent="0.25">
      <c r="B86" s="1060" t="s">
        <v>1459</v>
      </c>
      <c r="C86" s="1063" t="s">
        <v>1460</v>
      </c>
      <c r="D86" s="1064" t="s">
        <v>1461</v>
      </c>
      <c r="E86" s="1065" t="s">
        <v>1462</v>
      </c>
      <c r="F86" s="1066">
        <v>1900000</v>
      </c>
    </row>
    <row r="87" spans="2:6" ht="13.5" customHeight="1" x14ac:dyDescent="0.25">
      <c r="B87" s="1060" t="s">
        <v>1459</v>
      </c>
      <c r="C87" s="1061" t="s">
        <v>1463</v>
      </c>
      <c r="D87" s="1060" t="s">
        <v>1464</v>
      </c>
      <c r="E87" s="272" t="s">
        <v>1465</v>
      </c>
      <c r="F87" s="1062">
        <v>1678300</v>
      </c>
    </row>
    <row r="88" spans="2:6" ht="13.5" customHeight="1" x14ac:dyDescent="0.25">
      <c r="B88" s="1067" t="s">
        <v>1466</v>
      </c>
      <c r="C88" s="1068"/>
      <c r="D88" s="1068"/>
      <c r="E88" s="1069"/>
      <c r="F88" s="1062"/>
    </row>
    <row r="89" spans="2:6" ht="13.5" customHeight="1" x14ac:dyDescent="0.25">
      <c r="B89" s="401" t="s">
        <v>1467</v>
      </c>
      <c r="C89" s="1070">
        <v>3903</v>
      </c>
      <c r="D89" s="1069" t="s">
        <v>1468</v>
      </c>
      <c r="E89" s="272" t="s">
        <v>1469</v>
      </c>
      <c r="F89" s="1062">
        <v>2600000</v>
      </c>
    </row>
    <row r="90" spans="2:6" ht="13.5" customHeight="1" x14ac:dyDescent="0.25">
      <c r="B90" s="401" t="s">
        <v>1467</v>
      </c>
      <c r="C90" s="1070">
        <v>3903</v>
      </c>
      <c r="D90" s="1069" t="s">
        <v>1468</v>
      </c>
      <c r="E90" s="272" t="s">
        <v>1470</v>
      </c>
      <c r="F90" s="1062">
        <v>1020000</v>
      </c>
    </row>
    <row r="91" spans="2:6" ht="13.5" customHeight="1" x14ac:dyDescent="0.25">
      <c r="B91" s="401" t="s">
        <v>1467</v>
      </c>
      <c r="C91" s="1070">
        <v>3870</v>
      </c>
      <c r="D91" s="1069" t="s">
        <v>632</v>
      </c>
      <c r="E91" s="272" t="s">
        <v>1271</v>
      </c>
      <c r="F91" s="1062">
        <v>443150</v>
      </c>
    </row>
    <row r="92" spans="2:6" ht="13.5" customHeight="1" x14ac:dyDescent="0.25">
      <c r="B92" s="401" t="s">
        <v>1467</v>
      </c>
      <c r="C92" s="1070">
        <v>3882</v>
      </c>
      <c r="D92" s="1069" t="s">
        <v>1471</v>
      </c>
      <c r="E92" s="272" t="s">
        <v>1271</v>
      </c>
      <c r="F92" s="1062">
        <v>105199</v>
      </c>
    </row>
    <row r="93" spans="2:6" ht="13.5" customHeight="1" x14ac:dyDescent="0.35">
      <c r="B93" s="1727" t="s">
        <v>1472</v>
      </c>
      <c r="C93" s="1728"/>
      <c r="D93" s="1728"/>
      <c r="E93" s="1729"/>
      <c r="F93" s="1071">
        <f>SUM(F79:F92)</f>
        <v>11765648</v>
      </c>
    </row>
    <row r="94" spans="2:6" ht="13.5" customHeight="1" x14ac:dyDescent="0.35">
      <c r="B94" s="1727" t="s">
        <v>1473</v>
      </c>
      <c r="C94" s="1728"/>
      <c r="D94" s="1728"/>
      <c r="E94" s="1729"/>
      <c r="F94" s="1072">
        <f>+F77-F93</f>
        <v>44870833</v>
      </c>
    </row>
    <row r="95" spans="2:6" ht="13.5" customHeight="1" x14ac:dyDescent="0.25">
      <c r="B95" s="415"/>
      <c r="F95" s="43"/>
    </row>
    <row r="96" spans="2:6" ht="13.5" customHeight="1" x14ac:dyDescent="0.35">
      <c r="B96" s="1730" t="s">
        <v>1474</v>
      </c>
      <c r="C96" s="1730"/>
      <c r="D96" s="1730"/>
      <c r="E96" s="1730"/>
      <c r="F96" s="1730"/>
    </row>
    <row r="97" spans="2:6" ht="13.5" customHeight="1" x14ac:dyDescent="0.35">
      <c r="B97" s="1073"/>
      <c r="C97" s="1073" t="s">
        <v>1527</v>
      </c>
      <c r="D97" s="1073" t="s">
        <v>1528</v>
      </c>
      <c r="E97" s="1073"/>
      <c r="F97" s="1072">
        <v>3232000</v>
      </c>
    </row>
  </sheetData>
  <mergeCells count="10">
    <mergeCell ref="B78:F78"/>
    <mergeCell ref="B93:E93"/>
    <mergeCell ref="B94:E94"/>
    <mergeCell ref="B96:F96"/>
    <mergeCell ref="B1:F1"/>
    <mergeCell ref="B2:F2"/>
    <mergeCell ref="C10:E10"/>
    <mergeCell ref="B45:F45"/>
    <mergeCell ref="B46:F46"/>
    <mergeCell ref="B77:E77"/>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7BA4A-3F04-46E0-966C-5934197A8C41}">
  <dimension ref="B1:G97"/>
  <sheetViews>
    <sheetView topLeftCell="A30" workbookViewId="0">
      <selection activeCell="E41" sqref="E41"/>
    </sheetView>
  </sheetViews>
  <sheetFormatPr baseColWidth="10" defaultRowHeight="12.5" x14ac:dyDescent="0.25"/>
  <cols>
    <col min="1" max="1" width="4.7265625" customWidth="1"/>
    <col min="2" max="2" width="13" customWidth="1"/>
    <col min="3" max="3" width="24" customWidth="1"/>
    <col min="4" max="4" width="14.54296875" customWidth="1"/>
    <col min="5" max="5" width="16.81640625" style="18" customWidth="1"/>
    <col min="6" max="6" width="18.453125" customWidth="1"/>
    <col min="7" max="7" width="14.26953125" bestFit="1" customWidth="1"/>
    <col min="257" max="257" width="4.7265625" customWidth="1"/>
    <col min="258" max="258" width="13" customWidth="1"/>
    <col min="259" max="259" width="24" customWidth="1"/>
    <col min="260" max="260" width="14.54296875" customWidth="1"/>
    <col min="261" max="261" width="16.81640625" customWidth="1"/>
    <col min="262" max="262" width="18.453125" customWidth="1"/>
    <col min="263" max="263" width="14.26953125" bestFit="1" customWidth="1"/>
    <col min="513" max="513" width="4.7265625" customWidth="1"/>
    <col min="514" max="514" width="13" customWidth="1"/>
    <col min="515" max="515" width="24" customWidth="1"/>
    <col min="516" max="516" width="14.54296875" customWidth="1"/>
    <col min="517" max="517" width="16.81640625" customWidth="1"/>
    <col min="518" max="518" width="18.453125" customWidth="1"/>
    <col min="519" max="519" width="14.26953125" bestFit="1" customWidth="1"/>
    <col min="769" max="769" width="4.7265625" customWidth="1"/>
    <col min="770" max="770" width="13" customWidth="1"/>
    <col min="771" max="771" width="24" customWidth="1"/>
    <col min="772" max="772" width="14.54296875" customWidth="1"/>
    <col min="773" max="773" width="16.81640625" customWidth="1"/>
    <col min="774" max="774" width="18.453125" customWidth="1"/>
    <col min="775" max="775" width="14.26953125" bestFit="1" customWidth="1"/>
    <col min="1025" max="1025" width="4.7265625" customWidth="1"/>
    <col min="1026" max="1026" width="13" customWidth="1"/>
    <col min="1027" max="1027" width="24" customWidth="1"/>
    <col min="1028" max="1028" width="14.54296875" customWidth="1"/>
    <col min="1029" max="1029" width="16.81640625" customWidth="1"/>
    <col min="1030" max="1030" width="18.453125" customWidth="1"/>
    <col min="1031" max="1031" width="14.26953125" bestFit="1" customWidth="1"/>
    <col min="1281" max="1281" width="4.7265625" customWidth="1"/>
    <col min="1282" max="1282" width="13" customWidth="1"/>
    <col min="1283" max="1283" width="24" customWidth="1"/>
    <col min="1284" max="1284" width="14.54296875" customWidth="1"/>
    <col min="1285" max="1285" width="16.81640625" customWidth="1"/>
    <col min="1286" max="1286" width="18.453125" customWidth="1"/>
    <col min="1287" max="1287" width="14.26953125" bestFit="1" customWidth="1"/>
    <col min="1537" max="1537" width="4.7265625" customWidth="1"/>
    <col min="1538" max="1538" width="13" customWidth="1"/>
    <col min="1539" max="1539" width="24" customWidth="1"/>
    <col min="1540" max="1540" width="14.54296875" customWidth="1"/>
    <col min="1541" max="1541" width="16.81640625" customWidth="1"/>
    <col min="1542" max="1542" width="18.453125" customWidth="1"/>
    <col min="1543" max="1543" width="14.26953125" bestFit="1" customWidth="1"/>
    <col min="1793" max="1793" width="4.7265625" customWidth="1"/>
    <col min="1794" max="1794" width="13" customWidth="1"/>
    <col min="1795" max="1795" width="24" customWidth="1"/>
    <col min="1796" max="1796" width="14.54296875" customWidth="1"/>
    <col min="1797" max="1797" width="16.81640625" customWidth="1"/>
    <col min="1798" max="1798" width="18.453125" customWidth="1"/>
    <col min="1799" max="1799" width="14.26953125" bestFit="1" customWidth="1"/>
    <col min="2049" max="2049" width="4.7265625" customWidth="1"/>
    <col min="2050" max="2050" width="13" customWidth="1"/>
    <col min="2051" max="2051" width="24" customWidth="1"/>
    <col min="2052" max="2052" width="14.54296875" customWidth="1"/>
    <col min="2053" max="2053" width="16.81640625" customWidth="1"/>
    <col min="2054" max="2054" width="18.453125" customWidth="1"/>
    <col min="2055" max="2055" width="14.26953125" bestFit="1" customWidth="1"/>
    <col min="2305" max="2305" width="4.7265625" customWidth="1"/>
    <col min="2306" max="2306" width="13" customWidth="1"/>
    <col min="2307" max="2307" width="24" customWidth="1"/>
    <col min="2308" max="2308" width="14.54296875" customWidth="1"/>
    <col min="2309" max="2309" width="16.81640625" customWidth="1"/>
    <col min="2310" max="2310" width="18.453125" customWidth="1"/>
    <col min="2311" max="2311" width="14.26953125" bestFit="1" customWidth="1"/>
    <col min="2561" max="2561" width="4.7265625" customWidth="1"/>
    <col min="2562" max="2562" width="13" customWidth="1"/>
    <col min="2563" max="2563" width="24" customWidth="1"/>
    <col min="2564" max="2564" width="14.54296875" customWidth="1"/>
    <col min="2565" max="2565" width="16.81640625" customWidth="1"/>
    <col min="2566" max="2566" width="18.453125" customWidth="1"/>
    <col min="2567" max="2567" width="14.26953125" bestFit="1" customWidth="1"/>
    <col min="2817" max="2817" width="4.7265625" customWidth="1"/>
    <col min="2818" max="2818" width="13" customWidth="1"/>
    <col min="2819" max="2819" width="24" customWidth="1"/>
    <col min="2820" max="2820" width="14.54296875" customWidth="1"/>
    <col min="2821" max="2821" width="16.81640625" customWidth="1"/>
    <col min="2822" max="2822" width="18.453125" customWidth="1"/>
    <col min="2823" max="2823" width="14.26953125" bestFit="1" customWidth="1"/>
    <col min="3073" max="3073" width="4.7265625" customWidth="1"/>
    <col min="3074" max="3074" width="13" customWidth="1"/>
    <col min="3075" max="3075" width="24" customWidth="1"/>
    <col min="3076" max="3076" width="14.54296875" customWidth="1"/>
    <col min="3077" max="3077" width="16.81640625" customWidth="1"/>
    <col min="3078" max="3078" width="18.453125" customWidth="1"/>
    <col min="3079" max="3079" width="14.26953125" bestFit="1" customWidth="1"/>
    <col min="3329" max="3329" width="4.7265625" customWidth="1"/>
    <col min="3330" max="3330" width="13" customWidth="1"/>
    <col min="3331" max="3331" width="24" customWidth="1"/>
    <col min="3332" max="3332" width="14.54296875" customWidth="1"/>
    <col min="3333" max="3333" width="16.81640625" customWidth="1"/>
    <col min="3334" max="3334" width="18.453125" customWidth="1"/>
    <col min="3335" max="3335" width="14.26953125" bestFit="1" customWidth="1"/>
    <col min="3585" max="3585" width="4.7265625" customWidth="1"/>
    <col min="3586" max="3586" width="13" customWidth="1"/>
    <col min="3587" max="3587" width="24" customWidth="1"/>
    <col min="3588" max="3588" width="14.54296875" customWidth="1"/>
    <col min="3589" max="3589" width="16.81640625" customWidth="1"/>
    <col min="3590" max="3590" width="18.453125" customWidth="1"/>
    <col min="3591" max="3591" width="14.26953125" bestFit="1" customWidth="1"/>
    <col min="3841" max="3841" width="4.7265625" customWidth="1"/>
    <col min="3842" max="3842" width="13" customWidth="1"/>
    <col min="3843" max="3843" width="24" customWidth="1"/>
    <col min="3844" max="3844" width="14.54296875" customWidth="1"/>
    <col min="3845" max="3845" width="16.81640625" customWidth="1"/>
    <col min="3846" max="3846" width="18.453125" customWidth="1"/>
    <col min="3847" max="3847" width="14.26953125" bestFit="1" customWidth="1"/>
    <col min="4097" max="4097" width="4.7265625" customWidth="1"/>
    <col min="4098" max="4098" width="13" customWidth="1"/>
    <col min="4099" max="4099" width="24" customWidth="1"/>
    <col min="4100" max="4100" width="14.54296875" customWidth="1"/>
    <col min="4101" max="4101" width="16.81640625" customWidth="1"/>
    <col min="4102" max="4102" width="18.453125" customWidth="1"/>
    <col min="4103" max="4103" width="14.26953125" bestFit="1" customWidth="1"/>
    <col min="4353" max="4353" width="4.7265625" customWidth="1"/>
    <col min="4354" max="4354" width="13" customWidth="1"/>
    <col min="4355" max="4355" width="24" customWidth="1"/>
    <col min="4356" max="4356" width="14.54296875" customWidth="1"/>
    <col min="4357" max="4357" width="16.81640625" customWidth="1"/>
    <col min="4358" max="4358" width="18.453125" customWidth="1"/>
    <col min="4359" max="4359" width="14.26953125" bestFit="1" customWidth="1"/>
    <col min="4609" max="4609" width="4.7265625" customWidth="1"/>
    <col min="4610" max="4610" width="13" customWidth="1"/>
    <col min="4611" max="4611" width="24" customWidth="1"/>
    <col min="4612" max="4612" width="14.54296875" customWidth="1"/>
    <col min="4613" max="4613" width="16.81640625" customWidth="1"/>
    <col min="4614" max="4614" width="18.453125" customWidth="1"/>
    <col min="4615" max="4615" width="14.26953125" bestFit="1" customWidth="1"/>
    <col min="4865" max="4865" width="4.7265625" customWidth="1"/>
    <col min="4866" max="4866" width="13" customWidth="1"/>
    <col min="4867" max="4867" width="24" customWidth="1"/>
    <col min="4868" max="4868" width="14.54296875" customWidth="1"/>
    <col min="4869" max="4869" width="16.81640625" customWidth="1"/>
    <col min="4870" max="4870" width="18.453125" customWidth="1"/>
    <col min="4871" max="4871" width="14.26953125" bestFit="1" customWidth="1"/>
    <col min="5121" max="5121" width="4.7265625" customWidth="1"/>
    <col min="5122" max="5122" width="13" customWidth="1"/>
    <col min="5123" max="5123" width="24" customWidth="1"/>
    <col min="5124" max="5124" width="14.54296875" customWidth="1"/>
    <col min="5125" max="5125" width="16.81640625" customWidth="1"/>
    <col min="5126" max="5126" width="18.453125" customWidth="1"/>
    <col min="5127" max="5127" width="14.26953125" bestFit="1" customWidth="1"/>
    <col min="5377" max="5377" width="4.7265625" customWidth="1"/>
    <col min="5378" max="5378" width="13" customWidth="1"/>
    <col min="5379" max="5379" width="24" customWidth="1"/>
    <col min="5380" max="5380" width="14.54296875" customWidth="1"/>
    <col min="5381" max="5381" width="16.81640625" customWidth="1"/>
    <col min="5382" max="5382" width="18.453125" customWidth="1"/>
    <col min="5383" max="5383" width="14.26953125" bestFit="1" customWidth="1"/>
    <col min="5633" max="5633" width="4.7265625" customWidth="1"/>
    <col min="5634" max="5634" width="13" customWidth="1"/>
    <col min="5635" max="5635" width="24" customWidth="1"/>
    <col min="5636" max="5636" width="14.54296875" customWidth="1"/>
    <col min="5637" max="5637" width="16.81640625" customWidth="1"/>
    <col min="5638" max="5638" width="18.453125" customWidth="1"/>
    <col min="5639" max="5639" width="14.26953125" bestFit="1" customWidth="1"/>
    <col min="5889" max="5889" width="4.7265625" customWidth="1"/>
    <col min="5890" max="5890" width="13" customWidth="1"/>
    <col min="5891" max="5891" width="24" customWidth="1"/>
    <col min="5892" max="5892" width="14.54296875" customWidth="1"/>
    <col min="5893" max="5893" width="16.81640625" customWidth="1"/>
    <col min="5894" max="5894" width="18.453125" customWidth="1"/>
    <col min="5895" max="5895" width="14.26953125" bestFit="1" customWidth="1"/>
    <col min="6145" max="6145" width="4.7265625" customWidth="1"/>
    <col min="6146" max="6146" width="13" customWidth="1"/>
    <col min="6147" max="6147" width="24" customWidth="1"/>
    <col min="6148" max="6148" width="14.54296875" customWidth="1"/>
    <col min="6149" max="6149" width="16.81640625" customWidth="1"/>
    <col min="6150" max="6150" width="18.453125" customWidth="1"/>
    <col min="6151" max="6151" width="14.26953125" bestFit="1" customWidth="1"/>
    <col min="6401" max="6401" width="4.7265625" customWidth="1"/>
    <col min="6402" max="6402" width="13" customWidth="1"/>
    <col min="6403" max="6403" width="24" customWidth="1"/>
    <col min="6404" max="6404" width="14.54296875" customWidth="1"/>
    <col min="6405" max="6405" width="16.81640625" customWidth="1"/>
    <col min="6406" max="6406" width="18.453125" customWidth="1"/>
    <col min="6407" max="6407" width="14.26953125" bestFit="1" customWidth="1"/>
    <col min="6657" max="6657" width="4.7265625" customWidth="1"/>
    <col min="6658" max="6658" width="13" customWidth="1"/>
    <col min="6659" max="6659" width="24" customWidth="1"/>
    <col min="6660" max="6660" width="14.54296875" customWidth="1"/>
    <col min="6661" max="6661" width="16.81640625" customWidth="1"/>
    <col min="6662" max="6662" width="18.453125" customWidth="1"/>
    <col min="6663" max="6663" width="14.26953125" bestFit="1" customWidth="1"/>
    <col min="6913" max="6913" width="4.7265625" customWidth="1"/>
    <col min="6914" max="6914" width="13" customWidth="1"/>
    <col min="6915" max="6915" width="24" customWidth="1"/>
    <col min="6916" max="6916" width="14.54296875" customWidth="1"/>
    <col min="6917" max="6917" width="16.81640625" customWidth="1"/>
    <col min="6918" max="6918" width="18.453125" customWidth="1"/>
    <col min="6919" max="6919" width="14.26953125" bestFit="1" customWidth="1"/>
    <col min="7169" max="7169" width="4.7265625" customWidth="1"/>
    <col min="7170" max="7170" width="13" customWidth="1"/>
    <col min="7171" max="7171" width="24" customWidth="1"/>
    <col min="7172" max="7172" width="14.54296875" customWidth="1"/>
    <col min="7173" max="7173" width="16.81640625" customWidth="1"/>
    <col min="7174" max="7174" width="18.453125" customWidth="1"/>
    <col min="7175" max="7175" width="14.26953125" bestFit="1" customWidth="1"/>
    <col min="7425" max="7425" width="4.7265625" customWidth="1"/>
    <col min="7426" max="7426" width="13" customWidth="1"/>
    <col min="7427" max="7427" width="24" customWidth="1"/>
    <col min="7428" max="7428" width="14.54296875" customWidth="1"/>
    <col min="7429" max="7429" width="16.81640625" customWidth="1"/>
    <col min="7430" max="7430" width="18.453125" customWidth="1"/>
    <col min="7431" max="7431" width="14.26953125" bestFit="1" customWidth="1"/>
    <col min="7681" max="7681" width="4.7265625" customWidth="1"/>
    <col min="7682" max="7682" width="13" customWidth="1"/>
    <col min="7683" max="7683" width="24" customWidth="1"/>
    <col min="7684" max="7684" width="14.54296875" customWidth="1"/>
    <col min="7685" max="7685" width="16.81640625" customWidth="1"/>
    <col min="7686" max="7686" width="18.453125" customWidth="1"/>
    <col min="7687" max="7687" width="14.26953125" bestFit="1" customWidth="1"/>
    <col min="7937" max="7937" width="4.7265625" customWidth="1"/>
    <col min="7938" max="7938" width="13" customWidth="1"/>
    <col min="7939" max="7939" width="24" customWidth="1"/>
    <col min="7940" max="7940" width="14.54296875" customWidth="1"/>
    <col min="7941" max="7941" width="16.81640625" customWidth="1"/>
    <col min="7942" max="7942" width="18.453125" customWidth="1"/>
    <col min="7943" max="7943" width="14.26953125" bestFit="1" customWidth="1"/>
    <col min="8193" max="8193" width="4.7265625" customWidth="1"/>
    <col min="8194" max="8194" width="13" customWidth="1"/>
    <col min="8195" max="8195" width="24" customWidth="1"/>
    <col min="8196" max="8196" width="14.54296875" customWidth="1"/>
    <col min="8197" max="8197" width="16.81640625" customWidth="1"/>
    <col min="8198" max="8198" width="18.453125" customWidth="1"/>
    <col min="8199" max="8199" width="14.26953125" bestFit="1" customWidth="1"/>
    <col min="8449" max="8449" width="4.7265625" customWidth="1"/>
    <col min="8450" max="8450" width="13" customWidth="1"/>
    <col min="8451" max="8451" width="24" customWidth="1"/>
    <col min="8452" max="8452" width="14.54296875" customWidth="1"/>
    <col min="8453" max="8453" width="16.81640625" customWidth="1"/>
    <col min="8454" max="8454" width="18.453125" customWidth="1"/>
    <col min="8455" max="8455" width="14.26953125" bestFit="1" customWidth="1"/>
    <col min="8705" max="8705" width="4.7265625" customWidth="1"/>
    <col min="8706" max="8706" width="13" customWidth="1"/>
    <col min="8707" max="8707" width="24" customWidth="1"/>
    <col min="8708" max="8708" width="14.54296875" customWidth="1"/>
    <col min="8709" max="8709" width="16.81640625" customWidth="1"/>
    <col min="8710" max="8710" width="18.453125" customWidth="1"/>
    <col min="8711" max="8711" width="14.26953125" bestFit="1" customWidth="1"/>
    <col min="8961" max="8961" width="4.7265625" customWidth="1"/>
    <col min="8962" max="8962" width="13" customWidth="1"/>
    <col min="8963" max="8963" width="24" customWidth="1"/>
    <col min="8964" max="8964" width="14.54296875" customWidth="1"/>
    <col min="8965" max="8965" width="16.81640625" customWidth="1"/>
    <col min="8966" max="8966" width="18.453125" customWidth="1"/>
    <col min="8967" max="8967" width="14.26953125" bestFit="1" customWidth="1"/>
    <col min="9217" max="9217" width="4.7265625" customWidth="1"/>
    <col min="9218" max="9218" width="13" customWidth="1"/>
    <col min="9219" max="9219" width="24" customWidth="1"/>
    <col min="9220" max="9220" width="14.54296875" customWidth="1"/>
    <col min="9221" max="9221" width="16.81640625" customWidth="1"/>
    <col min="9222" max="9222" width="18.453125" customWidth="1"/>
    <col min="9223" max="9223" width="14.26953125" bestFit="1" customWidth="1"/>
    <col min="9473" max="9473" width="4.7265625" customWidth="1"/>
    <col min="9474" max="9474" width="13" customWidth="1"/>
    <col min="9475" max="9475" width="24" customWidth="1"/>
    <col min="9476" max="9476" width="14.54296875" customWidth="1"/>
    <col min="9477" max="9477" width="16.81640625" customWidth="1"/>
    <col min="9478" max="9478" width="18.453125" customWidth="1"/>
    <col min="9479" max="9479" width="14.26953125" bestFit="1" customWidth="1"/>
    <col min="9729" max="9729" width="4.7265625" customWidth="1"/>
    <col min="9730" max="9730" width="13" customWidth="1"/>
    <col min="9731" max="9731" width="24" customWidth="1"/>
    <col min="9732" max="9732" width="14.54296875" customWidth="1"/>
    <col min="9733" max="9733" width="16.81640625" customWidth="1"/>
    <col min="9734" max="9734" width="18.453125" customWidth="1"/>
    <col min="9735" max="9735" width="14.26953125" bestFit="1" customWidth="1"/>
    <col min="9985" max="9985" width="4.7265625" customWidth="1"/>
    <col min="9986" max="9986" width="13" customWidth="1"/>
    <col min="9987" max="9987" width="24" customWidth="1"/>
    <col min="9988" max="9988" width="14.54296875" customWidth="1"/>
    <col min="9989" max="9989" width="16.81640625" customWidth="1"/>
    <col min="9990" max="9990" width="18.453125" customWidth="1"/>
    <col min="9991" max="9991" width="14.26953125" bestFit="1" customWidth="1"/>
    <col min="10241" max="10241" width="4.7265625" customWidth="1"/>
    <col min="10242" max="10242" width="13" customWidth="1"/>
    <col min="10243" max="10243" width="24" customWidth="1"/>
    <col min="10244" max="10244" width="14.54296875" customWidth="1"/>
    <col min="10245" max="10245" width="16.81640625" customWidth="1"/>
    <col min="10246" max="10246" width="18.453125" customWidth="1"/>
    <col min="10247" max="10247" width="14.26953125" bestFit="1" customWidth="1"/>
    <col min="10497" max="10497" width="4.7265625" customWidth="1"/>
    <col min="10498" max="10498" width="13" customWidth="1"/>
    <col min="10499" max="10499" width="24" customWidth="1"/>
    <col min="10500" max="10500" width="14.54296875" customWidth="1"/>
    <col min="10501" max="10501" width="16.81640625" customWidth="1"/>
    <col min="10502" max="10502" width="18.453125" customWidth="1"/>
    <col min="10503" max="10503" width="14.26953125" bestFit="1" customWidth="1"/>
    <col min="10753" max="10753" width="4.7265625" customWidth="1"/>
    <col min="10754" max="10754" width="13" customWidth="1"/>
    <col min="10755" max="10755" width="24" customWidth="1"/>
    <col min="10756" max="10756" width="14.54296875" customWidth="1"/>
    <col min="10757" max="10757" width="16.81640625" customWidth="1"/>
    <col min="10758" max="10758" width="18.453125" customWidth="1"/>
    <col min="10759" max="10759" width="14.26953125" bestFit="1" customWidth="1"/>
    <col min="11009" max="11009" width="4.7265625" customWidth="1"/>
    <col min="11010" max="11010" width="13" customWidth="1"/>
    <col min="11011" max="11011" width="24" customWidth="1"/>
    <col min="11012" max="11012" width="14.54296875" customWidth="1"/>
    <col min="11013" max="11013" width="16.81640625" customWidth="1"/>
    <col min="11014" max="11014" width="18.453125" customWidth="1"/>
    <col min="11015" max="11015" width="14.26953125" bestFit="1" customWidth="1"/>
    <col min="11265" max="11265" width="4.7265625" customWidth="1"/>
    <col min="11266" max="11266" width="13" customWidth="1"/>
    <col min="11267" max="11267" width="24" customWidth="1"/>
    <col min="11268" max="11268" width="14.54296875" customWidth="1"/>
    <col min="11269" max="11269" width="16.81640625" customWidth="1"/>
    <col min="11270" max="11270" width="18.453125" customWidth="1"/>
    <col min="11271" max="11271" width="14.26953125" bestFit="1" customWidth="1"/>
    <col min="11521" max="11521" width="4.7265625" customWidth="1"/>
    <col min="11522" max="11522" width="13" customWidth="1"/>
    <col min="11523" max="11523" width="24" customWidth="1"/>
    <col min="11524" max="11524" width="14.54296875" customWidth="1"/>
    <col min="11525" max="11525" width="16.81640625" customWidth="1"/>
    <col min="11526" max="11526" width="18.453125" customWidth="1"/>
    <col min="11527" max="11527" width="14.26953125" bestFit="1" customWidth="1"/>
    <col min="11777" max="11777" width="4.7265625" customWidth="1"/>
    <col min="11778" max="11778" width="13" customWidth="1"/>
    <col min="11779" max="11779" width="24" customWidth="1"/>
    <col min="11780" max="11780" width="14.54296875" customWidth="1"/>
    <col min="11781" max="11781" width="16.81640625" customWidth="1"/>
    <col min="11782" max="11782" width="18.453125" customWidth="1"/>
    <col min="11783" max="11783" width="14.26953125" bestFit="1" customWidth="1"/>
    <col min="12033" max="12033" width="4.7265625" customWidth="1"/>
    <col min="12034" max="12034" width="13" customWidth="1"/>
    <col min="12035" max="12035" width="24" customWidth="1"/>
    <col min="12036" max="12036" width="14.54296875" customWidth="1"/>
    <col min="12037" max="12037" width="16.81640625" customWidth="1"/>
    <col min="12038" max="12038" width="18.453125" customWidth="1"/>
    <col min="12039" max="12039" width="14.26953125" bestFit="1" customWidth="1"/>
    <col min="12289" max="12289" width="4.7265625" customWidth="1"/>
    <col min="12290" max="12290" width="13" customWidth="1"/>
    <col min="12291" max="12291" width="24" customWidth="1"/>
    <col min="12292" max="12292" width="14.54296875" customWidth="1"/>
    <col min="12293" max="12293" width="16.81640625" customWidth="1"/>
    <col min="12294" max="12294" width="18.453125" customWidth="1"/>
    <col min="12295" max="12295" width="14.26953125" bestFit="1" customWidth="1"/>
    <col min="12545" max="12545" width="4.7265625" customWidth="1"/>
    <col min="12546" max="12546" width="13" customWidth="1"/>
    <col min="12547" max="12547" width="24" customWidth="1"/>
    <col min="12548" max="12548" width="14.54296875" customWidth="1"/>
    <col min="12549" max="12549" width="16.81640625" customWidth="1"/>
    <col min="12550" max="12550" width="18.453125" customWidth="1"/>
    <col min="12551" max="12551" width="14.26953125" bestFit="1" customWidth="1"/>
    <col min="12801" max="12801" width="4.7265625" customWidth="1"/>
    <col min="12802" max="12802" width="13" customWidth="1"/>
    <col min="12803" max="12803" width="24" customWidth="1"/>
    <col min="12804" max="12804" width="14.54296875" customWidth="1"/>
    <col min="12805" max="12805" width="16.81640625" customWidth="1"/>
    <col min="12806" max="12806" width="18.453125" customWidth="1"/>
    <col min="12807" max="12807" width="14.26953125" bestFit="1" customWidth="1"/>
    <col min="13057" max="13057" width="4.7265625" customWidth="1"/>
    <col min="13058" max="13058" width="13" customWidth="1"/>
    <col min="13059" max="13059" width="24" customWidth="1"/>
    <col min="13060" max="13060" width="14.54296875" customWidth="1"/>
    <col min="13061" max="13061" width="16.81640625" customWidth="1"/>
    <col min="13062" max="13062" width="18.453125" customWidth="1"/>
    <col min="13063" max="13063" width="14.26953125" bestFit="1" customWidth="1"/>
    <col min="13313" max="13313" width="4.7265625" customWidth="1"/>
    <col min="13314" max="13314" width="13" customWidth="1"/>
    <col min="13315" max="13315" width="24" customWidth="1"/>
    <col min="13316" max="13316" width="14.54296875" customWidth="1"/>
    <col min="13317" max="13317" width="16.81640625" customWidth="1"/>
    <col min="13318" max="13318" width="18.453125" customWidth="1"/>
    <col min="13319" max="13319" width="14.26953125" bestFit="1" customWidth="1"/>
    <col min="13569" max="13569" width="4.7265625" customWidth="1"/>
    <col min="13570" max="13570" width="13" customWidth="1"/>
    <col min="13571" max="13571" width="24" customWidth="1"/>
    <col min="13572" max="13572" width="14.54296875" customWidth="1"/>
    <col min="13573" max="13573" width="16.81640625" customWidth="1"/>
    <col min="13574" max="13574" width="18.453125" customWidth="1"/>
    <col min="13575" max="13575" width="14.26953125" bestFit="1" customWidth="1"/>
    <col min="13825" max="13825" width="4.7265625" customWidth="1"/>
    <col min="13826" max="13826" width="13" customWidth="1"/>
    <col min="13827" max="13827" width="24" customWidth="1"/>
    <col min="13828" max="13828" width="14.54296875" customWidth="1"/>
    <col min="13829" max="13829" width="16.81640625" customWidth="1"/>
    <col min="13830" max="13830" width="18.453125" customWidth="1"/>
    <col min="13831" max="13831" width="14.26953125" bestFit="1" customWidth="1"/>
    <col min="14081" max="14081" width="4.7265625" customWidth="1"/>
    <col min="14082" max="14082" width="13" customWidth="1"/>
    <col min="14083" max="14083" width="24" customWidth="1"/>
    <col min="14084" max="14084" width="14.54296875" customWidth="1"/>
    <col min="14085" max="14085" width="16.81640625" customWidth="1"/>
    <col min="14086" max="14086" width="18.453125" customWidth="1"/>
    <col min="14087" max="14087" width="14.26953125" bestFit="1" customWidth="1"/>
    <col min="14337" max="14337" width="4.7265625" customWidth="1"/>
    <col min="14338" max="14338" width="13" customWidth="1"/>
    <col min="14339" max="14339" width="24" customWidth="1"/>
    <col min="14340" max="14340" width="14.54296875" customWidth="1"/>
    <col min="14341" max="14341" width="16.81640625" customWidth="1"/>
    <col min="14342" max="14342" width="18.453125" customWidth="1"/>
    <col min="14343" max="14343" width="14.26953125" bestFit="1" customWidth="1"/>
    <col min="14593" max="14593" width="4.7265625" customWidth="1"/>
    <col min="14594" max="14594" width="13" customWidth="1"/>
    <col min="14595" max="14595" width="24" customWidth="1"/>
    <col min="14596" max="14596" width="14.54296875" customWidth="1"/>
    <col min="14597" max="14597" width="16.81640625" customWidth="1"/>
    <col min="14598" max="14598" width="18.453125" customWidth="1"/>
    <col min="14599" max="14599" width="14.26953125" bestFit="1" customWidth="1"/>
    <col min="14849" max="14849" width="4.7265625" customWidth="1"/>
    <col min="14850" max="14850" width="13" customWidth="1"/>
    <col min="14851" max="14851" width="24" customWidth="1"/>
    <col min="14852" max="14852" width="14.54296875" customWidth="1"/>
    <col min="14853" max="14853" width="16.81640625" customWidth="1"/>
    <col min="14854" max="14854" width="18.453125" customWidth="1"/>
    <col min="14855" max="14855" width="14.26953125" bestFit="1" customWidth="1"/>
    <col min="15105" max="15105" width="4.7265625" customWidth="1"/>
    <col min="15106" max="15106" width="13" customWidth="1"/>
    <col min="15107" max="15107" width="24" customWidth="1"/>
    <col min="15108" max="15108" width="14.54296875" customWidth="1"/>
    <col min="15109" max="15109" width="16.81640625" customWidth="1"/>
    <col min="15110" max="15110" width="18.453125" customWidth="1"/>
    <col min="15111" max="15111" width="14.26953125" bestFit="1" customWidth="1"/>
    <col min="15361" max="15361" width="4.7265625" customWidth="1"/>
    <col min="15362" max="15362" width="13" customWidth="1"/>
    <col min="15363" max="15363" width="24" customWidth="1"/>
    <col min="15364" max="15364" width="14.54296875" customWidth="1"/>
    <col min="15365" max="15365" width="16.81640625" customWidth="1"/>
    <col min="15366" max="15366" width="18.453125" customWidth="1"/>
    <col min="15367" max="15367" width="14.26953125" bestFit="1" customWidth="1"/>
    <col min="15617" max="15617" width="4.7265625" customWidth="1"/>
    <col min="15618" max="15618" width="13" customWidth="1"/>
    <col min="15619" max="15619" width="24" customWidth="1"/>
    <col min="15620" max="15620" width="14.54296875" customWidth="1"/>
    <col min="15621" max="15621" width="16.81640625" customWidth="1"/>
    <col min="15622" max="15622" width="18.453125" customWidth="1"/>
    <col min="15623" max="15623" width="14.26953125" bestFit="1" customWidth="1"/>
    <col min="15873" max="15873" width="4.7265625" customWidth="1"/>
    <col min="15874" max="15874" width="13" customWidth="1"/>
    <col min="15875" max="15875" width="24" customWidth="1"/>
    <col min="15876" max="15876" width="14.54296875" customWidth="1"/>
    <col min="15877" max="15877" width="16.81640625" customWidth="1"/>
    <col min="15878" max="15878" width="18.453125" customWidth="1"/>
    <col min="15879" max="15879" width="14.26953125" bestFit="1" customWidth="1"/>
    <col min="16129" max="16129" width="4.7265625" customWidth="1"/>
    <col min="16130" max="16130" width="13" customWidth="1"/>
    <col min="16131" max="16131" width="24" customWidth="1"/>
    <col min="16132" max="16132" width="14.54296875" customWidth="1"/>
    <col min="16133" max="16133" width="16.81640625" customWidth="1"/>
    <col min="16134" max="16134" width="18.453125" customWidth="1"/>
    <col min="16135" max="16135" width="14.26953125" bestFit="1" customWidth="1"/>
  </cols>
  <sheetData>
    <row r="1" spans="2:7" ht="13.5" customHeight="1" x14ac:dyDescent="0.25">
      <c r="B1" s="1649" t="s">
        <v>218</v>
      </c>
      <c r="C1" s="1650"/>
      <c r="D1" s="1650"/>
      <c r="E1" s="1650"/>
      <c r="F1" s="1651"/>
    </row>
    <row r="2" spans="2:7" ht="13.5" customHeight="1" x14ac:dyDescent="0.25">
      <c r="B2" s="1731" t="s">
        <v>1524</v>
      </c>
      <c r="C2" s="1732"/>
      <c r="D2" s="1732"/>
      <c r="E2" s="1732"/>
      <c r="F2" s="1733"/>
    </row>
    <row r="3" spans="2:7" ht="13.5" customHeight="1" x14ac:dyDescent="0.4">
      <c r="B3" s="30"/>
      <c r="C3" s="1035" t="s">
        <v>1422</v>
      </c>
      <c r="D3" s="1035" t="s">
        <v>1423</v>
      </c>
      <c r="E3" s="1036" t="s">
        <v>31</v>
      </c>
      <c r="F3" s="43"/>
    </row>
    <row r="4" spans="2:7" ht="13.5" customHeight="1" x14ac:dyDescent="0.25">
      <c r="B4" s="30"/>
      <c r="C4" s="264" t="s">
        <v>1426</v>
      </c>
      <c r="D4" s="272" t="s">
        <v>1427</v>
      </c>
      <c r="E4" s="156">
        <v>534252</v>
      </c>
      <c r="F4" s="43"/>
    </row>
    <row r="5" spans="2:7" ht="13.5" customHeight="1" x14ac:dyDescent="0.25">
      <c r="B5" s="30"/>
      <c r="C5" s="264" t="s">
        <v>1525</v>
      </c>
      <c r="D5" s="272" t="s">
        <v>1526</v>
      </c>
      <c r="E5" s="156">
        <v>496</v>
      </c>
      <c r="F5" s="43"/>
    </row>
    <row r="6" spans="2:7" ht="13.5" customHeight="1" x14ac:dyDescent="0.25">
      <c r="B6" s="30"/>
      <c r="C6" s="264" t="s">
        <v>237</v>
      </c>
      <c r="D6" s="272" t="s">
        <v>1430</v>
      </c>
      <c r="E6" s="156">
        <f>-142800+285600</f>
        <v>142800</v>
      </c>
      <c r="F6" s="43"/>
    </row>
    <row r="7" spans="2:7" ht="13.5" customHeight="1" x14ac:dyDescent="0.25">
      <c r="B7" s="30"/>
      <c r="C7" s="264" t="s">
        <v>1431</v>
      </c>
      <c r="D7" s="272" t="s">
        <v>1432</v>
      </c>
      <c r="E7" s="156">
        <f>+[10]ESFA!C38</f>
        <v>274160.06</v>
      </c>
      <c r="F7" s="43"/>
    </row>
    <row r="8" spans="2:7" ht="13.5" customHeight="1" x14ac:dyDescent="0.35">
      <c r="B8" s="1037"/>
      <c r="C8" s="956" t="s">
        <v>1433</v>
      </c>
      <c r="D8" s="957" t="s">
        <v>33</v>
      </c>
      <c r="E8" s="986">
        <f>SUM(E4:E7)</f>
        <v>951708.06</v>
      </c>
      <c r="F8" s="44"/>
    </row>
    <row r="9" spans="2:7" ht="13.5" customHeight="1" x14ac:dyDescent="0.25">
      <c r="B9" s="415"/>
      <c r="C9" s="1"/>
      <c r="D9" s="1"/>
      <c r="E9" s="1038" t="s">
        <v>33</v>
      </c>
      <c r="F9" s="43"/>
    </row>
    <row r="10" spans="2:7" ht="13.5" customHeight="1" x14ac:dyDescent="0.25">
      <c r="B10" s="28"/>
      <c r="C10" s="1734" t="s">
        <v>225</v>
      </c>
      <c r="D10" s="1734"/>
      <c r="E10" s="1734"/>
      <c r="F10" s="108"/>
    </row>
    <row r="11" spans="2:7" ht="13.5" customHeight="1" x14ac:dyDescent="0.3">
      <c r="B11" s="69" t="s">
        <v>53</v>
      </c>
      <c r="C11" s="69" t="s">
        <v>54</v>
      </c>
      <c r="D11" s="1039" t="s">
        <v>63</v>
      </c>
      <c r="E11" s="350" t="s">
        <v>226</v>
      </c>
      <c r="F11" s="501" t="s">
        <v>72</v>
      </c>
    </row>
    <row r="12" spans="2:7" ht="13.5" customHeight="1" x14ac:dyDescent="0.3">
      <c r="B12" s="347" t="s">
        <v>127</v>
      </c>
      <c r="C12" s="13" t="s">
        <v>836</v>
      </c>
      <c r="D12" s="518">
        <v>1747986</v>
      </c>
      <c r="E12" s="518">
        <v>1747986</v>
      </c>
      <c r="F12" s="42">
        <f>+D12-E12</f>
        <v>0</v>
      </c>
    </row>
    <row r="13" spans="2:7" ht="13.5" customHeight="1" x14ac:dyDescent="0.3">
      <c r="B13" s="347" t="s">
        <v>128</v>
      </c>
      <c r="C13" s="13" t="s">
        <v>837</v>
      </c>
      <c r="D13" s="518">
        <v>0</v>
      </c>
      <c r="E13" s="520">
        <v>0</v>
      </c>
      <c r="F13" s="42">
        <f t="shared" ref="F13:F40" si="0">+D13-E13</f>
        <v>0</v>
      </c>
    </row>
    <row r="14" spans="2:7" ht="13.5" customHeight="1" x14ac:dyDescent="0.3">
      <c r="B14" s="347" t="s">
        <v>129</v>
      </c>
      <c r="C14" s="13" t="s">
        <v>838</v>
      </c>
      <c r="D14" s="518">
        <v>0</v>
      </c>
      <c r="E14" s="520">
        <v>0</v>
      </c>
      <c r="F14" s="42">
        <f t="shared" si="0"/>
        <v>0</v>
      </c>
    </row>
    <row r="15" spans="2:7" ht="13.5" customHeight="1" x14ac:dyDescent="0.3">
      <c r="B15" s="347" t="s">
        <v>130</v>
      </c>
      <c r="C15" s="13" t="s">
        <v>839</v>
      </c>
      <c r="D15" s="518">
        <v>930723</v>
      </c>
      <c r="E15" s="518">
        <v>930723</v>
      </c>
      <c r="F15" s="42">
        <f t="shared" si="0"/>
        <v>0</v>
      </c>
    </row>
    <row r="16" spans="2:7" ht="13.5" customHeight="1" x14ac:dyDescent="0.3">
      <c r="B16" s="1040" t="s">
        <v>131</v>
      </c>
      <c r="C16" s="1041" t="s">
        <v>840</v>
      </c>
      <c r="D16" s="518">
        <v>1033633</v>
      </c>
      <c r="E16" s="518">
        <v>1033633</v>
      </c>
      <c r="F16" s="42">
        <f t="shared" si="0"/>
        <v>0</v>
      </c>
      <c r="G16" s="1" t="s">
        <v>33</v>
      </c>
    </row>
    <row r="17" spans="2:7" ht="13.5" customHeight="1" x14ac:dyDescent="0.3">
      <c r="B17" s="347" t="s">
        <v>132</v>
      </c>
      <c r="C17" s="13" t="s">
        <v>841</v>
      </c>
      <c r="D17" s="518">
        <v>0</v>
      </c>
      <c r="E17" s="520">
        <v>0</v>
      </c>
      <c r="F17" s="42">
        <f t="shared" si="0"/>
        <v>0</v>
      </c>
    </row>
    <row r="18" spans="2:7" ht="13.5" customHeight="1" x14ac:dyDescent="0.3">
      <c r="B18" s="347" t="s">
        <v>133</v>
      </c>
      <c r="C18" s="13" t="s">
        <v>842</v>
      </c>
      <c r="D18" s="518">
        <v>0</v>
      </c>
      <c r="E18" s="520">
        <v>0</v>
      </c>
      <c r="F18" s="42">
        <f t="shared" si="0"/>
        <v>0</v>
      </c>
      <c r="G18" s="1042" t="s">
        <v>33</v>
      </c>
    </row>
    <row r="19" spans="2:7" ht="13.5" customHeight="1" x14ac:dyDescent="0.3">
      <c r="B19" s="347" t="s">
        <v>134</v>
      </c>
      <c r="C19" s="13" t="s">
        <v>843</v>
      </c>
      <c r="D19" s="518">
        <v>0</v>
      </c>
      <c r="E19" s="520">
        <v>0</v>
      </c>
      <c r="F19" s="42">
        <f t="shared" si="0"/>
        <v>0</v>
      </c>
    </row>
    <row r="20" spans="2:7" ht="13.5" customHeight="1" x14ac:dyDescent="0.3">
      <c r="B20" s="347" t="s">
        <v>135</v>
      </c>
      <c r="C20" s="13" t="s">
        <v>844</v>
      </c>
      <c r="D20" s="518">
        <v>-99800</v>
      </c>
      <c r="E20" s="518">
        <v>-99800</v>
      </c>
      <c r="F20" s="42">
        <f t="shared" si="0"/>
        <v>0</v>
      </c>
    </row>
    <row r="21" spans="2:7" ht="13.5" customHeight="1" x14ac:dyDescent="0.3">
      <c r="B21" s="347" t="s">
        <v>136</v>
      </c>
      <c r="C21" s="13" t="s">
        <v>845</v>
      </c>
      <c r="D21" s="518">
        <v>0</v>
      </c>
      <c r="E21" s="520">
        <v>0</v>
      </c>
      <c r="F21" s="42">
        <f t="shared" si="0"/>
        <v>0</v>
      </c>
    </row>
    <row r="22" spans="2:7" ht="13.5" customHeight="1" x14ac:dyDescent="0.3">
      <c r="B22" s="347" t="s">
        <v>137</v>
      </c>
      <c r="C22" s="13" t="s">
        <v>846</v>
      </c>
      <c r="D22" s="518">
        <v>1000000</v>
      </c>
      <c r="E22" s="518">
        <v>1000000</v>
      </c>
      <c r="F22" s="42">
        <f t="shared" si="0"/>
        <v>0</v>
      </c>
    </row>
    <row r="23" spans="2:7" ht="13.5" customHeight="1" x14ac:dyDescent="0.3">
      <c r="B23" s="347" t="s">
        <v>138</v>
      </c>
      <c r="C23" s="13" t="s">
        <v>847</v>
      </c>
      <c r="D23" s="518">
        <v>-411027</v>
      </c>
      <c r="E23" s="518">
        <v>-411027</v>
      </c>
      <c r="F23" s="42">
        <f t="shared" si="0"/>
        <v>0</v>
      </c>
    </row>
    <row r="24" spans="2:7" ht="13.5" customHeight="1" x14ac:dyDescent="0.3">
      <c r="B24" s="347" t="s">
        <v>139</v>
      </c>
      <c r="C24" s="13" t="s">
        <v>848</v>
      </c>
      <c r="D24" s="518">
        <v>0</v>
      </c>
      <c r="E24" s="520">
        <v>0</v>
      </c>
      <c r="F24" s="42">
        <f t="shared" si="0"/>
        <v>0</v>
      </c>
    </row>
    <row r="25" spans="2:7" ht="13.5" customHeight="1" x14ac:dyDescent="0.3">
      <c r="B25" s="347" t="s">
        <v>140</v>
      </c>
      <c r="C25" s="13" t="s">
        <v>849</v>
      </c>
      <c r="D25" s="518">
        <v>0</v>
      </c>
      <c r="E25" s="520">
        <v>0</v>
      </c>
      <c r="F25" s="42">
        <f t="shared" si="0"/>
        <v>0</v>
      </c>
    </row>
    <row r="26" spans="2:7" ht="13.5" customHeight="1" x14ac:dyDescent="0.3">
      <c r="B26" s="347" t="s">
        <v>141</v>
      </c>
      <c r="C26" s="13" t="s">
        <v>850</v>
      </c>
      <c r="D26" s="518">
        <v>608316</v>
      </c>
      <c r="E26" s="518">
        <v>608316</v>
      </c>
      <c r="F26" s="42">
        <f t="shared" si="0"/>
        <v>0</v>
      </c>
    </row>
    <row r="27" spans="2:7" ht="13.5" customHeight="1" x14ac:dyDescent="0.3">
      <c r="B27" s="347" t="s">
        <v>142</v>
      </c>
      <c r="C27" s="13" t="s">
        <v>851</v>
      </c>
      <c r="D27" s="518">
        <v>0</v>
      </c>
      <c r="E27" s="520">
        <v>0</v>
      </c>
      <c r="F27" s="42">
        <f t="shared" si="0"/>
        <v>0</v>
      </c>
    </row>
    <row r="28" spans="2:7" ht="13.5" customHeight="1" x14ac:dyDescent="0.3">
      <c r="B28" s="347" t="s">
        <v>143</v>
      </c>
      <c r="C28" s="13" t="s">
        <v>852</v>
      </c>
      <c r="D28" s="518">
        <v>0</v>
      </c>
      <c r="E28" s="520">
        <v>0</v>
      </c>
      <c r="F28" s="42">
        <f t="shared" si="0"/>
        <v>0</v>
      </c>
    </row>
    <row r="29" spans="2:7" ht="13.5" customHeight="1" x14ac:dyDescent="0.3">
      <c r="B29" s="347" t="s">
        <v>144</v>
      </c>
      <c r="C29" s="13" t="s">
        <v>853</v>
      </c>
      <c r="D29" s="518">
        <v>1003279</v>
      </c>
      <c r="E29" s="518">
        <v>1003279</v>
      </c>
      <c r="F29" s="42">
        <f t="shared" si="0"/>
        <v>0</v>
      </c>
    </row>
    <row r="30" spans="2:7" ht="13.5" customHeight="1" x14ac:dyDescent="0.3">
      <c r="B30" s="347" t="s">
        <v>145</v>
      </c>
      <c r="C30" s="13" t="s">
        <v>854</v>
      </c>
      <c r="D30" s="518">
        <v>0</v>
      </c>
      <c r="E30" s="520">
        <v>0</v>
      </c>
      <c r="F30" s="42">
        <f t="shared" si="0"/>
        <v>0</v>
      </c>
    </row>
    <row r="31" spans="2:7" ht="13.5" customHeight="1" x14ac:dyDescent="0.3">
      <c r="B31" s="347" t="s">
        <v>146</v>
      </c>
      <c r="C31" s="13" t="s">
        <v>855</v>
      </c>
      <c r="D31" s="518">
        <v>1184963</v>
      </c>
      <c r="E31" s="518">
        <v>1184963</v>
      </c>
      <c r="F31" s="42">
        <f t="shared" si="0"/>
        <v>0</v>
      </c>
      <c r="G31" s="1" t="s">
        <v>33</v>
      </c>
    </row>
    <row r="32" spans="2:7" ht="13.5" customHeight="1" x14ac:dyDescent="0.3">
      <c r="B32" s="347" t="s">
        <v>147</v>
      </c>
      <c r="C32" s="13" t="s">
        <v>856</v>
      </c>
      <c r="D32" s="518">
        <v>-69145</v>
      </c>
      <c r="E32" s="518">
        <v>-69145</v>
      </c>
      <c r="F32" s="42">
        <f t="shared" si="0"/>
        <v>0</v>
      </c>
    </row>
    <row r="33" spans="2:7" ht="13.5" customHeight="1" x14ac:dyDescent="0.3">
      <c r="B33" s="347" t="s">
        <v>148</v>
      </c>
      <c r="C33" s="13" t="s">
        <v>857</v>
      </c>
      <c r="D33" s="518">
        <v>0</v>
      </c>
      <c r="E33" s="520">
        <v>0</v>
      </c>
      <c r="F33" s="42">
        <f t="shared" si="0"/>
        <v>0</v>
      </c>
      <c r="G33" s="1" t="s">
        <v>33</v>
      </c>
    </row>
    <row r="34" spans="2:7" ht="13.5" customHeight="1" x14ac:dyDescent="0.3">
      <c r="B34" s="347" t="s">
        <v>149</v>
      </c>
      <c r="C34" s="13" t="s">
        <v>858</v>
      </c>
      <c r="D34" s="518">
        <v>0</v>
      </c>
      <c r="E34" s="520">
        <v>0</v>
      </c>
      <c r="F34" s="42">
        <f t="shared" si="0"/>
        <v>0</v>
      </c>
      <c r="G34" s="1" t="s">
        <v>33</v>
      </c>
    </row>
    <row r="35" spans="2:7" ht="13.5" customHeight="1" x14ac:dyDescent="0.3">
      <c r="B35" s="347" t="s">
        <v>150</v>
      </c>
      <c r="C35" s="13" t="s">
        <v>1435</v>
      </c>
      <c r="D35" s="518">
        <v>0</v>
      </c>
      <c r="E35" s="520">
        <v>0</v>
      </c>
      <c r="F35" s="42">
        <f t="shared" si="0"/>
        <v>0</v>
      </c>
    </row>
    <row r="36" spans="2:7" ht="13.5" customHeight="1" x14ac:dyDescent="0.3">
      <c r="B36" s="347" t="s">
        <v>151</v>
      </c>
      <c r="C36" s="13" t="s">
        <v>860</v>
      </c>
      <c r="D36" s="518">
        <v>470260</v>
      </c>
      <c r="E36" s="518">
        <v>470260</v>
      </c>
      <c r="F36" s="42">
        <f t="shared" si="0"/>
        <v>0</v>
      </c>
    </row>
    <row r="37" spans="2:7" ht="13.5" customHeight="1" x14ac:dyDescent="0.3">
      <c r="B37" s="347" t="s">
        <v>152</v>
      </c>
      <c r="C37" s="13" t="s">
        <v>861</v>
      </c>
      <c r="D37" s="518">
        <v>1289903</v>
      </c>
      <c r="E37" s="518">
        <v>1289903</v>
      </c>
      <c r="F37" s="42">
        <f t="shared" si="0"/>
        <v>0</v>
      </c>
    </row>
    <row r="38" spans="2:7" ht="13.5" customHeight="1" x14ac:dyDescent="0.3">
      <c r="B38" s="347" t="s">
        <v>153</v>
      </c>
      <c r="C38" s="13" t="s">
        <v>862</v>
      </c>
      <c r="D38" s="518">
        <v>0</v>
      </c>
      <c r="E38" s="520">
        <v>0</v>
      </c>
      <c r="F38" s="42">
        <f t="shared" si="0"/>
        <v>0</v>
      </c>
    </row>
    <row r="39" spans="2:7" ht="13.5" customHeight="1" x14ac:dyDescent="0.3">
      <c r="B39" s="347" t="s">
        <v>154</v>
      </c>
      <c r="C39" s="13" t="s">
        <v>863</v>
      </c>
      <c r="D39" s="518">
        <v>0</v>
      </c>
      <c r="E39" s="520">
        <v>0</v>
      </c>
      <c r="F39" s="42">
        <f t="shared" si="0"/>
        <v>0</v>
      </c>
    </row>
    <row r="40" spans="2:7" ht="13.5" customHeight="1" x14ac:dyDescent="0.3">
      <c r="B40" s="347" t="s">
        <v>155</v>
      </c>
      <c r="C40" s="13" t="s">
        <v>864</v>
      </c>
      <c r="D40" s="518">
        <v>0</v>
      </c>
      <c r="E40" s="520">
        <v>0</v>
      </c>
      <c r="F40" s="42">
        <f t="shared" si="0"/>
        <v>0</v>
      </c>
    </row>
    <row r="41" spans="2:7" ht="13.5" customHeight="1" x14ac:dyDescent="0.3">
      <c r="B41" s="1043"/>
      <c r="C41" s="1044" t="s">
        <v>64</v>
      </c>
      <c r="D41" s="995">
        <f>SUM(D12:D40)</f>
        <v>8689091</v>
      </c>
      <c r="E41" s="503">
        <v>11341985</v>
      </c>
      <c r="F41" s="995">
        <f>SUM(F12:F40)</f>
        <v>0</v>
      </c>
    </row>
    <row r="42" spans="2:7" ht="13.5" customHeight="1" x14ac:dyDescent="0.25">
      <c r="B42" s="1045"/>
      <c r="C42" s="1046"/>
      <c r="D42" s="1047"/>
      <c r="E42" s="1047"/>
      <c r="F42" s="1048"/>
    </row>
    <row r="43" spans="2:7" ht="13.5" customHeight="1" x14ac:dyDescent="0.3">
      <c r="B43" s="1049"/>
      <c r="C43" s="1050" t="s">
        <v>270</v>
      </c>
      <c r="D43" s="1051"/>
      <c r="E43" s="1051">
        <v>408000</v>
      </c>
      <c r="F43" s="1052"/>
    </row>
    <row r="44" spans="2:7" ht="13.5" customHeight="1" x14ac:dyDescent="0.25">
      <c r="B44" s="415"/>
      <c r="C44" s="1053"/>
      <c r="D44" s="1054"/>
      <c r="E44" s="1054"/>
      <c r="F44" s="416"/>
    </row>
    <row r="45" spans="2:7" ht="13.5" customHeight="1" x14ac:dyDescent="0.25">
      <c r="B45" s="1735" t="s">
        <v>498</v>
      </c>
      <c r="C45" s="1736"/>
      <c r="D45" s="1736"/>
      <c r="E45" s="1736"/>
      <c r="F45" s="1737"/>
    </row>
    <row r="46" spans="2:7" ht="13.5" customHeight="1" x14ac:dyDescent="0.25">
      <c r="B46" s="1738" t="s">
        <v>1436</v>
      </c>
      <c r="C46" s="1739"/>
      <c r="D46" s="1739"/>
      <c r="E46" s="1739"/>
      <c r="F46" s="1740"/>
    </row>
    <row r="47" spans="2:7" ht="13.5" customHeight="1" x14ac:dyDescent="0.25">
      <c r="B47" s="1055" t="s">
        <v>499</v>
      </c>
      <c r="C47" s="1056" t="s">
        <v>460</v>
      </c>
      <c r="D47" s="1057" t="s">
        <v>1437</v>
      </c>
      <c r="E47" s="1056" t="s">
        <v>461</v>
      </c>
      <c r="F47" s="1058" t="s">
        <v>1438</v>
      </c>
    </row>
    <row r="48" spans="2:7" ht="13.5" customHeight="1" x14ac:dyDescent="0.25">
      <c r="B48" s="272" t="s">
        <v>570</v>
      </c>
      <c r="C48" s="272" t="s">
        <v>571</v>
      </c>
      <c r="D48" s="109" t="s">
        <v>127</v>
      </c>
      <c r="E48" s="272" t="s">
        <v>572</v>
      </c>
      <c r="F48" s="156">
        <v>1950549</v>
      </c>
    </row>
    <row r="49" spans="2:6" ht="13.5" customHeight="1" x14ac:dyDescent="0.25">
      <c r="B49" s="272" t="s">
        <v>570</v>
      </c>
      <c r="C49" s="272" t="s">
        <v>571</v>
      </c>
      <c r="D49" s="109" t="s">
        <v>128</v>
      </c>
      <c r="E49" s="272" t="s">
        <v>573</v>
      </c>
      <c r="F49" s="156">
        <v>1824816</v>
      </c>
    </row>
    <row r="50" spans="2:6" ht="13.5" customHeight="1" x14ac:dyDescent="0.25">
      <c r="B50" s="272" t="s">
        <v>570</v>
      </c>
      <c r="C50" s="272" t="s">
        <v>571</v>
      </c>
      <c r="D50" s="109" t="s">
        <v>129</v>
      </c>
      <c r="E50" s="272" t="s">
        <v>574</v>
      </c>
      <c r="F50" s="156">
        <v>1806129</v>
      </c>
    </row>
    <row r="51" spans="2:6" ht="13.5" customHeight="1" x14ac:dyDescent="0.25">
      <c r="B51" s="272" t="s">
        <v>570</v>
      </c>
      <c r="C51" s="272" t="s">
        <v>571</v>
      </c>
      <c r="D51" s="109" t="s">
        <v>130</v>
      </c>
      <c r="E51" s="272" t="s">
        <v>575</v>
      </c>
      <c r="F51" s="156">
        <v>1772712</v>
      </c>
    </row>
    <row r="52" spans="2:6" ht="13.5" customHeight="1" x14ac:dyDescent="0.25">
      <c r="B52" s="272" t="s">
        <v>570</v>
      </c>
      <c r="C52" s="272" t="s">
        <v>571</v>
      </c>
      <c r="D52" s="109" t="s">
        <v>131</v>
      </c>
      <c r="E52" s="272" t="s">
        <v>576</v>
      </c>
      <c r="F52" s="156">
        <v>1737030</v>
      </c>
    </row>
    <row r="53" spans="2:6" ht="13.5" customHeight="1" x14ac:dyDescent="0.25">
      <c r="B53" s="272" t="s">
        <v>570</v>
      </c>
      <c r="C53" s="272" t="s">
        <v>571</v>
      </c>
      <c r="D53" s="109" t="s">
        <v>132</v>
      </c>
      <c r="E53" s="272" t="s">
        <v>577</v>
      </c>
      <c r="F53" s="156">
        <v>1714377</v>
      </c>
    </row>
    <row r="54" spans="2:6" ht="13.5" customHeight="1" x14ac:dyDescent="0.25">
      <c r="B54" s="272" t="s">
        <v>570</v>
      </c>
      <c r="C54" s="272" t="s">
        <v>571</v>
      </c>
      <c r="D54" s="109" t="s">
        <v>133</v>
      </c>
      <c r="E54" s="272" t="s">
        <v>578</v>
      </c>
      <c r="F54" s="156">
        <v>1588644</v>
      </c>
    </row>
    <row r="55" spans="2:6" ht="13.5" customHeight="1" x14ac:dyDescent="0.25">
      <c r="B55" s="272" t="s">
        <v>570</v>
      </c>
      <c r="C55" s="272" t="s">
        <v>571</v>
      </c>
      <c r="D55" s="109" t="s">
        <v>134</v>
      </c>
      <c r="E55" s="272" t="s">
        <v>579</v>
      </c>
      <c r="F55" s="156">
        <v>1557240</v>
      </c>
    </row>
    <row r="56" spans="2:6" ht="13.5" customHeight="1" x14ac:dyDescent="0.25">
      <c r="B56" s="272" t="s">
        <v>570</v>
      </c>
      <c r="C56" s="272" t="s">
        <v>571</v>
      </c>
      <c r="D56" s="109" t="s">
        <v>135</v>
      </c>
      <c r="E56" s="272" t="s">
        <v>1439</v>
      </c>
      <c r="F56" s="156">
        <v>1658874</v>
      </c>
    </row>
    <row r="57" spans="2:6" ht="13.5" customHeight="1" x14ac:dyDescent="0.25">
      <c r="B57" s="272" t="s">
        <v>570</v>
      </c>
      <c r="C57" s="272" t="s">
        <v>571</v>
      </c>
      <c r="D57" s="109" t="s">
        <v>136</v>
      </c>
      <c r="E57" s="272" t="s">
        <v>580</v>
      </c>
      <c r="F57" s="156">
        <v>1816323</v>
      </c>
    </row>
    <row r="58" spans="2:6" ht="13.5" customHeight="1" x14ac:dyDescent="0.25">
      <c r="B58" s="272" t="s">
        <v>570</v>
      </c>
      <c r="C58" s="272" t="s">
        <v>571</v>
      </c>
      <c r="D58" s="109" t="s">
        <v>137</v>
      </c>
      <c r="E58" s="272" t="s">
        <v>581</v>
      </c>
      <c r="F58" s="156">
        <v>1734201</v>
      </c>
    </row>
    <row r="59" spans="2:6" ht="13.5" customHeight="1" x14ac:dyDescent="0.25">
      <c r="B59" s="272" t="s">
        <v>570</v>
      </c>
      <c r="C59" s="272" t="s">
        <v>571</v>
      </c>
      <c r="D59" s="109" t="s">
        <v>138</v>
      </c>
      <c r="E59" s="272" t="s">
        <v>582</v>
      </c>
      <c r="F59" s="156">
        <v>1958478</v>
      </c>
    </row>
    <row r="60" spans="2:6" ht="13.5" customHeight="1" x14ac:dyDescent="0.25">
      <c r="B60" s="272" t="s">
        <v>570</v>
      </c>
      <c r="C60" s="272" t="s">
        <v>571</v>
      </c>
      <c r="D60" s="109" t="s">
        <v>139</v>
      </c>
      <c r="E60" s="272" t="s">
        <v>583</v>
      </c>
      <c r="F60" s="156">
        <v>1958478</v>
      </c>
    </row>
    <row r="61" spans="2:6" ht="13.5" customHeight="1" x14ac:dyDescent="0.25">
      <c r="B61" s="272" t="s">
        <v>570</v>
      </c>
      <c r="C61" s="272" t="s">
        <v>571</v>
      </c>
      <c r="D61" s="109" t="s">
        <v>140</v>
      </c>
      <c r="E61" s="272" t="s">
        <v>1440</v>
      </c>
      <c r="F61" s="156">
        <v>1958478</v>
      </c>
    </row>
    <row r="62" spans="2:6" ht="13.5" customHeight="1" x14ac:dyDescent="0.25">
      <c r="B62" s="272" t="s">
        <v>570</v>
      </c>
      <c r="C62" s="272" t="s">
        <v>571</v>
      </c>
      <c r="D62" s="109" t="s">
        <v>141</v>
      </c>
      <c r="E62" s="272" t="s">
        <v>584</v>
      </c>
      <c r="F62" s="156">
        <v>1958478</v>
      </c>
    </row>
    <row r="63" spans="2:6" ht="13.5" customHeight="1" x14ac:dyDescent="0.25">
      <c r="B63" s="272" t="s">
        <v>570</v>
      </c>
      <c r="C63" s="272" t="s">
        <v>571</v>
      </c>
      <c r="D63" s="109" t="s">
        <v>142</v>
      </c>
      <c r="E63" s="272" t="s">
        <v>585</v>
      </c>
      <c r="F63" s="156">
        <v>1958478</v>
      </c>
    </row>
    <row r="64" spans="2:6" ht="13.5" customHeight="1" x14ac:dyDescent="0.25">
      <c r="B64" s="272" t="s">
        <v>570</v>
      </c>
      <c r="C64" s="272" t="s">
        <v>571</v>
      </c>
      <c r="D64" s="109" t="s">
        <v>143</v>
      </c>
      <c r="E64" s="272" t="s">
        <v>1441</v>
      </c>
      <c r="F64" s="156">
        <v>1833312</v>
      </c>
    </row>
    <row r="65" spans="2:6" ht="13.5" customHeight="1" x14ac:dyDescent="0.25">
      <c r="B65" s="272" t="s">
        <v>570</v>
      </c>
      <c r="C65" s="272" t="s">
        <v>571</v>
      </c>
      <c r="D65" s="109" t="s">
        <v>144</v>
      </c>
      <c r="E65" s="272" t="s">
        <v>586</v>
      </c>
      <c r="F65" s="156">
        <v>1910904</v>
      </c>
    </row>
    <row r="66" spans="2:6" ht="13.5" customHeight="1" x14ac:dyDescent="0.25">
      <c r="B66" s="272" t="s">
        <v>570</v>
      </c>
      <c r="C66" s="272" t="s">
        <v>571</v>
      </c>
      <c r="D66" s="109" t="s">
        <v>145</v>
      </c>
      <c r="E66" s="272" t="s">
        <v>1442</v>
      </c>
      <c r="F66" s="156">
        <v>2540700</v>
      </c>
    </row>
    <row r="67" spans="2:6" ht="13.5" customHeight="1" x14ac:dyDescent="0.25">
      <c r="B67" s="272" t="s">
        <v>570</v>
      </c>
      <c r="C67" s="272" t="s">
        <v>571</v>
      </c>
      <c r="D67" s="109" t="s">
        <v>146</v>
      </c>
      <c r="E67" s="272" t="s">
        <v>1443</v>
      </c>
      <c r="F67" s="156">
        <v>2256951</v>
      </c>
    </row>
    <row r="68" spans="2:6" ht="13.5" customHeight="1" x14ac:dyDescent="0.25">
      <c r="B68" s="272" t="s">
        <v>570</v>
      </c>
      <c r="C68" s="272" t="s">
        <v>571</v>
      </c>
      <c r="D68" s="109" t="s">
        <v>147</v>
      </c>
      <c r="E68" s="272" t="s">
        <v>433</v>
      </c>
      <c r="F68" s="156">
        <v>2353233</v>
      </c>
    </row>
    <row r="69" spans="2:6" ht="13.5" customHeight="1" x14ac:dyDescent="0.25">
      <c r="B69" s="272" t="s">
        <v>570</v>
      </c>
      <c r="C69" s="272" t="s">
        <v>571</v>
      </c>
      <c r="D69" s="109" t="s">
        <v>148</v>
      </c>
      <c r="E69" s="272" t="s">
        <v>1444</v>
      </c>
      <c r="F69" s="156">
        <v>2266014</v>
      </c>
    </row>
    <row r="70" spans="2:6" ht="13.5" customHeight="1" x14ac:dyDescent="0.25">
      <c r="B70" s="272" t="s">
        <v>570</v>
      </c>
      <c r="C70" s="272" t="s">
        <v>571</v>
      </c>
      <c r="D70" s="109" t="s">
        <v>149</v>
      </c>
      <c r="E70" s="272" t="s">
        <v>587</v>
      </c>
      <c r="F70" s="156">
        <v>2124990</v>
      </c>
    </row>
    <row r="71" spans="2:6" ht="13.5" customHeight="1" x14ac:dyDescent="0.25">
      <c r="B71" s="272" t="s">
        <v>570</v>
      </c>
      <c r="C71" s="272" t="s">
        <v>571</v>
      </c>
      <c r="D71" s="109" t="s">
        <v>150</v>
      </c>
      <c r="E71" s="272" t="s">
        <v>588</v>
      </c>
      <c r="F71" s="156">
        <v>2186724</v>
      </c>
    </row>
    <row r="72" spans="2:6" ht="13.5" customHeight="1" x14ac:dyDescent="0.25">
      <c r="B72" s="272" t="s">
        <v>570</v>
      </c>
      <c r="C72" s="272" t="s">
        <v>571</v>
      </c>
      <c r="D72" s="109" t="s">
        <v>151</v>
      </c>
      <c r="E72" s="272" t="s">
        <v>589</v>
      </c>
      <c r="F72" s="156">
        <v>2823312</v>
      </c>
    </row>
    <row r="73" spans="2:6" ht="13.5" customHeight="1" x14ac:dyDescent="0.25">
      <c r="B73" s="272" t="s">
        <v>570</v>
      </c>
      <c r="C73" s="272" t="s">
        <v>571</v>
      </c>
      <c r="D73" s="109" t="s">
        <v>152</v>
      </c>
      <c r="E73" s="272" t="s">
        <v>590</v>
      </c>
      <c r="F73" s="156">
        <v>2045700</v>
      </c>
    </row>
    <row r="74" spans="2:6" ht="13.5" customHeight="1" x14ac:dyDescent="0.25">
      <c r="B74" s="272" t="s">
        <v>570</v>
      </c>
      <c r="C74" s="272" t="s">
        <v>571</v>
      </c>
      <c r="D74" s="109" t="s">
        <v>153</v>
      </c>
      <c r="E74" s="272" t="s">
        <v>591</v>
      </c>
      <c r="F74" s="156">
        <v>1735332</v>
      </c>
    </row>
    <row r="75" spans="2:6" ht="13.5" customHeight="1" x14ac:dyDescent="0.25">
      <c r="B75" s="272" t="s">
        <v>570</v>
      </c>
      <c r="C75" s="272" t="s">
        <v>571</v>
      </c>
      <c r="D75" s="109" t="s">
        <v>154</v>
      </c>
      <c r="E75" s="272" t="s">
        <v>592</v>
      </c>
      <c r="F75" s="156">
        <v>1744959</v>
      </c>
    </row>
    <row r="76" spans="2:6" ht="13.5" customHeight="1" x14ac:dyDescent="0.25">
      <c r="B76" s="272" t="s">
        <v>570</v>
      </c>
      <c r="C76" s="272" t="s">
        <v>571</v>
      </c>
      <c r="D76" s="109" t="s">
        <v>155</v>
      </c>
      <c r="E76" s="272" t="s">
        <v>593</v>
      </c>
      <c r="F76" s="156">
        <v>1861065</v>
      </c>
    </row>
    <row r="77" spans="2:6" ht="13.5" customHeight="1" x14ac:dyDescent="0.25">
      <c r="B77" s="1741" t="s">
        <v>1445</v>
      </c>
      <c r="C77" s="1742"/>
      <c r="D77" s="1742"/>
      <c r="E77" s="1743"/>
      <c r="F77" s="1059">
        <f>SUM(F48:F76)</f>
        <v>56636481</v>
      </c>
    </row>
    <row r="78" spans="2:6" ht="13.5" customHeight="1" x14ac:dyDescent="0.25">
      <c r="B78" s="1724" t="s">
        <v>1446</v>
      </c>
      <c r="C78" s="1725"/>
      <c r="D78" s="1725"/>
      <c r="E78" s="1725"/>
      <c r="F78" s="1726"/>
    </row>
    <row r="79" spans="2:6" ht="13.5" customHeight="1" x14ac:dyDescent="0.25">
      <c r="B79" s="945" t="s">
        <v>1447</v>
      </c>
      <c r="C79" s="969" t="s">
        <v>1448</v>
      </c>
      <c r="D79" s="947"/>
      <c r="E79" s="945" t="s">
        <v>448</v>
      </c>
      <c r="F79" s="946">
        <v>1467000</v>
      </c>
    </row>
    <row r="80" spans="2:6" ht="13.5" customHeight="1" x14ac:dyDescent="0.25">
      <c r="B80" s="945" t="s">
        <v>1449</v>
      </c>
      <c r="C80" s="969" t="s">
        <v>1450</v>
      </c>
      <c r="D80" s="947"/>
      <c r="E80" s="945" t="s">
        <v>448</v>
      </c>
      <c r="F80" s="946">
        <v>266000</v>
      </c>
    </row>
    <row r="81" spans="2:6" ht="13.5" customHeight="1" x14ac:dyDescent="0.25">
      <c r="B81" s="1060" t="s">
        <v>1451</v>
      </c>
      <c r="C81" s="1061" t="s">
        <v>1452</v>
      </c>
      <c r="D81" s="945" t="s">
        <v>1453</v>
      </c>
      <c r="E81" s="945" t="s">
        <v>391</v>
      </c>
      <c r="F81" s="946">
        <v>2132350</v>
      </c>
    </row>
    <row r="82" spans="2:6" ht="13.5" customHeight="1" x14ac:dyDescent="0.25">
      <c r="B82" s="1060" t="s">
        <v>1451</v>
      </c>
      <c r="C82" s="1061" t="s">
        <v>1452</v>
      </c>
      <c r="D82" s="1060" t="s">
        <v>1454</v>
      </c>
      <c r="E82" s="945" t="s">
        <v>391</v>
      </c>
      <c r="F82" s="1062">
        <v>-1184249</v>
      </c>
    </row>
    <row r="83" spans="2:6" ht="13.5" customHeight="1" x14ac:dyDescent="0.25">
      <c r="B83" s="1060" t="s">
        <v>1451</v>
      </c>
      <c r="C83" s="1061" t="s">
        <v>1452</v>
      </c>
      <c r="D83" s="1060" t="s">
        <v>1455</v>
      </c>
      <c r="E83" s="945" t="s">
        <v>391</v>
      </c>
      <c r="F83" s="1062">
        <v>1115699</v>
      </c>
    </row>
    <row r="84" spans="2:6" ht="13.5" customHeight="1" x14ac:dyDescent="0.25">
      <c r="B84" s="1060" t="s">
        <v>1451</v>
      </c>
      <c r="C84" s="1061" t="s">
        <v>1452</v>
      </c>
      <c r="D84" s="1060" t="s">
        <v>1456</v>
      </c>
      <c r="E84" s="945" t="s">
        <v>391</v>
      </c>
      <c r="F84" s="1062">
        <v>25300</v>
      </c>
    </row>
    <row r="85" spans="2:6" ht="13.5" customHeight="1" x14ac:dyDescent="0.25">
      <c r="B85" s="1060" t="s">
        <v>1451</v>
      </c>
      <c r="C85" s="1061" t="s">
        <v>1457</v>
      </c>
      <c r="D85" s="1060" t="s">
        <v>1458</v>
      </c>
      <c r="E85" s="1060" t="s">
        <v>391</v>
      </c>
      <c r="F85" s="1062">
        <v>196899</v>
      </c>
    </row>
    <row r="86" spans="2:6" ht="13.5" customHeight="1" x14ac:dyDescent="0.25">
      <c r="B86" s="1060" t="s">
        <v>1459</v>
      </c>
      <c r="C86" s="1063" t="s">
        <v>1460</v>
      </c>
      <c r="D86" s="1064" t="s">
        <v>1461</v>
      </c>
      <c r="E86" s="1065" t="s">
        <v>1462</v>
      </c>
      <c r="F86" s="1066">
        <v>1900000</v>
      </c>
    </row>
    <row r="87" spans="2:6" ht="13.5" customHeight="1" x14ac:dyDescent="0.25">
      <c r="B87" s="1060" t="s">
        <v>1459</v>
      </c>
      <c r="C87" s="1061" t="s">
        <v>1463</v>
      </c>
      <c r="D87" s="1060" t="s">
        <v>1464</v>
      </c>
      <c r="E87" s="272" t="s">
        <v>1465</v>
      </c>
      <c r="F87" s="1062">
        <v>1678300</v>
      </c>
    </row>
    <row r="88" spans="2:6" ht="13.5" customHeight="1" x14ac:dyDescent="0.25">
      <c r="B88" s="1067" t="s">
        <v>1466</v>
      </c>
      <c r="C88" s="1068"/>
      <c r="D88" s="1068"/>
      <c r="E88" s="1069"/>
      <c r="F88" s="1062"/>
    </row>
    <row r="89" spans="2:6" ht="13.5" customHeight="1" x14ac:dyDescent="0.25">
      <c r="B89" s="401" t="s">
        <v>1467</v>
      </c>
      <c r="C89" s="1070">
        <v>3903</v>
      </c>
      <c r="D89" s="1069" t="s">
        <v>1468</v>
      </c>
      <c r="E89" s="272" t="s">
        <v>1469</v>
      </c>
      <c r="F89" s="1062">
        <v>2600000</v>
      </c>
    </row>
    <row r="90" spans="2:6" ht="13.5" customHeight="1" x14ac:dyDescent="0.25">
      <c r="B90" s="401" t="s">
        <v>1467</v>
      </c>
      <c r="C90" s="1070">
        <v>3903</v>
      </c>
      <c r="D90" s="1069" t="s">
        <v>1468</v>
      </c>
      <c r="E90" s="272" t="s">
        <v>1470</v>
      </c>
      <c r="F90" s="1062">
        <v>1020000</v>
      </c>
    </row>
    <row r="91" spans="2:6" ht="13.5" customHeight="1" x14ac:dyDescent="0.25">
      <c r="B91" s="401" t="s">
        <v>1467</v>
      </c>
      <c r="C91" s="1070">
        <v>3870</v>
      </c>
      <c r="D91" s="1069" t="s">
        <v>632</v>
      </c>
      <c r="E91" s="272" t="s">
        <v>1271</v>
      </c>
      <c r="F91" s="1062">
        <v>443150</v>
      </c>
    </row>
    <row r="92" spans="2:6" ht="13.5" customHeight="1" x14ac:dyDescent="0.25">
      <c r="B92" s="401" t="s">
        <v>1467</v>
      </c>
      <c r="C92" s="1070">
        <v>3882</v>
      </c>
      <c r="D92" s="1069" t="s">
        <v>1471</v>
      </c>
      <c r="E92" s="272" t="s">
        <v>1271</v>
      </c>
      <c r="F92" s="1062">
        <v>105199</v>
      </c>
    </row>
    <row r="93" spans="2:6" ht="13.5" customHeight="1" x14ac:dyDescent="0.35">
      <c r="B93" s="1727" t="s">
        <v>1472</v>
      </c>
      <c r="C93" s="1728"/>
      <c r="D93" s="1728"/>
      <c r="E93" s="1729"/>
      <c r="F93" s="1071">
        <f>SUM(F79:F92)</f>
        <v>11765648</v>
      </c>
    </row>
    <row r="94" spans="2:6" ht="13.5" customHeight="1" x14ac:dyDescent="0.35">
      <c r="B94" s="1727" t="s">
        <v>1473</v>
      </c>
      <c r="C94" s="1728"/>
      <c r="D94" s="1728"/>
      <c r="E94" s="1729"/>
      <c r="F94" s="1072">
        <f>+F77-F93</f>
        <v>44870833</v>
      </c>
    </row>
    <row r="95" spans="2:6" ht="13.5" customHeight="1" x14ac:dyDescent="0.25">
      <c r="B95" s="415"/>
      <c r="F95" s="43"/>
    </row>
    <row r="96" spans="2:6" ht="13.5" customHeight="1" x14ac:dyDescent="0.35">
      <c r="B96" s="1730" t="s">
        <v>1474</v>
      </c>
      <c r="C96" s="1730"/>
      <c r="D96" s="1730"/>
      <c r="E96" s="1730"/>
      <c r="F96" s="1730"/>
    </row>
    <row r="97" spans="2:6" ht="13.5" customHeight="1" x14ac:dyDescent="0.35">
      <c r="B97" s="1073"/>
      <c r="C97" s="1073" t="s">
        <v>1527</v>
      </c>
      <c r="D97" s="1073" t="s">
        <v>1528</v>
      </c>
      <c r="E97" s="1073"/>
      <c r="F97" s="1072">
        <v>3232000</v>
      </c>
    </row>
  </sheetData>
  <mergeCells count="10">
    <mergeCell ref="B78:F78"/>
    <mergeCell ref="B93:E93"/>
    <mergeCell ref="B94:E94"/>
    <mergeCell ref="B96:F96"/>
    <mergeCell ref="B1:F1"/>
    <mergeCell ref="B2:F2"/>
    <mergeCell ref="C10:E10"/>
    <mergeCell ref="B45:F45"/>
    <mergeCell ref="B46:F46"/>
    <mergeCell ref="B77:E77"/>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981A3-F1B7-4443-BEFB-507B7D74CAF1}">
  <dimension ref="A1:IW66"/>
  <sheetViews>
    <sheetView topLeftCell="A41" workbookViewId="0">
      <selection activeCell="D60" sqref="D60"/>
    </sheetView>
  </sheetViews>
  <sheetFormatPr baseColWidth="10" defaultColWidth="10.81640625" defaultRowHeight="13" x14ac:dyDescent="0.3"/>
  <cols>
    <col min="1" max="1" width="6.1796875" style="1074" customWidth="1"/>
    <col min="2" max="2" width="29.26953125" style="1075" customWidth="1"/>
    <col min="3" max="3" width="12.26953125" style="1121" customWidth="1"/>
    <col min="4" max="15" width="10.6328125" style="1075" customWidth="1"/>
    <col min="16" max="16" width="13.81640625" style="1075" customWidth="1"/>
    <col min="17" max="178" width="10.81640625" style="1075"/>
    <col min="179" max="179" width="1.81640625" style="1075" customWidth="1"/>
    <col min="180" max="180" width="31.1796875" style="1075" customWidth="1"/>
    <col min="181" max="181" width="16.1796875" style="1075" customWidth="1"/>
    <col min="182" max="182" width="13.7265625" style="1075" customWidth="1"/>
    <col min="183" max="183" width="16.453125" style="1075" customWidth="1"/>
    <col min="184" max="184" width="11.81640625" style="1075" customWidth="1"/>
    <col min="185" max="185" width="9.7265625" style="1075" customWidth="1"/>
    <col min="186" max="256" width="10.81640625" style="1075"/>
    <col min="257" max="257" width="6.1796875" style="1075" customWidth="1"/>
    <col min="258" max="258" width="29.26953125" style="1076" customWidth="1"/>
    <col min="259" max="259" width="12.26953125" style="1076" customWidth="1"/>
    <col min="260" max="271" width="10.6328125" style="1076" customWidth="1"/>
    <col min="272" max="272" width="13.81640625" style="1076" customWidth="1"/>
    <col min="273" max="434" width="10.81640625" style="1076"/>
    <col min="435" max="435" width="1.81640625" style="1076" customWidth="1"/>
    <col min="436" max="436" width="31.1796875" style="1076" customWidth="1"/>
    <col min="437" max="437" width="16.1796875" style="1076" customWidth="1"/>
    <col min="438" max="438" width="13.7265625" style="1076" customWidth="1"/>
    <col min="439" max="439" width="16.453125" style="1076" customWidth="1"/>
    <col min="440" max="440" width="11.81640625" style="1076" customWidth="1"/>
    <col min="441" max="441" width="9.7265625" style="1076" customWidth="1"/>
    <col min="442" max="512" width="10.81640625" style="1076"/>
    <col min="513" max="513" width="6.1796875" style="1076" customWidth="1"/>
    <col min="514" max="514" width="29.26953125" style="1076" customWidth="1"/>
    <col min="515" max="515" width="12.26953125" style="1076" customWidth="1"/>
    <col min="516" max="527" width="10.6328125" style="1076" customWidth="1"/>
    <col min="528" max="528" width="13.81640625" style="1076" customWidth="1"/>
    <col min="529" max="690" width="10.81640625" style="1076"/>
    <col min="691" max="691" width="1.81640625" style="1076" customWidth="1"/>
    <col min="692" max="692" width="31.1796875" style="1076" customWidth="1"/>
    <col min="693" max="693" width="16.1796875" style="1076" customWidth="1"/>
    <col min="694" max="694" width="13.7265625" style="1076" customWidth="1"/>
    <col min="695" max="695" width="16.453125" style="1076" customWidth="1"/>
    <col min="696" max="696" width="11.81640625" style="1076" customWidth="1"/>
    <col min="697" max="697" width="9.7265625" style="1076" customWidth="1"/>
    <col min="698" max="768" width="10.81640625" style="1076"/>
    <col min="769" max="769" width="6.1796875" style="1076" customWidth="1"/>
    <col min="770" max="770" width="29.26953125" style="1076" customWidth="1"/>
    <col min="771" max="771" width="12.26953125" style="1076" customWidth="1"/>
    <col min="772" max="783" width="10.6328125" style="1076" customWidth="1"/>
    <col min="784" max="784" width="13.81640625" style="1076" customWidth="1"/>
    <col min="785" max="946" width="10.81640625" style="1076"/>
    <col min="947" max="947" width="1.81640625" style="1076" customWidth="1"/>
    <col min="948" max="948" width="31.1796875" style="1076" customWidth="1"/>
    <col min="949" max="949" width="16.1796875" style="1076" customWidth="1"/>
    <col min="950" max="950" width="13.7265625" style="1076" customWidth="1"/>
    <col min="951" max="951" width="16.453125" style="1076" customWidth="1"/>
    <col min="952" max="952" width="11.81640625" style="1076" customWidth="1"/>
    <col min="953" max="953" width="9.7265625" style="1076" customWidth="1"/>
    <col min="954" max="1024" width="10.81640625" style="1076"/>
    <col min="1025" max="1025" width="6.1796875" style="1076" customWidth="1"/>
    <col min="1026" max="1026" width="29.26953125" style="1076" customWidth="1"/>
    <col min="1027" max="1027" width="12.26953125" style="1076" customWidth="1"/>
    <col min="1028" max="1039" width="10.6328125" style="1076" customWidth="1"/>
    <col min="1040" max="1040" width="13.81640625" style="1076" customWidth="1"/>
    <col min="1041" max="1202" width="10.81640625" style="1076"/>
    <col min="1203" max="1203" width="1.81640625" style="1076" customWidth="1"/>
    <col min="1204" max="1204" width="31.1796875" style="1076" customWidth="1"/>
    <col min="1205" max="1205" width="16.1796875" style="1076" customWidth="1"/>
    <col min="1206" max="1206" width="13.7265625" style="1076" customWidth="1"/>
    <col min="1207" max="1207" width="16.453125" style="1076" customWidth="1"/>
    <col min="1208" max="1208" width="11.81640625" style="1076" customWidth="1"/>
    <col min="1209" max="1209" width="9.7265625" style="1076" customWidth="1"/>
    <col min="1210" max="1280" width="10.81640625" style="1076"/>
    <col min="1281" max="1281" width="6.1796875" style="1076" customWidth="1"/>
    <col min="1282" max="1282" width="29.26953125" style="1076" customWidth="1"/>
    <col min="1283" max="1283" width="12.26953125" style="1076" customWidth="1"/>
    <col min="1284" max="1295" width="10.6328125" style="1076" customWidth="1"/>
    <col min="1296" max="1296" width="13.81640625" style="1076" customWidth="1"/>
    <col min="1297" max="1458" width="10.81640625" style="1076"/>
    <col min="1459" max="1459" width="1.81640625" style="1076" customWidth="1"/>
    <col min="1460" max="1460" width="31.1796875" style="1076" customWidth="1"/>
    <col min="1461" max="1461" width="16.1796875" style="1076" customWidth="1"/>
    <col min="1462" max="1462" width="13.7265625" style="1076" customWidth="1"/>
    <col min="1463" max="1463" width="16.453125" style="1076" customWidth="1"/>
    <col min="1464" max="1464" width="11.81640625" style="1076" customWidth="1"/>
    <col min="1465" max="1465" width="9.7265625" style="1076" customWidth="1"/>
    <col min="1466" max="1536" width="10.81640625" style="1076"/>
    <col min="1537" max="1537" width="6.1796875" style="1076" customWidth="1"/>
    <col min="1538" max="1538" width="29.26953125" style="1076" customWidth="1"/>
    <col min="1539" max="1539" width="12.26953125" style="1076" customWidth="1"/>
    <col min="1540" max="1551" width="10.6328125" style="1076" customWidth="1"/>
    <col min="1552" max="1552" width="13.81640625" style="1076" customWidth="1"/>
    <col min="1553" max="1714" width="10.81640625" style="1076"/>
    <col min="1715" max="1715" width="1.81640625" style="1076" customWidth="1"/>
    <col min="1716" max="1716" width="31.1796875" style="1076" customWidth="1"/>
    <col min="1717" max="1717" width="16.1796875" style="1076" customWidth="1"/>
    <col min="1718" max="1718" width="13.7265625" style="1076" customWidth="1"/>
    <col min="1719" max="1719" width="16.453125" style="1076" customWidth="1"/>
    <col min="1720" max="1720" width="11.81640625" style="1076" customWidth="1"/>
    <col min="1721" max="1721" width="9.7265625" style="1076" customWidth="1"/>
    <col min="1722" max="1792" width="10.81640625" style="1076"/>
    <col min="1793" max="1793" width="6.1796875" style="1076" customWidth="1"/>
    <col min="1794" max="1794" width="29.26953125" style="1076" customWidth="1"/>
    <col min="1795" max="1795" width="12.26953125" style="1076" customWidth="1"/>
    <col min="1796" max="1807" width="10.6328125" style="1076" customWidth="1"/>
    <col min="1808" max="1808" width="13.81640625" style="1076" customWidth="1"/>
    <col min="1809" max="1970" width="10.81640625" style="1076"/>
    <col min="1971" max="1971" width="1.81640625" style="1076" customWidth="1"/>
    <col min="1972" max="1972" width="31.1796875" style="1076" customWidth="1"/>
    <col min="1973" max="1973" width="16.1796875" style="1076" customWidth="1"/>
    <col min="1974" max="1974" width="13.7265625" style="1076" customWidth="1"/>
    <col min="1975" max="1975" width="16.453125" style="1076" customWidth="1"/>
    <col min="1976" max="1976" width="11.81640625" style="1076" customWidth="1"/>
    <col min="1977" max="1977" width="9.7265625" style="1076" customWidth="1"/>
    <col min="1978" max="2048" width="10.81640625" style="1076"/>
    <col min="2049" max="2049" width="6.1796875" style="1076" customWidth="1"/>
    <col min="2050" max="2050" width="29.26953125" style="1076" customWidth="1"/>
    <col min="2051" max="2051" width="12.26953125" style="1076" customWidth="1"/>
    <col min="2052" max="2063" width="10.6328125" style="1076" customWidth="1"/>
    <col min="2064" max="2064" width="13.81640625" style="1076" customWidth="1"/>
    <col min="2065" max="2226" width="10.81640625" style="1076"/>
    <col min="2227" max="2227" width="1.81640625" style="1076" customWidth="1"/>
    <col min="2228" max="2228" width="31.1796875" style="1076" customWidth="1"/>
    <col min="2229" max="2229" width="16.1796875" style="1076" customWidth="1"/>
    <col min="2230" max="2230" width="13.7265625" style="1076" customWidth="1"/>
    <col min="2231" max="2231" width="16.453125" style="1076" customWidth="1"/>
    <col min="2232" max="2232" width="11.81640625" style="1076" customWidth="1"/>
    <col min="2233" max="2233" width="9.7265625" style="1076" customWidth="1"/>
    <col min="2234" max="2304" width="10.81640625" style="1076"/>
    <col min="2305" max="2305" width="6.1796875" style="1076" customWidth="1"/>
    <col min="2306" max="2306" width="29.26953125" style="1076" customWidth="1"/>
    <col min="2307" max="2307" width="12.26953125" style="1076" customWidth="1"/>
    <col min="2308" max="2319" width="10.6328125" style="1076" customWidth="1"/>
    <col min="2320" max="2320" width="13.81640625" style="1076" customWidth="1"/>
    <col min="2321" max="2482" width="10.81640625" style="1076"/>
    <col min="2483" max="2483" width="1.81640625" style="1076" customWidth="1"/>
    <col min="2484" max="2484" width="31.1796875" style="1076" customWidth="1"/>
    <col min="2485" max="2485" width="16.1796875" style="1076" customWidth="1"/>
    <col min="2486" max="2486" width="13.7265625" style="1076" customWidth="1"/>
    <col min="2487" max="2487" width="16.453125" style="1076" customWidth="1"/>
    <col min="2488" max="2488" width="11.81640625" style="1076" customWidth="1"/>
    <col min="2489" max="2489" width="9.7265625" style="1076" customWidth="1"/>
    <col min="2490" max="2560" width="10.81640625" style="1076"/>
    <col min="2561" max="2561" width="6.1796875" style="1076" customWidth="1"/>
    <col min="2562" max="2562" width="29.26953125" style="1076" customWidth="1"/>
    <col min="2563" max="2563" width="12.26953125" style="1076" customWidth="1"/>
    <col min="2564" max="2575" width="10.6328125" style="1076" customWidth="1"/>
    <col min="2576" max="2576" width="13.81640625" style="1076" customWidth="1"/>
    <col min="2577" max="2738" width="10.81640625" style="1076"/>
    <col min="2739" max="2739" width="1.81640625" style="1076" customWidth="1"/>
    <col min="2740" max="2740" width="31.1796875" style="1076" customWidth="1"/>
    <col min="2741" max="2741" width="16.1796875" style="1076" customWidth="1"/>
    <col min="2742" max="2742" width="13.7265625" style="1076" customWidth="1"/>
    <col min="2743" max="2743" width="16.453125" style="1076" customWidth="1"/>
    <col min="2744" max="2744" width="11.81640625" style="1076" customWidth="1"/>
    <col min="2745" max="2745" width="9.7265625" style="1076" customWidth="1"/>
    <col min="2746" max="2816" width="10.81640625" style="1076"/>
    <col min="2817" max="2817" width="6.1796875" style="1076" customWidth="1"/>
    <col min="2818" max="2818" width="29.26953125" style="1076" customWidth="1"/>
    <col min="2819" max="2819" width="12.26953125" style="1076" customWidth="1"/>
    <col min="2820" max="2831" width="10.6328125" style="1076" customWidth="1"/>
    <col min="2832" max="2832" width="13.81640625" style="1076" customWidth="1"/>
    <col min="2833" max="2994" width="10.81640625" style="1076"/>
    <col min="2995" max="2995" width="1.81640625" style="1076" customWidth="1"/>
    <col min="2996" max="2996" width="31.1796875" style="1076" customWidth="1"/>
    <col min="2997" max="2997" width="16.1796875" style="1076" customWidth="1"/>
    <col min="2998" max="2998" width="13.7265625" style="1076" customWidth="1"/>
    <col min="2999" max="2999" width="16.453125" style="1076" customWidth="1"/>
    <col min="3000" max="3000" width="11.81640625" style="1076" customWidth="1"/>
    <col min="3001" max="3001" width="9.7265625" style="1076" customWidth="1"/>
    <col min="3002" max="3072" width="10.81640625" style="1076"/>
    <col min="3073" max="3073" width="6.1796875" style="1076" customWidth="1"/>
    <col min="3074" max="3074" width="29.26953125" style="1076" customWidth="1"/>
    <col min="3075" max="3075" width="12.26953125" style="1076" customWidth="1"/>
    <col min="3076" max="3087" width="10.6328125" style="1076" customWidth="1"/>
    <col min="3088" max="3088" width="13.81640625" style="1076" customWidth="1"/>
    <col min="3089" max="3250" width="10.81640625" style="1076"/>
    <col min="3251" max="3251" width="1.81640625" style="1076" customWidth="1"/>
    <col min="3252" max="3252" width="31.1796875" style="1076" customWidth="1"/>
    <col min="3253" max="3253" width="16.1796875" style="1076" customWidth="1"/>
    <col min="3254" max="3254" width="13.7265625" style="1076" customWidth="1"/>
    <col min="3255" max="3255" width="16.453125" style="1076" customWidth="1"/>
    <col min="3256" max="3256" width="11.81640625" style="1076" customWidth="1"/>
    <col min="3257" max="3257" width="9.7265625" style="1076" customWidth="1"/>
    <col min="3258" max="3328" width="10.81640625" style="1076"/>
    <col min="3329" max="3329" width="6.1796875" style="1076" customWidth="1"/>
    <col min="3330" max="3330" width="29.26953125" style="1076" customWidth="1"/>
    <col min="3331" max="3331" width="12.26953125" style="1076" customWidth="1"/>
    <col min="3332" max="3343" width="10.6328125" style="1076" customWidth="1"/>
    <col min="3344" max="3344" width="13.81640625" style="1076" customWidth="1"/>
    <col min="3345" max="3506" width="10.81640625" style="1076"/>
    <col min="3507" max="3507" width="1.81640625" style="1076" customWidth="1"/>
    <col min="3508" max="3508" width="31.1796875" style="1076" customWidth="1"/>
    <col min="3509" max="3509" width="16.1796875" style="1076" customWidth="1"/>
    <col min="3510" max="3510" width="13.7265625" style="1076" customWidth="1"/>
    <col min="3511" max="3511" width="16.453125" style="1076" customWidth="1"/>
    <col min="3512" max="3512" width="11.81640625" style="1076" customWidth="1"/>
    <col min="3513" max="3513" width="9.7265625" style="1076" customWidth="1"/>
    <col min="3514" max="3584" width="10.81640625" style="1076"/>
    <col min="3585" max="3585" width="6.1796875" style="1076" customWidth="1"/>
    <col min="3586" max="3586" width="29.26953125" style="1076" customWidth="1"/>
    <col min="3587" max="3587" width="12.26953125" style="1076" customWidth="1"/>
    <col min="3588" max="3599" width="10.6328125" style="1076" customWidth="1"/>
    <col min="3600" max="3600" width="13.81640625" style="1076" customWidth="1"/>
    <col min="3601" max="3762" width="10.81640625" style="1076"/>
    <col min="3763" max="3763" width="1.81640625" style="1076" customWidth="1"/>
    <col min="3764" max="3764" width="31.1796875" style="1076" customWidth="1"/>
    <col min="3765" max="3765" width="16.1796875" style="1076" customWidth="1"/>
    <col min="3766" max="3766" width="13.7265625" style="1076" customWidth="1"/>
    <col min="3767" max="3767" width="16.453125" style="1076" customWidth="1"/>
    <col min="3768" max="3768" width="11.81640625" style="1076" customWidth="1"/>
    <col min="3769" max="3769" width="9.7265625" style="1076" customWidth="1"/>
    <col min="3770" max="3840" width="10.81640625" style="1076"/>
    <col min="3841" max="3841" width="6.1796875" style="1076" customWidth="1"/>
    <col min="3842" max="3842" width="29.26953125" style="1076" customWidth="1"/>
    <col min="3843" max="3843" width="12.26953125" style="1076" customWidth="1"/>
    <col min="3844" max="3855" width="10.6328125" style="1076" customWidth="1"/>
    <col min="3856" max="3856" width="13.81640625" style="1076" customWidth="1"/>
    <col min="3857" max="4018" width="10.81640625" style="1076"/>
    <col min="4019" max="4019" width="1.81640625" style="1076" customWidth="1"/>
    <col min="4020" max="4020" width="31.1796875" style="1076" customWidth="1"/>
    <col min="4021" max="4021" width="16.1796875" style="1076" customWidth="1"/>
    <col min="4022" max="4022" width="13.7265625" style="1076" customWidth="1"/>
    <col min="4023" max="4023" width="16.453125" style="1076" customWidth="1"/>
    <col min="4024" max="4024" width="11.81640625" style="1076" customWidth="1"/>
    <col min="4025" max="4025" width="9.7265625" style="1076" customWidth="1"/>
    <col min="4026" max="4096" width="10.81640625" style="1076"/>
    <col min="4097" max="4097" width="6.1796875" style="1076" customWidth="1"/>
    <col min="4098" max="4098" width="29.26953125" style="1076" customWidth="1"/>
    <col min="4099" max="4099" width="12.26953125" style="1076" customWidth="1"/>
    <col min="4100" max="4111" width="10.6328125" style="1076" customWidth="1"/>
    <col min="4112" max="4112" width="13.81640625" style="1076" customWidth="1"/>
    <col min="4113" max="4274" width="10.81640625" style="1076"/>
    <col min="4275" max="4275" width="1.81640625" style="1076" customWidth="1"/>
    <col min="4276" max="4276" width="31.1796875" style="1076" customWidth="1"/>
    <col min="4277" max="4277" width="16.1796875" style="1076" customWidth="1"/>
    <col min="4278" max="4278" width="13.7265625" style="1076" customWidth="1"/>
    <col min="4279" max="4279" width="16.453125" style="1076" customWidth="1"/>
    <col min="4280" max="4280" width="11.81640625" style="1076" customWidth="1"/>
    <col min="4281" max="4281" width="9.7265625" style="1076" customWidth="1"/>
    <col min="4282" max="4352" width="10.81640625" style="1076"/>
    <col min="4353" max="4353" width="6.1796875" style="1076" customWidth="1"/>
    <col min="4354" max="4354" width="29.26953125" style="1076" customWidth="1"/>
    <col min="4355" max="4355" width="12.26953125" style="1076" customWidth="1"/>
    <col min="4356" max="4367" width="10.6328125" style="1076" customWidth="1"/>
    <col min="4368" max="4368" width="13.81640625" style="1076" customWidth="1"/>
    <col min="4369" max="4530" width="10.81640625" style="1076"/>
    <col min="4531" max="4531" width="1.81640625" style="1076" customWidth="1"/>
    <col min="4532" max="4532" width="31.1796875" style="1076" customWidth="1"/>
    <col min="4533" max="4533" width="16.1796875" style="1076" customWidth="1"/>
    <col min="4534" max="4534" width="13.7265625" style="1076" customWidth="1"/>
    <col min="4535" max="4535" width="16.453125" style="1076" customWidth="1"/>
    <col min="4536" max="4536" width="11.81640625" style="1076" customWidth="1"/>
    <col min="4537" max="4537" width="9.7265625" style="1076" customWidth="1"/>
    <col min="4538" max="4608" width="10.81640625" style="1076"/>
    <col min="4609" max="4609" width="6.1796875" style="1076" customWidth="1"/>
    <col min="4610" max="4610" width="29.26953125" style="1076" customWidth="1"/>
    <col min="4611" max="4611" width="12.26953125" style="1076" customWidth="1"/>
    <col min="4612" max="4623" width="10.6328125" style="1076" customWidth="1"/>
    <col min="4624" max="4624" width="13.81640625" style="1076" customWidth="1"/>
    <col min="4625" max="4786" width="10.81640625" style="1076"/>
    <col min="4787" max="4787" width="1.81640625" style="1076" customWidth="1"/>
    <col min="4788" max="4788" width="31.1796875" style="1076" customWidth="1"/>
    <col min="4789" max="4789" width="16.1796875" style="1076" customWidth="1"/>
    <col min="4790" max="4790" width="13.7265625" style="1076" customWidth="1"/>
    <col min="4791" max="4791" width="16.453125" style="1076" customWidth="1"/>
    <col min="4792" max="4792" width="11.81640625" style="1076" customWidth="1"/>
    <col min="4793" max="4793" width="9.7265625" style="1076" customWidth="1"/>
    <col min="4794" max="4864" width="10.81640625" style="1076"/>
    <col min="4865" max="4865" width="6.1796875" style="1076" customWidth="1"/>
    <col min="4866" max="4866" width="29.26953125" style="1076" customWidth="1"/>
    <col min="4867" max="4867" width="12.26953125" style="1076" customWidth="1"/>
    <col min="4868" max="4879" width="10.6328125" style="1076" customWidth="1"/>
    <col min="4880" max="4880" width="13.81640625" style="1076" customWidth="1"/>
    <col min="4881" max="5042" width="10.81640625" style="1076"/>
    <col min="5043" max="5043" width="1.81640625" style="1076" customWidth="1"/>
    <col min="5044" max="5044" width="31.1796875" style="1076" customWidth="1"/>
    <col min="5045" max="5045" width="16.1796875" style="1076" customWidth="1"/>
    <col min="5046" max="5046" width="13.7265625" style="1076" customWidth="1"/>
    <col min="5047" max="5047" width="16.453125" style="1076" customWidth="1"/>
    <col min="5048" max="5048" width="11.81640625" style="1076" customWidth="1"/>
    <col min="5049" max="5049" width="9.7265625" style="1076" customWidth="1"/>
    <col min="5050" max="5120" width="10.81640625" style="1076"/>
    <col min="5121" max="5121" width="6.1796875" style="1076" customWidth="1"/>
    <col min="5122" max="5122" width="29.26953125" style="1076" customWidth="1"/>
    <col min="5123" max="5123" width="12.26953125" style="1076" customWidth="1"/>
    <col min="5124" max="5135" width="10.6328125" style="1076" customWidth="1"/>
    <col min="5136" max="5136" width="13.81640625" style="1076" customWidth="1"/>
    <col min="5137" max="5298" width="10.81640625" style="1076"/>
    <col min="5299" max="5299" width="1.81640625" style="1076" customWidth="1"/>
    <col min="5300" max="5300" width="31.1796875" style="1076" customWidth="1"/>
    <col min="5301" max="5301" width="16.1796875" style="1076" customWidth="1"/>
    <col min="5302" max="5302" width="13.7265625" style="1076" customWidth="1"/>
    <col min="5303" max="5303" width="16.453125" style="1076" customWidth="1"/>
    <col min="5304" max="5304" width="11.81640625" style="1076" customWidth="1"/>
    <col min="5305" max="5305" width="9.7265625" style="1076" customWidth="1"/>
    <col min="5306" max="5376" width="10.81640625" style="1076"/>
    <col min="5377" max="5377" width="6.1796875" style="1076" customWidth="1"/>
    <col min="5378" max="5378" width="29.26953125" style="1076" customWidth="1"/>
    <col min="5379" max="5379" width="12.26953125" style="1076" customWidth="1"/>
    <col min="5380" max="5391" width="10.6328125" style="1076" customWidth="1"/>
    <col min="5392" max="5392" width="13.81640625" style="1076" customWidth="1"/>
    <col min="5393" max="5554" width="10.81640625" style="1076"/>
    <col min="5555" max="5555" width="1.81640625" style="1076" customWidth="1"/>
    <col min="5556" max="5556" width="31.1796875" style="1076" customWidth="1"/>
    <col min="5557" max="5557" width="16.1796875" style="1076" customWidth="1"/>
    <col min="5558" max="5558" width="13.7265625" style="1076" customWidth="1"/>
    <col min="5559" max="5559" width="16.453125" style="1076" customWidth="1"/>
    <col min="5560" max="5560" width="11.81640625" style="1076" customWidth="1"/>
    <col min="5561" max="5561" width="9.7265625" style="1076" customWidth="1"/>
    <col min="5562" max="5632" width="10.81640625" style="1076"/>
    <col min="5633" max="5633" width="6.1796875" style="1076" customWidth="1"/>
    <col min="5634" max="5634" width="29.26953125" style="1076" customWidth="1"/>
    <col min="5635" max="5635" width="12.26953125" style="1076" customWidth="1"/>
    <col min="5636" max="5647" width="10.6328125" style="1076" customWidth="1"/>
    <col min="5648" max="5648" width="13.81640625" style="1076" customWidth="1"/>
    <col min="5649" max="5810" width="10.81640625" style="1076"/>
    <col min="5811" max="5811" width="1.81640625" style="1076" customWidth="1"/>
    <col min="5812" max="5812" width="31.1796875" style="1076" customWidth="1"/>
    <col min="5813" max="5813" width="16.1796875" style="1076" customWidth="1"/>
    <col min="5814" max="5814" width="13.7265625" style="1076" customWidth="1"/>
    <col min="5815" max="5815" width="16.453125" style="1076" customWidth="1"/>
    <col min="5816" max="5816" width="11.81640625" style="1076" customWidth="1"/>
    <col min="5817" max="5817" width="9.7265625" style="1076" customWidth="1"/>
    <col min="5818" max="5888" width="10.81640625" style="1076"/>
    <col min="5889" max="5889" width="6.1796875" style="1076" customWidth="1"/>
    <col min="5890" max="5890" width="29.26953125" style="1076" customWidth="1"/>
    <col min="5891" max="5891" width="12.26953125" style="1076" customWidth="1"/>
    <col min="5892" max="5903" width="10.6328125" style="1076" customWidth="1"/>
    <col min="5904" max="5904" width="13.81640625" style="1076" customWidth="1"/>
    <col min="5905" max="6066" width="10.81640625" style="1076"/>
    <col min="6067" max="6067" width="1.81640625" style="1076" customWidth="1"/>
    <col min="6068" max="6068" width="31.1796875" style="1076" customWidth="1"/>
    <col min="6069" max="6069" width="16.1796875" style="1076" customWidth="1"/>
    <col min="6070" max="6070" width="13.7265625" style="1076" customWidth="1"/>
    <col min="6071" max="6071" width="16.453125" style="1076" customWidth="1"/>
    <col min="6072" max="6072" width="11.81640625" style="1076" customWidth="1"/>
    <col min="6073" max="6073" width="9.7265625" style="1076" customWidth="1"/>
    <col min="6074" max="6144" width="10.81640625" style="1076"/>
    <col min="6145" max="6145" width="6.1796875" style="1076" customWidth="1"/>
    <col min="6146" max="6146" width="29.26953125" style="1076" customWidth="1"/>
    <col min="6147" max="6147" width="12.26953125" style="1076" customWidth="1"/>
    <col min="6148" max="6159" width="10.6328125" style="1076" customWidth="1"/>
    <col min="6160" max="6160" width="13.81640625" style="1076" customWidth="1"/>
    <col min="6161" max="6322" width="10.81640625" style="1076"/>
    <col min="6323" max="6323" width="1.81640625" style="1076" customWidth="1"/>
    <col min="6324" max="6324" width="31.1796875" style="1076" customWidth="1"/>
    <col min="6325" max="6325" width="16.1796875" style="1076" customWidth="1"/>
    <col min="6326" max="6326" width="13.7265625" style="1076" customWidth="1"/>
    <col min="6327" max="6327" width="16.453125" style="1076" customWidth="1"/>
    <col min="6328" max="6328" width="11.81640625" style="1076" customWidth="1"/>
    <col min="6329" max="6329" width="9.7265625" style="1076" customWidth="1"/>
    <col min="6330" max="6400" width="10.81640625" style="1076"/>
    <col min="6401" max="6401" width="6.1796875" style="1076" customWidth="1"/>
    <col min="6402" max="6402" width="29.26953125" style="1076" customWidth="1"/>
    <col min="6403" max="6403" width="12.26953125" style="1076" customWidth="1"/>
    <col min="6404" max="6415" width="10.6328125" style="1076" customWidth="1"/>
    <col min="6416" max="6416" width="13.81640625" style="1076" customWidth="1"/>
    <col min="6417" max="6578" width="10.81640625" style="1076"/>
    <col min="6579" max="6579" width="1.81640625" style="1076" customWidth="1"/>
    <col min="6580" max="6580" width="31.1796875" style="1076" customWidth="1"/>
    <col min="6581" max="6581" width="16.1796875" style="1076" customWidth="1"/>
    <col min="6582" max="6582" width="13.7265625" style="1076" customWidth="1"/>
    <col min="6583" max="6583" width="16.453125" style="1076" customWidth="1"/>
    <col min="6584" max="6584" width="11.81640625" style="1076" customWidth="1"/>
    <col min="6585" max="6585" width="9.7265625" style="1076" customWidth="1"/>
    <col min="6586" max="6656" width="10.81640625" style="1076"/>
    <col min="6657" max="6657" width="6.1796875" style="1076" customWidth="1"/>
    <col min="6658" max="6658" width="29.26953125" style="1076" customWidth="1"/>
    <col min="6659" max="6659" width="12.26953125" style="1076" customWidth="1"/>
    <col min="6660" max="6671" width="10.6328125" style="1076" customWidth="1"/>
    <col min="6672" max="6672" width="13.81640625" style="1076" customWidth="1"/>
    <col min="6673" max="6834" width="10.81640625" style="1076"/>
    <col min="6835" max="6835" width="1.81640625" style="1076" customWidth="1"/>
    <col min="6836" max="6836" width="31.1796875" style="1076" customWidth="1"/>
    <col min="6837" max="6837" width="16.1796875" style="1076" customWidth="1"/>
    <col min="6838" max="6838" width="13.7265625" style="1076" customWidth="1"/>
    <col min="6839" max="6839" width="16.453125" style="1076" customWidth="1"/>
    <col min="6840" max="6840" width="11.81640625" style="1076" customWidth="1"/>
    <col min="6841" max="6841" width="9.7265625" style="1076" customWidth="1"/>
    <col min="6842" max="6912" width="10.81640625" style="1076"/>
    <col min="6913" max="6913" width="6.1796875" style="1076" customWidth="1"/>
    <col min="6914" max="6914" width="29.26953125" style="1076" customWidth="1"/>
    <col min="6915" max="6915" width="12.26953125" style="1076" customWidth="1"/>
    <col min="6916" max="6927" width="10.6328125" style="1076" customWidth="1"/>
    <col min="6928" max="6928" width="13.81640625" style="1076" customWidth="1"/>
    <col min="6929" max="7090" width="10.81640625" style="1076"/>
    <col min="7091" max="7091" width="1.81640625" style="1076" customWidth="1"/>
    <col min="7092" max="7092" width="31.1796875" style="1076" customWidth="1"/>
    <col min="7093" max="7093" width="16.1796875" style="1076" customWidth="1"/>
    <col min="7094" max="7094" width="13.7265625" style="1076" customWidth="1"/>
    <col min="7095" max="7095" width="16.453125" style="1076" customWidth="1"/>
    <col min="7096" max="7096" width="11.81640625" style="1076" customWidth="1"/>
    <col min="7097" max="7097" width="9.7265625" style="1076" customWidth="1"/>
    <col min="7098" max="7168" width="10.81640625" style="1076"/>
    <col min="7169" max="7169" width="6.1796875" style="1076" customWidth="1"/>
    <col min="7170" max="7170" width="29.26953125" style="1076" customWidth="1"/>
    <col min="7171" max="7171" width="12.26953125" style="1076" customWidth="1"/>
    <col min="7172" max="7183" width="10.6328125" style="1076" customWidth="1"/>
    <col min="7184" max="7184" width="13.81640625" style="1076" customWidth="1"/>
    <col min="7185" max="7346" width="10.81640625" style="1076"/>
    <col min="7347" max="7347" width="1.81640625" style="1076" customWidth="1"/>
    <col min="7348" max="7348" width="31.1796875" style="1076" customWidth="1"/>
    <col min="7349" max="7349" width="16.1796875" style="1076" customWidth="1"/>
    <col min="7350" max="7350" width="13.7265625" style="1076" customWidth="1"/>
    <col min="7351" max="7351" width="16.453125" style="1076" customWidth="1"/>
    <col min="7352" max="7352" width="11.81640625" style="1076" customWidth="1"/>
    <col min="7353" max="7353" width="9.7265625" style="1076" customWidth="1"/>
    <col min="7354" max="7424" width="10.81640625" style="1076"/>
    <col min="7425" max="7425" width="6.1796875" style="1076" customWidth="1"/>
    <col min="7426" max="7426" width="29.26953125" style="1076" customWidth="1"/>
    <col min="7427" max="7427" width="12.26953125" style="1076" customWidth="1"/>
    <col min="7428" max="7439" width="10.6328125" style="1076" customWidth="1"/>
    <col min="7440" max="7440" width="13.81640625" style="1076" customWidth="1"/>
    <col min="7441" max="7602" width="10.81640625" style="1076"/>
    <col min="7603" max="7603" width="1.81640625" style="1076" customWidth="1"/>
    <col min="7604" max="7604" width="31.1796875" style="1076" customWidth="1"/>
    <col min="7605" max="7605" width="16.1796875" style="1076" customWidth="1"/>
    <col min="7606" max="7606" width="13.7265625" style="1076" customWidth="1"/>
    <col min="7607" max="7607" width="16.453125" style="1076" customWidth="1"/>
    <col min="7608" max="7608" width="11.81640625" style="1076" customWidth="1"/>
    <col min="7609" max="7609" width="9.7265625" style="1076" customWidth="1"/>
    <col min="7610" max="7680" width="10.81640625" style="1076"/>
    <col min="7681" max="7681" width="6.1796875" style="1076" customWidth="1"/>
    <col min="7682" max="7682" width="29.26953125" style="1076" customWidth="1"/>
    <col min="7683" max="7683" width="12.26953125" style="1076" customWidth="1"/>
    <col min="7684" max="7695" width="10.6328125" style="1076" customWidth="1"/>
    <col min="7696" max="7696" width="13.81640625" style="1076" customWidth="1"/>
    <col min="7697" max="7858" width="10.81640625" style="1076"/>
    <col min="7859" max="7859" width="1.81640625" style="1076" customWidth="1"/>
    <col min="7860" max="7860" width="31.1796875" style="1076" customWidth="1"/>
    <col min="7861" max="7861" width="16.1796875" style="1076" customWidth="1"/>
    <col min="7862" max="7862" width="13.7265625" style="1076" customWidth="1"/>
    <col min="7863" max="7863" width="16.453125" style="1076" customWidth="1"/>
    <col min="7864" max="7864" width="11.81640625" style="1076" customWidth="1"/>
    <col min="7865" max="7865" width="9.7265625" style="1076" customWidth="1"/>
    <col min="7866" max="7936" width="10.81640625" style="1076"/>
    <col min="7937" max="7937" width="6.1796875" style="1076" customWidth="1"/>
    <col min="7938" max="7938" width="29.26953125" style="1076" customWidth="1"/>
    <col min="7939" max="7939" width="12.26953125" style="1076" customWidth="1"/>
    <col min="7940" max="7951" width="10.6328125" style="1076" customWidth="1"/>
    <col min="7952" max="7952" width="13.81640625" style="1076" customWidth="1"/>
    <col min="7953" max="8114" width="10.81640625" style="1076"/>
    <col min="8115" max="8115" width="1.81640625" style="1076" customWidth="1"/>
    <col min="8116" max="8116" width="31.1796875" style="1076" customWidth="1"/>
    <col min="8117" max="8117" width="16.1796875" style="1076" customWidth="1"/>
    <col min="8118" max="8118" width="13.7265625" style="1076" customWidth="1"/>
    <col min="8119" max="8119" width="16.453125" style="1076" customWidth="1"/>
    <col min="8120" max="8120" width="11.81640625" style="1076" customWidth="1"/>
    <col min="8121" max="8121" width="9.7265625" style="1076" customWidth="1"/>
    <col min="8122" max="8192" width="10.81640625" style="1076"/>
    <col min="8193" max="8193" width="6.1796875" style="1076" customWidth="1"/>
    <col min="8194" max="8194" width="29.26953125" style="1076" customWidth="1"/>
    <col min="8195" max="8195" width="12.26953125" style="1076" customWidth="1"/>
    <col min="8196" max="8207" width="10.6328125" style="1076" customWidth="1"/>
    <col min="8208" max="8208" width="13.81640625" style="1076" customWidth="1"/>
    <col min="8209" max="8370" width="10.81640625" style="1076"/>
    <col min="8371" max="8371" width="1.81640625" style="1076" customWidth="1"/>
    <col min="8372" max="8372" width="31.1796875" style="1076" customWidth="1"/>
    <col min="8373" max="8373" width="16.1796875" style="1076" customWidth="1"/>
    <col min="8374" max="8374" width="13.7265625" style="1076" customWidth="1"/>
    <col min="8375" max="8375" width="16.453125" style="1076" customWidth="1"/>
    <col min="8376" max="8376" width="11.81640625" style="1076" customWidth="1"/>
    <col min="8377" max="8377" width="9.7265625" style="1076" customWidth="1"/>
    <col min="8378" max="8448" width="10.81640625" style="1076"/>
    <col min="8449" max="8449" width="6.1796875" style="1076" customWidth="1"/>
    <col min="8450" max="8450" width="29.26953125" style="1076" customWidth="1"/>
    <col min="8451" max="8451" width="12.26953125" style="1076" customWidth="1"/>
    <col min="8452" max="8463" width="10.6328125" style="1076" customWidth="1"/>
    <col min="8464" max="8464" width="13.81640625" style="1076" customWidth="1"/>
    <col min="8465" max="8626" width="10.81640625" style="1076"/>
    <col min="8627" max="8627" width="1.81640625" style="1076" customWidth="1"/>
    <col min="8628" max="8628" width="31.1796875" style="1076" customWidth="1"/>
    <col min="8629" max="8629" width="16.1796875" style="1076" customWidth="1"/>
    <col min="8630" max="8630" width="13.7265625" style="1076" customWidth="1"/>
    <col min="8631" max="8631" width="16.453125" style="1076" customWidth="1"/>
    <col min="8632" max="8632" width="11.81640625" style="1076" customWidth="1"/>
    <col min="8633" max="8633" width="9.7265625" style="1076" customWidth="1"/>
    <col min="8634" max="8704" width="10.81640625" style="1076"/>
    <col min="8705" max="8705" width="6.1796875" style="1076" customWidth="1"/>
    <col min="8706" max="8706" width="29.26953125" style="1076" customWidth="1"/>
    <col min="8707" max="8707" width="12.26953125" style="1076" customWidth="1"/>
    <col min="8708" max="8719" width="10.6328125" style="1076" customWidth="1"/>
    <col min="8720" max="8720" width="13.81640625" style="1076" customWidth="1"/>
    <col min="8721" max="8882" width="10.81640625" style="1076"/>
    <col min="8883" max="8883" width="1.81640625" style="1076" customWidth="1"/>
    <col min="8884" max="8884" width="31.1796875" style="1076" customWidth="1"/>
    <col min="8885" max="8885" width="16.1796875" style="1076" customWidth="1"/>
    <col min="8886" max="8886" width="13.7265625" style="1076" customWidth="1"/>
    <col min="8887" max="8887" width="16.453125" style="1076" customWidth="1"/>
    <col min="8888" max="8888" width="11.81640625" style="1076" customWidth="1"/>
    <col min="8889" max="8889" width="9.7265625" style="1076" customWidth="1"/>
    <col min="8890" max="8960" width="10.81640625" style="1076"/>
    <col min="8961" max="8961" width="6.1796875" style="1076" customWidth="1"/>
    <col min="8962" max="8962" width="29.26953125" style="1076" customWidth="1"/>
    <col min="8963" max="8963" width="12.26953125" style="1076" customWidth="1"/>
    <col min="8964" max="8975" width="10.6328125" style="1076" customWidth="1"/>
    <col min="8976" max="8976" width="13.81640625" style="1076" customWidth="1"/>
    <col min="8977" max="9138" width="10.81640625" style="1076"/>
    <col min="9139" max="9139" width="1.81640625" style="1076" customWidth="1"/>
    <col min="9140" max="9140" width="31.1796875" style="1076" customWidth="1"/>
    <col min="9141" max="9141" width="16.1796875" style="1076" customWidth="1"/>
    <col min="9142" max="9142" width="13.7265625" style="1076" customWidth="1"/>
    <col min="9143" max="9143" width="16.453125" style="1076" customWidth="1"/>
    <col min="9144" max="9144" width="11.81640625" style="1076" customWidth="1"/>
    <col min="9145" max="9145" width="9.7265625" style="1076" customWidth="1"/>
    <col min="9146" max="9216" width="10.81640625" style="1076"/>
    <col min="9217" max="9217" width="6.1796875" style="1076" customWidth="1"/>
    <col min="9218" max="9218" width="29.26953125" style="1076" customWidth="1"/>
    <col min="9219" max="9219" width="12.26953125" style="1076" customWidth="1"/>
    <col min="9220" max="9231" width="10.6328125" style="1076" customWidth="1"/>
    <col min="9232" max="9232" width="13.81640625" style="1076" customWidth="1"/>
    <col min="9233" max="9394" width="10.81640625" style="1076"/>
    <col min="9395" max="9395" width="1.81640625" style="1076" customWidth="1"/>
    <col min="9396" max="9396" width="31.1796875" style="1076" customWidth="1"/>
    <col min="9397" max="9397" width="16.1796875" style="1076" customWidth="1"/>
    <col min="9398" max="9398" width="13.7265625" style="1076" customWidth="1"/>
    <col min="9399" max="9399" width="16.453125" style="1076" customWidth="1"/>
    <col min="9400" max="9400" width="11.81640625" style="1076" customWidth="1"/>
    <col min="9401" max="9401" width="9.7265625" style="1076" customWidth="1"/>
    <col min="9402" max="9472" width="10.81640625" style="1076"/>
    <col min="9473" max="9473" width="6.1796875" style="1076" customWidth="1"/>
    <col min="9474" max="9474" width="29.26953125" style="1076" customWidth="1"/>
    <col min="9475" max="9475" width="12.26953125" style="1076" customWidth="1"/>
    <col min="9476" max="9487" width="10.6328125" style="1076" customWidth="1"/>
    <col min="9488" max="9488" width="13.81640625" style="1076" customWidth="1"/>
    <col min="9489" max="9650" width="10.81640625" style="1076"/>
    <col min="9651" max="9651" width="1.81640625" style="1076" customWidth="1"/>
    <col min="9652" max="9652" width="31.1796875" style="1076" customWidth="1"/>
    <col min="9653" max="9653" width="16.1796875" style="1076" customWidth="1"/>
    <col min="9654" max="9654" width="13.7265625" style="1076" customWidth="1"/>
    <col min="9655" max="9655" width="16.453125" style="1076" customWidth="1"/>
    <col min="9656" max="9656" width="11.81640625" style="1076" customWidth="1"/>
    <col min="9657" max="9657" width="9.7265625" style="1076" customWidth="1"/>
    <col min="9658" max="9728" width="10.81640625" style="1076"/>
    <col min="9729" max="9729" width="6.1796875" style="1076" customWidth="1"/>
    <col min="9730" max="9730" width="29.26953125" style="1076" customWidth="1"/>
    <col min="9731" max="9731" width="12.26953125" style="1076" customWidth="1"/>
    <col min="9732" max="9743" width="10.6328125" style="1076" customWidth="1"/>
    <col min="9744" max="9744" width="13.81640625" style="1076" customWidth="1"/>
    <col min="9745" max="9906" width="10.81640625" style="1076"/>
    <col min="9907" max="9907" width="1.81640625" style="1076" customWidth="1"/>
    <col min="9908" max="9908" width="31.1796875" style="1076" customWidth="1"/>
    <col min="9909" max="9909" width="16.1796875" style="1076" customWidth="1"/>
    <col min="9910" max="9910" width="13.7265625" style="1076" customWidth="1"/>
    <col min="9911" max="9911" width="16.453125" style="1076" customWidth="1"/>
    <col min="9912" max="9912" width="11.81640625" style="1076" customWidth="1"/>
    <col min="9913" max="9913" width="9.7265625" style="1076" customWidth="1"/>
    <col min="9914" max="9984" width="10.81640625" style="1076"/>
    <col min="9985" max="9985" width="6.1796875" style="1076" customWidth="1"/>
    <col min="9986" max="9986" width="29.26953125" style="1076" customWidth="1"/>
    <col min="9987" max="9987" width="12.26953125" style="1076" customWidth="1"/>
    <col min="9988" max="9999" width="10.6328125" style="1076" customWidth="1"/>
    <col min="10000" max="10000" width="13.81640625" style="1076" customWidth="1"/>
    <col min="10001" max="10162" width="10.81640625" style="1076"/>
    <col min="10163" max="10163" width="1.81640625" style="1076" customWidth="1"/>
    <col min="10164" max="10164" width="31.1796875" style="1076" customWidth="1"/>
    <col min="10165" max="10165" width="16.1796875" style="1076" customWidth="1"/>
    <col min="10166" max="10166" width="13.7265625" style="1076" customWidth="1"/>
    <col min="10167" max="10167" width="16.453125" style="1076" customWidth="1"/>
    <col min="10168" max="10168" width="11.81640625" style="1076" customWidth="1"/>
    <col min="10169" max="10169" width="9.7265625" style="1076" customWidth="1"/>
    <col min="10170" max="10240" width="10.81640625" style="1076"/>
    <col min="10241" max="10241" width="6.1796875" style="1076" customWidth="1"/>
    <col min="10242" max="10242" width="29.26953125" style="1076" customWidth="1"/>
    <col min="10243" max="10243" width="12.26953125" style="1076" customWidth="1"/>
    <col min="10244" max="10255" width="10.6328125" style="1076" customWidth="1"/>
    <col min="10256" max="10256" width="13.81640625" style="1076" customWidth="1"/>
    <col min="10257" max="10418" width="10.81640625" style="1076"/>
    <col min="10419" max="10419" width="1.81640625" style="1076" customWidth="1"/>
    <col min="10420" max="10420" width="31.1796875" style="1076" customWidth="1"/>
    <col min="10421" max="10421" width="16.1796875" style="1076" customWidth="1"/>
    <col min="10422" max="10422" width="13.7265625" style="1076" customWidth="1"/>
    <col min="10423" max="10423" width="16.453125" style="1076" customWidth="1"/>
    <col min="10424" max="10424" width="11.81640625" style="1076" customWidth="1"/>
    <col min="10425" max="10425" width="9.7265625" style="1076" customWidth="1"/>
    <col min="10426" max="10496" width="10.81640625" style="1076"/>
    <col min="10497" max="10497" width="6.1796875" style="1076" customWidth="1"/>
    <col min="10498" max="10498" width="29.26953125" style="1076" customWidth="1"/>
    <col min="10499" max="10499" width="12.26953125" style="1076" customWidth="1"/>
    <col min="10500" max="10511" width="10.6328125" style="1076" customWidth="1"/>
    <col min="10512" max="10512" width="13.81640625" style="1076" customWidth="1"/>
    <col min="10513" max="10674" width="10.81640625" style="1076"/>
    <col min="10675" max="10675" width="1.81640625" style="1076" customWidth="1"/>
    <col min="10676" max="10676" width="31.1796875" style="1076" customWidth="1"/>
    <col min="10677" max="10677" width="16.1796875" style="1076" customWidth="1"/>
    <col min="10678" max="10678" width="13.7265625" style="1076" customWidth="1"/>
    <col min="10679" max="10679" width="16.453125" style="1076" customWidth="1"/>
    <col min="10680" max="10680" width="11.81640625" style="1076" customWidth="1"/>
    <col min="10681" max="10681" width="9.7265625" style="1076" customWidth="1"/>
    <col min="10682" max="10752" width="10.81640625" style="1076"/>
    <col min="10753" max="10753" width="6.1796875" style="1076" customWidth="1"/>
    <col min="10754" max="10754" width="29.26953125" style="1076" customWidth="1"/>
    <col min="10755" max="10755" width="12.26953125" style="1076" customWidth="1"/>
    <col min="10756" max="10767" width="10.6328125" style="1076" customWidth="1"/>
    <col min="10768" max="10768" width="13.81640625" style="1076" customWidth="1"/>
    <col min="10769" max="10930" width="10.81640625" style="1076"/>
    <col min="10931" max="10931" width="1.81640625" style="1076" customWidth="1"/>
    <col min="10932" max="10932" width="31.1796875" style="1076" customWidth="1"/>
    <col min="10933" max="10933" width="16.1796875" style="1076" customWidth="1"/>
    <col min="10934" max="10934" width="13.7265625" style="1076" customWidth="1"/>
    <col min="10935" max="10935" width="16.453125" style="1076" customWidth="1"/>
    <col min="10936" max="10936" width="11.81640625" style="1076" customWidth="1"/>
    <col min="10937" max="10937" width="9.7265625" style="1076" customWidth="1"/>
    <col min="10938" max="11008" width="10.81640625" style="1076"/>
    <col min="11009" max="11009" width="6.1796875" style="1076" customWidth="1"/>
    <col min="11010" max="11010" width="29.26953125" style="1076" customWidth="1"/>
    <col min="11011" max="11011" width="12.26953125" style="1076" customWidth="1"/>
    <col min="11012" max="11023" width="10.6328125" style="1076" customWidth="1"/>
    <col min="11024" max="11024" width="13.81640625" style="1076" customWidth="1"/>
    <col min="11025" max="11186" width="10.81640625" style="1076"/>
    <col min="11187" max="11187" width="1.81640625" style="1076" customWidth="1"/>
    <col min="11188" max="11188" width="31.1796875" style="1076" customWidth="1"/>
    <col min="11189" max="11189" width="16.1796875" style="1076" customWidth="1"/>
    <col min="11190" max="11190" width="13.7265625" style="1076" customWidth="1"/>
    <col min="11191" max="11191" width="16.453125" style="1076" customWidth="1"/>
    <col min="11192" max="11192" width="11.81640625" style="1076" customWidth="1"/>
    <col min="11193" max="11193" width="9.7265625" style="1076" customWidth="1"/>
    <col min="11194" max="11264" width="10.81640625" style="1076"/>
    <col min="11265" max="11265" width="6.1796875" style="1076" customWidth="1"/>
    <col min="11266" max="11266" width="29.26953125" style="1076" customWidth="1"/>
    <col min="11267" max="11267" width="12.26953125" style="1076" customWidth="1"/>
    <col min="11268" max="11279" width="10.6328125" style="1076" customWidth="1"/>
    <col min="11280" max="11280" width="13.81640625" style="1076" customWidth="1"/>
    <col min="11281" max="11442" width="10.81640625" style="1076"/>
    <col min="11443" max="11443" width="1.81640625" style="1076" customWidth="1"/>
    <col min="11444" max="11444" width="31.1796875" style="1076" customWidth="1"/>
    <col min="11445" max="11445" width="16.1796875" style="1076" customWidth="1"/>
    <col min="11446" max="11446" width="13.7265625" style="1076" customWidth="1"/>
    <col min="11447" max="11447" width="16.453125" style="1076" customWidth="1"/>
    <col min="11448" max="11448" width="11.81640625" style="1076" customWidth="1"/>
    <col min="11449" max="11449" width="9.7265625" style="1076" customWidth="1"/>
    <col min="11450" max="11520" width="10.81640625" style="1076"/>
    <col min="11521" max="11521" width="6.1796875" style="1076" customWidth="1"/>
    <col min="11522" max="11522" width="29.26953125" style="1076" customWidth="1"/>
    <col min="11523" max="11523" width="12.26953125" style="1076" customWidth="1"/>
    <col min="11524" max="11535" width="10.6328125" style="1076" customWidth="1"/>
    <col min="11536" max="11536" width="13.81640625" style="1076" customWidth="1"/>
    <col min="11537" max="11698" width="10.81640625" style="1076"/>
    <col min="11699" max="11699" width="1.81640625" style="1076" customWidth="1"/>
    <col min="11700" max="11700" width="31.1796875" style="1076" customWidth="1"/>
    <col min="11701" max="11701" width="16.1796875" style="1076" customWidth="1"/>
    <col min="11702" max="11702" width="13.7265625" style="1076" customWidth="1"/>
    <col min="11703" max="11703" width="16.453125" style="1076" customWidth="1"/>
    <col min="11704" max="11704" width="11.81640625" style="1076" customWidth="1"/>
    <col min="11705" max="11705" width="9.7265625" style="1076" customWidth="1"/>
    <col min="11706" max="11776" width="10.81640625" style="1076"/>
    <col min="11777" max="11777" width="6.1796875" style="1076" customWidth="1"/>
    <col min="11778" max="11778" width="29.26953125" style="1076" customWidth="1"/>
    <col min="11779" max="11779" width="12.26953125" style="1076" customWidth="1"/>
    <col min="11780" max="11791" width="10.6328125" style="1076" customWidth="1"/>
    <col min="11792" max="11792" width="13.81640625" style="1076" customWidth="1"/>
    <col min="11793" max="11954" width="10.81640625" style="1076"/>
    <col min="11955" max="11955" width="1.81640625" style="1076" customWidth="1"/>
    <col min="11956" max="11956" width="31.1796875" style="1076" customWidth="1"/>
    <col min="11957" max="11957" width="16.1796875" style="1076" customWidth="1"/>
    <col min="11958" max="11958" width="13.7265625" style="1076" customWidth="1"/>
    <col min="11959" max="11959" width="16.453125" style="1076" customWidth="1"/>
    <col min="11960" max="11960" width="11.81640625" style="1076" customWidth="1"/>
    <col min="11961" max="11961" width="9.7265625" style="1076" customWidth="1"/>
    <col min="11962" max="12032" width="10.81640625" style="1076"/>
    <col min="12033" max="12033" width="6.1796875" style="1076" customWidth="1"/>
    <col min="12034" max="12034" width="29.26953125" style="1076" customWidth="1"/>
    <col min="12035" max="12035" width="12.26953125" style="1076" customWidth="1"/>
    <col min="12036" max="12047" width="10.6328125" style="1076" customWidth="1"/>
    <col min="12048" max="12048" width="13.81640625" style="1076" customWidth="1"/>
    <col min="12049" max="12210" width="10.81640625" style="1076"/>
    <col min="12211" max="12211" width="1.81640625" style="1076" customWidth="1"/>
    <col min="12212" max="12212" width="31.1796875" style="1076" customWidth="1"/>
    <col min="12213" max="12213" width="16.1796875" style="1076" customWidth="1"/>
    <col min="12214" max="12214" width="13.7265625" style="1076" customWidth="1"/>
    <col min="12215" max="12215" width="16.453125" style="1076" customWidth="1"/>
    <col min="12216" max="12216" width="11.81640625" style="1076" customWidth="1"/>
    <col min="12217" max="12217" width="9.7265625" style="1076" customWidth="1"/>
    <col min="12218" max="12288" width="10.81640625" style="1076"/>
    <col min="12289" max="12289" width="6.1796875" style="1076" customWidth="1"/>
    <col min="12290" max="12290" width="29.26953125" style="1076" customWidth="1"/>
    <col min="12291" max="12291" width="12.26953125" style="1076" customWidth="1"/>
    <col min="12292" max="12303" width="10.6328125" style="1076" customWidth="1"/>
    <col min="12304" max="12304" width="13.81640625" style="1076" customWidth="1"/>
    <col min="12305" max="12466" width="10.81640625" style="1076"/>
    <col min="12467" max="12467" width="1.81640625" style="1076" customWidth="1"/>
    <col min="12468" max="12468" width="31.1796875" style="1076" customWidth="1"/>
    <col min="12469" max="12469" width="16.1796875" style="1076" customWidth="1"/>
    <col min="12470" max="12470" width="13.7265625" style="1076" customWidth="1"/>
    <col min="12471" max="12471" width="16.453125" style="1076" customWidth="1"/>
    <col min="12472" max="12472" width="11.81640625" style="1076" customWidth="1"/>
    <col min="12473" max="12473" width="9.7265625" style="1076" customWidth="1"/>
    <col min="12474" max="12544" width="10.81640625" style="1076"/>
    <col min="12545" max="12545" width="6.1796875" style="1076" customWidth="1"/>
    <col min="12546" max="12546" width="29.26953125" style="1076" customWidth="1"/>
    <col min="12547" max="12547" width="12.26953125" style="1076" customWidth="1"/>
    <col min="12548" max="12559" width="10.6328125" style="1076" customWidth="1"/>
    <col min="12560" max="12560" width="13.81640625" style="1076" customWidth="1"/>
    <col min="12561" max="12722" width="10.81640625" style="1076"/>
    <col min="12723" max="12723" width="1.81640625" style="1076" customWidth="1"/>
    <col min="12724" max="12724" width="31.1796875" style="1076" customWidth="1"/>
    <col min="12725" max="12725" width="16.1796875" style="1076" customWidth="1"/>
    <col min="12726" max="12726" width="13.7265625" style="1076" customWidth="1"/>
    <col min="12727" max="12727" width="16.453125" style="1076" customWidth="1"/>
    <col min="12728" max="12728" width="11.81640625" style="1076" customWidth="1"/>
    <col min="12729" max="12729" width="9.7265625" style="1076" customWidth="1"/>
    <col min="12730" max="12800" width="10.81640625" style="1076"/>
    <col min="12801" max="12801" width="6.1796875" style="1076" customWidth="1"/>
    <col min="12802" max="12802" width="29.26953125" style="1076" customWidth="1"/>
    <col min="12803" max="12803" width="12.26953125" style="1076" customWidth="1"/>
    <col min="12804" max="12815" width="10.6328125" style="1076" customWidth="1"/>
    <col min="12816" max="12816" width="13.81640625" style="1076" customWidth="1"/>
    <col min="12817" max="12978" width="10.81640625" style="1076"/>
    <col min="12979" max="12979" width="1.81640625" style="1076" customWidth="1"/>
    <col min="12980" max="12980" width="31.1796875" style="1076" customWidth="1"/>
    <col min="12981" max="12981" width="16.1796875" style="1076" customWidth="1"/>
    <col min="12982" max="12982" width="13.7265625" style="1076" customWidth="1"/>
    <col min="12983" max="12983" width="16.453125" style="1076" customWidth="1"/>
    <col min="12984" max="12984" width="11.81640625" style="1076" customWidth="1"/>
    <col min="12985" max="12985" width="9.7265625" style="1076" customWidth="1"/>
    <col min="12986" max="13056" width="10.81640625" style="1076"/>
    <col min="13057" max="13057" width="6.1796875" style="1076" customWidth="1"/>
    <col min="13058" max="13058" width="29.26953125" style="1076" customWidth="1"/>
    <col min="13059" max="13059" width="12.26953125" style="1076" customWidth="1"/>
    <col min="13060" max="13071" width="10.6328125" style="1076" customWidth="1"/>
    <col min="13072" max="13072" width="13.81640625" style="1076" customWidth="1"/>
    <col min="13073" max="13234" width="10.81640625" style="1076"/>
    <col min="13235" max="13235" width="1.81640625" style="1076" customWidth="1"/>
    <col min="13236" max="13236" width="31.1796875" style="1076" customWidth="1"/>
    <col min="13237" max="13237" width="16.1796875" style="1076" customWidth="1"/>
    <col min="13238" max="13238" width="13.7265625" style="1076" customWidth="1"/>
    <col min="13239" max="13239" width="16.453125" style="1076" customWidth="1"/>
    <col min="13240" max="13240" width="11.81640625" style="1076" customWidth="1"/>
    <col min="13241" max="13241" width="9.7265625" style="1076" customWidth="1"/>
    <col min="13242" max="13312" width="10.81640625" style="1076"/>
    <col min="13313" max="13313" width="6.1796875" style="1076" customWidth="1"/>
    <col min="13314" max="13314" width="29.26953125" style="1076" customWidth="1"/>
    <col min="13315" max="13315" width="12.26953125" style="1076" customWidth="1"/>
    <col min="13316" max="13327" width="10.6328125" style="1076" customWidth="1"/>
    <col min="13328" max="13328" width="13.81640625" style="1076" customWidth="1"/>
    <col min="13329" max="13490" width="10.81640625" style="1076"/>
    <col min="13491" max="13491" width="1.81640625" style="1076" customWidth="1"/>
    <col min="13492" max="13492" width="31.1796875" style="1076" customWidth="1"/>
    <col min="13493" max="13493" width="16.1796875" style="1076" customWidth="1"/>
    <col min="13494" max="13494" width="13.7265625" style="1076" customWidth="1"/>
    <col min="13495" max="13495" width="16.453125" style="1076" customWidth="1"/>
    <col min="13496" max="13496" width="11.81640625" style="1076" customWidth="1"/>
    <col min="13497" max="13497" width="9.7265625" style="1076" customWidth="1"/>
    <col min="13498" max="13568" width="10.81640625" style="1076"/>
    <col min="13569" max="13569" width="6.1796875" style="1076" customWidth="1"/>
    <col min="13570" max="13570" width="29.26953125" style="1076" customWidth="1"/>
    <col min="13571" max="13571" width="12.26953125" style="1076" customWidth="1"/>
    <col min="13572" max="13583" width="10.6328125" style="1076" customWidth="1"/>
    <col min="13584" max="13584" width="13.81640625" style="1076" customWidth="1"/>
    <col min="13585" max="13746" width="10.81640625" style="1076"/>
    <col min="13747" max="13747" width="1.81640625" style="1076" customWidth="1"/>
    <col min="13748" max="13748" width="31.1796875" style="1076" customWidth="1"/>
    <col min="13749" max="13749" width="16.1796875" style="1076" customWidth="1"/>
    <col min="13750" max="13750" width="13.7265625" style="1076" customWidth="1"/>
    <col min="13751" max="13751" width="16.453125" style="1076" customWidth="1"/>
    <col min="13752" max="13752" width="11.81640625" style="1076" customWidth="1"/>
    <col min="13753" max="13753" width="9.7265625" style="1076" customWidth="1"/>
    <col min="13754" max="13824" width="10.81640625" style="1076"/>
    <col min="13825" max="13825" width="6.1796875" style="1076" customWidth="1"/>
    <col min="13826" max="13826" width="29.26953125" style="1076" customWidth="1"/>
    <col min="13827" max="13827" width="12.26953125" style="1076" customWidth="1"/>
    <col min="13828" max="13839" width="10.6328125" style="1076" customWidth="1"/>
    <col min="13840" max="13840" width="13.81640625" style="1076" customWidth="1"/>
    <col min="13841" max="14002" width="10.81640625" style="1076"/>
    <col min="14003" max="14003" width="1.81640625" style="1076" customWidth="1"/>
    <col min="14004" max="14004" width="31.1796875" style="1076" customWidth="1"/>
    <col min="14005" max="14005" width="16.1796875" style="1076" customWidth="1"/>
    <col min="14006" max="14006" width="13.7265625" style="1076" customWidth="1"/>
    <col min="14007" max="14007" width="16.453125" style="1076" customWidth="1"/>
    <col min="14008" max="14008" width="11.81640625" style="1076" customWidth="1"/>
    <col min="14009" max="14009" width="9.7265625" style="1076" customWidth="1"/>
    <col min="14010" max="14080" width="10.81640625" style="1076"/>
    <col min="14081" max="14081" width="6.1796875" style="1076" customWidth="1"/>
    <col min="14082" max="14082" width="29.26953125" style="1076" customWidth="1"/>
    <col min="14083" max="14083" width="12.26953125" style="1076" customWidth="1"/>
    <col min="14084" max="14095" width="10.6328125" style="1076" customWidth="1"/>
    <col min="14096" max="14096" width="13.81640625" style="1076" customWidth="1"/>
    <col min="14097" max="14258" width="10.81640625" style="1076"/>
    <col min="14259" max="14259" width="1.81640625" style="1076" customWidth="1"/>
    <col min="14260" max="14260" width="31.1796875" style="1076" customWidth="1"/>
    <col min="14261" max="14261" width="16.1796875" style="1076" customWidth="1"/>
    <col min="14262" max="14262" width="13.7265625" style="1076" customWidth="1"/>
    <col min="14263" max="14263" width="16.453125" style="1076" customWidth="1"/>
    <col min="14264" max="14264" width="11.81640625" style="1076" customWidth="1"/>
    <col min="14265" max="14265" width="9.7265625" style="1076" customWidth="1"/>
    <col min="14266" max="14336" width="10.81640625" style="1076"/>
    <col min="14337" max="14337" width="6.1796875" style="1076" customWidth="1"/>
    <col min="14338" max="14338" width="29.26953125" style="1076" customWidth="1"/>
    <col min="14339" max="14339" width="12.26953125" style="1076" customWidth="1"/>
    <col min="14340" max="14351" width="10.6328125" style="1076" customWidth="1"/>
    <col min="14352" max="14352" width="13.81640625" style="1076" customWidth="1"/>
    <col min="14353" max="14514" width="10.81640625" style="1076"/>
    <col min="14515" max="14515" width="1.81640625" style="1076" customWidth="1"/>
    <col min="14516" max="14516" width="31.1796875" style="1076" customWidth="1"/>
    <col min="14517" max="14517" width="16.1796875" style="1076" customWidth="1"/>
    <col min="14518" max="14518" width="13.7265625" style="1076" customWidth="1"/>
    <col min="14519" max="14519" width="16.453125" style="1076" customWidth="1"/>
    <col min="14520" max="14520" width="11.81640625" style="1076" customWidth="1"/>
    <col min="14521" max="14521" width="9.7265625" style="1076" customWidth="1"/>
    <col min="14522" max="14592" width="10.81640625" style="1076"/>
    <col min="14593" max="14593" width="6.1796875" style="1076" customWidth="1"/>
    <col min="14594" max="14594" width="29.26953125" style="1076" customWidth="1"/>
    <col min="14595" max="14595" width="12.26953125" style="1076" customWidth="1"/>
    <col min="14596" max="14607" width="10.6328125" style="1076" customWidth="1"/>
    <col min="14608" max="14608" width="13.81640625" style="1076" customWidth="1"/>
    <col min="14609" max="14770" width="10.81640625" style="1076"/>
    <col min="14771" max="14771" width="1.81640625" style="1076" customWidth="1"/>
    <col min="14772" max="14772" width="31.1796875" style="1076" customWidth="1"/>
    <col min="14773" max="14773" width="16.1796875" style="1076" customWidth="1"/>
    <col min="14774" max="14774" width="13.7265625" style="1076" customWidth="1"/>
    <col min="14775" max="14775" width="16.453125" style="1076" customWidth="1"/>
    <col min="14776" max="14776" width="11.81640625" style="1076" customWidth="1"/>
    <col min="14777" max="14777" width="9.7265625" style="1076" customWidth="1"/>
    <col min="14778" max="14848" width="10.81640625" style="1076"/>
    <col min="14849" max="14849" width="6.1796875" style="1076" customWidth="1"/>
    <col min="14850" max="14850" width="29.26953125" style="1076" customWidth="1"/>
    <col min="14851" max="14851" width="12.26953125" style="1076" customWidth="1"/>
    <col min="14852" max="14863" width="10.6328125" style="1076" customWidth="1"/>
    <col min="14864" max="14864" width="13.81640625" style="1076" customWidth="1"/>
    <col min="14865" max="15026" width="10.81640625" style="1076"/>
    <col min="15027" max="15027" width="1.81640625" style="1076" customWidth="1"/>
    <col min="15028" max="15028" width="31.1796875" style="1076" customWidth="1"/>
    <col min="15029" max="15029" width="16.1796875" style="1076" customWidth="1"/>
    <col min="15030" max="15030" width="13.7265625" style="1076" customWidth="1"/>
    <col min="15031" max="15031" width="16.453125" style="1076" customWidth="1"/>
    <col min="15032" max="15032" width="11.81640625" style="1076" customWidth="1"/>
    <col min="15033" max="15033" width="9.7265625" style="1076" customWidth="1"/>
    <col min="15034" max="15104" width="10.81640625" style="1076"/>
    <col min="15105" max="15105" width="6.1796875" style="1076" customWidth="1"/>
    <col min="15106" max="15106" width="29.26953125" style="1076" customWidth="1"/>
    <col min="15107" max="15107" width="12.26953125" style="1076" customWidth="1"/>
    <col min="15108" max="15119" width="10.6328125" style="1076" customWidth="1"/>
    <col min="15120" max="15120" width="13.81640625" style="1076" customWidth="1"/>
    <col min="15121" max="15282" width="10.81640625" style="1076"/>
    <col min="15283" max="15283" width="1.81640625" style="1076" customWidth="1"/>
    <col min="15284" max="15284" width="31.1796875" style="1076" customWidth="1"/>
    <col min="15285" max="15285" width="16.1796875" style="1076" customWidth="1"/>
    <col min="15286" max="15286" width="13.7265625" style="1076" customWidth="1"/>
    <col min="15287" max="15287" width="16.453125" style="1076" customWidth="1"/>
    <col min="15288" max="15288" width="11.81640625" style="1076" customWidth="1"/>
    <col min="15289" max="15289" width="9.7265625" style="1076" customWidth="1"/>
    <col min="15290" max="15360" width="10.81640625" style="1076"/>
    <col min="15361" max="15361" width="6.1796875" style="1076" customWidth="1"/>
    <col min="15362" max="15362" width="29.26953125" style="1076" customWidth="1"/>
    <col min="15363" max="15363" width="12.26953125" style="1076" customWidth="1"/>
    <col min="15364" max="15375" width="10.6328125" style="1076" customWidth="1"/>
    <col min="15376" max="15376" width="13.81640625" style="1076" customWidth="1"/>
    <col min="15377" max="15538" width="10.81640625" style="1076"/>
    <col min="15539" max="15539" width="1.81640625" style="1076" customWidth="1"/>
    <col min="15540" max="15540" width="31.1796875" style="1076" customWidth="1"/>
    <col min="15541" max="15541" width="16.1796875" style="1076" customWidth="1"/>
    <col min="15542" max="15542" width="13.7265625" style="1076" customWidth="1"/>
    <col min="15543" max="15543" width="16.453125" style="1076" customWidth="1"/>
    <col min="15544" max="15544" width="11.81640625" style="1076" customWidth="1"/>
    <col min="15545" max="15545" width="9.7265625" style="1076" customWidth="1"/>
    <col min="15546" max="15616" width="10.81640625" style="1076"/>
    <col min="15617" max="15617" width="6.1796875" style="1076" customWidth="1"/>
    <col min="15618" max="15618" width="29.26953125" style="1076" customWidth="1"/>
    <col min="15619" max="15619" width="12.26953125" style="1076" customWidth="1"/>
    <col min="15620" max="15631" width="10.6328125" style="1076" customWidth="1"/>
    <col min="15632" max="15632" width="13.81640625" style="1076" customWidth="1"/>
    <col min="15633" max="15794" width="10.81640625" style="1076"/>
    <col min="15795" max="15795" width="1.81640625" style="1076" customWidth="1"/>
    <col min="15796" max="15796" width="31.1796875" style="1076" customWidth="1"/>
    <col min="15797" max="15797" width="16.1796875" style="1076" customWidth="1"/>
    <col min="15798" max="15798" width="13.7265625" style="1076" customWidth="1"/>
    <col min="15799" max="15799" width="16.453125" style="1076" customWidth="1"/>
    <col min="15800" max="15800" width="11.81640625" style="1076" customWidth="1"/>
    <col min="15801" max="15801" width="9.7265625" style="1076" customWidth="1"/>
    <col min="15802" max="15872" width="10.81640625" style="1076"/>
    <col min="15873" max="15873" width="6.1796875" style="1076" customWidth="1"/>
    <col min="15874" max="15874" width="29.26953125" style="1076" customWidth="1"/>
    <col min="15875" max="15875" width="12.26953125" style="1076" customWidth="1"/>
    <col min="15876" max="15887" width="10.6328125" style="1076" customWidth="1"/>
    <col min="15888" max="15888" width="13.81640625" style="1076" customWidth="1"/>
    <col min="15889" max="16050" width="10.81640625" style="1076"/>
    <col min="16051" max="16051" width="1.81640625" style="1076" customWidth="1"/>
    <col min="16052" max="16052" width="31.1796875" style="1076" customWidth="1"/>
    <col min="16053" max="16053" width="16.1796875" style="1076" customWidth="1"/>
    <col min="16054" max="16054" width="13.7265625" style="1076" customWidth="1"/>
    <col min="16055" max="16055" width="16.453125" style="1076" customWidth="1"/>
    <col min="16056" max="16056" width="11.81640625" style="1076" customWidth="1"/>
    <col min="16057" max="16057" width="9.7265625" style="1076" customWidth="1"/>
    <col min="16058" max="16128" width="10.81640625" style="1076"/>
    <col min="16129" max="16129" width="6.1796875" style="1076" customWidth="1"/>
    <col min="16130" max="16130" width="29.26953125" style="1076" customWidth="1"/>
    <col min="16131" max="16131" width="12.26953125" style="1076" customWidth="1"/>
    <col min="16132" max="16143" width="10.6328125" style="1076" customWidth="1"/>
    <col min="16144" max="16144" width="13.81640625" style="1076" customWidth="1"/>
    <col min="16145" max="16306" width="10.81640625" style="1076"/>
    <col min="16307" max="16307" width="1.81640625" style="1076" customWidth="1"/>
    <col min="16308" max="16308" width="31.1796875" style="1076" customWidth="1"/>
    <col min="16309" max="16309" width="16.1796875" style="1076" customWidth="1"/>
    <col min="16310" max="16310" width="13.7265625" style="1076" customWidth="1"/>
    <col min="16311" max="16311" width="16.453125" style="1076" customWidth="1"/>
    <col min="16312" max="16312" width="11.81640625" style="1076" customWidth="1"/>
    <col min="16313" max="16313" width="9.7265625" style="1076" customWidth="1"/>
    <col min="16314" max="16384" width="10.81640625" style="1076"/>
  </cols>
  <sheetData>
    <row r="1" spans="1:256" x14ac:dyDescent="0.3">
      <c r="B1" s="1744" t="s">
        <v>498</v>
      </c>
      <c r="C1" s="1745"/>
      <c r="D1" s="1745"/>
      <c r="E1" s="1745"/>
      <c r="F1" s="1745"/>
      <c r="G1" s="1745"/>
      <c r="H1" s="1745"/>
      <c r="I1" s="1745"/>
      <c r="J1" s="1745"/>
      <c r="K1" s="1745"/>
      <c r="L1" s="1745"/>
      <c r="M1" s="1745"/>
      <c r="N1" s="1745"/>
      <c r="O1" s="1745"/>
      <c r="P1" s="1745"/>
    </row>
    <row r="2" spans="1:256" x14ac:dyDescent="0.3">
      <c r="A2" s="1074">
        <v>3</v>
      </c>
      <c r="B2" s="1746" t="s">
        <v>1530</v>
      </c>
      <c r="C2" s="1747"/>
      <c r="D2" s="1747"/>
      <c r="E2" s="1747"/>
      <c r="F2" s="1747"/>
      <c r="G2" s="1747"/>
      <c r="H2" s="1747"/>
      <c r="I2" s="1747"/>
      <c r="J2" s="1747"/>
      <c r="K2" s="1747"/>
      <c r="L2" s="1747"/>
      <c r="M2" s="1747"/>
      <c r="N2" s="1747"/>
      <c r="O2" s="1747"/>
      <c r="P2" s="1747"/>
    </row>
    <row r="3" spans="1:256" ht="13.5" thickBot="1" x14ac:dyDescent="0.35">
      <c r="B3" s="1075">
        <v>12</v>
      </c>
      <c r="C3" s="1077"/>
    </row>
    <row r="4" spans="1:256" ht="13.5" thickTop="1" x14ac:dyDescent="0.3">
      <c r="B4" s="1078" t="s">
        <v>1422</v>
      </c>
      <c r="C4" s="1079" t="s">
        <v>1582</v>
      </c>
      <c r="D4" s="1079" t="s">
        <v>69</v>
      </c>
      <c r="E4" s="1079" t="s">
        <v>70</v>
      </c>
      <c r="F4" s="1079" t="s">
        <v>182</v>
      </c>
      <c r="G4" s="1079" t="s">
        <v>184</v>
      </c>
      <c r="H4" s="1079" t="s">
        <v>186</v>
      </c>
      <c r="I4" s="1079" t="s">
        <v>188</v>
      </c>
      <c r="J4" s="1079" t="s">
        <v>190</v>
      </c>
      <c r="K4" s="1079" t="s">
        <v>192</v>
      </c>
      <c r="L4" s="1079" t="s">
        <v>1531</v>
      </c>
      <c r="M4" s="1079" t="s">
        <v>1532</v>
      </c>
      <c r="N4" s="1079" t="s">
        <v>1533</v>
      </c>
      <c r="O4" s="1079" t="s">
        <v>760</v>
      </c>
      <c r="P4" s="1079" t="s">
        <v>1534</v>
      </c>
    </row>
    <row r="5" spans="1:256" x14ac:dyDescent="0.3">
      <c r="A5" s="1075">
        <v>3</v>
      </c>
      <c r="B5" s="1080" t="s">
        <v>1535</v>
      </c>
      <c r="C5" s="1081">
        <v>27012728</v>
      </c>
      <c r="D5" s="1081">
        <v>23826276</v>
      </c>
      <c r="E5" s="1081">
        <v>23826276</v>
      </c>
      <c r="F5" s="1082">
        <v>23826276</v>
      </c>
      <c r="G5" s="1082">
        <v>27282856</v>
      </c>
      <c r="H5" s="1082">
        <v>27282856</v>
      </c>
      <c r="I5" s="1082">
        <v>27282856</v>
      </c>
      <c r="J5" s="1082">
        <v>27282856</v>
      </c>
      <c r="K5" s="1082">
        <v>27282856</v>
      </c>
      <c r="L5" s="1082">
        <v>27282856</v>
      </c>
      <c r="M5" s="1082">
        <v>27282856</v>
      </c>
      <c r="N5" s="1082">
        <v>27282856</v>
      </c>
      <c r="O5" s="1082">
        <v>27282856</v>
      </c>
      <c r="P5" s="1082">
        <f>SUM(D5:O5)</f>
        <v>317024532</v>
      </c>
    </row>
    <row r="6" spans="1:256" x14ac:dyDescent="0.3">
      <c r="B6" s="1083" t="s">
        <v>1536</v>
      </c>
      <c r="C6" s="1084">
        <v>27012728.333333332</v>
      </c>
      <c r="D6" s="1085">
        <v>23588013</v>
      </c>
      <c r="E6" s="1085">
        <f>+E5*0.95</f>
        <v>22634962.199999999</v>
      </c>
      <c r="F6" s="1085">
        <f>+F5*0.9</f>
        <v>21443648.400000002</v>
      </c>
      <c r="G6" s="1085">
        <f t="shared" ref="G6:O6" si="0">+G5*0.95</f>
        <v>25918713.199999999</v>
      </c>
      <c r="H6" s="1085">
        <f t="shared" si="0"/>
        <v>25918713.199999999</v>
      </c>
      <c r="I6" s="1085">
        <f t="shared" si="0"/>
        <v>25918713.199999999</v>
      </c>
      <c r="J6" s="1085">
        <f t="shared" si="0"/>
        <v>25918713.199999999</v>
      </c>
      <c r="K6" s="1085">
        <f t="shared" si="0"/>
        <v>25918713.199999999</v>
      </c>
      <c r="L6" s="1085">
        <f t="shared" si="0"/>
        <v>25918713.199999999</v>
      </c>
      <c r="M6" s="1085">
        <f t="shared" si="0"/>
        <v>25918713.199999999</v>
      </c>
      <c r="N6" s="1085">
        <f t="shared" si="0"/>
        <v>25918713.199999999</v>
      </c>
      <c r="O6" s="1085">
        <f t="shared" si="0"/>
        <v>25918713.199999999</v>
      </c>
      <c r="P6" s="1086">
        <f>SUM(D6:O6)</f>
        <v>300935042.39999998</v>
      </c>
    </row>
    <row r="7" spans="1:256" x14ac:dyDescent="0.3">
      <c r="A7" s="1075" t="s">
        <v>1537</v>
      </c>
      <c r="B7" s="1087" t="s">
        <v>1538</v>
      </c>
      <c r="C7" s="1088"/>
      <c r="D7" s="1089"/>
      <c r="E7" s="1089"/>
      <c r="F7" s="1088">
        <v>0</v>
      </c>
      <c r="G7" s="1088">
        <v>6913159</v>
      </c>
      <c r="H7" s="1088"/>
      <c r="I7" s="1088"/>
      <c r="J7" s="1088"/>
      <c r="K7" s="1088"/>
      <c r="L7" s="1088"/>
      <c r="M7" s="1088"/>
      <c r="N7" s="1088"/>
      <c r="O7" s="1088"/>
      <c r="P7" s="1082">
        <f>SUM(D7:O7)</f>
        <v>6913159</v>
      </c>
    </row>
    <row r="8" spans="1:256" x14ac:dyDescent="0.3">
      <c r="B8" s="1083" t="s">
        <v>1539</v>
      </c>
      <c r="C8" s="1084"/>
      <c r="D8" s="1085"/>
      <c r="E8" s="1085"/>
      <c r="F8" s="1084">
        <v>2476000</v>
      </c>
      <c r="G8" s="1084">
        <f>+F5-F6</f>
        <v>2382627.5999999978</v>
      </c>
      <c r="H8" s="1084">
        <f>+G5-G6</f>
        <v>1364142.8000000007</v>
      </c>
      <c r="I8" s="1084">
        <f>+H5-H6</f>
        <v>1364142.8000000007</v>
      </c>
      <c r="J8" s="1084">
        <f t="shared" ref="J8:O8" si="1">+I5-I6</f>
        <v>1364142.8000000007</v>
      </c>
      <c r="K8" s="1084">
        <f t="shared" si="1"/>
        <v>1364142.8000000007</v>
      </c>
      <c r="L8" s="1084">
        <f t="shared" si="1"/>
        <v>1364142.8000000007</v>
      </c>
      <c r="M8" s="1084">
        <f t="shared" si="1"/>
        <v>1364142.8000000007</v>
      </c>
      <c r="N8" s="1084">
        <f t="shared" si="1"/>
        <v>1364142.8000000007</v>
      </c>
      <c r="O8" s="1084">
        <f t="shared" si="1"/>
        <v>1364142.8000000007</v>
      </c>
      <c r="P8" s="1086">
        <f>SUM(D8:O8)</f>
        <v>15771770.000000004</v>
      </c>
    </row>
    <row r="9" spans="1:256" x14ac:dyDescent="0.3">
      <c r="A9" s="1075"/>
      <c r="B9" s="1087" t="s">
        <v>1540</v>
      </c>
      <c r="C9" s="1088"/>
      <c r="D9" s="1089"/>
      <c r="E9" s="1089"/>
      <c r="F9" s="1088"/>
      <c r="G9" s="1088"/>
      <c r="H9" s="1088">
        <v>18882500</v>
      </c>
      <c r="I9" s="1088"/>
      <c r="J9" s="1088">
        <v>18882500</v>
      </c>
      <c r="K9" s="1088"/>
      <c r="L9" s="1088">
        <v>18882500</v>
      </c>
      <c r="M9" s="1088"/>
      <c r="N9" s="1088"/>
      <c r="O9" s="1088"/>
      <c r="P9" s="1082"/>
    </row>
    <row r="10" spans="1:256" x14ac:dyDescent="0.3">
      <c r="B10" s="1083" t="s">
        <v>1541</v>
      </c>
      <c r="C10" s="1084"/>
      <c r="D10" s="1085"/>
      <c r="E10" s="1085"/>
      <c r="F10" s="1084">
        <v>13667082</v>
      </c>
      <c r="G10" s="1090">
        <v>17705789</v>
      </c>
      <c r="H10" s="1084">
        <f>19366324</f>
        <v>19366324</v>
      </c>
      <c r="I10" s="1084">
        <f>27839759-1782299+13148+69200</f>
        <v>26139808</v>
      </c>
      <c r="J10" s="1084"/>
      <c r="K10" s="1084"/>
      <c r="L10" s="1084"/>
      <c r="M10" s="1084"/>
      <c r="N10" s="1084"/>
      <c r="O10" s="1084"/>
      <c r="P10" s="1086">
        <f>SUM(D10:O10)</f>
        <v>76879003</v>
      </c>
    </row>
    <row r="11" spans="1:256" x14ac:dyDescent="0.3">
      <c r="A11" s="1075"/>
      <c r="B11" s="1087" t="s">
        <v>123</v>
      </c>
      <c r="C11" s="1088"/>
      <c r="D11" s="1089">
        <v>278251</v>
      </c>
      <c r="E11" s="1089">
        <v>233272</v>
      </c>
      <c r="F11" s="1088">
        <v>233272</v>
      </c>
      <c r="G11" s="1088">
        <v>233272</v>
      </c>
      <c r="H11" s="1088">
        <v>233272</v>
      </c>
      <c r="I11" s="1088">
        <v>233272</v>
      </c>
      <c r="J11" s="1088">
        <v>233272</v>
      </c>
      <c r="K11" s="1088">
        <v>233272</v>
      </c>
      <c r="L11" s="1088">
        <v>233272</v>
      </c>
      <c r="M11" s="1088">
        <v>233272</v>
      </c>
      <c r="N11" s="1088">
        <v>233272</v>
      </c>
      <c r="O11" s="1088">
        <v>233272</v>
      </c>
      <c r="P11" s="1082">
        <f>SUM(D11:O11)</f>
        <v>2844243</v>
      </c>
    </row>
    <row r="12" spans="1:256" x14ac:dyDescent="0.3">
      <c r="A12" s="1075"/>
      <c r="B12" s="1083"/>
      <c r="C12" s="1084"/>
      <c r="D12" s="1085"/>
      <c r="E12" s="1085"/>
      <c r="F12" s="1084"/>
      <c r="G12" s="1084"/>
      <c r="H12" s="1084"/>
      <c r="I12" s="1084"/>
      <c r="J12" s="1084"/>
      <c r="K12" s="1084"/>
      <c r="L12" s="1084"/>
      <c r="M12" s="1084"/>
      <c r="N12" s="1084"/>
      <c r="O12" s="1084"/>
      <c r="P12" s="1086"/>
    </row>
    <row r="13" spans="1:256" x14ac:dyDescent="0.3">
      <c r="A13" s="1075"/>
      <c r="B13" s="1087"/>
      <c r="C13" s="1088"/>
      <c r="D13" s="1089"/>
      <c r="E13" s="1089"/>
      <c r="F13" s="1088"/>
      <c r="G13" s="1088"/>
      <c r="H13" s="1088"/>
      <c r="I13" s="1088"/>
      <c r="J13" s="1088"/>
      <c r="K13" s="1088"/>
      <c r="L13" s="1088"/>
      <c r="M13" s="1088"/>
      <c r="N13" s="1088"/>
      <c r="O13" s="1088"/>
      <c r="P13" s="1082"/>
    </row>
    <row r="14" spans="1:256" x14ac:dyDescent="0.3">
      <c r="A14" s="1091"/>
      <c r="B14" s="1092" t="s">
        <v>1542</v>
      </c>
      <c r="C14" s="1086">
        <v>27012728.333333332</v>
      </c>
      <c r="D14" s="1093">
        <f>+D6+D11</f>
        <v>23866264</v>
      </c>
      <c r="E14" s="1093">
        <f>+E6+E11</f>
        <v>22868234.199999999</v>
      </c>
      <c r="F14" s="1093">
        <f t="shared" ref="F14:O14" si="2">SUM(F6:F11)</f>
        <v>37820002.400000006</v>
      </c>
      <c r="G14" s="1093">
        <f t="shared" si="2"/>
        <v>53153560.799999997</v>
      </c>
      <c r="H14" s="1093">
        <f t="shared" si="2"/>
        <v>65764952</v>
      </c>
      <c r="I14" s="1093">
        <f t="shared" si="2"/>
        <v>53655936</v>
      </c>
      <c r="J14" s="1093">
        <f t="shared" si="2"/>
        <v>46398628</v>
      </c>
      <c r="K14" s="1093">
        <f t="shared" si="2"/>
        <v>27516128</v>
      </c>
      <c r="L14" s="1093">
        <f t="shared" si="2"/>
        <v>46398628</v>
      </c>
      <c r="M14" s="1093">
        <f t="shared" si="2"/>
        <v>27516128</v>
      </c>
      <c r="N14" s="1093">
        <f t="shared" si="2"/>
        <v>27516128</v>
      </c>
      <c r="O14" s="1093">
        <f t="shared" si="2"/>
        <v>27516128</v>
      </c>
      <c r="P14" s="1086">
        <f>SUM(D14:O14)</f>
        <v>459990717.39999998</v>
      </c>
      <c r="Q14" s="1094"/>
      <c r="R14" s="1094"/>
      <c r="S14" s="1094"/>
      <c r="T14" s="1094"/>
      <c r="U14" s="1094"/>
      <c r="V14" s="1094"/>
      <c r="W14" s="1094"/>
      <c r="X14" s="1094"/>
      <c r="Y14" s="1094"/>
      <c r="Z14" s="1094"/>
      <c r="AA14" s="1094"/>
      <c r="AB14" s="1094"/>
      <c r="AC14" s="1094"/>
      <c r="AD14" s="1094"/>
      <c r="AE14" s="1094"/>
      <c r="AF14" s="1094"/>
      <c r="AG14" s="1094"/>
      <c r="AH14" s="1094"/>
      <c r="AI14" s="1094"/>
      <c r="AJ14" s="1094"/>
      <c r="AK14" s="1094"/>
      <c r="AL14" s="1094"/>
      <c r="AM14" s="1094"/>
      <c r="AN14" s="1094"/>
      <c r="AO14" s="1094"/>
      <c r="AP14" s="1094"/>
      <c r="AQ14" s="1094"/>
      <c r="AR14" s="1094"/>
      <c r="AS14" s="1094"/>
      <c r="AT14" s="1094"/>
      <c r="AU14" s="1094"/>
      <c r="AV14" s="1094"/>
      <c r="AW14" s="1094"/>
      <c r="AX14" s="1094"/>
      <c r="AY14" s="1094"/>
      <c r="AZ14" s="1094"/>
      <c r="BA14" s="1094"/>
      <c r="BB14" s="1094"/>
      <c r="BC14" s="1094"/>
      <c r="BD14" s="1094"/>
      <c r="BE14" s="1094"/>
      <c r="BF14" s="1094"/>
      <c r="BG14" s="1094"/>
      <c r="BH14" s="1094"/>
      <c r="BI14" s="1094"/>
      <c r="BJ14" s="1094"/>
      <c r="BK14" s="1094"/>
      <c r="BL14" s="1094"/>
      <c r="BM14" s="1094"/>
      <c r="BN14" s="1094"/>
      <c r="BO14" s="1094"/>
      <c r="BP14" s="1094"/>
      <c r="BQ14" s="1094"/>
      <c r="BR14" s="1094"/>
      <c r="BS14" s="1094"/>
      <c r="BT14" s="1094"/>
      <c r="BU14" s="1094"/>
      <c r="BV14" s="1094"/>
      <c r="BW14" s="1094"/>
      <c r="BX14" s="1094"/>
      <c r="BY14" s="1094"/>
      <c r="BZ14" s="1094"/>
      <c r="CA14" s="1094"/>
      <c r="CB14" s="1094"/>
      <c r="CC14" s="1094"/>
      <c r="CD14" s="1094"/>
      <c r="CE14" s="1094"/>
      <c r="CF14" s="1094"/>
      <c r="CG14" s="1094"/>
      <c r="CH14" s="1094"/>
      <c r="CI14" s="1094"/>
      <c r="CJ14" s="1094"/>
      <c r="CK14" s="1094"/>
      <c r="CL14" s="1094"/>
      <c r="CM14" s="1094"/>
      <c r="CN14" s="1094"/>
      <c r="CO14" s="1094"/>
      <c r="CP14" s="1094"/>
      <c r="CQ14" s="1094"/>
      <c r="CR14" s="1094"/>
      <c r="CS14" s="1094"/>
      <c r="CT14" s="1094"/>
      <c r="CU14" s="1094"/>
      <c r="CV14" s="1094"/>
      <c r="CW14" s="1094"/>
      <c r="CX14" s="1094"/>
      <c r="CY14" s="1094"/>
      <c r="CZ14" s="1094"/>
      <c r="DA14" s="1094"/>
      <c r="DB14" s="1094"/>
      <c r="DC14" s="1094"/>
      <c r="DD14" s="1094"/>
      <c r="DE14" s="1094"/>
      <c r="DF14" s="1094"/>
      <c r="DG14" s="1094"/>
      <c r="DH14" s="1094"/>
      <c r="DI14" s="1094"/>
      <c r="DJ14" s="1094"/>
      <c r="DK14" s="1094"/>
      <c r="DL14" s="1094"/>
      <c r="DM14" s="1094"/>
      <c r="DN14" s="1094"/>
      <c r="DO14" s="1094"/>
      <c r="DP14" s="1094"/>
      <c r="DQ14" s="1094"/>
      <c r="DR14" s="1094"/>
      <c r="DS14" s="1094"/>
      <c r="DT14" s="1094"/>
      <c r="DU14" s="1094"/>
      <c r="DV14" s="1094"/>
      <c r="DW14" s="1094"/>
      <c r="DX14" s="1094"/>
      <c r="DY14" s="1094"/>
      <c r="DZ14" s="1094"/>
      <c r="EA14" s="1094"/>
      <c r="EB14" s="1094"/>
      <c r="EC14" s="1094"/>
      <c r="ED14" s="1094"/>
      <c r="EE14" s="1094"/>
      <c r="EF14" s="1094"/>
      <c r="EG14" s="1094"/>
      <c r="EH14" s="1094"/>
      <c r="EI14" s="1094"/>
      <c r="EJ14" s="1094"/>
      <c r="EK14" s="1094"/>
      <c r="EL14" s="1094"/>
      <c r="EM14" s="1094"/>
      <c r="EN14" s="1094"/>
      <c r="EO14" s="1094"/>
      <c r="EP14" s="1094"/>
      <c r="EQ14" s="1094"/>
      <c r="ER14" s="1094"/>
      <c r="ES14" s="1094"/>
      <c r="ET14" s="1094"/>
      <c r="EU14" s="1094"/>
      <c r="EV14" s="1094"/>
      <c r="EW14" s="1094"/>
      <c r="EX14" s="1094"/>
      <c r="EY14" s="1094"/>
      <c r="EZ14" s="1094"/>
      <c r="FA14" s="1094"/>
      <c r="FB14" s="1094"/>
      <c r="FC14" s="1094"/>
      <c r="FD14" s="1094"/>
      <c r="FE14" s="1094"/>
      <c r="FF14" s="1094"/>
      <c r="FG14" s="1094"/>
      <c r="FH14" s="1094"/>
      <c r="FI14" s="1094"/>
      <c r="FJ14" s="1094"/>
      <c r="FK14" s="1094"/>
      <c r="FL14" s="1094"/>
      <c r="FM14" s="1094"/>
      <c r="FN14" s="1094"/>
      <c r="FO14" s="1094"/>
      <c r="FP14" s="1094"/>
      <c r="FQ14" s="1094"/>
      <c r="FR14" s="1094"/>
      <c r="FS14" s="1094"/>
      <c r="FT14" s="1094"/>
      <c r="FU14" s="1094"/>
      <c r="FV14" s="1094"/>
      <c r="FW14" s="1094"/>
      <c r="FX14" s="1094"/>
      <c r="FY14" s="1094"/>
      <c r="FZ14" s="1094"/>
      <c r="GA14" s="1094"/>
      <c r="GB14" s="1094"/>
      <c r="GC14" s="1094"/>
      <c r="GD14" s="1094"/>
      <c r="GE14" s="1094"/>
      <c r="GF14" s="1094"/>
      <c r="GG14" s="1094"/>
      <c r="GH14" s="1094"/>
      <c r="GI14" s="1094"/>
      <c r="GJ14" s="1094"/>
      <c r="GK14" s="1094"/>
      <c r="GL14" s="1094"/>
      <c r="GM14" s="1094"/>
      <c r="GN14" s="1094"/>
      <c r="GO14" s="1094"/>
      <c r="GP14" s="1094"/>
      <c r="GQ14" s="1094"/>
      <c r="GR14" s="1094"/>
      <c r="GS14" s="1094"/>
      <c r="GT14" s="1094"/>
      <c r="GU14" s="1094"/>
      <c r="GV14" s="1094"/>
      <c r="GW14" s="1094"/>
      <c r="GX14" s="1094"/>
      <c r="GY14" s="1094"/>
      <c r="GZ14" s="1094"/>
      <c r="HA14" s="1094"/>
      <c r="HB14" s="1094"/>
      <c r="HC14" s="1094"/>
      <c r="HD14" s="1094"/>
      <c r="HE14" s="1094"/>
      <c r="HF14" s="1094"/>
      <c r="HG14" s="1094"/>
      <c r="HH14" s="1094"/>
      <c r="HI14" s="1094"/>
      <c r="HJ14" s="1094"/>
      <c r="HK14" s="1094"/>
      <c r="HL14" s="1094"/>
      <c r="HM14" s="1094"/>
      <c r="HN14" s="1094"/>
      <c r="HO14" s="1094"/>
      <c r="HP14" s="1094"/>
      <c r="HQ14" s="1094"/>
      <c r="HR14" s="1094"/>
      <c r="HS14" s="1094"/>
      <c r="HT14" s="1094"/>
      <c r="HU14" s="1094"/>
      <c r="HV14" s="1094"/>
      <c r="HW14" s="1094"/>
      <c r="HX14" s="1094"/>
      <c r="HY14" s="1094"/>
      <c r="HZ14" s="1094"/>
      <c r="IA14" s="1094"/>
      <c r="IB14" s="1094"/>
      <c r="IC14" s="1094"/>
      <c r="ID14" s="1094"/>
      <c r="IE14" s="1094"/>
      <c r="IF14" s="1094"/>
      <c r="IG14" s="1094"/>
      <c r="IH14" s="1094"/>
      <c r="II14" s="1094"/>
      <c r="IJ14" s="1094"/>
      <c r="IK14" s="1094"/>
      <c r="IL14" s="1094"/>
      <c r="IM14" s="1094"/>
      <c r="IN14" s="1094"/>
      <c r="IO14" s="1094"/>
      <c r="IP14" s="1094"/>
      <c r="IQ14" s="1094"/>
      <c r="IR14" s="1094"/>
      <c r="IS14" s="1094"/>
      <c r="IT14" s="1094"/>
      <c r="IU14" s="1094"/>
      <c r="IV14" s="1094"/>
    </row>
    <row r="15" spans="1:256" x14ac:dyDescent="0.3">
      <c r="B15" s="1095"/>
      <c r="C15" s="1088"/>
      <c r="D15" s="1089"/>
      <c r="E15" s="1089"/>
      <c r="F15" s="1088"/>
      <c r="G15" s="1088"/>
      <c r="H15" s="1088"/>
      <c r="I15" s="1088"/>
      <c r="J15" s="1088"/>
      <c r="K15" s="1088"/>
      <c r="L15" s="1088"/>
      <c r="M15" s="1088"/>
      <c r="N15" s="1088"/>
      <c r="O15" s="1088"/>
      <c r="P15" s="1082">
        <f>SUM(D15:O15)</f>
        <v>0</v>
      </c>
    </row>
    <row r="16" spans="1:256" x14ac:dyDescent="0.3">
      <c r="B16" s="1096" t="s">
        <v>1543</v>
      </c>
      <c r="C16" s="1097" t="s">
        <v>33</v>
      </c>
      <c r="D16" s="1098"/>
      <c r="E16" s="1098"/>
      <c r="F16" s="1097"/>
      <c r="G16" s="1097"/>
      <c r="H16" s="1097"/>
      <c r="I16" s="1097"/>
      <c r="J16" s="1097"/>
      <c r="K16" s="1097"/>
      <c r="L16" s="1097"/>
      <c r="M16" s="1097"/>
      <c r="N16" s="1097"/>
      <c r="O16" s="1097"/>
      <c r="P16" s="1082">
        <f>SUM(D16:O16)</f>
        <v>0</v>
      </c>
    </row>
    <row r="17" spans="1:256" x14ac:dyDescent="0.3">
      <c r="A17" s="1075"/>
      <c r="B17" s="1099" t="s">
        <v>1544</v>
      </c>
      <c r="C17" s="1100"/>
      <c r="D17" s="1100"/>
      <c r="E17" s="1100"/>
      <c r="F17" s="1100"/>
      <c r="G17" s="1100"/>
      <c r="H17" s="1100"/>
      <c r="I17" s="1100"/>
      <c r="J17" s="1100"/>
      <c r="K17" s="1100"/>
      <c r="L17" s="1100"/>
      <c r="M17" s="1100"/>
      <c r="N17" s="1100"/>
      <c r="O17" s="1100"/>
      <c r="P17" s="1101">
        <f>SUM(D17:O17)</f>
        <v>0</v>
      </c>
    </row>
    <row r="18" spans="1:256" x14ac:dyDescent="0.3">
      <c r="A18" s="1075"/>
      <c r="B18" s="1102" t="s">
        <v>1545</v>
      </c>
      <c r="C18" s="1088">
        <v>2491394.5833333335</v>
      </c>
      <c r="D18" s="1089">
        <v>2491395</v>
      </c>
      <c r="E18" s="1089">
        <v>2491395</v>
      </c>
      <c r="F18" s="1089">
        <v>2491395</v>
      </c>
      <c r="G18" s="1089">
        <v>2491395</v>
      </c>
      <c r="H18" s="1089">
        <v>2491395</v>
      </c>
      <c r="I18" s="1089">
        <v>2491395</v>
      </c>
      <c r="J18" s="1089">
        <v>2491395</v>
      </c>
      <c r="K18" s="1089">
        <v>2491395</v>
      </c>
      <c r="L18" s="1089">
        <v>2491395</v>
      </c>
      <c r="M18" s="1089">
        <v>2491395</v>
      </c>
      <c r="N18" s="1089">
        <v>2491395</v>
      </c>
      <c r="O18" s="1089">
        <v>2491395</v>
      </c>
      <c r="P18" s="1082">
        <f>SUM(D18:O18)</f>
        <v>29896740</v>
      </c>
    </row>
    <row r="19" spans="1:256" x14ac:dyDescent="0.3">
      <c r="A19" s="1075"/>
      <c r="B19" s="1103" t="s">
        <v>1546</v>
      </c>
      <c r="C19" s="1104">
        <v>100000</v>
      </c>
      <c r="D19" s="1100">
        <v>53140</v>
      </c>
      <c r="E19" s="1100">
        <v>152690</v>
      </c>
      <c r="F19" s="1104">
        <v>96400</v>
      </c>
      <c r="G19" s="1104"/>
      <c r="H19" s="1104"/>
      <c r="I19" s="1104"/>
      <c r="J19" s="1104"/>
      <c r="K19" s="1104"/>
      <c r="L19" s="1104"/>
      <c r="M19" s="1104"/>
      <c r="N19" s="1104"/>
      <c r="O19" s="1104"/>
      <c r="P19" s="1101">
        <f t="shared" ref="P19:P58" si="3">SUM(D19:O19)</f>
        <v>302230</v>
      </c>
    </row>
    <row r="20" spans="1:256" x14ac:dyDescent="0.3">
      <c r="A20" s="1075"/>
      <c r="B20" s="1102" t="s">
        <v>1547</v>
      </c>
      <c r="C20" s="1088">
        <v>875000</v>
      </c>
      <c r="D20" s="1089">
        <v>290004</v>
      </c>
      <c r="E20" s="1089">
        <f>-1380000+1415800</f>
        <v>35800</v>
      </c>
      <c r="F20" s="1088">
        <v>99899</v>
      </c>
      <c r="G20" s="1088">
        <f>120000+75000</f>
        <v>195000</v>
      </c>
      <c r="H20" s="1088"/>
      <c r="I20" s="1088"/>
      <c r="J20" s="1088"/>
      <c r="K20" s="1088"/>
      <c r="L20" s="1088"/>
      <c r="M20" s="1088"/>
      <c r="N20" s="1088"/>
      <c r="O20" s="1088"/>
      <c r="P20" s="1082">
        <f t="shared" si="3"/>
        <v>620703</v>
      </c>
    </row>
    <row r="21" spans="1:256" x14ac:dyDescent="0.3">
      <c r="A21" s="1075"/>
      <c r="B21" s="1103" t="s">
        <v>1548</v>
      </c>
      <c r="C21" s="1104">
        <v>306666.66666666669</v>
      </c>
      <c r="D21" s="1100"/>
      <c r="E21" s="1100">
        <v>238000</v>
      </c>
      <c r="F21" s="1104">
        <v>854280</v>
      </c>
      <c r="G21" s="1104">
        <v>145500</v>
      </c>
      <c r="H21" s="1104"/>
      <c r="I21" s="1104"/>
      <c r="J21" s="1104"/>
      <c r="K21" s="1104"/>
      <c r="L21" s="1104"/>
      <c r="M21" s="1104"/>
      <c r="N21" s="1104"/>
      <c r="O21" s="1104"/>
      <c r="P21" s="1101">
        <f t="shared" si="3"/>
        <v>1237780</v>
      </c>
    </row>
    <row r="22" spans="1:256" x14ac:dyDescent="0.3">
      <c r="A22" s="1075"/>
      <c r="B22" s="1102" t="s">
        <v>1549</v>
      </c>
      <c r="C22" s="1088">
        <v>800000</v>
      </c>
      <c r="D22" s="1089">
        <v>625022</v>
      </c>
      <c r="E22" s="1089">
        <v>1370702</v>
      </c>
      <c r="F22" s="1088">
        <v>484703</v>
      </c>
      <c r="G22" s="1088">
        <f>171364+471499+240202+178500+324473+170598</f>
        <v>1556636</v>
      </c>
      <c r="H22" s="1088"/>
      <c r="I22" s="1088"/>
      <c r="J22" s="1088"/>
      <c r="K22" s="1088"/>
      <c r="L22" s="1088"/>
      <c r="M22" s="1088"/>
      <c r="N22" s="1088"/>
      <c r="O22" s="1088"/>
      <c r="P22" s="1082">
        <f t="shared" si="3"/>
        <v>4037063</v>
      </c>
    </row>
    <row r="23" spans="1:256" x14ac:dyDescent="0.3">
      <c r="A23" s="1075"/>
      <c r="B23" s="1103" t="s">
        <v>1550</v>
      </c>
      <c r="C23" s="1104">
        <v>163333.33333333334</v>
      </c>
      <c r="D23" s="1100"/>
      <c r="E23" s="1100">
        <v>1380000</v>
      </c>
      <c r="F23" s="1104">
        <v>0</v>
      </c>
      <c r="G23" s="1104"/>
      <c r="H23" s="1104"/>
      <c r="I23" s="1104"/>
      <c r="J23" s="1104"/>
      <c r="K23" s="1104"/>
      <c r="L23" s="1104"/>
      <c r="M23" s="1104"/>
      <c r="N23" s="1104"/>
      <c r="O23" s="1104"/>
      <c r="P23" s="1101">
        <f t="shared" si="3"/>
        <v>1380000</v>
      </c>
    </row>
    <row r="24" spans="1:256" x14ac:dyDescent="0.3">
      <c r="A24" s="1075"/>
      <c r="B24" s="1102" t="s">
        <v>1551</v>
      </c>
      <c r="C24" s="1088">
        <v>141666.66666666666</v>
      </c>
      <c r="D24" s="1089">
        <v>223910</v>
      </c>
      <c r="E24" s="1089">
        <v>0</v>
      </c>
      <c r="F24" s="1088">
        <v>0</v>
      </c>
      <c r="G24" s="1088">
        <f>397103</f>
        <v>397103</v>
      </c>
      <c r="H24" s="1088"/>
      <c r="I24" s="1088"/>
      <c r="J24" s="1088"/>
      <c r="K24" s="1088"/>
      <c r="L24" s="1088"/>
      <c r="M24" s="1088"/>
      <c r="N24" s="1088"/>
      <c r="O24" s="1088"/>
      <c r="P24" s="1082">
        <f t="shared" si="3"/>
        <v>621013</v>
      </c>
    </row>
    <row r="25" spans="1:256" x14ac:dyDescent="0.3">
      <c r="A25" s="1075"/>
      <c r="B25" s="1105" t="s">
        <v>1552</v>
      </c>
      <c r="C25" s="1106"/>
      <c r="D25" s="1106"/>
      <c r="E25" s="1106"/>
      <c r="F25" s="1106"/>
      <c r="G25" s="1106"/>
      <c r="H25" s="1106"/>
      <c r="I25" s="1106"/>
      <c r="J25" s="1106"/>
      <c r="K25" s="1106"/>
      <c r="L25" s="1106"/>
      <c r="M25" s="1106"/>
      <c r="N25" s="1106"/>
      <c r="O25" s="1106"/>
      <c r="P25" s="1106"/>
    </row>
    <row r="26" spans="1:256" x14ac:dyDescent="0.3">
      <c r="A26" s="1075"/>
      <c r="B26" s="1107" t="s">
        <v>1553</v>
      </c>
      <c r="C26" s="1089"/>
      <c r="D26" s="1089"/>
      <c r="E26" s="1089"/>
      <c r="F26" s="1089"/>
      <c r="G26" s="1089"/>
      <c r="H26" s="1089"/>
      <c r="I26" s="1089"/>
      <c r="J26" s="1089"/>
      <c r="K26" s="1089"/>
      <c r="L26" s="1089"/>
      <c r="M26" s="1089"/>
      <c r="N26" s="1089"/>
      <c r="O26" s="1089"/>
      <c r="P26" s="1082">
        <f t="shared" si="3"/>
        <v>0</v>
      </c>
    </row>
    <row r="27" spans="1:256" x14ac:dyDescent="0.3">
      <c r="A27" s="1075"/>
      <c r="B27" s="1108" t="s">
        <v>1554</v>
      </c>
      <c r="C27" s="1088">
        <v>11943484.083333334</v>
      </c>
      <c r="D27" s="1089">
        <v>11885209</v>
      </c>
      <c r="E27" s="1089">
        <v>11885209</v>
      </c>
      <c r="F27" s="1089">
        <v>11885209</v>
      </c>
      <c r="G27" s="1089">
        <v>11885209</v>
      </c>
      <c r="H27" s="1089">
        <v>11885209</v>
      </c>
      <c r="I27" s="1089">
        <v>11885209</v>
      </c>
      <c r="J27" s="1089">
        <v>11885209</v>
      </c>
      <c r="K27" s="1088">
        <v>12100000</v>
      </c>
      <c r="L27" s="1088">
        <v>12100000</v>
      </c>
      <c r="M27" s="1088">
        <v>12100000</v>
      </c>
      <c r="N27" s="1088">
        <v>12100000</v>
      </c>
      <c r="O27" s="1088">
        <v>12100000</v>
      </c>
      <c r="P27" s="1082">
        <f t="shared" si="3"/>
        <v>143696463</v>
      </c>
    </row>
    <row r="28" spans="1:256" x14ac:dyDescent="0.3">
      <c r="B28" s="1109" t="s">
        <v>1555</v>
      </c>
      <c r="C28" s="1104">
        <v>398717</v>
      </c>
      <c r="D28" s="1100">
        <v>1584693</v>
      </c>
      <c r="E28" s="1100"/>
      <c r="F28" s="1100"/>
      <c r="G28" s="1100"/>
      <c r="H28" s="1100"/>
      <c r="I28" s="1100"/>
      <c r="J28" s="1100"/>
      <c r="K28" s="1104"/>
      <c r="L28" s="1104"/>
      <c r="M28" s="1104"/>
      <c r="N28" s="1104"/>
      <c r="O28" s="1104">
        <v>1600000</v>
      </c>
      <c r="P28" s="1101">
        <f t="shared" si="3"/>
        <v>3184693</v>
      </c>
    </row>
    <row r="29" spans="1:256" x14ac:dyDescent="0.3">
      <c r="A29" s="1075"/>
      <c r="B29" s="1108" t="s">
        <v>1556</v>
      </c>
      <c r="C29" s="1088">
        <v>1357394</v>
      </c>
      <c r="D29" s="1089"/>
      <c r="E29" s="1089"/>
      <c r="F29" s="1088">
        <v>5439580</v>
      </c>
      <c r="G29" s="1088">
        <v>5439580</v>
      </c>
      <c r="H29" s="1088">
        <v>5439580</v>
      </c>
      <c r="I29" s="1088"/>
      <c r="J29" s="1088"/>
      <c r="K29" s="1088"/>
      <c r="L29" s="1088"/>
      <c r="M29" s="1088"/>
      <c r="N29" s="1088"/>
      <c r="O29" s="1088"/>
      <c r="P29" s="1082">
        <f t="shared" si="3"/>
        <v>16318740</v>
      </c>
    </row>
    <row r="30" spans="1:256" x14ac:dyDescent="0.3">
      <c r="B30" s="1109" t="s">
        <v>1557</v>
      </c>
      <c r="C30" s="1104">
        <v>105425</v>
      </c>
      <c r="D30" s="1100">
        <v>105425</v>
      </c>
      <c r="E30" s="1100">
        <v>105424</v>
      </c>
      <c r="F30" s="1100">
        <v>105424</v>
      </c>
      <c r="G30" s="1100">
        <v>105424</v>
      </c>
      <c r="H30" s="1100">
        <v>105424</v>
      </c>
      <c r="I30" s="1100">
        <v>105424</v>
      </c>
      <c r="J30" s="1100">
        <v>105424</v>
      </c>
      <c r="K30" s="1100">
        <v>105424</v>
      </c>
      <c r="L30" s="1100">
        <v>105424</v>
      </c>
      <c r="M30" s="1100">
        <v>105424</v>
      </c>
      <c r="N30" s="1100">
        <v>105424</v>
      </c>
      <c r="O30" s="1100">
        <v>105424</v>
      </c>
      <c r="P30" s="1101">
        <f t="shared" si="3"/>
        <v>1265089</v>
      </c>
      <c r="CO30" s="1074"/>
      <c r="CP30" s="1074"/>
      <c r="CQ30" s="1074"/>
      <c r="CR30" s="1074"/>
      <c r="CS30" s="1074"/>
      <c r="CT30" s="1074"/>
      <c r="CU30" s="1074"/>
      <c r="CV30" s="1074"/>
      <c r="CW30" s="1074"/>
      <c r="CX30" s="1074"/>
      <c r="CY30" s="1074"/>
      <c r="CZ30" s="1074"/>
      <c r="DA30" s="1074"/>
      <c r="DB30" s="1074"/>
      <c r="DC30" s="1074"/>
      <c r="DD30" s="1074"/>
      <c r="DE30" s="1074"/>
      <c r="DF30" s="1074"/>
      <c r="DG30" s="1074"/>
      <c r="DH30" s="1074"/>
      <c r="DI30" s="1074"/>
      <c r="DJ30" s="1074"/>
      <c r="DK30" s="1074"/>
      <c r="DL30" s="1074"/>
      <c r="DM30" s="1074"/>
      <c r="DN30" s="1074"/>
      <c r="DO30" s="1074"/>
      <c r="DP30" s="1074"/>
      <c r="DQ30" s="1074"/>
      <c r="DR30" s="1074"/>
      <c r="DS30" s="1074"/>
      <c r="DT30" s="1074"/>
      <c r="DU30" s="1074"/>
      <c r="DV30" s="1074"/>
      <c r="DW30" s="1074"/>
      <c r="DX30" s="1074"/>
      <c r="DY30" s="1074"/>
      <c r="DZ30" s="1074"/>
      <c r="EA30" s="1074"/>
      <c r="EB30" s="1074"/>
      <c r="EC30" s="1074"/>
      <c r="ED30" s="1074"/>
      <c r="EE30" s="1074"/>
      <c r="EF30" s="1074"/>
      <c r="EG30" s="1074"/>
      <c r="EH30" s="1074"/>
      <c r="EI30" s="1074"/>
      <c r="EJ30" s="1074"/>
      <c r="EK30" s="1074"/>
      <c r="EL30" s="1074"/>
      <c r="EM30" s="1074"/>
      <c r="EN30" s="1074"/>
      <c r="EO30" s="1074"/>
      <c r="EP30" s="1074"/>
      <c r="EQ30" s="1074"/>
      <c r="ER30" s="1074"/>
      <c r="ES30" s="1074"/>
      <c r="ET30" s="1074"/>
      <c r="EU30" s="1074"/>
      <c r="EV30" s="1074"/>
      <c r="EW30" s="1074"/>
      <c r="EX30" s="1074"/>
      <c r="EY30" s="1074"/>
      <c r="EZ30" s="1074"/>
      <c r="FA30" s="1074"/>
      <c r="FB30" s="1074"/>
      <c r="FC30" s="1074"/>
      <c r="FD30" s="1074"/>
      <c r="FE30" s="1074"/>
      <c r="FF30" s="1074"/>
      <c r="FG30" s="1074"/>
      <c r="FH30" s="1074"/>
      <c r="FI30" s="1074"/>
      <c r="FJ30" s="1074"/>
      <c r="FK30" s="1074"/>
      <c r="FL30" s="1074"/>
      <c r="FM30" s="1074"/>
      <c r="FN30" s="1074"/>
      <c r="FO30" s="1074"/>
      <c r="FP30" s="1074"/>
      <c r="FQ30" s="1074"/>
      <c r="FR30" s="1074"/>
      <c r="FS30" s="1074"/>
      <c r="FT30" s="1074"/>
      <c r="FU30" s="1074"/>
      <c r="FV30" s="1074"/>
      <c r="FW30" s="1074"/>
      <c r="FX30" s="1074"/>
      <c r="FY30" s="1074"/>
      <c r="FZ30" s="1074"/>
      <c r="GA30" s="1074"/>
      <c r="GB30" s="1074"/>
      <c r="GC30" s="1074"/>
      <c r="GD30" s="1074"/>
      <c r="GE30" s="1074"/>
      <c r="GF30" s="1074"/>
      <c r="GG30" s="1074"/>
      <c r="GH30" s="1074"/>
      <c r="GI30" s="1074"/>
      <c r="GJ30" s="1074"/>
      <c r="GK30" s="1074"/>
      <c r="GL30" s="1074"/>
      <c r="GM30" s="1074"/>
      <c r="GN30" s="1074"/>
      <c r="GO30" s="1074"/>
      <c r="GP30" s="1074"/>
      <c r="GQ30" s="1074"/>
      <c r="GR30" s="1074"/>
      <c r="GS30" s="1074"/>
      <c r="GT30" s="1074"/>
      <c r="GU30" s="1074"/>
      <c r="GV30" s="1074"/>
      <c r="GW30" s="1074"/>
      <c r="GX30" s="1074"/>
      <c r="GY30" s="1074"/>
      <c r="GZ30" s="1074"/>
      <c r="HA30" s="1074"/>
      <c r="HB30" s="1074"/>
      <c r="HC30" s="1074"/>
      <c r="HD30" s="1074"/>
      <c r="HE30" s="1074"/>
      <c r="HF30" s="1074"/>
      <c r="HG30" s="1074"/>
      <c r="HH30" s="1074"/>
      <c r="HI30" s="1074"/>
      <c r="HJ30" s="1074"/>
      <c r="HK30" s="1074"/>
      <c r="HL30" s="1074"/>
      <c r="HM30" s="1074"/>
      <c r="HN30" s="1074"/>
      <c r="HO30" s="1074"/>
      <c r="HP30" s="1074"/>
      <c r="HQ30" s="1074"/>
      <c r="HR30" s="1074"/>
      <c r="HS30" s="1074"/>
      <c r="HT30" s="1074"/>
      <c r="HU30" s="1074"/>
      <c r="HV30" s="1074"/>
      <c r="HW30" s="1074"/>
      <c r="HX30" s="1074"/>
      <c r="HY30" s="1074"/>
      <c r="HZ30" s="1074"/>
      <c r="IA30" s="1074"/>
      <c r="IB30" s="1074"/>
      <c r="IC30" s="1074"/>
      <c r="ID30" s="1074"/>
      <c r="IE30" s="1074"/>
      <c r="IF30" s="1074"/>
      <c r="IG30" s="1074"/>
      <c r="IH30" s="1074"/>
      <c r="II30" s="1074"/>
      <c r="IJ30" s="1074"/>
      <c r="IK30" s="1074"/>
      <c r="IL30" s="1074"/>
      <c r="IM30" s="1074"/>
      <c r="IN30" s="1074"/>
      <c r="IO30" s="1074"/>
      <c r="IP30" s="1074"/>
      <c r="IQ30" s="1074"/>
      <c r="IR30" s="1074"/>
      <c r="IS30" s="1074"/>
      <c r="IT30" s="1074"/>
      <c r="IU30" s="1074"/>
      <c r="IV30" s="1074"/>
    </row>
    <row r="31" spans="1:256" x14ac:dyDescent="0.3">
      <c r="A31" s="1075"/>
      <c r="B31" s="1108" t="s">
        <v>1558</v>
      </c>
      <c r="C31" s="1088">
        <v>250000</v>
      </c>
      <c r="D31" s="1089"/>
      <c r="E31" s="1089"/>
      <c r="F31" s="1089"/>
      <c r="G31" s="1089">
        <v>249900</v>
      </c>
      <c r="H31" s="1089"/>
      <c r="I31" s="1089"/>
      <c r="J31" s="1089"/>
      <c r="K31" s="1089"/>
      <c r="L31" s="1089"/>
      <c r="M31" s="1089"/>
      <c r="N31" s="1089"/>
      <c r="O31" s="1089"/>
      <c r="P31" s="1082"/>
    </row>
    <row r="32" spans="1:256" x14ac:dyDescent="0.3">
      <c r="B32" s="1109" t="s">
        <v>1587</v>
      </c>
      <c r="C32" s="1104">
        <v>150000</v>
      </c>
      <c r="D32" s="1100"/>
      <c r="E32" s="1100">
        <v>0</v>
      </c>
      <c r="F32" s="1104"/>
      <c r="G32" s="1104">
        <v>200000</v>
      </c>
      <c r="H32" s="1104"/>
      <c r="I32" s="1104"/>
      <c r="J32" s="1104"/>
      <c r="K32" s="1104"/>
      <c r="L32" s="1104"/>
      <c r="M32" s="1104"/>
      <c r="N32" s="1104"/>
      <c r="O32" s="1104"/>
      <c r="P32" s="1101">
        <f t="shared" si="3"/>
        <v>200000</v>
      </c>
      <c r="CO32" s="1110"/>
      <c r="CP32" s="1110"/>
      <c r="CQ32" s="1110"/>
      <c r="CR32" s="1110"/>
      <c r="CS32" s="1110"/>
      <c r="CT32" s="1110"/>
      <c r="CU32" s="1110"/>
      <c r="CV32" s="1110"/>
      <c r="CW32" s="1110"/>
      <c r="CX32" s="1110"/>
      <c r="CY32" s="1110"/>
      <c r="CZ32" s="1110"/>
      <c r="DA32" s="1110"/>
      <c r="DB32" s="1110"/>
      <c r="DC32" s="1110"/>
      <c r="DD32" s="1110"/>
      <c r="DE32" s="1110"/>
      <c r="DF32" s="1110"/>
      <c r="DG32" s="1110"/>
      <c r="DH32" s="1110"/>
      <c r="DI32" s="1110"/>
      <c r="DJ32" s="1110"/>
      <c r="DK32" s="1110"/>
      <c r="DL32" s="1110"/>
      <c r="DM32" s="1110"/>
      <c r="DN32" s="1110"/>
      <c r="DO32" s="1110"/>
      <c r="DP32" s="1110"/>
      <c r="DQ32" s="1110"/>
      <c r="DR32" s="1110"/>
      <c r="DS32" s="1110"/>
      <c r="DT32" s="1110"/>
      <c r="DU32" s="1110"/>
      <c r="DV32" s="1110"/>
      <c r="DW32" s="1110"/>
      <c r="DX32" s="1110"/>
      <c r="DY32" s="1110"/>
      <c r="DZ32" s="1110"/>
      <c r="EA32" s="1110"/>
      <c r="EB32" s="1110"/>
      <c r="EC32" s="1110"/>
      <c r="ED32" s="1110"/>
      <c r="EE32" s="1110"/>
      <c r="EF32" s="1110"/>
      <c r="EG32" s="1110"/>
      <c r="EH32" s="1110"/>
      <c r="EI32" s="1110"/>
      <c r="EJ32" s="1110"/>
      <c r="EK32" s="1110"/>
      <c r="EL32" s="1110"/>
      <c r="EM32" s="1110"/>
      <c r="EN32" s="1110"/>
      <c r="EO32" s="1110"/>
      <c r="EP32" s="1110"/>
      <c r="EQ32" s="1110"/>
      <c r="ER32" s="1110"/>
      <c r="ES32" s="1110"/>
      <c r="ET32" s="1110"/>
      <c r="EU32" s="1110"/>
      <c r="EV32" s="1110"/>
      <c r="EW32" s="1110"/>
      <c r="EX32" s="1110"/>
      <c r="EY32" s="1110"/>
      <c r="EZ32" s="1110"/>
      <c r="FA32" s="1110"/>
      <c r="FB32" s="1110"/>
      <c r="FC32" s="1110"/>
      <c r="FD32" s="1110"/>
      <c r="FE32" s="1110"/>
      <c r="FF32" s="1110"/>
      <c r="FG32" s="1110"/>
      <c r="FH32" s="1110"/>
      <c r="FI32" s="1110"/>
      <c r="FJ32" s="1110"/>
      <c r="FK32" s="1110"/>
      <c r="FL32" s="1110"/>
      <c r="FM32" s="1110"/>
      <c r="FN32" s="1110"/>
      <c r="FO32" s="1110"/>
      <c r="FP32" s="1110"/>
      <c r="FQ32" s="1110"/>
      <c r="FR32" s="1110"/>
      <c r="FS32" s="1110"/>
      <c r="FT32" s="1110"/>
      <c r="FU32" s="1110"/>
      <c r="FV32" s="1110"/>
      <c r="FW32" s="1110"/>
      <c r="FX32" s="1110"/>
      <c r="FY32" s="1110"/>
      <c r="FZ32" s="1110"/>
      <c r="GA32" s="1110"/>
      <c r="GB32" s="1110"/>
      <c r="GC32" s="1110"/>
      <c r="GD32" s="1110"/>
      <c r="GE32" s="1110"/>
      <c r="GF32" s="1110"/>
      <c r="GG32" s="1110"/>
      <c r="GH32" s="1110"/>
      <c r="GI32" s="1110"/>
      <c r="GJ32" s="1110"/>
      <c r="GK32" s="1110"/>
      <c r="GL32" s="1110"/>
      <c r="GM32" s="1110"/>
      <c r="GN32" s="1110"/>
      <c r="GO32" s="1110"/>
      <c r="GP32" s="1110"/>
      <c r="GQ32" s="1110"/>
      <c r="GR32" s="1110"/>
      <c r="GS32" s="1110"/>
      <c r="GT32" s="1110"/>
      <c r="GU32" s="1110"/>
      <c r="GV32" s="1110"/>
      <c r="GW32" s="1110"/>
      <c r="GX32" s="1110"/>
      <c r="GY32" s="1110"/>
      <c r="GZ32" s="1110"/>
      <c r="HA32" s="1110"/>
      <c r="HB32" s="1110"/>
      <c r="HC32" s="1110"/>
      <c r="HD32" s="1110"/>
      <c r="HE32" s="1110"/>
      <c r="HF32" s="1110"/>
      <c r="HG32" s="1110"/>
      <c r="HH32" s="1110"/>
      <c r="HI32" s="1110"/>
      <c r="HJ32" s="1110"/>
      <c r="HK32" s="1110"/>
      <c r="HL32" s="1110"/>
      <c r="HM32" s="1110"/>
      <c r="HN32" s="1110"/>
      <c r="HO32" s="1110"/>
      <c r="HP32" s="1110"/>
      <c r="HQ32" s="1110"/>
      <c r="HR32" s="1110"/>
      <c r="HS32" s="1110"/>
      <c r="HT32" s="1110"/>
      <c r="HU32" s="1110"/>
      <c r="HV32" s="1110"/>
      <c r="HW32" s="1110"/>
      <c r="HX32" s="1110"/>
      <c r="HY32" s="1110"/>
      <c r="HZ32" s="1110"/>
      <c r="IA32" s="1110"/>
      <c r="IB32" s="1110"/>
      <c r="IC32" s="1110"/>
      <c r="ID32" s="1110"/>
      <c r="IE32" s="1110"/>
      <c r="IF32" s="1110"/>
      <c r="IG32" s="1110"/>
      <c r="IH32" s="1110"/>
      <c r="II32" s="1110"/>
      <c r="IJ32" s="1110"/>
      <c r="IK32" s="1110"/>
      <c r="IL32" s="1110"/>
      <c r="IM32" s="1110"/>
      <c r="IN32" s="1110"/>
      <c r="IO32" s="1110"/>
      <c r="IP32" s="1110"/>
      <c r="IQ32" s="1110"/>
      <c r="IR32" s="1110"/>
      <c r="IS32" s="1110"/>
      <c r="IT32" s="1110"/>
      <c r="IU32" s="1110"/>
      <c r="IV32" s="1110"/>
    </row>
    <row r="33" spans="1:16" x14ac:dyDescent="0.3">
      <c r="A33" s="1075"/>
      <c r="B33" s="1108" t="s">
        <v>1559</v>
      </c>
      <c r="C33" s="1088">
        <v>38333.333333333336</v>
      </c>
      <c r="D33" s="1089"/>
      <c r="E33" s="1089">
        <v>0</v>
      </c>
      <c r="F33" s="1088">
        <v>0</v>
      </c>
      <c r="G33" s="1088">
        <v>0</v>
      </c>
      <c r="H33" s="1088">
        <v>0</v>
      </c>
      <c r="I33" s="1088">
        <v>0</v>
      </c>
      <c r="J33" s="1088">
        <v>0</v>
      </c>
      <c r="K33" s="1088">
        <v>0</v>
      </c>
      <c r="L33" s="1088">
        <v>0</v>
      </c>
      <c r="M33" s="1088">
        <v>0</v>
      </c>
      <c r="N33" s="1088">
        <v>0</v>
      </c>
      <c r="O33" s="1088">
        <v>0</v>
      </c>
      <c r="P33" s="1082">
        <f t="shared" si="3"/>
        <v>0</v>
      </c>
    </row>
    <row r="34" spans="1:16" x14ac:dyDescent="0.3">
      <c r="B34" s="1109" t="s">
        <v>1560</v>
      </c>
      <c r="C34" s="1104">
        <v>61666.666666666664</v>
      </c>
      <c r="D34" s="1100">
        <v>113500</v>
      </c>
      <c r="E34" s="1100">
        <v>0</v>
      </c>
      <c r="F34" s="1104">
        <v>0</v>
      </c>
      <c r="G34" s="1104">
        <v>0</v>
      </c>
      <c r="H34" s="1104">
        <v>0</v>
      </c>
      <c r="I34" s="1104">
        <v>0</v>
      </c>
      <c r="J34" s="1104">
        <v>0</v>
      </c>
      <c r="K34" s="1104">
        <v>0</v>
      </c>
      <c r="L34" s="1104"/>
      <c r="M34" s="1104"/>
      <c r="N34" s="1104"/>
      <c r="O34" s="1104"/>
      <c r="P34" s="1101">
        <f t="shared" si="3"/>
        <v>113500</v>
      </c>
    </row>
    <row r="35" spans="1:16" x14ac:dyDescent="0.3">
      <c r="A35" s="1075"/>
      <c r="B35" s="1108" t="s">
        <v>1561</v>
      </c>
      <c r="C35" s="1088">
        <v>270127.28333333333</v>
      </c>
      <c r="D35" s="1089">
        <v>238263</v>
      </c>
      <c r="E35" s="1089">
        <v>238263</v>
      </c>
      <c r="F35" s="1088">
        <v>272828</v>
      </c>
      <c r="G35" s="1088">
        <v>272828</v>
      </c>
      <c r="H35" s="1088">
        <v>272828</v>
      </c>
      <c r="I35" s="1088">
        <v>272828</v>
      </c>
      <c r="J35" s="1088">
        <v>272828</v>
      </c>
      <c r="K35" s="1088">
        <v>272828</v>
      </c>
      <c r="L35" s="1088">
        <v>272828</v>
      </c>
      <c r="M35" s="1088">
        <v>272828</v>
      </c>
      <c r="N35" s="1088">
        <v>272828</v>
      </c>
      <c r="O35" s="1088">
        <v>272828</v>
      </c>
      <c r="P35" s="1082">
        <f t="shared" si="3"/>
        <v>3204806</v>
      </c>
    </row>
    <row r="36" spans="1:16" x14ac:dyDescent="0.3">
      <c r="B36" s="1099" t="s">
        <v>1562</v>
      </c>
      <c r="C36" s="1100"/>
      <c r="D36" s="1100">
        <v>0</v>
      </c>
      <c r="E36" s="1100"/>
      <c r="F36" s="1100"/>
      <c r="G36" s="1100"/>
      <c r="H36" s="1100"/>
      <c r="I36" s="1100"/>
      <c r="J36" s="1100"/>
      <c r="K36" s="1100"/>
      <c r="L36" s="1100"/>
      <c r="M36" s="1100"/>
      <c r="N36" s="1100"/>
      <c r="O36" s="1100"/>
      <c r="P36" s="1101">
        <f t="shared" si="3"/>
        <v>0</v>
      </c>
    </row>
    <row r="37" spans="1:16" x14ac:dyDescent="0.3">
      <c r="A37" s="1075"/>
      <c r="B37" s="1087" t="s">
        <v>1563</v>
      </c>
      <c r="C37" s="1088">
        <v>0</v>
      </c>
      <c r="D37" s="1089">
        <v>0</v>
      </c>
      <c r="E37" s="1089">
        <v>0</v>
      </c>
      <c r="F37" s="1088"/>
      <c r="G37" s="1088"/>
      <c r="H37" s="1088"/>
      <c r="I37" s="1088"/>
      <c r="J37" s="1088"/>
      <c r="K37" s="1088"/>
      <c r="L37" s="1088"/>
      <c r="M37" s="1088"/>
      <c r="N37" s="1088"/>
      <c r="O37" s="1088"/>
      <c r="P37" s="1082">
        <f t="shared" si="3"/>
        <v>0</v>
      </c>
    </row>
    <row r="38" spans="1:16" x14ac:dyDescent="0.3">
      <c r="B38" s="1111" t="s">
        <v>1564</v>
      </c>
      <c r="C38" s="1104">
        <v>0</v>
      </c>
      <c r="D38" s="1100"/>
      <c r="E38" s="1100"/>
      <c r="F38" s="1104"/>
      <c r="G38" s="1104"/>
      <c r="H38" s="1104"/>
      <c r="I38" s="1104"/>
      <c r="J38" s="1104"/>
      <c r="K38" s="1104"/>
      <c r="L38" s="1104"/>
      <c r="M38" s="1104"/>
      <c r="N38" s="1104"/>
      <c r="O38" s="1104"/>
      <c r="P38" s="1101">
        <f t="shared" si="3"/>
        <v>0</v>
      </c>
    </row>
    <row r="39" spans="1:16" x14ac:dyDescent="0.3">
      <c r="A39" s="1075"/>
      <c r="B39" s="1087" t="s">
        <v>1565</v>
      </c>
      <c r="C39" s="1088">
        <v>0</v>
      </c>
      <c r="D39" s="1089">
        <v>0</v>
      </c>
      <c r="E39" s="1089">
        <v>0</v>
      </c>
      <c r="F39" s="1088"/>
      <c r="G39" s="1088"/>
      <c r="H39" s="1088"/>
      <c r="I39" s="1088"/>
      <c r="J39" s="1088"/>
      <c r="K39" s="1088"/>
      <c r="L39" s="1088"/>
      <c r="M39" s="1088"/>
      <c r="N39" s="1088"/>
      <c r="O39" s="1088"/>
      <c r="P39" s="1082">
        <f t="shared" si="3"/>
        <v>0</v>
      </c>
    </row>
    <row r="40" spans="1:16" x14ac:dyDescent="0.3">
      <c r="B40" s="1099" t="s">
        <v>1566</v>
      </c>
      <c r="C40" s="1100"/>
      <c r="D40" s="1100"/>
      <c r="E40" s="1100"/>
      <c r="F40" s="1100"/>
      <c r="G40" s="1100"/>
      <c r="H40" s="1100"/>
      <c r="I40" s="1100"/>
      <c r="J40" s="1100"/>
      <c r="K40" s="1100"/>
      <c r="L40" s="1100"/>
      <c r="M40" s="1100"/>
      <c r="N40" s="1100"/>
      <c r="O40" s="1100"/>
      <c r="P40" s="1101">
        <f t="shared" si="3"/>
        <v>0</v>
      </c>
    </row>
    <row r="41" spans="1:16" x14ac:dyDescent="0.3">
      <c r="A41" s="1075"/>
      <c r="B41" s="1087" t="s">
        <v>1567</v>
      </c>
      <c r="C41" s="1088">
        <v>201666.66666666666</v>
      </c>
      <c r="D41" s="1089">
        <v>0</v>
      </c>
      <c r="E41" s="1089">
        <v>627071</v>
      </c>
      <c r="F41" s="1088">
        <f>SUM(F39:F40)</f>
        <v>0</v>
      </c>
      <c r="G41" s="1088">
        <f>SUM(G39:G40)</f>
        <v>0</v>
      </c>
      <c r="H41" s="1088">
        <f>SUM(H39:H40)</f>
        <v>0</v>
      </c>
      <c r="I41" s="1088">
        <f>SUM(I39:I40)</f>
        <v>0</v>
      </c>
      <c r="J41" s="1088">
        <f>SUM(J39:J40)</f>
        <v>0</v>
      </c>
      <c r="K41" s="1088"/>
      <c r="L41" s="1088"/>
      <c r="M41" s="1088">
        <f>SUM(M39:M40)</f>
        <v>0</v>
      </c>
      <c r="N41" s="1088">
        <f>SUM(N39:N40)</f>
        <v>0</v>
      </c>
      <c r="O41" s="1088">
        <f>SUM(O39:O40)</f>
        <v>0</v>
      </c>
      <c r="P41" s="1082">
        <f t="shared" si="3"/>
        <v>627071</v>
      </c>
    </row>
    <row r="42" spans="1:16" x14ac:dyDescent="0.3">
      <c r="B42" s="1111" t="s">
        <v>1568</v>
      </c>
      <c r="C42" s="1100">
        <v>2770833.3333333335</v>
      </c>
      <c r="D42" s="1100">
        <v>3529835</v>
      </c>
      <c r="E42" s="1100">
        <v>3392178</v>
      </c>
      <c r="F42" s="1100">
        <v>2770284</v>
      </c>
      <c r="G42" s="1100">
        <f>2128250+491804+309880</f>
        <v>2929934</v>
      </c>
      <c r="H42" s="1100">
        <v>3450000</v>
      </c>
      <c r="I42" s="1100">
        <v>3450000</v>
      </c>
      <c r="J42" s="1100">
        <v>3450000</v>
      </c>
      <c r="K42" s="1100">
        <v>3450000</v>
      </c>
      <c r="L42" s="1100">
        <v>3450000</v>
      </c>
      <c r="M42" s="1100">
        <v>3450000</v>
      </c>
      <c r="N42" s="1100">
        <v>3450000</v>
      </c>
      <c r="O42" s="1100">
        <v>3450000</v>
      </c>
      <c r="P42" s="1101">
        <f t="shared" si="3"/>
        <v>40222231</v>
      </c>
    </row>
    <row r="43" spans="1:16" x14ac:dyDescent="0.3">
      <c r="A43" s="1075"/>
      <c r="B43" s="1087" t="s">
        <v>1569</v>
      </c>
      <c r="C43" s="1088">
        <v>291666.66666666669</v>
      </c>
      <c r="D43" s="1089">
        <v>189079</v>
      </c>
      <c r="E43" s="1089">
        <v>467798</v>
      </c>
      <c r="F43" s="1088">
        <v>330000</v>
      </c>
      <c r="G43" s="1088">
        <f>193085+94718+48851</f>
        <v>336654</v>
      </c>
      <c r="H43" s="1088">
        <v>330000</v>
      </c>
      <c r="I43" s="1088">
        <v>330000</v>
      </c>
      <c r="J43" s="1088">
        <v>330000</v>
      </c>
      <c r="K43" s="1088">
        <v>330000</v>
      </c>
      <c r="L43" s="1088">
        <v>330000</v>
      </c>
      <c r="M43" s="1088">
        <v>330000</v>
      </c>
      <c r="N43" s="1088">
        <v>330000</v>
      </c>
      <c r="O43" s="1088">
        <v>330000</v>
      </c>
      <c r="P43" s="1082">
        <f t="shared" si="3"/>
        <v>3963531</v>
      </c>
    </row>
    <row r="44" spans="1:16" x14ac:dyDescent="0.3">
      <c r="B44" s="1111" t="s">
        <v>368</v>
      </c>
      <c r="C44" s="1100">
        <v>46250</v>
      </c>
      <c r="D44" s="1100">
        <v>41205</v>
      </c>
      <c r="E44" s="1100">
        <v>41610</v>
      </c>
      <c r="F44" s="1100">
        <v>43000</v>
      </c>
      <c r="G44" s="1100">
        <v>48851</v>
      </c>
      <c r="H44" s="1100">
        <v>43000</v>
      </c>
      <c r="I44" s="1100">
        <v>43000</v>
      </c>
      <c r="J44" s="1100">
        <v>43000</v>
      </c>
      <c r="K44" s="1100">
        <v>43000</v>
      </c>
      <c r="L44" s="1100">
        <v>43000</v>
      </c>
      <c r="M44" s="1100">
        <v>43000</v>
      </c>
      <c r="N44" s="1100">
        <v>43000</v>
      </c>
      <c r="O44" s="1100">
        <v>43000</v>
      </c>
      <c r="P44" s="1101">
        <f t="shared" si="3"/>
        <v>518666</v>
      </c>
    </row>
    <row r="45" spans="1:16" x14ac:dyDescent="0.3">
      <c r="A45" s="1075"/>
      <c r="B45" s="1087" t="s">
        <v>1570</v>
      </c>
      <c r="C45" s="1088">
        <v>80000</v>
      </c>
      <c r="D45" s="1089">
        <v>74809</v>
      </c>
      <c r="E45" s="1089">
        <v>74809</v>
      </c>
      <c r="F45" s="1088">
        <v>75000</v>
      </c>
      <c r="G45" s="1088">
        <v>75000</v>
      </c>
      <c r="H45" s="1088">
        <v>75000</v>
      </c>
      <c r="I45" s="1088">
        <v>75000</v>
      </c>
      <c r="J45" s="1088">
        <v>75000</v>
      </c>
      <c r="K45" s="1088">
        <v>75000</v>
      </c>
      <c r="L45" s="1088">
        <v>75000</v>
      </c>
      <c r="M45" s="1088">
        <v>75000</v>
      </c>
      <c r="N45" s="1088">
        <v>75000</v>
      </c>
      <c r="O45" s="1088">
        <v>75000</v>
      </c>
      <c r="P45" s="1082">
        <f t="shared" si="3"/>
        <v>899618</v>
      </c>
    </row>
    <row r="46" spans="1:16" x14ac:dyDescent="0.3">
      <c r="B46" s="1111" t="s">
        <v>1571</v>
      </c>
      <c r="C46" s="1104"/>
      <c r="D46" s="1100"/>
      <c r="E46" s="1100"/>
      <c r="F46" s="1104"/>
      <c r="G46" s="1104"/>
      <c r="H46" s="1104"/>
      <c r="I46" s="1104"/>
      <c r="J46" s="1104"/>
      <c r="K46" s="1104"/>
      <c r="L46" s="1104"/>
      <c r="M46" s="1104"/>
      <c r="N46" s="1104"/>
      <c r="O46" s="1104"/>
      <c r="P46" s="1101"/>
    </row>
    <row r="47" spans="1:16" x14ac:dyDescent="0.3">
      <c r="A47" s="1075"/>
      <c r="B47" s="1087" t="s">
        <v>1572</v>
      </c>
      <c r="C47" s="1088">
        <v>1236522</v>
      </c>
      <c r="D47" s="1089">
        <v>1235927</v>
      </c>
      <c r="E47" s="1089">
        <v>1236522</v>
      </c>
      <c r="F47" s="1089"/>
      <c r="G47" s="1089">
        <f>1236522</f>
        <v>1236522</v>
      </c>
      <c r="H47" s="1089">
        <v>1236522</v>
      </c>
      <c r="I47" s="1089">
        <v>1236522</v>
      </c>
      <c r="J47" s="1089">
        <v>1236522</v>
      </c>
      <c r="K47" s="1089">
        <v>1236522</v>
      </c>
      <c r="L47" s="1089">
        <v>1236522</v>
      </c>
      <c r="M47" s="1089">
        <v>1236522</v>
      </c>
      <c r="N47" s="1089">
        <v>1236522</v>
      </c>
      <c r="O47" s="1089">
        <v>1236522</v>
      </c>
      <c r="P47" s="1082">
        <f t="shared" si="3"/>
        <v>13601147</v>
      </c>
    </row>
    <row r="48" spans="1:16" x14ac:dyDescent="0.3">
      <c r="B48" s="1099" t="s">
        <v>1573</v>
      </c>
      <c r="C48" s="1089"/>
      <c r="D48" s="1089"/>
      <c r="E48" s="1089"/>
      <c r="F48" s="1089"/>
      <c r="G48" s="1089"/>
      <c r="H48" s="1089"/>
      <c r="I48" s="1089"/>
      <c r="J48" s="1089"/>
      <c r="K48" s="1089"/>
      <c r="L48" s="1089"/>
      <c r="M48" s="1089"/>
      <c r="N48" s="1089"/>
      <c r="O48" s="1089"/>
      <c r="P48" s="1082">
        <f t="shared" si="3"/>
        <v>0</v>
      </c>
    </row>
    <row r="49" spans="1:16" x14ac:dyDescent="0.3">
      <c r="B49" s="1111" t="s">
        <v>1574</v>
      </c>
      <c r="C49" s="1104">
        <v>2343824</v>
      </c>
      <c r="D49" s="1100">
        <v>2092700</v>
      </c>
      <c r="E49" s="1100">
        <v>2092700</v>
      </c>
      <c r="F49" s="1104">
        <f>502248+2343824</f>
        <v>2846072</v>
      </c>
      <c r="G49" s="1104">
        <v>2343824</v>
      </c>
      <c r="H49" s="1104">
        <v>2343824</v>
      </c>
      <c r="I49" s="1104">
        <v>2343824</v>
      </c>
      <c r="J49" s="1104">
        <v>2343824</v>
      </c>
      <c r="K49" s="1104">
        <v>2343824</v>
      </c>
      <c r="L49" s="1104">
        <v>2343824</v>
      </c>
      <c r="M49" s="1104">
        <v>2343824</v>
      </c>
      <c r="N49" s="1104">
        <v>2343824</v>
      </c>
      <c r="O49" s="1104">
        <v>2343824</v>
      </c>
      <c r="P49" s="1101">
        <f t="shared" si="3"/>
        <v>28125888</v>
      </c>
    </row>
    <row r="50" spans="1:16" x14ac:dyDescent="0.3">
      <c r="A50" s="1075"/>
      <c r="B50" s="1087" t="s">
        <v>309</v>
      </c>
      <c r="C50" s="1089">
        <v>488083.83333333331</v>
      </c>
      <c r="D50" s="1089">
        <v>435800</v>
      </c>
      <c r="E50" s="1089">
        <v>435800</v>
      </c>
      <c r="F50" s="1089">
        <f>104570+435800</f>
        <v>540370</v>
      </c>
      <c r="G50" s="1089">
        <v>488083.83333333331</v>
      </c>
      <c r="H50" s="1089">
        <v>488083.83333333331</v>
      </c>
      <c r="I50" s="1089">
        <v>488083.83333333331</v>
      </c>
      <c r="J50" s="1089">
        <v>488083.83333333331</v>
      </c>
      <c r="K50" s="1089">
        <v>488083.83333333331</v>
      </c>
      <c r="L50" s="1089">
        <v>488083.83333333331</v>
      </c>
      <c r="M50" s="1089">
        <v>488083.83333333331</v>
      </c>
      <c r="N50" s="1089">
        <v>488083.83333333331</v>
      </c>
      <c r="O50" s="1089">
        <v>488083.83333333331</v>
      </c>
      <c r="P50" s="1082">
        <f t="shared" si="3"/>
        <v>5804724.4999999991</v>
      </c>
    </row>
    <row r="51" spans="1:16" x14ac:dyDescent="0.3">
      <c r="B51" s="1111" t="s">
        <v>1575</v>
      </c>
      <c r="C51" s="1104">
        <v>40674.666666666664</v>
      </c>
      <c r="D51" s="1100">
        <v>0</v>
      </c>
      <c r="E51" s="1100">
        <v>0</v>
      </c>
      <c r="F51" s="1104"/>
      <c r="G51" s="1104"/>
      <c r="H51" s="1104">
        <v>491510</v>
      </c>
      <c r="I51" s="1104"/>
      <c r="J51" s="1104"/>
      <c r="K51" s="1104"/>
      <c r="L51" s="1104"/>
      <c r="M51" s="1104"/>
      <c r="N51" s="1104"/>
      <c r="O51" s="1104"/>
      <c r="P51" s="1101">
        <f t="shared" si="3"/>
        <v>491510</v>
      </c>
    </row>
    <row r="52" spans="1:16" x14ac:dyDescent="0.3">
      <c r="A52" s="1075"/>
      <c r="B52" s="1087" t="s">
        <v>226</v>
      </c>
      <c r="C52" s="1089">
        <v>45959.166666666664</v>
      </c>
      <c r="D52" s="1089">
        <v>45965</v>
      </c>
      <c r="E52" s="1089">
        <v>45965</v>
      </c>
      <c r="F52" s="1089">
        <v>45965</v>
      </c>
      <c r="G52" s="1089">
        <v>45965</v>
      </c>
      <c r="H52" s="1089">
        <v>45965</v>
      </c>
      <c r="I52" s="1089">
        <v>45965</v>
      </c>
      <c r="J52" s="1089">
        <v>45965</v>
      </c>
      <c r="K52" s="1089">
        <v>45965</v>
      </c>
      <c r="L52" s="1089">
        <v>45965</v>
      </c>
      <c r="M52" s="1089">
        <v>45965</v>
      </c>
      <c r="N52" s="1089">
        <v>45965</v>
      </c>
      <c r="O52" s="1089">
        <v>45965</v>
      </c>
      <c r="P52" s="1082">
        <f t="shared" si="3"/>
        <v>551580</v>
      </c>
    </row>
    <row r="53" spans="1:16" x14ac:dyDescent="0.3">
      <c r="B53" s="1111" t="s">
        <v>1576</v>
      </c>
      <c r="C53" s="1104">
        <v>12500</v>
      </c>
      <c r="D53" s="1100">
        <v>19150</v>
      </c>
      <c r="E53" s="1100">
        <v>70750</v>
      </c>
      <c r="F53" s="1104"/>
      <c r="G53" s="1104"/>
      <c r="H53" s="1104"/>
      <c r="I53" s="1104"/>
      <c r="J53" s="1104"/>
      <c r="K53" s="1104"/>
      <c r="L53" s="1104"/>
      <c r="M53" s="1104"/>
      <c r="N53" s="1104"/>
      <c r="O53" s="1104"/>
      <c r="P53" s="1101">
        <f t="shared" si="3"/>
        <v>89900</v>
      </c>
    </row>
    <row r="54" spans="1:16" x14ac:dyDescent="0.3">
      <c r="A54" s="1075"/>
      <c r="B54" s="1087" t="s">
        <v>1577</v>
      </c>
      <c r="C54" s="1089">
        <v>30000</v>
      </c>
      <c r="D54" s="1089">
        <v>48100</v>
      </c>
      <c r="E54" s="1089">
        <v>50000</v>
      </c>
      <c r="F54" s="1089"/>
      <c r="G54" s="1089"/>
      <c r="H54" s="1089"/>
      <c r="I54" s="1089"/>
      <c r="J54" s="1089"/>
      <c r="K54" s="1089"/>
      <c r="L54" s="1089"/>
      <c r="M54" s="1089"/>
      <c r="N54" s="1089"/>
      <c r="O54" s="1089"/>
      <c r="P54" s="1082">
        <f t="shared" si="3"/>
        <v>98100</v>
      </c>
    </row>
    <row r="55" spans="1:16" x14ac:dyDescent="0.3">
      <c r="B55" s="1111" t="s">
        <v>1578</v>
      </c>
      <c r="C55" s="1104">
        <v>16666.666666666668</v>
      </c>
      <c r="D55" s="1100">
        <v>0</v>
      </c>
      <c r="E55" s="1100">
        <v>0</v>
      </c>
      <c r="F55" s="1104">
        <v>15000</v>
      </c>
      <c r="G55" s="1104"/>
      <c r="H55" s="1104"/>
      <c r="I55" s="1104"/>
      <c r="J55" s="1104"/>
      <c r="K55" s="1104"/>
      <c r="L55" s="1104"/>
      <c r="M55" s="1104"/>
      <c r="N55" s="1104"/>
      <c r="O55" s="1104"/>
      <c r="P55" s="1101">
        <f>SUM(D55:O55)</f>
        <v>15000</v>
      </c>
    </row>
    <row r="56" spans="1:16" x14ac:dyDescent="0.3">
      <c r="A56" s="1075"/>
      <c r="B56" s="1087" t="s">
        <v>352</v>
      </c>
      <c r="C56" s="1089">
        <v>225000</v>
      </c>
      <c r="D56" s="1089">
        <v>178100.3</v>
      </c>
      <c r="E56" s="1089">
        <v>181539.3</v>
      </c>
      <c r="F56" s="1089">
        <v>189726</v>
      </c>
      <c r="G56" s="1089">
        <v>200000</v>
      </c>
      <c r="H56" s="1089"/>
      <c r="I56" s="1089"/>
      <c r="J56" s="1089"/>
      <c r="K56" s="1089"/>
      <c r="L56" s="1089"/>
      <c r="M56" s="1089"/>
      <c r="N56" s="1089"/>
      <c r="O56" s="1089"/>
      <c r="P56" s="1082">
        <f t="shared" si="3"/>
        <v>749365.6</v>
      </c>
    </row>
    <row r="57" spans="1:16" x14ac:dyDescent="0.3">
      <c r="B57" s="1111" t="s">
        <v>1355</v>
      </c>
      <c r="C57" s="1104">
        <v>0</v>
      </c>
      <c r="D57" s="1100"/>
      <c r="E57" s="1100">
        <v>0</v>
      </c>
      <c r="F57" s="1104"/>
      <c r="G57" s="1104"/>
      <c r="H57" s="1104"/>
      <c r="I57" s="1104"/>
      <c r="J57" s="1104"/>
      <c r="K57" s="1104"/>
      <c r="L57" s="1104"/>
      <c r="M57" s="1104"/>
      <c r="N57" s="1104"/>
      <c r="O57" s="1104"/>
      <c r="P57" s="1101">
        <f t="shared" si="3"/>
        <v>0</v>
      </c>
    </row>
    <row r="58" spans="1:16" x14ac:dyDescent="0.3">
      <c r="A58" s="1075"/>
      <c r="B58" s="1087" t="s">
        <v>1579</v>
      </c>
      <c r="C58" s="1089">
        <v>0</v>
      </c>
      <c r="D58" s="1089"/>
      <c r="E58" s="1089">
        <v>2</v>
      </c>
      <c r="F58" s="1089">
        <v>2</v>
      </c>
      <c r="G58" s="1089"/>
      <c r="H58" s="1089"/>
      <c r="I58" s="1089"/>
      <c r="J58" s="1089"/>
      <c r="K58" s="1089"/>
      <c r="L58" s="1089"/>
      <c r="M58" s="1089"/>
      <c r="N58" s="1089"/>
      <c r="O58" s="1089"/>
      <c r="P58" s="1082">
        <f t="shared" si="3"/>
        <v>4</v>
      </c>
    </row>
    <row r="59" spans="1:16" x14ac:dyDescent="0.3">
      <c r="B59" s="1112" t="s">
        <v>1580</v>
      </c>
      <c r="C59" s="1113">
        <f t="shared" ref="C59:P59" si="4">SUM(C17:C58)</f>
        <v>27282855.616666675</v>
      </c>
      <c r="D59" s="1113">
        <f t="shared" si="4"/>
        <v>25501231.300000001</v>
      </c>
      <c r="E59" s="1113">
        <f t="shared" si="4"/>
        <v>26614227.300000001</v>
      </c>
      <c r="F59" s="1113">
        <f t="shared" si="4"/>
        <v>28585137</v>
      </c>
      <c r="G59" s="1113">
        <f t="shared" si="4"/>
        <v>30643408.833333332</v>
      </c>
      <c r="H59" s="1113">
        <f t="shared" si="4"/>
        <v>28698340.833333332</v>
      </c>
      <c r="I59" s="1113">
        <f t="shared" si="4"/>
        <v>22767250.833333332</v>
      </c>
      <c r="J59" s="1113">
        <f t="shared" si="4"/>
        <v>22767250.833333332</v>
      </c>
      <c r="K59" s="1113">
        <f t="shared" si="4"/>
        <v>22982041.833333332</v>
      </c>
      <c r="L59" s="1113">
        <f t="shared" si="4"/>
        <v>22982041.833333332</v>
      </c>
      <c r="M59" s="1113">
        <f t="shared" si="4"/>
        <v>22982041.833333332</v>
      </c>
      <c r="N59" s="1113">
        <f t="shared" si="4"/>
        <v>22982041.833333332</v>
      </c>
      <c r="O59" s="1113">
        <f t="shared" si="4"/>
        <v>24582041.833333332</v>
      </c>
      <c r="P59" s="1114">
        <f t="shared" si="4"/>
        <v>301837156.10000002</v>
      </c>
    </row>
    <row r="60" spans="1:16" ht="13.5" thickBot="1" x14ac:dyDescent="0.35">
      <c r="B60" s="1115" t="s">
        <v>1581</v>
      </c>
      <c r="C60" s="1116">
        <v>0</v>
      </c>
      <c r="D60" s="1117">
        <f t="shared" ref="D60:P60" si="5">+D14-D59</f>
        <v>-1634967.3000000007</v>
      </c>
      <c r="E60" s="1117">
        <f t="shared" si="5"/>
        <v>-3745993.1000000015</v>
      </c>
      <c r="F60" s="1117">
        <f t="shared" si="5"/>
        <v>9234865.400000006</v>
      </c>
      <c r="G60" s="1117">
        <f t="shared" si="5"/>
        <v>22510151.966666665</v>
      </c>
      <c r="H60" s="1117">
        <f t="shared" si="5"/>
        <v>37066611.166666672</v>
      </c>
      <c r="I60" s="1117">
        <f t="shared" si="5"/>
        <v>30888685.166666668</v>
      </c>
      <c r="J60" s="1117">
        <f t="shared" si="5"/>
        <v>23631377.166666668</v>
      </c>
      <c r="K60" s="1117">
        <f t="shared" si="5"/>
        <v>4534086.1666666679</v>
      </c>
      <c r="L60" s="1117">
        <f t="shared" si="5"/>
        <v>23416586.166666668</v>
      </c>
      <c r="M60" s="1117">
        <f t="shared" si="5"/>
        <v>4534086.1666666679</v>
      </c>
      <c r="N60" s="1117">
        <f t="shared" si="5"/>
        <v>4534086.1666666679</v>
      </c>
      <c r="O60" s="1117">
        <f t="shared" si="5"/>
        <v>2934086.1666666679</v>
      </c>
      <c r="P60" s="1117">
        <f t="shared" si="5"/>
        <v>158153561.29999995</v>
      </c>
    </row>
    <row r="61" spans="1:16" ht="13.5" thickTop="1" x14ac:dyDescent="0.3">
      <c r="B61" s="1118"/>
      <c r="C61" s="1119"/>
      <c r="D61" s="1118"/>
      <c r="E61" s="1120">
        <f>+D60+E60</f>
        <v>-5380960.4000000022</v>
      </c>
      <c r="F61" s="1120">
        <f>+E61+F60</f>
        <v>3853905.0000000037</v>
      </c>
      <c r="G61" s="1120">
        <f t="shared" ref="G61:N61" si="6">+F61+G60</f>
        <v>26364056.966666669</v>
      </c>
      <c r="H61" s="1120">
        <f t="shared" si="6"/>
        <v>63430668.13333334</v>
      </c>
      <c r="I61" s="1120">
        <f t="shared" si="6"/>
        <v>94319353.300000012</v>
      </c>
      <c r="J61" s="1120">
        <f t="shared" si="6"/>
        <v>117950730.46666668</v>
      </c>
      <c r="K61" s="1120">
        <f t="shared" si="6"/>
        <v>122484816.63333336</v>
      </c>
      <c r="L61" s="1120">
        <f t="shared" si="6"/>
        <v>145901402.80000001</v>
      </c>
      <c r="M61" s="1120">
        <f t="shared" si="6"/>
        <v>150435488.96666667</v>
      </c>
      <c r="N61" s="1120">
        <f t="shared" si="6"/>
        <v>154969575.13333333</v>
      </c>
      <c r="O61" s="1120">
        <f>+N61+O60</f>
        <v>157903661.29999998</v>
      </c>
      <c r="P61" s="1118"/>
    </row>
    <row r="62" spans="1:16" x14ac:dyDescent="0.3">
      <c r="D62" s="1122">
        <v>45658</v>
      </c>
      <c r="E62" s="1122">
        <v>45689</v>
      </c>
      <c r="F62" s="1122">
        <v>45717</v>
      </c>
      <c r="G62" s="1122">
        <v>45748</v>
      </c>
      <c r="H62" s="1122">
        <v>45778</v>
      </c>
      <c r="I62" s="1122">
        <v>45809</v>
      </c>
      <c r="J62" s="1122">
        <v>45839</v>
      </c>
      <c r="K62" s="1122">
        <v>45870</v>
      </c>
      <c r="L62" s="1122">
        <v>45901</v>
      </c>
      <c r="M62" s="1122">
        <v>45931</v>
      </c>
      <c r="N62" s="1122">
        <v>45962</v>
      </c>
      <c r="O62" s="1122">
        <v>45992</v>
      </c>
      <c r="P62" s="1122"/>
    </row>
    <row r="63" spans="1:16" x14ac:dyDescent="0.3">
      <c r="B63" s="1075" t="s">
        <v>1583</v>
      </c>
    </row>
    <row r="64" spans="1:16" x14ac:dyDescent="0.3">
      <c r="B64" s="1075" t="s">
        <v>1584</v>
      </c>
    </row>
    <row r="65" spans="2:2" x14ac:dyDescent="0.3">
      <c r="B65" s="1075" t="s">
        <v>1585</v>
      </c>
    </row>
    <row r="66" spans="2:2" x14ac:dyDescent="0.3">
      <c r="B66" s="1075" t="s">
        <v>1586</v>
      </c>
    </row>
  </sheetData>
  <mergeCells count="2">
    <mergeCell ref="B1:P1"/>
    <mergeCell ref="B2:P2"/>
  </mergeCell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DEE44-F2F1-4598-8A15-263305D2F6F0}">
  <dimension ref="B1:G97"/>
  <sheetViews>
    <sheetView topLeftCell="A2" workbookViewId="0">
      <selection activeCell="E18" sqref="E18"/>
    </sheetView>
  </sheetViews>
  <sheetFormatPr baseColWidth="10" defaultRowHeight="12.5" x14ac:dyDescent="0.25"/>
  <cols>
    <col min="1" max="1" width="4.7265625" customWidth="1"/>
    <col min="2" max="2" width="13" customWidth="1"/>
    <col min="3" max="3" width="24" customWidth="1"/>
    <col min="4" max="4" width="14.54296875" customWidth="1"/>
    <col min="5" max="5" width="16.81640625" style="18" customWidth="1"/>
    <col min="6" max="6" width="18.453125" customWidth="1"/>
    <col min="7" max="7" width="14.26953125" bestFit="1" customWidth="1"/>
    <col min="257" max="257" width="4.7265625" customWidth="1"/>
    <col min="258" max="258" width="13" customWidth="1"/>
    <col min="259" max="259" width="24" customWidth="1"/>
    <col min="260" max="260" width="14.54296875" customWidth="1"/>
    <col min="261" max="261" width="16.81640625" customWidth="1"/>
    <col min="262" max="262" width="18.453125" customWidth="1"/>
    <col min="263" max="263" width="14.26953125" bestFit="1" customWidth="1"/>
    <col min="513" max="513" width="4.7265625" customWidth="1"/>
    <col min="514" max="514" width="13" customWidth="1"/>
    <col min="515" max="515" width="24" customWidth="1"/>
    <col min="516" max="516" width="14.54296875" customWidth="1"/>
    <col min="517" max="517" width="16.81640625" customWidth="1"/>
    <col min="518" max="518" width="18.453125" customWidth="1"/>
    <col min="519" max="519" width="14.26953125" bestFit="1" customWidth="1"/>
    <col min="769" max="769" width="4.7265625" customWidth="1"/>
    <col min="770" max="770" width="13" customWidth="1"/>
    <col min="771" max="771" width="24" customWidth="1"/>
    <col min="772" max="772" width="14.54296875" customWidth="1"/>
    <col min="773" max="773" width="16.81640625" customWidth="1"/>
    <col min="774" max="774" width="18.453125" customWidth="1"/>
    <col min="775" max="775" width="14.26953125" bestFit="1" customWidth="1"/>
    <col min="1025" max="1025" width="4.7265625" customWidth="1"/>
    <col min="1026" max="1026" width="13" customWidth="1"/>
    <col min="1027" max="1027" width="24" customWidth="1"/>
    <col min="1028" max="1028" width="14.54296875" customWidth="1"/>
    <col min="1029" max="1029" width="16.81640625" customWidth="1"/>
    <col min="1030" max="1030" width="18.453125" customWidth="1"/>
    <col min="1031" max="1031" width="14.26953125" bestFit="1" customWidth="1"/>
    <col min="1281" max="1281" width="4.7265625" customWidth="1"/>
    <col min="1282" max="1282" width="13" customWidth="1"/>
    <col min="1283" max="1283" width="24" customWidth="1"/>
    <col min="1284" max="1284" width="14.54296875" customWidth="1"/>
    <col min="1285" max="1285" width="16.81640625" customWidth="1"/>
    <col min="1286" max="1286" width="18.453125" customWidth="1"/>
    <col min="1287" max="1287" width="14.26953125" bestFit="1" customWidth="1"/>
    <col min="1537" max="1537" width="4.7265625" customWidth="1"/>
    <col min="1538" max="1538" width="13" customWidth="1"/>
    <col min="1539" max="1539" width="24" customWidth="1"/>
    <col min="1540" max="1540" width="14.54296875" customWidth="1"/>
    <col min="1541" max="1541" width="16.81640625" customWidth="1"/>
    <col min="1542" max="1542" width="18.453125" customWidth="1"/>
    <col min="1543" max="1543" width="14.26953125" bestFit="1" customWidth="1"/>
    <col min="1793" max="1793" width="4.7265625" customWidth="1"/>
    <col min="1794" max="1794" width="13" customWidth="1"/>
    <col min="1795" max="1795" width="24" customWidth="1"/>
    <col min="1796" max="1796" width="14.54296875" customWidth="1"/>
    <col min="1797" max="1797" width="16.81640625" customWidth="1"/>
    <col min="1798" max="1798" width="18.453125" customWidth="1"/>
    <col min="1799" max="1799" width="14.26953125" bestFit="1" customWidth="1"/>
    <col min="2049" max="2049" width="4.7265625" customWidth="1"/>
    <col min="2050" max="2050" width="13" customWidth="1"/>
    <col min="2051" max="2051" width="24" customWidth="1"/>
    <col min="2052" max="2052" width="14.54296875" customWidth="1"/>
    <col min="2053" max="2053" width="16.81640625" customWidth="1"/>
    <col min="2054" max="2054" width="18.453125" customWidth="1"/>
    <col min="2055" max="2055" width="14.26953125" bestFit="1" customWidth="1"/>
    <col min="2305" max="2305" width="4.7265625" customWidth="1"/>
    <col min="2306" max="2306" width="13" customWidth="1"/>
    <col min="2307" max="2307" width="24" customWidth="1"/>
    <col min="2308" max="2308" width="14.54296875" customWidth="1"/>
    <col min="2309" max="2309" width="16.81640625" customWidth="1"/>
    <col min="2310" max="2310" width="18.453125" customWidth="1"/>
    <col min="2311" max="2311" width="14.26953125" bestFit="1" customWidth="1"/>
    <col min="2561" max="2561" width="4.7265625" customWidth="1"/>
    <col min="2562" max="2562" width="13" customWidth="1"/>
    <col min="2563" max="2563" width="24" customWidth="1"/>
    <col min="2564" max="2564" width="14.54296875" customWidth="1"/>
    <col min="2565" max="2565" width="16.81640625" customWidth="1"/>
    <col min="2566" max="2566" width="18.453125" customWidth="1"/>
    <col min="2567" max="2567" width="14.26953125" bestFit="1" customWidth="1"/>
    <col min="2817" max="2817" width="4.7265625" customWidth="1"/>
    <col min="2818" max="2818" width="13" customWidth="1"/>
    <col min="2819" max="2819" width="24" customWidth="1"/>
    <col min="2820" max="2820" width="14.54296875" customWidth="1"/>
    <col min="2821" max="2821" width="16.81640625" customWidth="1"/>
    <col min="2822" max="2822" width="18.453125" customWidth="1"/>
    <col min="2823" max="2823" width="14.26953125" bestFit="1" customWidth="1"/>
    <col min="3073" max="3073" width="4.7265625" customWidth="1"/>
    <col min="3074" max="3074" width="13" customWidth="1"/>
    <col min="3075" max="3075" width="24" customWidth="1"/>
    <col min="3076" max="3076" width="14.54296875" customWidth="1"/>
    <col min="3077" max="3077" width="16.81640625" customWidth="1"/>
    <col min="3078" max="3078" width="18.453125" customWidth="1"/>
    <col min="3079" max="3079" width="14.26953125" bestFit="1" customWidth="1"/>
    <col min="3329" max="3329" width="4.7265625" customWidth="1"/>
    <col min="3330" max="3330" width="13" customWidth="1"/>
    <col min="3331" max="3331" width="24" customWidth="1"/>
    <col min="3332" max="3332" width="14.54296875" customWidth="1"/>
    <col min="3333" max="3333" width="16.81640625" customWidth="1"/>
    <col min="3334" max="3334" width="18.453125" customWidth="1"/>
    <col min="3335" max="3335" width="14.26953125" bestFit="1" customWidth="1"/>
    <col min="3585" max="3585" width="4.7265625" customWidth="1"/>
    <col min="3586" max="3586" width="13" customWidth="1"/>
    <col min="3587" max="3587" width="24" customWidth="1"/>
    <col min="3588" max="3588" width="14.54296875" customWidth="1"/>
    <col min="3589" max="3589" width="16.81640625" customWidth="1"/>
    <col min="3590" max="3590" width="18.453125" customWidth="1"/>
    <col min="3591" max="3591" width="14.26953125" bestFit="1" customWidth="1"/>
    <col min="3841" max="3841" width="4.7265625" customWidth="1"/>
    <col min="3842" max="3842" width="13" customWidth="1"/>
    <col min="3843" max="3843" width="24" customWidth="1"/>
    <col min="3844" max="3844" width="14.54296875" customWidth="1"/>
    <col min="3845" max="3845" width="16.81640625" customWidth="1"/>
    <col min="3846" max="3846" width="18.453125" customWidth="1"/>
    <col min="3847" max="3847" width="14.26953125" bestFit="1" customWidth="1"/>
    <col min="4097" max="4097" width="4.7265625" customWidth="1"/>
    <col min="4098" max="4098" width="13" customWidth="1"/>
    <col min="4099" max="4099" width="24" customWidth="1"/>
    <col min="4100" max="4100" width="14.54296875" customWidth="1"/>
    <col min="4101" max="4101" width="16.81640625" customWidth="1"/>
    <col min="4102" max="4102" width="18.453125" customWidth="1"/>
    <col min="4103" max="4103" width="14.26953125" bestFit="1" customWidth="1"/>
    <col min="4353" max="4353" width="4.7265625" customWidth="1"/>
    <col min="4354" max="4354" width="13" customWidth="1"/>
    <col min="4355" max="4355" width="24" customWidth="1"/>
    <col min="4356" max="4356" width="14.54296875" customWidth="1"/>
    <col min="4357" max="4357" width="16.81640625" customWidth="1"/>
    <col min="4358" max="4358" width="18.453125" customWidth="1"/>
    <col min="4359" max="4359" width="14.26953125" bestFit="1" customWidth="1"/>
    <col min="4609" max="4609" width="4.7265625" customWidth="1"/>
    <col min="4610" max="4610" width="13" customWidth="1"/>
    <col min="4611" max="4611" width="24" customWidth="1"/>
    <col min="4612" max="4612" width="14.54296875" customWidth="1"/>
    <col min="4613" max="4613" width="16.81640625" customWidth="1"/>
    <col min="4614" max="4614" width="18.453125" customWidth="1"/>
    <col min="4615" max="4615" width="14.26953125" bestFit="1" customWidth="1"/>
    <col min="4865" max="4865" width="4.7265625" customWidth="1"/>
    <col min="4866" max="4866" width="13" customWidth="1"/>
    <col min="4867" max="4867" width="24" customWidth="1"/>
    <col min="4868" max="4868" width="14.54296875" customWidth="1"/>
    <col min="4869" max="4869" width="16.81640625" customWidth="1"/>
    <col min="4870" max="4870" width="18.453125" customWidth="1"/>
    <col min="4871" max="4871" width="14.26953125" bestFit="1" customWidth="1"/>
    <col min="5121" max="5121" width="4.7265625" customWidth="1"/>
    <col min="5122" max="5122" width="13" customWidth="1"/>
    <col min="5123" max="5123" width="24" customWidth="1"/>
    <col min="5124" max="5124" width="14.54296875" customWidth="1"/>
    <col min="5125" max="5125" width="16.81640625" customWidth="1"/>
    <col min="5126" max="5126" width="18.453125" customWidth="1"/>
    <col min="5127" max="5127" width="14.26953125" bestFit="1" customWidth="1"/>
    <col min="5377" max="5377" width="4.7265625" customWidth="1"/>
    <col min="5378" max="5378" width="13" customWidth="1"/>
    <col min="5379" max="5379" width="24" customWidth="1"/>
    <col min="5380" max="5380" width="14.54296875" customWidth="1"/>
    <col min="5381" max="5381" width="16.81640625" customWidth="1"/>
    <col min="5382" max="5382" width="18.453125" customWidth="1"/>
    <col min="5383" max="5383" width="14.26953125" bestFit="1" customWidth="1"/>
    <col min="5633" max="5633" width="4.7265625" customWidth="1"/>
    <col min="5634" max="5634" width="13" customWidth="1"/>
    <col min="5635" max="5635" width="24" customWidth="1"/>
    <col min="5636" max="5636" width="14.54296875" customWidth="1"/>
    <col min="5637" max="5637" width="16.81640625" customWidth="1"/>
    <col min="5638" max="5638" width="18.453125" customWidth="1"/>
    <col min="5639" max="5639" width="14.26953125" bestFit="1" customWidth="1"/>
    <col min="5889" max="5889" width="4.7265625" customWidth="1"/>
    <col min="5890" max="5890" width="13" customWidth="1"/>
    <col min="5891" max="5891" width="24" customWidth="1"/>
    <col min="5892" max="5892" width="14.54296875" customWidth="1"/>
    <col min="5893" max="5893" width="16.81640625" customWidth="1"/>
    <col min="5894" max="5894" width="18.453125" customWidth="1"/>
    <col min="5895" max="5895" width="14.26953125" bestFit="1" customWidth="1"/>
    <col min="6145" max="6145" width="4.7265625" customWidth="1"/>
    <col min="6146" max="6146" width="13" customWidth="1"/>
    <col min="6147" max="6147" width="24" customWidth="1"/>
    <col min="6148" max="6148" width="14.54296875" customWidth="1"/>
    <col min="6149" max="6149" width="16.81640625" customWidth="1"/>
    <col min="6150" max="6150" width="18.453125" customWidth="1"/>
    <col min="6151" max="6151" width="14.26953125" bestFit="1" customWidth="1"/>
    <col min="6401" max="6401" width="4.7265625" customWidth="1"/>
    <col min="6402" max="6402" width="13" customWidth="1"/>
    <col min="6403" max="6403" width="24" customWidth="1"/>
    <col min="6404" max="6404" width="14.54296875" customWidth="1"/>
    <col min="6405" max="6405" width="16.81640625" customWidth="1"/>
    <col min="6406" max="6406" width="18.453125" customWidth="1"/>
    <col min="6407" max="6407" width="14.26953125" bestFit="1" customWidth="1"/>
    <col min="6657" max="6657" width="4.7265625" customWidth="1"/>
    <col min="6658" max="6658" width="13" customWidth="1"/>
    <col min="6659" max="6659" width="24" customWidth="1"/>
    <col min="6660" max="6660" width="14.54296875" customWidth="1"/>
    <col min="6661" max="6661" width="16.81640625" customWidth="1"/>
    <col min="6662" max="6662" width="18.453125" customWidth="1"/>
    <col min="6663" max="6663" width="14.26953125" bestFit="1" customWidth="1"/>
    <col min="6913" max="6913" width="4.7265625" customWidth="1"/>
    <col min="6914" max="6914" width="13" customWidth="1"/>
    <col min="6915" max="6915" width="24" customWidth="1"/>
    <col min="6916" max="6916" width="14.54296875" customWidth="1"/>
    <col min="6917" max="6917" width="16.81640625" customWidth="1"/>
    <col min="6918" max="6918" width="18.453125" customWidth="1"/>
    <col min="6919" max="6919" width="14.26953125" bestFit="1" customWidth="1"/>
    <col min="7169" max="7169" width="4.7265625" customWidth="1"/>
    <col min="7170" max="7170" width="13" customWidth="1"/>
    <col min="7171" max="7171" width="24" customWidth="1"/>
    <col min="7172" max="7172" width="14.54296875" customWidth="1"/>
    <col min="7173" max="7173" width="16.81640625" customWidth="1"/>
    <col min="7174" max="7174" width="18.453125" customWidth="1"/>
    <col min="7175" max="7175" width="14.26953125" bestFit="1" customWidth="1"/>
    <col min="7425" max="7425" width="4.7265625" customWidth="1"/>
    <col min="7426" max="7426" width="13" customWidth="1"/>
    <col min="7427" max="7427" width="24" customWidth="1"/>
    <col min="7428" max="7428" width="14.54296875" customWidth="1"/>
    <col min="7429" max="7429" width="16.81640625" customWidth="1"/>
    <col min="7430" max="7430" width="18.453125" customWidth="1"/>
    <col min="7431" max="7431" width="14.26953125" bestFit="1" customWidth="1"/>
    <col min="7681" max="7681" width="4.7265625" customWidth="1"/>
    <col min="7682" max="7682" width="13" customWidth="1"/>
    <col min="7683" max="7683" width="24" customWidth="1"/>
    <col min="7684" max="7684" width="14.54296875" customWidth="1"/>
    <col min="7685" max="7685" width="16.81640625" customWidth="1"/>
    <col min="7686" max="7686" width="18.453125" customWidth="1"/>
    <col min="7687" max="7687" width="14.26953125" bestFit="1" customWidth="1"/>
    <col min="7937" max="7937" width="4.7265625" customWidth="1"/>
    <col min="7938" max="7938" width="13" customWidth="1"/>
    <col min="7939" max="7939" width="24" customWidth="1"/>
    <col min="7940" max="7940" width="14.54296875" customWidth="1"/>
    <col min="7941" max="7941" width="16.81640625" customWidth="1"/>
    <col min="7942" max="7942" width="18.453125" customWidth="1"/>
    <col min="7943" max="7943" width="14.26953125" bestFit="1" customWidth="1"/>
    <col min="8193" max="8193" width="4.7265625" customWidth="1"/>
    <col min="8194" max="8194" width="13" customWidth="1"/>
    <col min="8195" max="8195" width="24" customWidth="1"/>
    <col min="8196" max="8196" width="14.54296875" customWidth="1"/>
    <col min="8197" max="8197" width="16.81640625" customWidth="1"/>
    <col min="8198" max="8198" width="18.453125" customWidth="1"/>
    <col min="8199" max="8199" width="14.26953125" bestFit="1" customWidth="1"/>
    <col min="8449" max="8449" width="4.7265625" customWidth="1"/>
    <col min="8450" max="8450" width="13" customWidth="1"/>
    <col min="8451" max="8451" width="24" customWidth="1"/>
    <col min="8452" max="8452" width="14.54296875" customWidth="1"/>
    <col min="8453" max="8453" width="16.81640625" customWidth="1"/>
    <col min="8454" max="8454" width="18.453125" customWidth="1"/>
    <col min="8455" max="8455" width="14.26953125" bestFit="1" customWidth="1"/>
    <col min="8705" max="8705" width="4.7265625" customWidth="1"/>
    <col min="8706" max="8706" width="13" customWidth="1"/>
    <col min="8707" max="8707" width="24" customWidth="1"/>
    <col min="8708" max="8708" width="14.54296875" customWidth="1"/>
    <col min="8709" max="8709" width="16.81640625" customWidth="1"/>
    <col min="8710" max="8710" width="18.453125" customWidth="1"/>
    <col min="8711" max="8711" width="14.26953125" bestFit="1" customWidth="1"/>
    <col min="8961" max="8961" width="4.7265625" customWidth="1"/>
    <col min="8962" max="8962" width="13" customWidth="1"/>
    <col min="8963" max="8963" width="24" customWidth="1"/>
    <col min="8964" max="8964" width="14.54296875" customWidth="1"/>
    <col min="8965" max="8965" width="16.81640625" customWidth="1"/>
    <col min="8966" max="8966" width="18.453125" customWidth="1"/>
    <col min="8967" max="8967" width="14.26953125" bestFit="1" customWidth="1"/>
    <col min="9217" max="9217" width="4.7265625" customWidth="1"/>
    <col min="9218" max="9218" width="13" customWidth="1"/>
    <col min="9219" max="9219" width="24" customWidth="1"/>
    <col min="9220" max="9220" width="14.54296875" customWidth="1"/>
    <col min="9221" max="9221" width="16.81640625" customWidth="1"/>
    <col min="9222" max="9222" width="18.453125" customWidth="1"/>
    <col min="9223" max="9223" width="14.26953125" bestFit="1" customWidth="1"/>
    <col min="9473" max="9473" width="4.7265625" customWidth="1"/>
    <col min="9474" max="9474" width="13" customWidth="1"/>
    <col min="9475" max="9475" width="24" customWidth="1"/>
    <col min="9476" max="9476" width="14.54296875" customWidth="1"/>
    <col min="9477" max="9477" width="16.81640625" customWidth="1"/>
    <col min="9478" max="9478" width="18.453125" customWidth="1"/>
    <col min="9479" max="9479" width="14.26953125" bestFit="1" customWidth="1"/>
    <col min="9729" max="9729" width="4.7265625" customWidth="1"/>
    <col min="9730" max="9730" width="13" customWidth="1"/>
    <col min="9731" max="9731" width="24" customWidth="1"/>
    <col min="9732" max="9732" width="14.54296875" customWidth="1"/>
    <col min="9733" max="9733" width="16.81640625" customWidth="1"/>
    <col min="9734" max="9734" width="18.453125" customWidth="1"/>
    <col min="9735" max="9735" width="14.26953125" bestFit="1" customWidth="1"/>
    <col min="9985" max="9985" width="4.7265625" customWidth="1"/>
    <col min="9986" max="9986" width="13" customWidth="1"/>
    <col min="9987" max="9987" width="24" customWidth="1"/>
    <col min="9988" max="9988" width="14.54296875" customWidth="1"/>
    <col min="9989" max="9989" width="16.81640625" customWidth="1"/>
    <col min="9990" max="9990" width="18.453125" customWidth="1"/>
    <col min="9991" max="9991" width="14.26953125" bestFit="1" customWidth="1"/>
    <col min="10241" max="10241" width="4.7265625" customWidth="1"/>
    <col min="10242" max="10242" width="13" customWidth="1"/>
    <col min="10243" max="10243" width="24" customWidth="1"/>
    <col min="10244" max="10244" width="14.54296875" customWidth="1"/>
    <col min="10245" max="10245" width="16.81640625" customWidth="1"/>
    <col min="10246" max="10246" width="18.453125" customWidth="1"/>
    <col min="10247" max="10247" width="14.26953125" bestFit="1" customWidth="1"/>
    <col min="10497" max="10497" width="4.7265625" customWidth="1"/>
    <col min="10498" max="10498" width="13" customWidth="1"/>
    <col min="10499" max="10499" width="24" customWidth="1"/>
    <col min="10500" max="10500" width="14.54296875" customWidth="1"/>
    <col min="10501" max="10501" width="16.81640625" customWidth="1"/>
    <col min="10502" max="10502" width="18.453125" customWidth="1"/>
    <col min="10503" max="10503" width="14.26953125" bestFit="1" customWidth="1"/>
    <col min="10753" max="10753" width="4.7265625" customWidth="1"/>
    <col min="10754" max="10754" width="13" customWidth="1"/>
    <col min="10755" max="10755" width="24" customWidth="1"/>
    <col min="10756" max="10756" width="14.54296875" customWidth="1"/>
    <col min="10757" max="10757" width="16.81640625" customWidth="1"/>
    <col min="10758" max="10758" width="18.453125" customWidth="1"/>
    <col min="10759" max="10759" width="14.26953125" bestFit="1" customWidth="1"/>
    <col min="11009" max="11009" width="4.7265625" customWidth="1"/>
    <col min="11010" max="11010" width="13" customWidth="1"/>
    <col min="11011" max="11011" width="24" customWidth="1"/>
    <col min="11012" max="11012" width="14.54296875" customWidth="1"/>
    <col min="11013" max="11013" width="16.81640625" customWidth="1"/>
    <col min="11014" max="11014" width="18.453125" customWidth="1"/>
    <col min="11015" max="11015" width="14.26953125" bestFit="1" customWidth="1"/>
    <col min="11265" max="11265" width="4.7265625" customWidth="1"/>
    <col min="11266" max="11266" width="13" customWidth="1"/>
    <col min="11267" max="11267" width="24" customWidth="1"/>
    <col min="11268" max="11268" width="14.54296875" customWidth="1"/>
    <col min="11269" max="11269" width="16.81640625" customWidth="1"/>
    <col min="11270" max="11270" width="18.453125" customWidth="1"/>
    <col min="11271" max="11271" width="14.26953125" bestFit="1" customWidth="1"/>
    <col min="11521" max="11521" width="4.7265625" customWidth="1"/>
    <col min="11522" max="11522" width="13" customWidth="1"/>
    <col min="11523" max="11523" width="24" customWidth="1"/>
    <col min="11524" max="11524" width="14.54296875" customWidth="1"/>
    <col min="11525" max="11525" width="16.81640625" customWidth="1"/>
    <col min="11526" max="11526" width="18.453125" customWidth="1"/>
    <col min="11527" max="11527" width="14.26953125" bestFit="1" customWidth="1"/>
    <col min="11777" max="11777" width="4.7265625" customWidth="1"/>
    <col min="11778" max="11778" width="13" customWidth="1"/>
    <col min="11779" max="11779" width="24" customWidth="1"/>
    <col min="11780" max="11780" width="14.54296875" customWidth="1"/>
    <col min="11781" max="11781" width="16.81640625" customWidth="1"/>
    <col min="11782" max="11782" width="18.453125" customWidth="1"/>
    <col min="11783" max="11783" width="14.26953125" bestFit="1" customWidth="1"/>
    <col min="12033" max="12033" width="4.7265625" customWidth="1"/>
    <col min="12034" max="12034" width="13" customWidth="1"/>
    <col min="12035" max="12035" width="24" customWidth="1"/>
    <col min="12036" max="12036" width="14.54296875" customWidth="1"/>
    <col min="12037" max="12037" width="16.81640625" customWidth="1"/>
    <col min="12038" max="12038" width="18.453125" customWidth="1"/>
    <col min="12039" max="12039" width="14.26953125" bestFit="1" customWidth="1"/>
    <col min="12289" max="12289" width="4.7265625" customWidth="1"/>
    <col min="12290" max="12290" width="13" customWidth="1"/>
    <col min="12291" max="12291" width="24" customWidth="1"/>
    <col min="12292" max="12292" width="14.54296875" customWidth="1"/>
    <col min="12293" max="12293" width="16.81640625" customWidth="1"/>
    <col min="12294" max="12294" width="18.453125" customWidth="1"/>
    <col min="12295" max="12295" width="14.26953125" bestFit="1" customWidth="1"/>
    <col min="12545" max="12545" width="4.7265625" customWidth="1"/>
    <col min="12546" max="12546" width="13" customWidth="1"/>
    <col min="12547" max="12547" width="24" customWidth="1"/>
    <col min="12548" max="12548" width="14.54296875" customWidth="1"/>
    <col min="12549" max="12549" width="16.81640625" customWidth="1"/>
    <col min="12550" max="12550" width="18.453125" customWidth="1"/>
    <col min="12551" max="12551" width="14.26953125" bestFit="1" customWidth="1"/>
    <col min="12801" max="12801" width="4.7265625" customWidth="1"/>
    <col min="12802" max="12802" width="13" customWidth="1"/>
    <col min="12803" max="12803" width="24" customWidth="1"/>
    <col min="12804" max="12804" width="14.54296875" customWidth="1"/>
    <col min="12805" max="12805" width="16.81640625" customWidth="1"/>
    <col min="12806" max="12806" width="18.453125" customWidth="1"/>
    <col min="12807" max="12807" width="14.26953125" bestFit="1" customWidth="1"/>
    <col min="13057" max="13057" width="4.7265625" customWidth="1"/>
    <col min="13058" max="13058" width="13" customWidth="1"/>
    <col min="13059" max="13059" width="24" customWidth="1"/>
    <col min="13060" max="13060" width="14.54296875" customWidth="1"/>
    <col min="13061" max="13061" width="16.81640625" customWidth="1"/>
    <col min="13062" max="13062" width="18.453125" customWidth="1"/>
    <col min="13063" max="13063" width="14.26953125" bestFit="1" customWidth="1"/>
    <col min="13313" max="13313" width="4.7265625" customWidth="1"/>
    <col min="13314" max="13314" width="13" customWidth="1"/>
    <col min="13315" max="13315" width="24" customWidth="1"/>
    <col min="13316" max="13316" width="14.54296875" customWidth="1"/>
    <col min="13317" max="13317" width="16.81640625" customWidth="1"/>
    <col min="13318" max="13318" width="18.453125" customWidth="1"/>
    <col min="13319" max="13319" width="14.26953125" bestFit="1" customWidth="1"/>
    <col min="13569" max="13569" width="4.7265625" customWidth="1"/>
    <col min="13570" max="13570" width="13" customWidth="1"/>
    <col min="13571" max="13571" width="24" customWidth="1"/>
    <col min="13572" max="13572" width="14.54296875" customWidth="1"/>
    <col min="13573" max="13573" width="16.81640625" customWidth="1"/>
    <col min="13574" max="13574" width="18.453125" customWidth="1"/>
    <col min="13575" max="13575" width="14.26953125" bestFit="1" customWidth="1"/>
    <col min="13825" max="13825" width="4.7265625" customWidth="1"/>
    <col min="13826" max="13826" width="13" customWidth="1"/>
    <col min="13827" max="13827" width="24" customWidth="1"/>
    <col min="13828" max="13828" width="14.54296875" customWidth="1"/>
    <col min="13829" max="13829" width="16.81640625" customWidth="1"/>
    <col min="13830" max="13830" width="18.453125" customWidth="1"/>
    <col min="13831" max="13831" width="14.26953125" bestFit="1" customWidth="1"/>
    <col min="14081" max="14081" width="4.7265625" customWidth="1"/>
    <col min="14082" max="14082" width="13" customWidth="1"/>
    <col min="14083" max="14083" width="24" customWidth="1"/>
    <col min="14084" max="14084" width="14.54296875" customWidth="1"/>
    <col min="14085" max="14085" width="16.81640625" customWidth="1"/>
    <col min="14086" max="14086" width="18.453125" customWidth="1"/>
    <col min="14087" max="14087" width="14.26953125" bestFit="1" customWidth="1"/>
    <col min="14337" max="14337" width="4.7265625" customWidth="1"/>
    <col min="14338" max="14338" width="13" customWidth="1"/>
    <col min="14339" max="14339" width="24" customWidth="1"/>
    <col min="14340" max="14340" width="14.54296875" customWidth="1"/>
    <col min="14341" max="14341" width="16.81640625" customWidth="1"/>
    <col min="14342" max="14342" width="18.453125" customWidth="1"/>
    <col min="14343" max="14343" width="14.26953125" bestFit="1" customWidth="1"/>
    <col min="14593" max="14593" width="4.7265625" customWidth="1"/>
    <col min="14594" max="14594" width="13" customWidth="1"/>
    <col min="14595" max="14595" width="24" customWidth="1"/>
    <col min="14596" max="14596" width="14.54296875" customWidth="1"/>
    <col min="14597" max="14597" width="16.81640625" customWidth="1"/>
    <col min="14598" max="14598" width="18.453125" customWidth="1"/>
    <col min="14599" max="14599" width="14.26953125" bestFit="1" customWidth="1"/>
    <col min="14849" max="14849" width="4.7265625" customWidth="1"/>
    <col min="14850" max="14850" width="13" customWidth="1"/>
    <col min="14851" max="14851" width="24" customWidth="1"/>
    <col min="14852" max="14852" width="14.54296875" customWidth="1"/>
    <col min="14853" max="14853" width="16.81640625" customWidth="1"/>
    <col min="14854" max="14854" width="18.453125" customWidth="1"/>
    <col min="14855" max="14855" width="14.26953125" bestFit="1" customWidth="1"/>
    <col min="15105" max="15105" width="4.7265625" customWidth="1"/>
    <col min="15106" max="15106" width="13" customWidth="1"/>
    <col min="15107" max="15107" width="24" customWidth="1"/>
    <col min="15108" max="15108" width="14.54296875" customWidth="1"/>
    <col min="15109" max="15109" width="16.81640625" customWidth="1"/>
    <col min="15110" max="15110" width="18.453125" customWidth="1"/>
    <col min="15111" max="15111" width="14.26953125" bestFit="1" customWidth="1"/>
    <col min="15361" max="15361" width="4.7265625" customWidth="1"/>
    <col min="15362" max="15362" width="13" customWidth="1"/>
    <col min="15363" max="15363" width="24" customWidth="1"/>
    <col min="15364" max="15364" width="14.54296875" customWidth="1"/>
    <col min="15365" max="15365" width="16.81640625" customWidth="1"/>
    <col min="15366" max="15366" width="18.453125" customWidth="1"/>
    <col min="15367" max="15367" width="14.26953125" bestFit="1" customWidth="1"/>
    <col min="15617" max="15617" width="4.7265625" customWidth="1"/>
    <col min="15618" max="15618" width="13" customWidth="1"/>
    <col min="15619" max="15619" width="24" customWidth="1"/>
    <col min="15620" max="15620" width="14.54296875" customWidth="1"/>
    <col min="15621" max="15621" width="16.81640625" customWidth="1"/>
    <col min="15622" max="15622" width="18.453125" customWidth="1"/>
    <col min="15623" max="15623" width="14.26953125" bestFit="1" customWidth="1"/>
    <col min="15873" max="15873" width="4.7265625" customWidth="1"/>
    <col min="15874" max="15874" width="13" customWidth="1"/>
    <col min="15875" max="15875" width="24" customWidth="1"/>
    <col min="15876" max="15876" width="14.54296875" customWidth="1"/>
    <col min="15877" max="15877" width="16.81640625" customWidth="1"/>
    <col min="15878" max="15878" width="18.453125" customWidth="1"/>
    <col min="15879" max="15879" width="14.26953125" bestFit="1" customWidth="1"/>
    <col min="16129" max="16129" width="4.7265625" customWidth="1"/>
    <col min="16130" max="16130" width="13" customWidth="1"/>
    <col min="16131" max="16131" width="24" customWidth="1"/>
    <col min="16132" max="16132" width="14.54296875" customWidth="1"/>
    <col min="16133" max="16133" width="16.81640625" customWidth="1"/>
    <col min="16134" max="16134" width="18.453125" customWidth="1"/>
    <col min="16135" max="16135" width="14.26953125" bestFit="1" customWidth="1"/>
  </cols>
  <sheetData>
    <row r="1" spans="2:7" ht="13.5" customHeight="1" x14ac:dyDescent="0.25">
      <c r="B1" s="1649" t="s">
        <v>218</v>
      </c>
      <c r="C1" s="1650"/>
      <c r="D1" s="1650"/>
      <c r="E1" s="1650"/>
      <c r="F1" s="1651"/>
    </row>
    <row r="2" spans="2:7" ht="13.5" customHeight="1" x14ac:dyDescent="0.25">
      <c r="B2" s="1731" t="s">
        <v>1524</v>
      </c>
      <c r="C2" s="1732"/>
      <c r="D2" s="1732"/>
      <c r="E2" s="1732"/>
      <c r="F2" s="1733"/>
    </row>
    <row r="3" spans="2:7" ht="13.5" customHeight="1" x14ac:dyDescent="0.4">
      <c r="B3" s="30"/>
      <c r="C3" s="1035" t="s">
        <v>1422</v>
      </c>
      <c r="D3" s="1035" t="s">
        <v>1423</v>
      </c>
      <c r="E3" s="1036" t="s">
        <v>31</v>
      </c>
      <c r="F3" s="43"/>
    </row>
    <row r="4" spans="2:7" ht="13.5" customHeight="1" x14ac:dyDescent="0.25">
      <c r="B4" s="30"/>
      <c r="C4" s="264" t="s">
        <v>1426</v>
      </c>
      <c r="D4" s="272" t="s">
        <v>1427</v>
      </c>
      <c r="E4" s="156">
        <v>534252</v>
      </c>
      <c r="F4" s="43"/>
    </row>
    <row r="5" spans="2:7" ht="13.5" customHeight="1" x14ac:dyDescent="0.25">
      <c r="B5" s="30"/>
      <c r="C5" s="264" t="s">
        <v>1525</v>
      </c>
      <c r="D5" s="272" t="s">
        <v>1526</v>
      </c>
      <c r="E5" s="156">
        <v>496</v>
      </c>
      <c r="F5" s="43"/>
    </row>
    <row r="6" spans="2:7" ht="13.5" customHeight="1" x14ac:dyDescent="0.25">
      <c r="B6" s="30"/>
      <c r="C6" s="264" t="s">
        <v>237</v>
      </c>
      <c r="D6" s="272" t="s">
        <v>1430</v>
      </c>
      <c r="E6" s="156">
        <f>-142800+285600</f>
        <v>142800</v>
      </c>
      <c r="F6" s="43"/>
    </row>
    <row r="7" spans="2:7" ht="13.5" customHeight="1" x14ac:dyDescent="0.25">
      <c r="B7" s="30"/>
      <c r="C7" s="264" t="s">
        <v>1431</v>
      </c>
      <c r="D7" s="272" t="s">
        <v>1432</v>
      </c>
      <c r="E7" s="156">
        <f>+[6]ESFA!C38</f>
        <v>274160.06</v>
      </c>
      <c r="F7" s="43"/>
    </row>
    <row r="8" spans="2:7" ht="13.5" customHeight="1" x14ac:dyDescent="0.35">
      <c r="B8" s="1037"/>
      <c r="C8" s="956" t="s">
        <v>1433</v>
      </c>
      <c r="D8" s="957" t="s">
        <v>33</v>
      </c>
      <c r="E8" s="986">
        <f>SUM(E4:E7)</f>
        <v>951708.06</v>
      </c>
      <c r="F8" s="44"/>
    </row>
    <row r="9" spans="2:7" ht="13.5" customHeight="1" x14ac:dyDescent="0.25">
      <c r="B9" s="415"/>
      <c r="C9" s="1"/>
      <c r="D9" s="1"/>
      <c r="E9" s="1038" t="s">
        <v>33</v>
      </c>
      <c r="F9" s="43"/>
    </row>
    <row r="10" spans="2:7" ht="13.5" customHeight="1" x14ac:dyDescent="0.25">
      <c r="B10" s="28"/>
      <c r="C10" s="1734" t="s">
        <v>225</v>
      </c>
      <c r="D10" s="1734"/>
      <c r="E10" s="1734"/>
      <c r="F10" s="108"/>
    </row>
    <row r="11" spans="2:7" ht="13.5" customHeight="1" x14ac:dyDescent="0.3">
      <c r="B11" s="69" t="s">
        <v>53</v>
      </c>
      <c r="C11" s="69" t="s">
        <v>54</v>
      </c>
      <c r="D11" s="1039" t="s">
        <v>63</v>
      </c>
      <c r="E11" s="350" t="s">
        <v>226</v>
      </c>
      <c r="F11" s="501" t="s">
        <v>72</v>
      </c>
    </row>
    <row r="12" spans="2:7" ht="13.5" customHeight="1" x14ac:dyDescent="0.3">
      <c r="B12" s="347" t="s">
        <v>127</v>
      </c>
      <c r="C12" s="13" t="s">
        <v>836</v>
      </c>
      <c r="D12" s="518">
        <v>1747986</v>
      </c>
      <c r="E12" s="518">
        <v>1747986</v>
      </c>
      <c r="F12" s="42">
        <f>+D12-E12</f>
        <v>0</v>
      </c>
    </row>
    <row r="13" spans="2:7" ht="13.5" customHeight="1" x14ac:dyDescent="0.3">
      <c r="B13" s="347" t="s">
        <v>128</v>
      </c>
      <c r="C13" s="13" t="s">
        <v>837</v>
      </c>
      <c r="D13" s="518">
        <v>0</v>
      </c>
      <c r="E13" s="520">
        <v>0</v>
      </c>
      <c r="F13" s="42">
        <f t="shared" ref="F13:F40" si="0">+D13-E13</f>
        <v>0</v>
      </c>
    </row>
    <row r="14" spans="2:7" ht="13.5" customHeight="1" x14ac:dyDescent="0.3">
      <c r="B14" s="347" t="s">
        <v>129</v>
      </c>
      <c r="C14" s="13" t="s">
        <v>838</v>
      </c>
      <c r="D14" s="518">
        <v>0</v>
      </c>
      <c r="E14" s="520">
        <v>0</v>
      </c>
      <c r="F14" s="42">
        <f t="shared" si="0"/>
        <v>0</v>
      </c>
    </row>
    <row r="15" spans="2:7" ht="13.5" customHeight="1" x14ac:dyDescent="0.3">
      <c r="B15" s="347" t="s">
        <v>130</v>
      </c>
      <c r="C15" s="13" t="s">
        <v>839</v>
      </c>
      <c r="D15" s="518">
        <v>930723</v>
      </c>
      <c r="E15" s="518">
        <v>930723</v>
      </c>
      <c r="F15" s="42">
        <f t="shared" si="0"/>
        <v>0</v>
      </c>
    </row>
    <row r="16" spans="2:7" ht="13.5" customHeight="1" x14ac:dyDescent="0.3">
      <c r="B16" s="1040" t="s">
        <v>131</v>
      </c>
      <c r="C16" s="1041" t="s">
        <v>840</v>
      </c>
      <c r="D16" s="518">
        <v>1033633</v>
      </c>
      <c r="E16" s="518">
        <v>1033633</v>
      </c>
      <c r="F16" s="42">
        <f t="shared" si="0"/>
        <v>0</v>
      </c>
      <c r="G16" s="1" t="s">
        <v>33</v>
      </c>
    </row>
    <row r="17" spans="2:7" ht="13.5" customHeight="1" x14ac:dyDescent="0.3">
      <c r="B17" s="347" t="s">
        <v>132</v>
      </c>
      <c r="C17" s="13" t="s">
        <v>841</v>
      </c>
      <c r="D17" s="518">
        <v>0</v>
      </c>
      <c r="E17" s="520">
        <v>0</v>
      </c>
      <c r="F17" s="42">
        <f t="shared" si="0"/>
        <v>0</v>
      </c>
    </row>
    <row r="18" spans="2:7" ht="13.5" customHeight="1" x14ac:dyDescent="0.3">
      <c r="B18" s="347" t="s">
        <v>133</v>
      </c>
      <c r="C18" s="13" t="s">
        <v>842</v>
      </c>
      <c r="D18" s="518">
        <v>0</v>
      </c>
      <c r="E18" s="520">
        <v>0</v>
      </c>
      <c r="F18" s="42">
        <f t="shared" si="0"/>
        <v>0</v>
      </c>
      <c r="G18" s="1042" t="s">
        <v>33</v>
      </c>
    </row>
    <row r="19" spans="2:7" ht="13.5" customHeight="1" x14ac:dyDescent="0.3">
      <c r="B19" s="347" t="s">
        <v>134</v>
      </c>
      <c r="C19" s="13" t="s">
        <v>843</v>
      </c>
      <c r="D19" s="518">
        <v>0</v>
      </c>
      <c r="E19" s="520">
        <v>0</v>
      </c>
      <c r="F19" s="42">
        <f t="shared" si="0"/>
        <v>0</v>
      </c>
    </row>
    <row r="20" spans="2:7" ht="13.5" customHeight="1" x14ac:dyDescent="0.3">
      <c r="B20" s="347" t="s">
        <v>135</v>
      </c>
      <c r="C20" s="13" t="s">
        <v>844</v>
      </c>
      <c r="D20" s="518">
        <v>-99800</v>
      </c>
      <c r="E20" s="518">
        <v>-99800</v>
      </c>
      <c r="F20" s="42">
        <f t="shared" si="0"/>
        <v>0</v>
      </c>
    </row>
    <row r="21" spans="2:7" ht="13.5" customHeight="1" x14ac:dyDescent="0.3">
      <c r="B21" s="347" t="s">
        <v>136</v>
      </c>
      <c r="C21" s="13" t="s">
        <v>845</v>
      </c>
      <c r="D21" s="518">
        <v>0</v>
      </c>
      <c r="E21" s="520">
        <v>0</v>
      </c>
      <c r="F21" s="42">
        <f t="shared" si="0"/>
        <v>0</v>
      </c>
    </row>
    <row r="22" spans="2:7" ht="13.5" customHeight="1" x14ac:dyDescent="0.3">
      <c r="B22" s="347" t="s">
        <v>137</v>
      </c>
      <c r="C22" s="13" t="s">
        <v>846</v>
      </c>
      <c r="D22" s="518">
        <v>1000000</v>
      </c>
      <c r="E22" s="518">
        <v>1000000</v>
      </c>
      <c r="F22" s="42">
        <f t="shared" si="0"/>
        <v>0</v>
      </c>
    </row>
    <row r="23" spans="2:7" ht="13.5" customHeight="1" x14ac:dyDescent="0.3">
      <c r="B23" s="347" t="s">
        <v>138</v>
      </c>
      <c r="C23" s="13" t="s">
        <v>847</v>
      </c>
      <c r="D23" s="518">
        <v>-411027</v>
      </c>
      <c r="E23" s="518">
        <v>-411027</v>
      </c>
      <c r="F23" s="42">
        <f t="shared" si="0"/>
        <v>0</v>
      </c>
    </row>
    <row r="24" spans="2:7" ht="13.5" customHeight="1" x14ac:dyDescent="0.3">
      <c r="B24" s="347" t="s">
        <v>139</v>
      </c>
      <c r="C24" s="13" t="s">
        <v>848</v>
      </c>
      <c r="D24" s="518">
        <v>0</v>
      </c>
      <c r="E24" s="520">
        <v>0</v>
      </c>
      <c r="F24" s="42">
        <f t="shared" si="0"/>
        <v>0</v>
      </c>
    </row>
    <row r="25" spans="2:7" ht="13.5" customHeight="1" x14ac:dyDescent="0.3">
      <c r="B25" s="347" t="s">
        <v>140</v>
      </c>
      <c r="C25" s="13" t="s">
        <v>849</v>
      </c>
      <c r="D25" s="518">
        <v>0</v>
      </c>
      <c r="E25" s="520">
        <v>0</v>
      </c>
      <c r="F25" s="42">
        <f t="shared" si="0"/>
        <v>0</v>
      </c>
    </row>
    <row r="26" spans="2:7" ht="13.5" customHeight="1" x14ac:dyDescent="0.3">
      <c r="B26" s="347" t="s">
        <v>141</v>
      </c>
      <c r="C26" s="13" t="s">
        <v>850</v>
      </c>
      <c r="D26" s="518">
        <v>608316</v>
      </c>
      <c r="E26" s="518">
        <v>608316</v>
      </c>
      <c r="F26" s="42">
        <f t="shared" si="0"/>
        <v>0</v>
      </c>
    </row>
    <row r="27" spans="2:7" ht="13.5" customHeight="1" x14ac:dyDescent="0.3">
      <c r="B27" s="347" t="s">
        <v>142</v>
      </c>
      <c r="C27" s="13" t="s">
        <v>851</v>
      </c>
      <c r="D27" s="518">
        <v>0</v>
      </c>
      <c r="E27" s="520">
        <v>0</v>
      </c>
      <c r="F27" s="42">
        <f t="shared" si="0"/>
        <v>0</v>
      </c>
    </row>
    <row r="28" spans="2:7" ht="13.5" customHeight="1" x14ac:dyDescent="0.3">
      <c r="B28" s="347" t="s">
        <v>143</v>
      </c>
      <c r="C28" s="13" t="s">
        <v>852</v>
      </c>
      <c r="D28" s="518">
        <v>0</v>
      </c>
      <c r="E28" s="520">
        <v>0</v>
      </c>
      <c r="F28" s="42">
        <f t="shared" si="0"/>
        <v>0</v>
      </c>
    </row>
    <row r="29" spans="2:7" ht="13.5" customHeight="1" x14ac:dyDescent="0.3">
      <c r="B29" s="347" t="s">
        <v>144</v>
      </c>
      <c r="C29" s="13" t="s">
        <v>853</v>
      </c>
      <c r="D29" s="518">
        <v>1003279</v>
      </c>
      <c r="E29" s="518">
        <v>1003279</v>
      </c>
      <c r="F29" s="42">
        <f t="shared" si="0"/>
        <v>0</v>
      </c>
    </row>
    <row r="30" spans="2:7" ht="13.5" customHeight="1" x14ac:dyDescent="0.3">
      <c r="B30" s="347" t="s">
        <v>145</v>
      </c>
      <c r="C30" s="13" t="s">
        <v>854</v>
      </c>
      <c r="D30" s="518">
        <v>0</v>
      </c>
      <c r="E30" s="520">
        <v>0</v>
      </c>
      <c r="F30" s="42">
        <f t="shared" si="0"/>
        <v>0</v>
      </c>
    </row>
    <row r="31" spans="2:7" ht="13.5" customHeight="1" x14ac:dyDescent="0.3">
      <c r="B31" s="347" t="s">
        <v>146</v>
      </c>
      <c r="C31" s="13" t="s">
        <v>855</v>
      </c>
      <c r="D31" s="518">
        <v>1184963</v>
      </c>
      <c r="E31" s="518">
        <v>1184963</v>
      </c>
      <c r="F31" s="42">
        <f t="shared" si="0"/>
        <v>0</v>
      </c>
      <c r="G31" s="1" t="s">
        <v>33</v>
      </c>
    </row>
    <row r="32" spans="2:7" ht="13.5" customHeight="1" x14ac:dyDescent="0.3">
      <c r="B32" s="347" t="s">
        <v>147</v>
      </c>
      <c r="C32" s="13" t="s">
        <v>856</v>
      </c>
      <c r="D32" s="518">
        <v>-69145</v>
      </c>
      <c r="E32" s="518">
        <v>-69145</v>
      </c>
      <c r="F32" s="42">
        <f t="shared" si="0"/>
        <v>0</v>
      </c>
    </row>
    <row r="33" spans="2:7" ht="13.5" customHeight="1" x14ac:dyDescent="0.3">
      <c r="B33" s="347" t="s">
        <v>148</v>
      </c>
      <c r="C33" s="13" t="s">
        <v>857</v>
      </c>
      <c r="D33" s="518">
        <v>0</v>
      </c>
      <c r="E33" s="520">
        <v>0</v>
      </c>
      <c r="F33" s="42">
        <f t="shared" si="0"/>
        <v>0</v>
      </c>
      <c r="G33" s="1" t="s">
        <v>33</v>
      </c>
    </row>
    <row r="34" spans="2:7" ht="13.5" customHeight="1" x14ac:dyDescent="0.3">
      <c r="B34" s="347" t="s">
        <v>149</v>
      </c>
      <c r="C34" s="13" t="s">
        <v>858</v>
      </c>
      <c r="D34" s="518">
        <v>0</v>
      </c>
      <c r="E34" s="520">
        <v>0</v>
      </c>
      <c r="F34" s="42">
        <f t="shared" si="0"/>
        <v>0</v>
      </c>
      <c r="G34" s="1" t="s">
        <v>33</v>
      </c>
    </row>
    <row r="35" spans="2:7" ht="13.5" customHeight="1" x14ac:dyDescent="0.3">
      <c r="B35" s="347" t="s">
        <v>150</v>
      </c>
      <c r="C35" s="13" t="s">
        <v>1435</v>
      </c>
      <c r="D35" s="518">
        <v>0</v>
      </c>
      <c r="E35" s="520">
        <v>0</v>
      </c>
      <c r="F35" s="42">
        <f t="shared" si="0"/>
        <v>0</v>
      </c>
    </row>
    <row r="36" spans="2:7" ht="13.5" customHeight="1" x14ac:dyDescent="0.3">
      <c r="B36" s="347" t="s">
        <v>151</v>
      </c>
      <c r="C36" s="13" t="s">
        <v>860</v>
      </c>
      <c r="D36" s="518">
        <v>470260</v>
      </c>
      <c r="E36" s="518">
        <v>470260</v>
      </c>
      <c r="F36" s="42">
        <f t="shared" si="0"/>
        <v>0</v>
      </c>
    </row>
    <row r="37" spans="2:7" ht="13.5" customHeight="1" x14ac:dyDescent="0.3">
      <c r="B37" s="347" t="s">
        <v>152</v>
      </c>
      <c r="C37" s="13" t="s">
        <v>861</v>
      </c>
      <c r="D37" s="518">
        <v>1289903</v>
      </c>
      <c r="E37" s="518">
        <v>1289903</v>
      </c>
      <c r="F37" s="42">
        <f t="shared" si="0"/>
        <v>0</v>
      </c>
    </row>
    <row r="38" spans="2:7" ht="13.5" customHeight="1" x14ac:dyDescent="0.3">
      <c r="B38" s="347" t="s">
        <v>153</v>
      </c>
      <c r="C38" s="13" t="s">
        <v>862</v>
      </c>
      <c r="D38" s="518">
        <v>0</v>
      </c>
      <c r="E38" s="520">
        <v>0</v>
      </c>
      <c r="F38" s="42">
        <f t="shared" si="0"/>
        <v>0</v>
      </c>
    </row>
    <row r="39" spans="2:7" ht="13.5" customHeight="1" x14ac:dyDescent="0.3">
      <c r="B39" s="347" t="s">
        <v>154</v>
      </c>
      <c r="C39" s="13" t="s">
        <v>863</v>
      </c>
      <c r="D39" s="518">
        <v>0</v>
      </c>
      <c r="E39" s="520">
        <v>0</v>
      </c>
      <c r="F39" s="42">
        <f t="shared" si="0"/>
        <v>0</v>
      </c>
    </row>
    <row r="40" spans="2:7" ht="13.5" customHeight="1" x14ac:dyDescent="0.3">
      <c r="B40" s="347" t="s">
        <v>155</v>
      </c>
      <c r="C40" s="13" t="s">
        <v>864</v>
      </c>
      <c r="D40" s="518">
        <v>0</v>
      </c>
      <c r="E40" s="520">
        <v>0</v>
      </c>
      <c r="F40" s="42">
        <f t="shared" si="0"/>
        <v>0</v>
      </c>
    </row>
    <row r="41" spans="2:7" ht="13.5" customHeight="1" x14ac:dyDescent="0.3">
      <c r="B41" s="1043"/>
      <c r="C41" s="1044" t="s">
        <v>64</v>
      </c>
      <c r="D41" s="995">
        <f>SUM(D12:D40)</f>
        <v>8689091</v>
      </c>
      <c r="E41" s="503">
        <v>11341985</v>
      </c>
      <c r="F41" s="995">
        <f>SUM(F12:F40)</f>
        <v>0</v>
      </c>
    </row>
    <row r="42" spans="2:7" ht="13.5" customHeight="1" x14ac:dyDescent="0.25">
      <c r="B42" s="1045"/>
      <c r="C42" s="1046"/>
      <c r="D42" s="1047"/>
      <c r="E42" s="1047"/>
      <c r="F42" s="1048"/>
    </row>
    <row r="43" spans="2:7" ht="13.5" customHeight="1" x14ac:dyDescent="0.3">
      <c r="B43" s="1049"/>
      <c r="C43" s="1050" t="s">
        <v>270</v>
      </c>
      <c r="D43" s="1051"/>
      <c r="E43" s="1051">
        <v>408000</v>
      </c>
      <c r="F43" s="1052"/>
    </row>
    <row r="44" spans="2:7" ht="13.5" customHeight="1" x14ac:dyDescent="0.25">
      <c r="B44" s="415"/>
      <c r="C44" s="1053"/>
      <c r="D44" s="1054"/>
      <c r="E44" s="1054"/>
      <c r="F44" s="416"/>
    </row>
    <row r="45" spans="2:7" ht="13.5" customHeight="1" x14ac:dyDescent="0.25">
      <c r="B45" s="1735" t="s">
        <v>498</v>
      </c>
      <c r="C45" s="1736"/>
      <c r="D45" s="1736"/>
      <c r="E45" s="1736"/>
      <c r="F45" s="1737"/>
    </row>
    <row r="46" spans="2:7" ht="13.5" customHeight="1" x14ac:dyDescent="0.25">
      <c r="B46" s="1738" t="s">
        <v>1436</v>
      </c>
      <c r="C46" s="1739"/>
      <c r="D46" s="1739"/>
      <c r="E46" s="1739"/>
      <c r="F46" s="1740"/>
    </row>
    <row r="47" spans="2:7" ht="13.5" customHeight="1" x14ac:dyDescent="0.25">
      <c r="B47" s="1055" t="s">
        <v>499</v>
      </c>
      <c r="C47" s="1056" t="s">
        <v>460</v>
      </c>
      <c r="D47" s="1057" t="s">
        <v>1437</v>
      </c>
      <c r="E47" s="1056" t="s">
        <v>461</v>
      </c>
      <c r="F47" s="1058" t="s">
        <v>1438</v>
      </c>
    </row>
    <row r="48" spans="2:7" ht="13.5" customHeight="1" x14ac:dyDescent="0.25">
      <c r="B48" s="272" t="s">
        <v>570</v>
      </c>
      <c r="C48" s="272" t="s">
        <v>571</v>
      </c>
      <c r="D48" s="109" t="s">
        <v>127</v>
      </c>
      <c r="E48" s="272" t="s">
        <v>572</v>
      </c>
      <c r="F48" s="156">
        <v>1950549</v>
      </c>
    </row>
    <row r="49" spans="2:6" ht="13.5" customHeight="1" x14ac:dyDescent="0.25">
      <c r="B49" s="272" t="s">
        <v>570</v>
      </c>
      <c r="C49" s="272" t="s">
        <v>571</v>
      </c>
      <c r="D49" s="109" t="s">
        <v>128</v>
      </c>
      <c r="E49" s="272" t="s">
        <v>573</v>
      </c>
      <c r="F49" s="156">
        <v>1824816</v>
      </c>
    </row>
    <row r="50" spans="2:6" ht="13.5" customHeight="1" x14ac:dyDescent="0.25">
      <c r="B50" s="272" t="s">
        <v>570</v>
      </c>
      <c r="C50" s="272" t="s">
        <v>571</v>
      </c>
      <c r="D50" s="109" t="s">
        <v>129</v>
      </c>
      <c r="E50" s="272" t="s">
        <v>574</v>
      </c>
      <c r="F50" s="156">
        <v>1806129</v>
      </c>
    </row>
    <row r="51" spans="2:6" ht="13.5" customHeight="1" x14ac:dyDescent="0.25">
      <c r="B51" s="272" t="s">
        <v>570</v>
      </c>
      <c r="C51" s="272" t="s">
        <v>571</v>
      </c>
      <c r="D51" s="109" t="s">
        <v>130</v>
      </c>
      <c r="E51" s="272" t="s">
        <v>575</v>
      </c>
      <c r="F51" s="156">
        <v>1772712</v>
      </c>
    </row>
    <row r="52" spans="2:6" ht="13.5" customHeight="1" x14ac:dyDescent="0.25">
      <c r="B52" s="272" t="s">
        <v>570</v>
      </c>
      <c r="C52" s="272" t="s">
        <v>571</v>
      </c>
      <c r="D52" s="109" t="s">
        <v>131</v>
      </c>
      <c r="E52" s="272" t="s">
        <v>576</v>
      </c>
      <c r="F52" s="156">
        <v>1737030</v>
      </c>
    </row>
    <row r="53" spans="2:6" ht="13.5" customHeight="1" x14ac:dyDescent="0.25">
      <c r="B53" s="272" t="s">
        <v>570</v>
      </c>
      <c r="C53" s="272" t="s">
        <v>571</v>
      </c>
      <c r="D53" s="109" t="s">
        <v>132</v>
      </c>
      <c r="E53" s="272" t="s">
        <v>577</v>
      </c>
      <c r="F53" s="156">
        <v>1714377</v>
      </c>
    </row>
    <row r="54" spans="2:6" ht="13.5" customHeight="1" x14ac:dyDescent="0.25">
      <c r="B54" s="272" t="s">
        <v>570</v>
      </c>
      <c r="C54" s="272" t="s">
        <v>571</v>
      </c>
      <c r="D54" s="109" t="s">
        <v>133</v>
      </c>
      <c r="E54" s="272" t="s">
        <v>578</v>
      </c>
      <c r="F54" s="156">
        <v>1588644</v>
      </c>
    </row>
    <row r="55" spans="2:6" ht="13.5" customHeight="1" x14ac:dyDescent="0.25">
      <c r="B55" s="272" t="s">
        <v>570</v>
      </c>
      <c r="C55" s="272" t="s">
        <v>571</v>
      </c>
      <c r="D55" s="109" t="s">
        <v>134</v>
      </c>
      <c r="E55" s="272" t="s">
        <v>579</v>
      </c>
      <c r="F55" s="156">
        <v>1557240</v>
      </c>
    </row>
    <row r="56" spans="2:6" ht="13.5" customHeight="1" x14ac:dyDescent="0.25">
      <c r="B56" s="272" t="s">
        <v>570</v>
      </c>
      <c r="C56" s="272" t="s">
        <v>571</v>
      </c>
      <c r="D56" s="109" t="s">
        <v>135</v>
      </c>
      <c r="E56" s="272" t="s">
        <v>1439</v>
      </c>
      <c r="F56" s="156">
        <v>1658874</v>
      </c>
    </row>
    <row r="57" spans="2:6" ht="13.5" customHeight="1" x14ac:dyDescent="0.25">
      <c r="B57" s="272" t="s">
        <v>570</v>
      </c>
      <c r="C57" s="272" t="s">
        <v>571</v>
      </c>
      <c r="D57" s="109" t="s">
        <v>136</v>
      </c>
      <c r="E57" s="272" t="s">
        <v>580</v>
      </c>
      <c r="F57" s="156">
        <v>1816323</v>
      </c>
    </row>
    <row r="58" spans="2:6" ht="13.5" customHeight="1" x14ac:dyDescent="0.25">
      <c r="B58" s="272" t="s">
        <v>570</v>
      </c>
      <c r="C58" s="272" t="s">
        <v>571</v>
      </c>
      <c r="D58" s="109" t="s">
        <v>137</v>
      </c>
      <c r="E58" s="272" t="s">
        <v>581</v>
      </c>
      <c r="F58" s="156">
        <v>1734201</v>
      </c>
    </row>
    <row r="59" spans="2:6" ht="13.5" customHeight="1" x14ac:dyDescent="0.25">
      <c r="B59" s="272" t="s">
        <v>570</v>
      </c>
      <c r="C59" s="272" t="s">
        <v>571</v>
      </c>
      <c r="D59" s="109" t="s">
        <v>138</v>
      </c>
      <c r="E59" s="272" t="s">
        <v>582</v>
      </c>
      <c r="F59" s="156">
        <v>1958478</v>
      </c>
    </row>
    <row r="60" spans="2:6" ht="13.5" customHeight="1" x14ac:dyDescent="0.25">
      <c r="B60" s="272" t="s">
        <v>570</v>
      </c>
      <c r="C60" s="272" t="s">
        <v>571</v>
      </c>
      <c r="D60" s="109" t="s">
        <v>139</v>
      </c>
      <c r="E60" s="272" t="s">
        <v>583</v>
      </c>
      <c r="F60" s="156">
        <v>1958478</v>
      </c>
    </row>
    <row r="61" spans="2:6" ht="13.5" customHeight="1" x14ac:dyDescent="0.25">
      <c r="B61" s="272" t="s">
        <v>570</v>
      </c>
      <c r="C61" s="272" t="s">
        <v>571</v>
      </c>
      <c r="D61" s="109" t="s">
        <v>140</v>
      </c>
      <c r="E61" s="272" t="s">
        <v>1440</v>
      </c>
      <c r="F61" s="156">
        <v>1958478</v>
      </c>
    </row>
    <row r="62" spans="2:6" ht="13.5" customHeight="1" x14ac:dyDescent="0.25">
      <c r="B62" s="272" t="s">
        <v>570</v>
      </c>
      <c r="C62" s="272" t="s">
        <v>571</v>
      </c>
      <c r="D62" s="109" t="s">
        <v>141</v>
      </c>
      <c r="E62" s="272" t="s">
        <v>584</v>
      </c>
      <c r="F62" s="156">
        <v>1958478</v>
      </c>
    </row>
    <row r="63" spans="2:6" ht="13.5" customHeight="1" x14ac:dyDescent="0.25">
      <c r="B63" s="272" t="s">
        <v>570</v>
      </c>
      <c r="C63" s="272" t="s">
        <v>571</v>
      </c>
      <c r="D63" s="109" t="s">
        <v>142</v>
      </c>
      <c r="E63" s="272" t="s">
        <v>585</v>
      </c>
      <c r="F63" s="156">
        <v>1958478</v>
      </c>
    </row>
    <row r="64" spans="2:6" ht="13.5" customHeight="1" x14ac:dyDescent="0.25">
      <c r="B64" s="272" t="s">
        <v>570</v>
      </c>
      <c r="C64" s="272" t="s">
        <v>571</v>
      </c>
      <c r="D64" s="109" t="s">
        <v>143</v>
      </c>
      <c r="E64" s="272" t="s">
        <v>1441</v>
      </c>
      <c r="F64" s="156">
        <v>1833312</v>
      </c>
    </row>
    <row r="65" spans="2:6" ht="13.5" customHeight="1" x14ac:dyDescent="0.25">
      <c r="B65" s="272" t="s">
        <v>570</v>
      </c>
      <c r="C65" s="272" t="s">
        <v>571</v>
      </c>
      <c r="D65" s="109" t="s">
        <v>144</v>
      </c>
      <c r="E65" s="272" t="s">
        <v>586</v>
      </c>
      <c r="F65" s="156">
        <v>1910904</v>
      </c>
    </row>
    <row r="66" spans="2:6" ht="13.5" customHeight="1" x14ac:dyDescent="0.25">
      <c r="B66" s="272" t="s">
        <v>570</v>
      </c>
      <c r="C66" s="272" t="s">
        <v>571</v>
      </c>
      <c r="D66" s="109" t="s">
        <v>145</v>
      </c>
      <c r="E66" s="272" t="s">
        <v>1442</v>
      </c>
      <c r="F66" s="156">
        <v>2540700</v>
      </c>
    </row>
    <row r="67" spans="2:6" ht="13.5" customHeight="1" x14ac:dyDescent="0.25">
      <c r="B67" s="272" t="s">
        <v>570</v>
      </c>
      <c r="C67" s="272" t="s">
        <v>571</v>
      </c>
      <c r="D67" s="109" t="s">
        <v>146</v>
      </c>
      <c r="E67" s="272" t="s">
        <v>1443</v>
      </c>
      <c r="F67" s="156">
        <v>2256951</v>
      </c>
    </row>
    <row r="68" spans="2:6" ht="13.5" customHeight="1" x14ac:dyDescent="0.25">
      <c r="B68" s="272" t="s">
        <v>570</v>
      </c>
      <c r="C68" s="272" t="s">
        <v>571</v>
      </c>
      <c r="D68" s="109" t="s">
        <v>147</v>
      </c>
      <c r="E68" s="272" t="s">
        <v>433</v>
      </c>
      <c r="F68" s="156">
        <v>2353233</v>
      </c>
    </row>
    <row r="69" spans="2:6" ht="13.5" customHeight="1" x14ac:dyDescent="0.25">
      <c r="B69" s="272" t="s">
        <v>570</v>
      </c>
      <c r="C69" s="272" t="s">
        <v>571</v>
      </c>
      <c r="D69" s="109" t="s">
        <v>148</v>
      </c>
      <c r="E69" s="272" t="s">
        <v>1444</v>
      </c>
      <c r="F69" s="156">
        <v>2266014</v>
      </c>
    </row>
    <row r="70" spans="2:6" ht="13.5" customHeight="1" x14ac:dyDescent="0.25">
      <c r="B70" s="272" t="s">
        <v>570</v>
      </c>
      <c r="C70" s="272" t="s">
        <v>571</v>
      </c>
      <c r="D70" s="109" t="s">
        <v>149</v>
      </c>
      <c r="E70" s="272" t="s">
        <v>587</v>
      </c>
      <c r="F70" s="156">
        <v>2124990</v>
      </c>
    </row>
    <row r="71" spans="2:6" ht="13.5" customHeight="1" x14ac:dyDescent="0.25">
      <c r="B71" s="272" t="s">
        <v>570</v>
      </c>
      <c r="C71" s="272" t="s">
        <v>571</v>
      </c>
      <c r="D71" s="109" t="s">
        <v>150</v>
      </c>
      <c r="E71" s="272" t="s">
        <v>588</v>
      </c>
      <c r="F71" s="156">
        <v>2186724</v>
      </c>
    </row>
    <row r="72" spans="2:6" ht="13.5" customHeight="1" x14ac:dyDescent="0.25">
      <c r="B72" s="272" t="s">
        <v>570</v>
      </c>
      <c r="C72" s="272" t="s">
        <v>571</v>
      </c>
      <c r="D72" s="109" t="s">
        <v>151</v>
      </c>
      <c r="E72" s="272" t="s">
        <v>589</v>
      </c>
      <c r="F72" s="156">
        <v>2823312</v>
      </c>
    </row>
    <row r="73" spans="2:6" ht="13.5" customHeight="1" x14ac:dyDescent="0.25">
      <c r="B73" s="272" t="s">
        <v>570</v>
      </c>
      <c r="C73" s="272" t="s">
        <v>571</v>
      </c>
      <c r="D73" s="109" t="s">
        <v>152</v>
      </c>
      <c r="E73" s="272" t="s">
        <v>590</v>
      </c>
      <c r="F73" s="156">
        <v>2045700</v>
      </c>
    </row>
    <row r="74" spans="2:6" ht="13.5" customHeight="1" x14ac:dyDescent="0.25">
      <c r="B74" s="272" t="s">
        <v>570</v>
      </c>
      <c r="C74" s="272" t="s">
        <v>571</v>
      </c>
      <c r="D74" s="109" t="s">
        <v>153</v>
      </c>
      <c r="E74" s="272" t="s">
        <v>591</v>
      </c>
      <c r="F74" s="156">
        <v>1735332</v>
      </c>
    </row>
    <row r="75" spans="2:6" ht="13.5" customHeight="1" x14ac:dyDescent="0.25">
      <c r="B75" s="272" t="s">
        <v>570</v>
      </c>
      <c r="C75" s="272" t="s">
        <v>571</v>
      </c>
      <c r="D75" s="109" t="s">
        <v>154</v>
      </c>
      <c r="E75" s="272" t="s">
        <v>592</v>
      </c>
      <c r="F75" s="156">
        <v>1744959</v>
      </c>
    </row>
    <row r="76" spans="2:6" ht="13.5" customHeight="1" x14ac:dyDescent="0.25">
      <c r="B76" s="272" t="s">
        <v>570</v>
      </c>
      <c r="C76" s="272" t="s">
        <v>571</v>
      </c>
      <c r="D76" s="109" t="s">
        <v>155</v>
      </c>
      <c r="E76" s="272" t="s">
        <v>593</v>
      </c>
      <c r="F76" s="156">
        <v>1861065</v>
      </c>
    </row>
    <row r="77" spans="2:6" ht="13.5" customHeight="1" x14ac:dyDescent="0.25">
      <c r="B77" s="1741" t="s">
        <v>1445</v>
      </c>
      <c r="C77" s="1742"/>
      <c r="D77" s="1742"/>
      <c r="E77" s="1743"/>
      <c r="F77" s="1059">
        <f>SUM(F48:F76)</f>
        <v>56636481</v>
      </c>
    </row>
    <row r="78" spans="2:6" ht="13.5" customHeight="1" x14ac:dyDescent="0.25">
      <c r="B78" s="1724" t="s">
        <v>1446</v>
      </c>
      <c r="C78" s="1725"/>
      <c r="D78" s="1725"/>
      <c r="E78" s="1725"/>
      <c r="F78" s="1726"/>
    </row>
    <row r="79" spans="2:6" ht="13.5" customHeight="1" x14ac:dyDescent="0.25">
      <c r="B79" s="945" t="s">
        <v>1447</v>
      </c>
      <c r="C79" s="969" t="s">
        <v>1448</v>
      </c>
      <c r="D79" s="947"/>
      <c r="E79" s="945" t="s">
        <v>448</v>
      </c>
      <c r="F79" s="946">
        <v>1467000</v>
      </c>
    </row>
    <row r="80" spans="2:6" ht="13.5" customHeight="1" x14ac:dyDescent="0.25">
      <c r="B80" s="945" t="s">
        <v>1449</v>
      </c>
      <c r="C80" s="969" t="s">
        <v>1450</v>
      </c>
      <c r="D80" s="947"/>
      <c r="E80" s="945" t="s">
        <v>448</v>
      </c>
      <c r="F80" s="946">
        <v>266000</v>
      </c>
    </row>
    <row r="81" spans="2:6" ht="13.5" customHeight="1" x14ac:dyDescent="0.25">
      <c r="B81" s="1060" t="s">
        <v>1451</v>
      </c>
      <c r="C81" s="1061" t="s">
        <v>1452</v>
      </c>
      <c r="D81" s="945" t="s">
        <v>1453</v>
      </c>
      <c r="E81" s="945" t="s">
        <v>391</v>
      </c>
      <c r="F81" s="946">
        <v>2132350</v>
      </c>
    </row>
    <row r="82" spans="2:6" ht="13.5" customHeight="1" x14ac:dyDescent="0.25">
      <c r="B82" s="1060" t="s">
        <v>1451</v>
      </c>
      <c r="C82" s="1061" t="s">
        <v>1452</v>
      </c>
      <c r="D82" s="1060" t="s">
        <v>1454</v>
      </c>
      <c r="E82" s="945" t="s">
        <v>391</v>
      </c>
      <c r="F82" s="1062">
        <v>-1184249</v>
      </c>
    </row>
    <row r="83" spans="2:6" ht="13.5" customHeight="1" x14ac:dyDescent="0.25">
      <c r="B83" s="1060" t="s">
        <v>1451</v>
      </c>
      <c r="C83" s="1061" t="s">
        <v>1452</v>
      </c>
      <c r="D83" s="1060" t="s">
        <v>1455</v>
      </c>
      <c r="E83" s="945" t="s">
        <v>391</v>
      </c>
      <c r="F83" s="1062">
        <v>1115699</v>
      </c>
    </row>
    <row r="84" spans="2:6" ht="13.5" customHeight="1" x14ac:dyDescent="0.25">
      <c r="B84" s="1060" t="s">
        <v>1451</v>
      </c>
      <c r="C84" s="1061" t="s">
        <v>1452</v>
      </c>
      <c r="D84" s="1060" t="s">
        <v>1456</v>
      </c>
      <c r="E84" s="945" t="s">
        <v>391</v>
      </c>
      <c r="F84" s="1062">
        <v>25300</v>
      </c>
    </row>
    <row r="85" spans="2:6" ht="13.5" customHeight="1" x14ac:dyDescent="0.25">
      <c r="B85" s="1060" t="s">
        <v>1451</v>
      </c>
      <c r="C85" s="1061" t="s">
        <v>1457</v>
      </c>
      <c r="D85" s="1060" t="s">
        <v>1458</v>
      </c>
      <c r="E85" s="1060" t="s">
        <v>391</v>
      </c>
      <c r="F85" s="1062">
        <v>196899</v>
      </c>
    </row>
    <row r="86" spans="2:6" ht="13.5" customHeight="1" x14ac:dyDescent="0.25">
      <c r="B86" s="1060" t="s">
        <v>1459</v>
      </c>
      <c r="C86" s="1063" t="s">
        <v>1460</v>
      </c>
      <c r="D86" s="1064" t="s">
        <v>1461</v>
      </c>
      <c r="E86" s="1065" t="s">
        <v>1462</v>
      </c>
      <c r="F86" s="1066">
        <v>1900000</v>
      </c>
    </row>
    <row r="87" spans="2:6" ht="13.5" customHeight="1" x14ac:dyDescent="0.25">
      <c r="B87" s="1060" t="s">
        <v>1459</v>
      </c>
      <c r="C87" s="1061" t="s">
        <v>1463</v>
      </c>
      <c r="D87" s="1060" t="s">
        <v>1464</v>
      </c>
      <c r="E87" s="272" t="s">
        <v>1465</v>
      </c>
      <c r="F87" s="1062">
        <v>1678300</v>
      </c>
    </row>
    <row r="88" spans="2:6" ht="13.5" customHeight="1" x14ac:dyDescent="0.25">
      <c r="B88" s="1067" t="s">
        <v>1466</v>
      </c>
      <c r="C88" s="1068"/>
      <c r="D88" s="1068"/>
      <c r="E88" s="1069"/>
      <c r="F88" s="1062"/>
    </row>
    <row r="89" spans="2:6" ht="13.5" customHeight="1" x14ac:dyDescent="0.25">
      <c r="B89" s="401" t="s">
        <v>1467</v>
      </c>
      <c r="C89" s="1070">
        <v>3903</v>
      </c>
      <c r="D89" s="1069" t="s">
        <v>1468</v>
      </c>
      <c r="E89" s="272" t="s">
        <v>1469</v>
      </c>
      <c r="F89" s="1062">
        <v>2600000</v>
      </c>
    </row>
    <row r="90" spans="2:6" ht="13.5" customHeight="1" x14ac:dyDescent="0.25">
      <c r="B90" s="401" t="s">
        <v>1467</v>
      </c>
      <c r="C90" s="1070">
        <v>3903</v>
      </c>
      <c r="D90" s="1069" t="s">
        <v>1468</v>
      </c>
      <c r="E90" s="272" t="s">
        <v>1470</v>
      </c>
      <c r="F90" s="1062">
        <v>1020000</v>
      </c>
    </row>
    <row r="91" spans="2:6" ht="13.5" customHeight="1" x14ac:dyDescent="0.25">
      <c r="B91" s="401" t="s">
        <v>1467</v>
      </c>
      <c r="C91" s="1070">
        <v>3870</v>
      </c>
      <c r="D91" s="1069" t="s">
        <v>632</v>
      </c>
      <c r="E91" s="272" t="s">
        <v>1271</v>
      </c>
      <c r="F91" s="1062">
        <v>443150</v>
      </c>
    </row>
    <row r="92" spans="2:6" ht="13.5" customHeight="1" x14ac:dyDescent="0.25">
      <c r="B92" s="401" t="s">
        <v>1467</v>
      </c>
      <c r="C92" s="1070">
        <v>3882</v>
      </c>
      <c r="D92" s="1069" t="s">
        <v>1471</v>
      </c>
      <c r="E92" s="272" t="s">
        <v>1271</v>
      </c>
      <c r="F92" s="1062">
        <v>105199</v>
      </c>
    </row>
    <row r="93" spans="2:6" ht="13.5" customHeight="1" x14ac:dyDescent="0.35">
      <c r="B93" s="1727" t="s">
        <v>1472</v>
      </c>
      <c r="C93" s="1728"/>
      <c r="D93" s="1728"/>
      <c r="E93" s="1729"/>
      <c r="F93" s="1071">
        <f>SUM(F79:F92)</f>
        <v>11765648</v>
      </c>
    </row>
    <row r="94" spans="2:6" ht="13.5" customHeight="1" x14ac:dyDescent="0.35">
      <c r="B94" s="1727" t="s">
        <v>1473</v>
      </c>
      <c r="C94" s="1728"/>
      <c r="D94" s="1728"/>
      <c r="E94" s="1729"/>
      <c r="F94" s="1072">
        <f>+F77-F93</f>
        <v>44870833</v>
      </c>
    </row>
    <row r="95" spans="2:6" ht="13.5" customHeight="1" x14ac:dyDescent="0.25">
      <c r="B95" s="415"/>
      <c r="F95" s="43"/>
    </row>
    <row r="96" spans="2:6" ht="13.5" customHeight="1" x14ac:dyDescent="0.35">
      <c r="B96" s="1730" t="s">
        <v>1474</v>
      </c>
      <c r="C96" s="1730"/>
      <c r="D96" s="1730"/>
      <c r="E96" s="1730"/>
      <c r="F96" s="1730"/>
    </row>
    <row r="97" spans="2:6" ht="13.5" customHeight="1" x14ac:dyDescent="0.35">
      <c r="B97" s="1073"/>
      <c r="C97" s="1073" t="s">
        <v>1527</v>
      </c>
      <c r="D97" s="1073" t="s">
        <v>1528</v>
      </c>
      <c r="E97" s="1073"/>
      <c r="F97" s="1072">
        <v>3232000</v>
      </c>
    </row>
  </sheetData>
  <mergeCells count="10">
    <mergeCell ref="B78:F78"/>
    <mergeCell ref="B93:E93"/>
    <mergeCell ref="B94:E94"/>
    <mergeCell ref="B96:F96"/>
    <mergeCell ref="B1:F1"/>
    <mergeCell ref="B2:F2"/>
    <mergeCell ref="C10:E10"/>
    <mergeCell ref="B45:F45"/>
    <mergeCell ref="B46:F46"/>
    <mergeCell ref="B77:E77"/>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A7A21-9303-47FD-9FCA-231B2E331E91}">
  <dimension ref="A1:V101"/>
  <sheetViews>
    <sheetView workbookViewId="0">
      <selection activeCell="V5" sqref="V5"/>
    </sheetView>
  </sheetViews>
  <sheetFormatPr baseColWidth="10" defaultRowHeight="12.5" x14ac:dyDescent="0.25"/>
  <cols>
    <col min="1" max="1" width="3.54296875" customWidth="1"/>
    <col min="2" max="2" width="37.453125" customWidth="1"/>
    <col min="3" max="3" width="19.54296875" style="352" customWidth="1"/>
    <col min="4" max="4" width="12" style="352" customWidth="1"/>
    <col min="5" max="5" width="10" style="352" hidden="1" customWidth="1"/>
    <col min="6" max="6" width="12.54296875" style="352" hidden="1" customWidth="1"/>
    <col min="7" max="7" width="13.453125" style="352" hidden="1" customWidth="1"/>
    <col min="8" max="8" width="12" style="352" hidden="1" customWidth="1"/>
    <col min="9" max="9" width="12.1796875" style="352" hidden="1" customWidth="1"/>
    <col min="10" max="10" width="11.7265625" style="352" hidden="1" customWidth="1"/>
    <col min="11" max="11" width="15.7265625" style="352" customWidth="1"/>
    <col min="12" max="13" width="15.7265625" style="352" hidden="1" customWidth="1"/>
    <col min="14" max="14" width="15.7265625" style="388" hidden="1" customWidth="1"/>
    <col min="15" max="16" width="15.7265625" style="352" hidden="1" customWidth="1"/>
    <col min="17" max="17" width="15.7265625" style="352" customWidth="1"/>
    <col min="18" max="18" width="12.54296875" style="352" customWidth="1"/>
    <col min="19" max="19" width="15.453125" style="389" hidden="1" customWidth="1"/>
    <col min="20" max="20" width="12.81640625" customWidth="1"/>
    <col min="257" max="257" width="3.54296875" customWidth="1"/>
    <col min="258" max="258" width="37.453125" customWidth="1"/>
    <col min="259" max="259" width="19.54296875" customWidth="1"/>
    <col min="260" max="260" width="12" customWidth="1"/>
    <col min="261" max="261" width="10" customWidth="1"/>
    <col min="262" max="262" width="12.54296875" customWidth="1"/>
    <col min="263" max="263" width="13.453125" customWidth="1"/>
    <col min="264" max="264" width="12" customWidth="1"/>
    <col min="265" max="265" width="12.1796875" customWidth="1"/>
    <col min="266" max="266" width="11.7265625" customWidth="1"/>
    <col min="267" max="267" width="15.7265625" customWidth="1"/>
    <col min="268" max="272" width="0" hidden="1" customWidth="1"/>
    <col min="273" max="273" width="15.7265625" customWidth="1"/>
    <col min="274" max="274" width="12.54296875" customWidth="1"/>
    <col min="275" max="275" width="0" hidden="1" customWidth="1"/>
    <col min="276" max="276" width="12.81640625" customWidth="1"/>
    <col min="513" max="513" width="3.54296875" customWidth="1"/>
    <col min="514" max="514" width="37.453125" customWidth="1"/>
    <col min="515" max="515" width="19.54296875" customWidth="1"/>
    <col min="516" max="516" width="12" customWidth="1"/>
    <col min="517" max="517" width="10" customWidth="1"/>
    <col min="518" max="518" width="12.54296875" customWidth="1"/>
    <col min="519" max="519" width="13.453125" customWidth="1"/>
    <col min="520" max="520" width="12" customWidth="1"/>
    <col min="521" max="521" width="12.1796875" customWidth="1"/>
    <col min="522" max="522" width="11.7265625" customWidth="1"/>
    <col min="523" max="523" width="15.7265625" customWidth="1"/>
    <col min="524" max="528" width="0" hidden="1" customWidth="1"/>
    <col min="529" max="529" width="15.7265625" customWidth="1"/>
    <col min="530" max="530" width="12.54296875" customWidth="1"/>
    <col min="531" max="531" width="0" hidden="1" customWidth="1"/>
    <col min="532" max="532" width="12.81640625" customWidth="1"/>
    <col min="769" max="769" width="3.54296875" customWidth="1"/>
    <col min="770" max="770" width="37.453125" customWidth="1"/>
    <col min="771" max="771" width="19.54296875" customWidth="1"/>
    <col min="772" max="772" width="12" customWidth="1"/>
    <col min="773" max="773" width="10" customWidth="1"/>
    <col min="774" max="774" width="12.54296875" customWidth="1"/>
    <col min="775" max="775" width="13.453125" customWidth="1"/>
    <col min="776" max="776" width="12" customWidth="1"/>
    <col min="777" max="777" width="12.1796875" customWidth="1"/>
    <col min="778" max="778" width="11.7265625" customWidth="1"/>
    <col min="779" max="779" width="15.7265625" customWidth="1"/>
    <col min="780" max="784" width="0" hidden="1" customWidth="1"/>
    <col min="785" max="785" width="15.7265625" customWidth="1"/>
    <col min="786" max="786" width="12.54296875" customWidth="1"/>
    <col min="787" max="787" width="0" hidden="1" customWidth="1"/>
    <col min="788" max="788" width="12.81640625" customWidth="1"/>
    <col min="1025" max="1025" width="3.54296875" customWidth="1"/>
    <col min="1026" max="1026" width="37.453125" customWidth="1"/>
    <col min="1027" max="1027" width="19.54296875" customWidth="1"/>
    <col min="1028" max="1028" width="12" customWidth="1"/>
    <col min="1029" max="1029" width="10" customWidth="1"/>
    <col min="1030" max="1030" width="12.54296875" customWidth="1"/>
    <col min="1031" max="1031" width="13.453125" customWidth="1"/>
    <col min="1032" max="1032" width="12" customWidth="1"/>
    <col min="1033" max="1033" width="12.1796875" customWidth="1"/>
    <col min="1034" max="1034" width="11.7265625" customWidth="1"/>
    <col min="1035" max="1035" width="15.7265625" customWidth="1"/>
    <col min="1036" max="1040" width="0" hidden="1" customWidth="1"/>
    <col min="1041" max="1041" width="15.7265625" customWidth="1"/>
    <col min="1042" max="1042" width="12.54296875" customWidth="1"/>
    <col min="1043" max="1043" width="0" hidden="1" customWidth="1"/>
    <col min="1044" max="1044" width="12.81640625" customWidth="1"/>
    <col min="1281" max="1281" width="3.54296875" customWidth="1"/>
    <col min="1282" max="1282" width="37.453125" customWidth="1"/>
    <col min="1283" max="1283" width="19.54296875" customWidth="1"/>
    <col min="1284" max="1284" width="12" customWidth="1"/>
    <col min="1285" max="1285" width="10" customWidth="1"/>
    <col min="1286" max="1286" width="12.54296875" customWidth="1"/>
    <col min="1287" max="1287" width="13.453125" customWidth="1"/>
    <col min="1288" max="1288" width="12" customWidth="1"/>
    <col min="1289" max="1289" width="12.1796875" customWidth="1"/>
    <col min="1290" max="1290" width="11.7265625" customWidth="1"/>
    <col min="1291" max="1291" width="15.7265625" customWidth="1"/>
    <col min="1292" max="1296" width="0" hidden="1" customWidth="1"/>
    <col min="1297" max="1297" width="15.7265625" customWidth="1"/>
    <col min="1298" max="1298" width="12.54296875" customWidth="1"/>
    <col min="1299" max="1299" width="0" hidden="1" customWidth="1"/>
    <col min="1300" max="1300" width="12.81640625" customWidth="1"/>
    <col min="1537" max="1537" width="3.54296875" customWidth="1"/>
    <col min="1538" max="1538" width="37.453125" customWidth="1"/>
    <col min="1539" max="1539" width="19.54296875" customWidth="1"/>
    <col min="1540" max="1540" width="12" customWidth="1"/>
    <col min="1541" max="1541" width="10" customWidth="1"/>
    <col min="1542" max="1542" width="12.54296875" customWidth="1"/>
    <col min="1543" max="1543" width="13.453125" customWidth="1"/>
    <col min="1544" max="1544" width="12" customWidth="1"/>
    <col min="1545" max="1545" width="12.1796875" customWidth="1"/>
    <col min="1546" max="1546" width="11.7265625" customWidth="1"/>
    <col min="1547" max="1547" width="15.7265625" customWidth="1"/>
    <col min="1548" max="1552" width="0" hidden="1" customWidth="1"/>
    <col min="1553" max="1553" width="15.7265625" customWidth="1"/>
    <col min="1554" max="1554" width="12.54296875" customWidth="1"/>
    <col min="1555" max="1555" width="0" hidden="1" customWidth="1"/>
    <col min="1556" max="1556" width="12.81640625" customWidth="1"/>
    <col min="1793" max="1793" width="3.54296875" customWidth="1"/>
    <col min="1794" max="1794" width="37.453125" customWidth="1"/>
    <col min="1795" max="1795" width="19.54296875" customWidth="1"/>
    <col min="1796" max="1796" width="12" customWidth="1"/>
    <col min="1797" max="1797" width="10" customWidth="1"/>
    <col min="1798" max="1798" width="12.54296875" customWidth="1"/>
    <col min="1799" max="1799" width="13.453125" customWidth="1"/>
    <col min="1800" max="1800" width="12" customWidth="1"/>
    <col min="1801" max="1801" width="12.1796875" customWidth="1"/>
    <col min="1802" max="1802" width="11.7265625" customWidth="1"/>
    <col min="1803" max="1803" width="15.7265625" customWidth="1"/>
    <col min="1804" max="1808" width="0" hidden="1" customWidth="1"/>
    <col min="1809" max="1809" width="15.7265625" customWidth="1"/>
    <col min="1810" max="1810" width="12.54296875" customWidth="1"/>
    <col min="1811" max="1811" width="0" hidden="1" customWidth="1"/>
    <col min="1812" max="1812" width="12.81640625" customWidth="1"/>
    <col min="2049" max="2049" width="3.54296875" customWidth="1"/>
    <col min="2050" max="2050" width="37.453125" customWidth="1"/>
    <col min="2051" max="2051" width="19.54296875" customWidth="1"/>
    <col min="2052" max="2052" width="12" customWidth="1"/>
    <col min="2053" max="2053" width="10" customWidth="1"/>
    <col min="2054" max="2054" width="12.54296875" customWidth="1"/>
    <col min="2055" max="2055" width="13.453125" customWidth="1"/>
    <col min="2056" max="2056" width="12" customWidth="1"/>
    <col min="2057" max="2057" width="12.1796875" customWidth="1"/>
    <col min="2058" max="2058" width="11.7265625" customWidth="1"/>
    <col min="2059" max="2059" width="15.7265625" customWidth="1"/>
    <col min="2060" max="2064" width="0" hidden="1" customWidth="1"/>
    <col min="2065" max="2065" width="15.7265625" customWidth="1"/>
    <col min="2066" max="2066" width="12.54296875" customWidth="1"/>
    <col min="2067" max="2067" width="0" hidden="1" customWidth="1"/>
    <col min="2068" max="2068" width="12.81640625" customWidth="1"/>
    <col min="2305" max="2305" width="3.54296875" customWidth="1"/>
    <col min="2306" max="2306" width="37.453125" customWidth="1"/>
    <col min="2307" max="2307" width="19.54296875" customWidth="1"/>
    <col min="2308" max="2308" width="12" customWidth="1"/>
    <col min="2309" max="2309" width="10" customWidth="1"/>
    <col min="2310" max="2310" width="12.54296875" customWidth="1"/>
    <col min="2311" max="2311" width="13.453125" customWidth="1"/>
    <col min="2312" max="2312" width="12" customWidth="1"/>
    <col min="2313" max="2313" width="12.1796875" customWidth="1"/>
    <col min="2314" max="2314" width="11.7265625" customWidth="1"/>
    <col min="2315" max="2315" width="15.7265625" customWidth="1"/>
    <col min="2316" max="2320" width="0" hidden="1" customWidth="1"/>
    <col min="2321" max="2321" width="15.7265625" customWidth="1"/>
    <col min="2322" max="2322" width="12.54296875" customWidth="1"/>
    <col min="2323" max="2323" width="0" hidden="1" customWidth="1"/>
    <col min="2324" max="2324" width="12.81640625" customWidth="1"/>
    <col min="2561" max="2561" width="3.54296875" customWidth="1"/>
    <col min="2562" max="2562" width="37.453125" customWidth="1"/>
    <col min="2563" max="2563" width="19.54296875" customWidth="1"/>
    <col min="2564" max="2564" width="12" customWidth="1"/>
    <col min="2565" max="2565" width="10" customWidth="1"/>
    <col min="2566" max="2566" width="12.54296875" customWidth="1"/>
    <col min="2567" max="2567" width="13.453125" customWidth="1"/>
    <col min="2568" max="2568" width="12" customWidth="1"/>
    <col min="2569" max="2569" width="12.1796875" customWidth="1"/>
    <col min="2570" max="2570" width="11.7265625" customWidth="1"/>
    <col min="2571" max="2571" width="15.7265625" customWidth="1"/>
    <col min="2572" max="2576" width="0" hidden="1" customWidth="1"/>
    <col min="2577" max="2577" width="15.7265625" customWidth="1"/>
    <col min="2578" max="2578" width="12.54296875" customWidth="1"/>
    <col min="2579" max="2579" width="0" hidden="1" customWidth="1"/>
    <col min="2580" max="2580" width="12.81640625" customWidth="1"/>
    <col min="2817" max="2817" width="3.54296875" customWidth="1"/>
    <col min="2818" max="2818" width="37.453125" customWidth="1"/>
    <col min="2819" max="2819" width="19.54296875" customWidth="1"/>
    <col min="2820" max="2820" width="12" customWidth="1"/>
    <col min="2821" max="2821" width="10" customWidth="1"/>
    <col min="2822" max="2822" width="12.54296875" customWidth="1"/>
    <col min="2823" max="2823" width="13.453125" customWidth="1"/>
    <col min="2824" max="2824" width="12" customWidth="1"/>
    <col min="2825" max="2825" width="12.1796875" customWidth="1"/>
    <col min="2826" max="2826" width="11.7265625" customWidth="1"/>
    <col min="2827" max="2827" width="15.7265625" customWidth="1"/>
    <col min="2828" max="2832" width="0" hidden="1" customWidth="1"/>
    <col min="2833" max="2833" width="15.7265625" customWidth="1"/>
    <col min="2834" max="2834" width="12.54296875" customWidth="1"/>
    <col min="2835" max="2835" width="0" hidden="1" customWidth="1"/>
    <col min="2836" max="2836" width="12.81640625" customWidth="1"/>
    <col min="3073" max="3073" width="3.54296875" customWidth="1"/>
    <col min="3074" max="3074" width="37.453125" customWidth="1"/>
    <col min="3075" max="3075" width="19.54296875" customWidth="1"/>
    <col min="3076" max="3076" width="12" customWidth="1"/>
    <col min="3077" max="3077" width="10" customWidth="1"/>
    <col min="3078" max="3078" width="12.54296875" customWidth="1"/>
    <col min="3079" max="3079" width="13.453125" customWidth="1"/>
    <col min="3080" max="3080" width="12" customWidth="1"/>
    <col min="3081" max="3081" width="12.1796875" customWidth="1"/>
    <col min="3082" max="3082" width="11.7265625" customWidth="1"/>
    <col min="3083" max="3083" width="15.7265625" customWidth="1"/>
    <col min="3084" max="3088" width="0" hidden="1" customWidth="1"/>
    <col min="3089" max="3089" width="15.7265625" customWidth="1"/>
    <col min="3090" max="3090" width="12.54296875" customWidth="1"/>
    <col min="3091" max="3091" width="0" hidden="1" customWidth="1"/>
    <col min="3092" max="3092" width="12.81640625" customWidth="1"/>
    <col min="3329" max="3329" width="3.54296875" customWidth="1"/>
    <col min="3330" max="3330" width="37.453125" customWidth="1"/>
    <col min="3331" max="3331" width="19.54296875" customWidth="1"/>
    <col min="3332" max="3332" width="12" customWidth="1"/>
    <col min="3333" max="3333" width="10" customWidth="1"/>
    <col min="3334" max="3334" width="12.54296875" customWidth="1"/>
    <col min="3335" max="3335" width="13.453125" customWidth="1"/>
    <col min="3336" max="3336" width="12" customWidth="1"/>
    <col min="3337" max="3337" width="12.1796875" customWidth="1"/>
    <col min="3338" max="3338" width="11.7265625" customWidth="1"/>
    <col min="3339" max="3339" width="15.7265625" customWidth="1"/>
    <col min="3340" max="3344" width="0" hidden="1" customWidth="1"/>
    <col min="3345" max="3345" width="15.7265625" customWidth="1"/>
    <col min="3346" max="3346" width="12.54296875" customWidth="1"/>
    <col min="3347" max="3347" width="0" hidden="1" customWidth="1"/>
    <col min="3348" max="3348" width="12.81640625" customWidth="1"/>
    <col min="3585" max="3585" width="3.54296875" customWidth="1"/>
    <col min="3586" max="3586" width="37.453125" customWidth="1"/>
    <col min="3587" max="3587" width="19.54296875" customWidth="1"/>
    <col min="3588" max="3588" width="12" customWidth="1"/>
    <col min="3589" max="3589" width="10" customWidth="1"/>
    <col min="3590" max="3590" width="12.54296875" customWidth="1"/>
    <col min="3591" max="3591" width="13.453125" customWidth="1"/>
    <col min="3592" max="3592" width="12" customWidth="1"/>
    <col min="3593" max="3593" width="12.1796875" customWidth="1"/>
    <col min="3594" max="3594" width="11.7265625" customWidth="1"/>
    <col min="3595" max="3595" width="15.7265625" customWidth="1"/>
    <col min="3596" max="3600" width="0" hidden="1" customWidth="1"/>
    <col min="3601" max="3601" width="15.7265625" customWidth="1"/>
    <col min="3602" max="3602" width="12.54296875" customWidth="1"/>
    <col min="3603" max="3603" width="0" hidden="1" customWidth="1"/>
    <col min="3604" max="3604" width="12.81640625" customWidth="1"/>
    <col min="3841" max="3841" width="3.54296875" customWidth="1"/>
    <col min="3842" max="3842" width="37.453125" customWidth="1"/>
    <col min="3843" max="3843" width="19.54296875" customWidth="1"/>
    <col min="3844" max="3844" width="12" customWidth="1"/>
    <col min="3845" max="3845" width="10" customWidth="1"/>
    <col min="3846" max="3846" width="12.54296875" customWidth="1"/>
    <col min="3847" max="3847" width="13.453125" customWidth="1"/>
    <col min="3848" max="3848" width="12" customWidth="1"/>
    <col min="3849" max="3849" width="12.1796875" customWidth="1"/>
    <col min="3850" max="3850" width="11.7265625" customWidth="1"/>
    <col min="3851" max="3851" width="15.7265625" customWidth="1"/>
    <col min="3852" max="3856" width="0" hidden="1" customWidth="1"/>
    <col min="3857" max="3857" width="15.7265625" customWidth="1"/>
    <col min="3858" max="3858" width="12.54296875" customWidth="1"/>
    <col min="3859" max="3859" width="0" hidden="1" customWidth="1"/>
    <col min="3860" max="3860" width="12.81640625" customWidth="1"/>
    <col min="4097" max="4097" width="3.54296875" customWidth="1"/>
    <col min="4098" max="4098" width="37.453125" customWidth="1"/>
    <col min="4099" max="4099" width="19.54296875" customWidth="1"/>
    <col min="4100" max="4100" width="12" customWidth="1"/>
    <col min="4101" max="4101" width="10" customWidth="1"/>
    <col min="4102" max="4102" width="12.54296875" customWidth="1"/>
    <col min="4103" max="4103" width="13.453125" customWidth="1"/>
    <col min="4104" max="4104" width="12" customWidth="1"/>
    <col min="4105" max="4105" width="12.1796875" customWidth="1"/>
    <col min="4106" max="4106" width="11.7265625" customWidth="1"/>
    <col min="4107" max="4107" width="15.7265625" customWidth="1"/>
    <col min="4108" max="4112" width="0" hidden="1" customWidth="1"/>
    <col min="4113" max="4113" width="15.7265625" customWidth="1"/>
    <col min="4114" max="4114" width="12.54296875" customWidth="1"/>
    <col min="4115" max="4115" width="0" hidden="1" customWidth="1"/>
    <col min="4116" max="4116" width="12.81640625" customWidth="1"/>
    <col min="4353" max="4353" width="3.54296875" customWidth="1"/>
    <col min="4354" max="4354" width="37.453125" customWidth="1"/>
    <col min="4355" max="4355" width="19.54296875" customWidth="1"/>
    <col min="4356" max="4356" width="12" customWidth="1"/>
    <col min="4357" max="4357" width="10" customWidth="1"/>
    <col min="4358" max="4358" width="12.54296875" customWidth="1"/>
    <col min="4359" max="4359" width="13.453125" customWidth="1"/>
    <col min="4360" max="4360" width="12" customWidth="1"/>
    <col min="4361" max="4361" width="12.1796875" customWidth="1"/>
    <col min="4362" max="4362" width="11.7265625" customWidth="1"/>
    <col min="4363" max="4363" width="15.7265625" customWidth="1"/>
    <col min="4364" max="4368" width="0" hidden="1" customWidth="1"/>
    <col min="4369" max="4369" width="15.7265625" customWidth="1"/>
    <col min="4370" max="4370" width="12.54296875" customWidth="1"/>
    <col min="4371" max="4371" width="0" hidden="1" customWidth="1"/>
    <col min="4372" max="4372" width="12.81640625" customWidth="1"/>
    <col min="4609" max="4609" width="3.54296875" customWidth="1"/>
    <col min="4610" max="4610" width="37.453125" customWidth="1"/>
    <col min="4611" max="4611" width="19.54296875" customWidth="1"/>
    <col min="4612" max="4612" width="12" customWidth="1"/>
    <col min="4613" max="4613" width="10" customWidth="1"/>
    <col min="4614" max="4614" width="12.54296875" customWidth="1"/>
    <col min="4615" max="4615" width="13.453125" customWidth="1"/>
    <col min="4616" max="4616" width="12" customWidth="1"/>
    <col min="4617" max="4617" width="12.1796875" customWidth="1"/>
    <col min="4618" max="4618" width="11.7265625" customWidth="1"/>
    <col min="4619" max="4619" width="15.7265625" customWidth="1"/>
    <col min="4620" max="4624" width="0" hidden="1" customWidth="1"/>
    <col min="4625" max="4625" width="15.7265625" customWidth="1"/>
    <col min="4626" max="4626" width="12.54296875" customWidth="1"/>
    <col min="4627" max="4627" width="0" hidden="1" customWidth="1"/>
    <col min="4628" max="4628" width="12.81640625" customWidth="1"/>
    <col min="4865" max="4865" width="3.54296875" customWidth="1"/>
    <col min="4866" max="4866" width="37.453125" customWidth="1"/>
    <col min="4867" max="4867" width="19.54296875" customWidth="1"/>
    <col min="4868" max="4868" width="12" customWidth="1"/>
    <col min="4869" max="4869" width="10" customWidth="1"/>
    <col min="4870" max="4870" width="12.54296875" customWidth="1"/>
    <col min="4871" max="4871" width="13.453125" customWidth="1"/>
    <col min="4872" max="4872" width="12" customWidth="1"/>
    <col min="4873" max="4873" width="12.1796875" customWidth="1"/>
    <col min="4874" max="4874" width="11.7265625" customWidth="1"/>
    <col min="4875" max="4875" width="15.7265625" customWidth="1"/>
    <col min="4876" max="4880" width="0" hidden="1" customWidth="1"/>
    <col min="4881" max="4881" width="15.7265625" customWidth="1"/>
    <col min="4882" max="4882" width="12.54296875" customWidth="1"/>
    <col min="4883" max="4883" width="0" hidden="1" customWidth="1"/>
    <col min="4884" max="4884" width="12.81640625" customWidth="1"/>
    <col min="5121" max="5121" width="3.54296875" customWidth="1"/>
    <col min="5122" max="5122" width="37.453125" customWidth="1"/>
    <col min="5123" max="5123" width="19.54296875" customWidth="1"/>
    <col min="5124" max="5124" width="12" customWidth="1"/>
    <col min="5125" max="5125" width="10" customWidth="1"/>
    <col min="5126" max="5126" width="12.54296875" customWidth="1"/>
    <col min="5127" max="5127" width="13.453125" customWidth="1"/>
    <col min="5128" max="5128" width="12" customWidth="1"/>
    <col min="5129" max="5129" width="12.1796875" customWidth="1"/>
    <col min="5130" max="5130" width="11.7265625" customWidth="1"/>
    <col min="5131" max="5131" width="15.7265625" customWidth="1"/>
    <col min="5132" max="5136" width="0" hidden="1" customWidth="1"/>
    <col min="5137" max="5137" width="15.7265625" customWidth="1"/>
    <col min="5138" max="5138" width="12.54296875" customWidth="1"/>
    <col min="5139" max="5139" width="0" hidden="1" customWidth="1"/>
    <col min="5140" max="5140" width="12.81640625" customWidth="1"/>
    <col min="5377" max="5377" width="3.54296875" customWidth="1"/>
    <col min="5378" max="5378" width="37.453125" customWidth="1"/>
    <col min="5379" max="5379" width="19.54296875" customWidth="1"/>
    <col min="5380" max="5380" width="12" customWidth="1"/>
    <col min="5381" max="5381" width="10" customWidth="1"/>
    <col min="5382" max="5382" width="12.54296875" customWidth="1"/>
    <col min="5383" max="5383" width="13.453125" customWidth="1"/>
    <col min="5384" max="5384" width="12" customWidth="1"/>
    <col min="5385" max="5385" width="12.1796875" customWidth="1"/>
    <col min="5386" max="5386" width="11.7265625" customWidth="1"/>
    <col min="5387" max="5387" width="15.7265625" customWidth="1"/>
    <col min="5388" max="5392" width="0" hidden="1" customWidth="1"/>
    <col min="5393" max="5393" width="15.7265625" customWidth="1"/>
    <col min="5394" max="5394" width="12.54296875" customWidth="1"/>
    <col min="5395" max="5395" width="0" hidden="1" customWidth="1"/>
    <col min="5396" max="5396" width="12.81640625" customWidth="1"/>
    <col min="5633" max="5633" width="3.54296875" customWidth="1"/>
    <col min="5634" max="5634" width="37.453125" customWidth="1"/>
    <col min="5635" max="5635" width="19.54296875" customWidth="1"/>
    <col min="5636" max="5636" width="12" customWidth="1"/>
    <col min="5637" max="5637" width="10" customWidth="1"/>
    <col min="5638" max="5638" width="12.54296875" customWidth="1"/>
    <col min="5639" max="5639" width="13.453125" customWidth="1"/>
    <col min="5640" max="5640" width="12" customWidth="1"/>
    <col min="5641" max="5641" width="12.1796875" customWidth="1"/>
    <col min="5642" max="5642" width="11.7265625" customWidth="1"/>
    <col min="5643" max="5643" width="15.7265625" customWidth="1"/>
    <col min="5644" max="5648" width="0" hidden="1" customWidth="1"/>
    <col min="5649" max="5649" width="15.7265625" customWidth="1"/>
    <col min="5650" max="5650" width="12.54296875" customWidth="1"/>
    <col min="5651" max="5651" width="0" hidden="1" customWidth="1"/>
    <col min="5652" max="5652" width="12.81640625" customWidth="1"/>
    <col min="5889" max="5889" width="3.54296875" customWidth="1"/>
    <col min="5890" max="5890" width="37.453125" customWidth="1"/>
    <col min="5891" max="5891" width="19.54296875" customWidth="1"/>
    <col min="5892" max="5892" width="12" customWidth="1"/>
    <col min="5893" max="5893" width="10" customWidth="1"/>
    <col min="5894" max="5894" width="12.54296875" customWidth="1"/>
    <col min="5895" max="5895" width="13.453125" customWidth="1"/>
    <col min="5896" max="5896" width="12" customWidth="1"/>
    <col min="5897" max="5897" width="12.1796875" customWidth="1"/>
    <col min="5898" max="5898" width="11.7265625" customWidth="1"/>
    <col min="5899" max="5899" width="15.7265625" customWidth="1"/>
    <col min="5900" max="5904" width="0" hidden="1" customWidth="1"/>
    <col min="5905" max="5905" width="15.7265625" customWidth="1"/>
    <col min="5906" max="5906" width="12.54296875" customWidth="1"/>
    <col min="5907" max="5907" width="0" hidden="1" customWidth="1"/>
    <col min="5908" max="5908" width="12.81640625" customWidth="1"/>
    <col min="6145" max="6145" width="3.54296875" customWidth="1"/>
    <col min="6146" max="6146" width="37.453125" customWidth="1"/>
    <col min="6147" max="6147" width="19.54296875" customWidth="1"/>
    <col min="6148" max="6148" width="12" customWidth="1"/>
    <col min="6149" max="6149" width="10" customWidth="1"/>
    <col min="6150" max="6150" width="12.54296875" customWidth="1"/>
    <col min="6151" max="6151" width="13.453125" customWidth="1"/>
    <col min="6152" max="6152" width="12" customWidth="1"/>
    <col min="6153" max="6153" width="12.1796875" customWidth="1"/>
    <col min="6154" max="6154" width="11.7265625" customWidth="1"/>
    <col min="6155" max="6155" width="15.7265625" customWidth="1"/>
    <col min="6156" max="6160" width="0" hidden="1" customWidth="1"/>
    <col min="6161" max="6161" width="15.7265625" customWidth="1"/>
    <col min="6162" max="6162" width="12.54296875" customWidth="1"/>
    <col min="6163" max="6163" width="0" hidden="1" customWidth="1"/>
    <col min="6164" max="6164" width="12.81640625" customWidth="1"/>
    <col min="6401" max="6401" width="3.54296875" customWidth="1"/>
    <col min="6402" max="6402" width="37.453125" customWidth="1"/>
    <col min="6403" max="6403" width="19.54296875" customWidth="1"/>
    <col min="6404" max="6404" width="12" customWidth="1"/>
    <col min="6405" max="6405" width="10" customWidth="1"/>
    <col min="6406" max="6406" width="12.54296875" customWidth="1"/>
    <col min="6407" max="6407" width="13.453125" customWidth="1"/>
    <col min="6408" max="6408" width="12" customWidth="1"/>
    <col min="6409" max="6409" width="12.1796875" customWidth="1"/>
    <col min="6410" max="6410" width="11.7265625" customWidth="1"/>
    <col min="6411" max="6411" width="15.7265625" customWidth="1"/>
    <col min="6412" max="6416" width="0" hidden="1" customWidth="1"/>
    <col min="6417" max="6417" width="15.7265625" customWidth="1"/>
    <col min="6418" max="6418" width="12.54296875" customWidth="1"/>
    <col min="6419" max="6419" width="0" hidden="1" customWidth="1"/>
    <col min="6420" max="6420" width="12.81640625" customWidth="1"/>
    <col min="6657" max="6657" width="3.54296875" customWidth="1"/>
    <col min="6658" max="6658" width="37.453125" customWidth="1"/>
    <col min="6659" max="6659" width="19.54296875" customWidth="1"/>
    <col min="6660" max="6660" width="12" customWidth="1"/>
    <col min="6661" max="6661" width="10" customWidth="1"/>
    <col min="6662" max="6662" width="12.54296875" customWidth="1"/>
    <col min="6663" max="6663" width="13.453125" customWidth="1"/>
    <col min="6664" max="6664" width="12" customWidth="1"/>
    <col min="6665" max="6665" width="12.1796875" customWidth="1"/>
    <col min="6666" max="6666" width="11.7265625" customWidth="1"/>
    <col min="6667" max="6667" width="15.7265625" customWidth="1"/>
    <col min="6668" max="6672" width="0" hidden="1" customWidth="1"/>
    <col min="6673" max="6673" width="15.7265625" customWidth="1"/>
    <col min="6674" max="6674" width="12.54296875" customWidth="1"/>
    <col min="6675" max="6675" width="0" hidden="1" customWidth="1"/>
    <col min="6676" max="6676" width="12.81640625" customWidth="1"/>
    <col min="6913" max="6913" width="3.54296875" customWidth="1"/>
    <col min="6914" max="6914" width="37.453125" customWidth="1"/>
    <col min="6915" max="6915" width="19.54296875" customWidth="1"/>
    <col min="6916" max="6916" width="12" customWidth="1"/>
    <col min="6917" max="6917" width="10" customWidth="1"/>
    <col min="6918" max="6918" width="12.54296875" customWidth="1"/>
    <col min="6919" max="6919" width="13.453125" customWidth="1"/>
    <col min="6920" max="6920" width="12" customWidth="1"/>
    <col min="6921" max="6921" width="12.1796875" customWidth="1"/>
    <col min="6922" max="6922" width="11.7265625" customWidth="1"/>
    <col min="6923" max="6923" width="15.7265625" customWidth="1"/>
    <col min="6924" max="6928" width="0" hidden="1" customWidth="1"/>
    <col min="6929" max="6929" width="15.7265625" customWidth="1"/>
    <col min="6930" max="6930" width="12.54296875" customWidth="1"/>
    <col min="6931" max="6931" width="0" hidden="1" customWidth="1"/>
    <col min="6932" max="6932" width="12.81640625" customWidth="1"/>
    <col min="7169" max="7169" width="3.54296875" customWidth="1"/>
    <col min="7170" max="7170" width="37.453125" customWidth="1"/>
    <col min="7171" max="7171" width="19.54296875" customWidth="1"/>
    <col min="7172" max="7172" width="12" customWidth="1"/>
    <col min="7173" max="7173" width="10" customWidth="1"/>
    <col min="7174" max="7174" width="12.54296875" customWidth="1"/>
    <col min="7175" max="7175" width="13.453125" customWidth="1"/>
    <col min="7176" max="7176" width="12" customWidth="1"/>
    <col min="7177" max="7177" width="12.1796875" customWidth="1"/>
    <col min="7178" max="7178" width="11.7265625" customWidth="1"/>
    <col min="7179" max="7179" width="15.7265625" customWidth="1"/>
    <col min="7180" max="7184" width="0" hidden="1" customWidth="1"/>
    <col min="7185" max="7185" width="15.7265625" customWidth="1"/>
    <col min="7186" max="7186" width="12.54296875" customWidth="1"/>
    <col min="7187" max="7187" width="0" hidden="1" customWidth="1"/>
    <col min="7188" max="7188" width="12.81640625" customWidth="1"/>
    <col min="7425" max="7425" width="3.54296875" customWidth="1"/>
    <col min="7426" max="7426" width="37.453125" customWidth="1"/>
    <col min="7427" max="7427" width="19.54296875" customWidth="1"/>
    <col min="7428" max="7428" width="12" customWidth="1"/>
    <col min="7429" max="7429" width="10" customWidth="1"/>
    <col min="7430" max="7430" width="12.54296875" customWidth="1"/>
    <col min="7431" max="7431" width="13.453125" customWidth="1"/>
    <col min="7432" max="7432" width="12" customWidth="1"/>
    <col min="7433" max="7433" width="12.1796875" customWidth="1"/>
    <col min="7434" max="7434" width="11.7265625" customWidth="1"/>
    <col min="7435" max="7435" width="15.7265625" customWidth="1"/>
    <col min="7436" max="7440" width="0" hidden="1" customWidth="1"/>
    <col min="7441" max="7441" width="15.7265625" customWidth="1"/>
    <col min="7442" max="7442" width="12.54296875" customWidth="1"/>
    <col min="7443" max="7443" width="0" hidden="1" customWidth="1"/>
    <col min="7444" max="7444" width="12.81640625" customWidth="1"/>
    <col min="7681" max="7681" width="3.54296875" customWidth="1"/>
    <col min="7682" max="7682" width="37.453125" customWidth="1"/>
    <col min="7683" max="7683" width="19.54296875" customWidth="1"/>
    <col min="7684" max="7684" width="12" customWidth="1"/>
    <col min="7685" max="7685" width="10" customWidth="1"/>
    <col min="7686" max="7686" width="12.54296875" customWidth="1"/>
    <col min="7687" max="7687" width="13.453125" customWidth="1"/>
    <col min="7688" max="7688" width="12" customWidth="1"/>
    <col min="7689" max="7689" width="12.1796875" customWidth="1"/>
    <col min="7690" max="7690" width="11.7265625" customWidth="1"/>
    <col min="7691" max="7691" width="15.7265625" customWidth="1"/>
    <col min="7692" max="7696" width="0" hidden="1" customWidth="1"/>
    <col min="7697" max="7697" width="15.7265625" customWidth="1"/>
    <col min="7698" max="7698" width="12.54296875" customWidth="1"/>
    <col min="7699" max="7699" width="0" hidden="1" customWidth="1"/>
    <col min="7700" max="7700" width="12.81640625" customWidth="1"/>
    <col min="7937" max="7937" width="3.54296875" customWidth="1"/>
    <col min="7938" max="7938" width="37.453125" customWidth="1"/>
    <col min="7939" max="7939" width="19.54296875" customWidth="1"/>
    <col min="7940" max="7940" width="12" customWidth="1"/>
    <col min="7941" max="7941" width="10" customWidth="1"/>
    <col min="7942" max="7942" width="12.54296875" customWidth="1"/>
    <col min="7943" max="7943" width="13.453125" customWidth="1"/>
    <col min="7944" max="7944" width="12" customWidth="1"/>
    <col min="7945" max="7945" width="12.1796875" customWidth="1"/>
    <col min="7946" max="7946" width="11.7265625" customWidth="1"/>
    <col min="7947" max="7947" width="15.7265625" customWidth="1"/>
    <col min="7948" max="7952" width="0" hidden="1" customWidth="1"/>
    <col min="7953" max="7953" width="15.7265625" customWidth="1"/>
    <col min="7954" max="7954" width="12.54296875" customWidth="1"/>
    <col min="7955" max="7955" width="0" hidden="1" customWidth="1"/>
    <col min="7956" max="7956" width="12.81640625" customWidth="1"/>
    <col min="8193" max="8193" width="3.54296875" customWidth="1"/>
    <col min="8194" max="8194" width="37.453125" customWidth="1"/>
    <col min="8195" max="8195" width="19.54296875" customWidth="1"/>
    <col min="8196" max="8196" width="12" customWidth="1"/>
    <col min="8197" max="8197" width="10" customWidth="1"/>
    <col min="8198" max="8198" width="12.54296875" customWidth="1"/>
    <col min="8199" max="8199" width="13.453125" customWidth="1"/>
    <col min="8200" max="8200" width="12" customWidth="1"/>
    <col min="8201" max="8201" width="12.1796875" customWidth="1"/>
    <col min="8202" max="8202" width="11.7265625" customWidth="1"/>
    <col min="8203" max="8203" width="15.7265625" customWidth="1"/>
    <col min="8204" max="8208" width="0" hidden="1" customWidth="1"/>
    <col min="8209" max="8209" width="15.7265625" customWidth="1"/>
    <col min="8210" max="8210" width="12.54296875" customWidth="1"/>
    <col min="8211" max="8211" width="0" hidden="1" customWidth="1"/>
    <col min="8212" max="8212" width="12.81640625" customWidth="1"/>
    <col min="8449" max="8449" width="3.54296875" customWidth="1"/>
    <col min="8450" max="8450" width="37.453125" customWidth="1"/>
    <col min="8451" max="8451" width="19.54296875" customWidth="1"/>
    <col min="8452" max="8452" width="12" customWidth="1"/>
    <col min="8453" max="8453" width="10" customWidth="1"/>
    <col min="8454" max="8454" width="12.54296875" customWidth="1"/>
    <col min="8455" max="8455" width="13.453125" customWidth="1"/>
    <col min="8456" max="8456" width="12" customWidth="1"/>
    <col min="8457" max="8457" width="12.1796875" customWidth="1"/>
    <col min="8458" max="8458" width="11.7265625" customWidth="1"/>
    <col min="8459" max="8459" width="15.7265625" customWidth="1"/>
    <col min="8460" max="8464" width="0" hidden="1" customWidth="1"/>
    <col min="8465" max="8465" width="15.7265625" customWidth="1"/>
    <col min="8466" max="8466" width="12.54296875" customWidth="1"/>
    <col min="8467" max="8467" width="0" hidden="1" customWidth="1"/>
    <col min="8468" max="8468" width="12.81640625" customWidth="1"/>
    <col min="8705" max="8705" width="3.54296875" customWidth="1"/>
    <col min="8706" max="8706" width="37.453125" customWidth="1"/>
    <col min="8707" max="8707" width="19.54296875" customWidth="1"/>
    <col min="8708" max="8708" width="12" customWidth="1"/>
    <col min="8709" max="8709" width="10" customWidth="1"/>
    <col min="8710" max="8710" width="12.54296875" customWidth="1"/>
    <col min="8711" max="8711" width="13.453125" customWidth="1"/>
    <col min="8712" max="8712" width="12" customWidth="1"/>
    <col min="8713" max="8713" width="12.1796875" customWidth="1"/>
    <col min="8714" max="8714" width="11.7265625" customWidth="1"/>
    <col min="8715" max="8715" width="15.7265625" customWidth="1"/>
    <col min="8716" max="8720" width="0" hidden="1" customWidth="1"/>
    <col min="8721" max="8721" width="15.7265625" customWidth="1"/>
    <col min="8722" max="8722" width="12.54296875" customWidth="1"/>
    <col min="8723" max="8723" width="0" hidden="1" customWidth="1"/>
    <col min="8724" max="8724" width="12.81640625" customWidth="1"/>
    <col min="8961" max="8961" width="3.54296875" customWidth="1"/>
    <col min="8962" max="8962" width="37.453125" customWidth="1"/>
    <col min="8963" max="8963" width="19.54296875" customWidth="1"/>
    <col min="8964" max="8964" width="12" customWidth="1"/>
    <col min="8965" max="8965" width="10" customWidth="1"/>
    <col min="8966" max="8966" width="12.54296875" customWidth="1"/>
    <col min="8967" max="8967" width="13.453125" customWidth="1"/>
    <col min="8968" max="8968" width="12" customWidth="1"/>
    <col min="8969" max="8969" width="12.1796875" customWidth="1"/>
    <col min="8970" max="8970" width="11.7265625" customWidth="1"/>
    <col min="8971" max="8971" width="15.7265625" customWidth="1"/>
    <col min="8972" max="8976" width="0" hidden="1" customWidth="1"/>
    <col min="8977" max="8977" width="15.7265625" customWidth="1"/>
    <col min="8978" max="8978" width="12.54296875" customWidth="1"/>
    <col min="8979" max="8979" width="0" hidden="1" customWidth="1"/>
    <col min="8980" max="8980" width="12.81640625" customWidth="1"/>
    <col min="9217" max="9217" width="3.54296875" customWidth="1"/>
    <col min="9218" max="9218" width="37.453125" customWidth="1"/>
    <col min="9219" max="9219" width="19.54296875" customWidth="1"/>
    <col min="9220" max="9220" width="12" customWidth="1"/>
    <col min="9221" max="9221" width="10" customWidth="1"/>
    <col min="9222" max="9222" width="12.54296875" customWidth="1"/>
    <col min="9223" max="9223" width="13.453125" customWidth="1"/>
    <col min="9224" max="9224" width="12" customWidth="1"/>
    <col min="9225" max="9225" width="12.1796875" customWidth="1"/>
    <col min="9226" max="9226" width="11.7265625" customWidth="1"/>
    <col min="9227" max="9227" width="15.7265625" customWidth="1"/>
    <col min="9228" max="9232" width="0" hidden="1" customWidth="1"/>
    <col min="9233" max="9233" width="15.7265625" customWidth="1"/>
    <col min="9234" max="9234" width="12.54296875" customWidth="1"/>
    <col min="9235" max="9235" width="0" hidden="1" customWidth="1"/>
    <col min="9236" max="9236" width="12.81640625" customWidth="1"/>
    <col min="9473" max="9473" width="3.54296875" customWidth="1"/>
    <col min="9474" max="9474" width="37.453125" customWidth="1"/>
    <col min="9475" max="9475" width="19.54296875" customWidth="1"/>
    <col min="9476" max="9476" width="12" customWidth="1"/>
    <col min="9477" max="9477" width="10" customWidth="1"/>
    <col min="9478" max="9478" width="12.54296875" customWidth="1"/>
    <col min="9479" max="9479" width="13.453125" customWidth="1"/>
    <col min="9480" max="9480" width="12" customWidth="1"/>
    <col min="9481" max="9481" width="12.1796875" customWidth="1"/>
    <col min="9482" max="9482" width="11.7265625" customWidth="1"/>
    <col min="9483" max="9483" width="15.7265625" customWidth="1"/>
    <col min="9484" max="9488" width="0" hidden="1" customWidth="1"/>
    <col min="9489" max="9489" width="15.7265625" customWidth="1"/>
    <col min="9490" max="9490" width="12.54296875" customWidth="1"/>
    <col min="9491" max="9491" width="0" hidden="1" customWidth="1"/>
    <col min="9492" max="9492" width="12.81640625" customWidth="1"/>
    <col min="9729" max="9729" width="3.54296875" customWidth="1"/>
    <col min="9730" max="9730" width="37.453125" customWidth="1"/>
    <col min="9731" max="9731" width="19.54296875" customWidth="1"/>
    <col min="9732" max="9732" width="12" customWidth="1"/>
    <col min="9733" max="9733" width="10" customWidth="1"/>
    <col min="9734" max="9734" width="12.54296875" customWidth="1"/>
    <col min="9735" max="9735" width="13.453125" customWidth="1"/>
    <col min="9736" max="9736" width="12" customWidth="1"/>
    <col min="9737" max="9737" width="12.1796875" customWidth="1"/>
    <col min="9738" max="9738" width="11.7265625" customWidth="1"/>
    <col min="9739" max="9739" width="15.7265625" customWidth="1"/>
    <col min="9740" max="9744" width="0" hidden="1" customWidth="1"/>
    <col min="9745" max="9745" width="15.7265625" customWidth="1"/>
    <col min="9746" max="9746" width="12.54296875" customWidth="1"/>
    <col min="9747" max="9747" width="0" hidden="1" customWidth="1"/>
    <col min="9748" max="9748" width="12.81640625" customWidth="1"/>
    <col min="9985" max="9985" width="3.54296875" customWidth="1"/>
    <col min="9986" max="9986" width="37.453125" customWidth="1"/>
    <col min="9987" max="9987" width="19.54296875" customWidth="1"/>
    <col min="9988" max="9988" width="12" customWidth="1"/>
    <col min="9989" max="9989" width="10" customWidth="1"/>
    <col min="9990" max="9990" width="12.54296875" customWidth="1"/>
    <col min="9991" max="9991" width="13.453125" customWidth="1"/>
    <col min="9992" max="9992" width="12" customWidth="1"/>
    <col min="9993" max="9993" width="12.1796875" customWidth="1"/>
    <col min="9994" max="9994" width="11.7265625" customWidth="1"/>
    <col min="9995" max="9995" width="15.7265625" customWidth="1"/>
    <col min="9996" max="10000" width="0" hidden="1" customWidth="1"/>
    <col min="10001" max="10001" width="15.7265625" customWidth="1"/>
    <col min="10002" max="10002" width="12.54296875" customWidth="1"/>
    <col min="10003" max="10003" width="0" hidden="1" customWidth="1"/>
    <col min="10004" max="10004" width="12.81640625" customWidth="1"/>
    <col min="10241" max="10241" width="3.54296875" customWidth="1"/>
    <col min="10242" max="10242" width="37.453125" customWidth="1"/>
    <col min="10243" max="10243" width="19.54296875" customWidth="1"/>
    <col min="10244" max="10244" width="12" customWidth="1"/>
    <col min="10245" max="10245" width="10" customWidth="1"/>
    <col min="10246" max="10246" width="12.54296875" customWidth="1"/>
    <col min="10247" max="10247" width="13.453125" customWidth="1"/>
    <col min="10248" max="10248" width="12" customWidth="1"/>
    <col min="10249" max="10249" width="12.1796875" customWidth="1"/>
    <col min="10250" max="10250" width="11.7265625" customWidth="1"/>
    <col min="10251" max="10251" width="15.7265625" customWidth="1"/>
    <col min="10252" max="10256" width="0" hidden="1" customWidth="1"/>
    <col min="10257" max="10257" width="15.7265625" customWidth="1"/>
    <col min="10258" max="10258" width="12.54296875" customWidth="1"/>
    <col min="10259" max="10259" width="0" hidden="1" customWidth="1"/>
    <col min="10260" max="10260" width="12.81640625" customWidth="1"/>
    <col min="10497" max="10497" width="3.54296875" customWidth="1"/>
    <col min="10498" max="10498" width="37.453125" customWidth="1"/>
    <col min="10499" max="10499" width="19.54296875" customWidth="1"/>
    <col min="10500" max="10500" width="12" customWidth="1"/>
    <col min="10501" max="10501" width="10" customWidth="1"/>
    <col min="10502" max="10502" width="12.54296875" customWidth="1"/>
    <col min="10503" max="10503" width="13.453125" customWidth="1"/>
    <col min="10504" max="10504" width="12" customWidth="1"/>
    <col min="10505" max="10505" width="12.1796875" customWidth="1"/>
    <col min="10506" max="10506" width="11.7265625" customWidth="1"/>
    <col min="10507" max="10507" width="15.7265625" customWidth="1"/>
    <col min="10508" max="10512" width="0" hidden="1" customWidth="1"/>
    <col min="10513" max="10513" width="15.7265625" customWidth="1"/>
    <col min="10514" max="10514" width="12.54296875" customWidth="1"/>
    <col min="10515" max="10515" width="0" hidden="1" customWidth="1"/>
    <col min="10516" max="10516" width="12.81640625" customWidth="1"/>
    <col min="10753" max="10753" width="3.54296875" customWidth="1"/>
    <col min="10754" max="10754" width="37.453125" customWidth="1"/>
    <col min="10755" max="10755" width="19.54296875" customWidth="1"/>
    <col min="10756" max="10756" width="12" customWidth="1"/>
    <col min="10757" max="10757" width="10" customWidth="1"/>
    <col min="10758" max="10758" width="12.54296875" customWidth="1"/>
    <col min="10759" max="10759" width="13.453125" customWidth="1"/>
    <col min="10760" max="10760" width="12" customWidth="1"/>
    <col min="10761" max="10761" width="12.1796875" customWidth="1"/>
    <col min="10762" max="10762" width="11.7265625" customWidth="1"/>
    <col min="10763" max="10763" width="15.7265625" customWidth="1"/>
    <col min="10764" max="10768" width="0" hidden="1" customWidth="1"/>
    <col min="10769" max="10769" width="15.7265625" customWidth="1"/>
    <col min="10770" max="10770" width="12.54296875" customWidth="1"/>
    <col min="10771" max="10771" width="0" hidden="1" customWidth="1"/>
    <col min="10772" max="10772" width="12.81640625" customWidth="1"/>
    <col min="11009" max="11009" width="3.54296875" customWidth="1"/>
    <col min="11010" max="11010" width="37.453125" customWidth="1"/>
    <col min="11011" max="11011" width="19.54296875" customWidth="1"/>
    <col min="11012" max="11012" width="12" customWidth="1"/>
    <col min="11013" max="11013" width="10" customWidth="1"/>
    <col min="11014" max="11014" width="12.54296875" customWidth="1"/>
    <col min="11015" max="11015" width="13.453125" customWidth="1"/>
    <col min="11016" max="11016" width="12" customWidth="1"/>
    <col min="11017" max="11017" width="12.1796875" customWidth="1"/>
    <col min="11018" max="11018" width="11.7265625" customWidth="1"/>
    <col min="11019" max="11019" width="15.7265625" customWidth="1"/>
    <col min="11020" max="11024" width="0" hidden="1" customWidth="1"/>
    <col min="11025" max="11025" width="15.7265625" customWidth="1"/>
    <col min="11026" max="11026" width="12.54296875" customWidth="1"/>
    <col min="11027" max="11027" width="0" hidden="1" customWidth="1"/>
    <col min="11028" max="11028" width="12.81640625" customWidth="1"/>
    <col min="11265" max="11265" width="3.54296875" customWidth="1"/>
    <col min="11266" max="11266" width="37.453125" customWidth="1"/>
    <col min="11267" max="11267" width="19.54296875" customWidth="1"/>
    <col min="11268" max="11268" width="12" customWidth="1"/>
    <col min="11269" max="11269" width="10" customWidth="1"/>
    <col min="11270" max="11270" width="12.54296875" customWidth="1"/>
    <col min="11271" max="11271" width="13.453125" customWidth="1"/>
    <col min="11272" max="11272" width="12" customWidth="1"/>
    <col min="11273" max="11273" width="12.1796875" customWidth="1"/>
    <col min="11274" max="11274" width="11.7265625" customWidth="1"/>
    <col min="11275" max="11275" width="15.7265625" customWidth="1"/>
    <col min="11276" max="11280" width="0" hidden="1" customWidth="1"/>
    <col min="11281" max="11281" width="15.7265625" customWidth="1"/>
    <col min="11282" max="11282" width="12.54296875" customWidth="1"/>
    <col min="11283" max="11283" width="0" hidden="1" customWidth="1"/>
    <col min="11284" max="11284" width="12.81640625" customWidth="1"/>
    <col min="11521" max="11521" width="3.54296875" customWidth="1"/>
    <col min="11522" max="11522" width="37.453125" customWidth="1"/>
    <col min="11523" max="11523" width="19.54296875" customWidth="1"/>
    <col min="11524" max="11524" width="12" customWidth="1"/>
    <col min="11525" max="11525" width="10" customWidth="1"/>
    <col min="11526" max="11526" width="12.54296875" customWidth="1"/>
    <col min="11527" max="11527" width="13.453125" customWidth="1"/>
    <col min="11528" max="11528" width="12" customWidth="1"/>
    <col min="11529" max="11529" width="12.1796875" customWidth="1"/>
    <col min="11530" max="11530" width="11.7265625" customWidth="1"/>
    <col min="11531" max="11531" width="15.7265625" customWidth="1"/>
    <col min="11532" max="11536" width="0" hidden="1" customWidth="1"/>
    <col min="11537" max="11537" width="15.7265625" customWidth="1"/>
    <col min="11538" max="11538" width="12.54296875" customWidth="1"/>
    <col min="11539" max="11539" width="0" hidden="1" customWidth="1"/>
    <col min="11540" max="11540" width="12.81640625" customWidth="1"/>
    <col min="11777" max="11777" width="3.54296875" customWidth="1"/>
    <col min="11778" max="11778" width="37.453125" customWidth="1"/>
    <col min="11779" max="11779" width="19.54296875" customWidth="1"/>
    <col min="11780" max="11780" width="12" customWidth="1"/>
    <col min="11781" max="11781" width="10" customWidth="1"/>
    <col min="11782" max="11782" width="12.54296875" customWidth="1"/>
    <col min="11783" max="11783" width="13.453125" customWidth="1"/>
    <col min="11784" max="11784" width="12" customWidth="1"/>
    <col min="11785" max="11785" width="12.1796875" customWidth="1"/>
    <col min="11786" max="11786" width="11.7265625" customWidth="1"/>
    <col min="11787" max="11787" width="15.7265625" customWidth="1"/>
    <col min="11788" max="11792" width="0" hidden="1" customWidth="1"/>
    <col min="11793" max="11793" width="15.7265625" customWidth="1"/>
    <col min="11794" max="11794" width="12.54296875" customWidth="1"/>
    <col min="11795" max="11795" width="0" hidden="1" customWidth="1"/>
    <col min="11796" max="11796" width="12.81640625" customWidth="1"/>
    <col min="12033" max="12033" width="3.54296875" customWidth="1"/>
    <col min="12034" max="12034" width="37.453125" customWidth="1"/>
    <col min="12035" max="12035" width="19.54296875" customWidth="1"/>
    <col min="12036" max="12036" width="12" customWidth="1"/>
    <col min="12037" max="12037" width="10" customWidth="1"/>
    <col min="12038" max="12038" width="12.54296875" customWidth="1"/>
    <col min="12039" max="12039" width="13.453125" customWidth="1"/>
    <col min="12040" max="12040" width="12" customWidth="1"/>
    <col min="12041" max="12041" width="12.1796875" customWidth="1"/>
    <col min="12042" max="12042" width="11.7265625" customWidth="1"/>
    <col min="12043" max="12043" width="15.7265625" customWidth="1"/>
    <col min="12044" max="12048" width="0" hidden="1" customWidth="1"/>
    <col min="12049" max="12049" width="15.7265625" customWidth="1"/>
    <col min="12050" max="12050" width="12.54296875" customWidth="1"/>
    <col min="12051" max="12051" width="0" hidden="1" customWidth="1"/>
    <col min="12052" max="12052" width="12.81640625" customWidth="1"/>
    <col min="12289" max="12289" width="3.54296875" customWidth="1"/>
    <col min="12290" max="12290" width="37.453125" customWidth="1"/>
    <col min="12291" max="12291" width="19.54296875" customWidth="1"/>
    <col min="12292" max="12292" width="12" customWidth="1"/>
    <col min="12293" max="12293" width="10" customWidth="1"/>
    <col min="12294" max="12294" width="12.54296875" customWidth="1"/>
    <col min="12295" max="12295" width="13.453125" customWidth="1"/>
    <col min="12296" max="12296" width="12" customWidth="1"/>
    <col min="12297" max="12297" width="12.1796875" customWidth="1"/>
    <col min="12298" max="12298" width="11.7265625" customWidth="1"/>
    <col min="12299" max="12299" width="15.7265625" customWidth="1"/>
    <col min="12300" max="12304" width="0" hidden="1" customWidth="1"/>
    <col min="12305" max="12305" width="15.7265625" customWidth="1"/>
    <col min="12306" max="12306" width="12.54296875" customWidth="1"/>
    <col min="12307" max="12307" width="0" hidden="1" customWidth="1"/>
    <col min="12308" max="12308" width="12.81640625" customWidth="1"/>
    <col min="12545" max="12545" width="3.54296875" customWidth="1"/>
    <col min="12546" max="12546" width="37.453125" customWidth="1"/>
    <col min="12547" max="12547" width="19.54296875" customWidth="1"/>
    <col min="12548" max="12548" width="12" customWidth="1"/>
    <col min="12549" max="12549" width="10" customWidth="1"/>
    <col min="12550" max="12550" width="12.54296875" customWidth="1"/>
    <col min="12551" max="12551" width="13.453125" customWidth="1"/>
    <col min="12552" max="12552" width="12" customWidth="1"/>
    <col min="12553" max="12553" width="12.1796875" customWidth="1"/>
    <col min="12554" max="12554" width="11.7265625" customWidth="1"/>
    <col min="12555" max="12555" width="15.7265625" customWidth="1"/>
    <col min="12556" max="12560" width="0" hidden="1" customWidth="1"/>
    <col min="12561" max="12561" width="15.7265625" customWidth="1"/>
    <col min="12562" max="12562" width="12.54296875" customWidth="1"/>
    <col min="12563" max="12563" width="0" hidden="1" customWidth="1"/>
    <col min="12564" max="12564" width="12.81640625" customWidth="1"/>
    <col min="12801" max="12801" width="3.54296875" customWidth="1"/>
    <col min="12802" max="12802" width="37.453125" customWidth="1"/>
    <col min="12803" max="12803" width="19.54296875" customWidth="1"/>
    <col min="12804" max="12804" width="12" customWidth="1"/>
    <col min="12805" max="12805" width="10" customWidth="1"/>
    <col min="12806" max="12806" width="12.54296875" customWidth="1"/>
    <col min="12807" max="12807" width="13.453125" customWidth="1"/>
    <col min="12808" max="12808" width="12" customWidth="1"/>
    <col min="12809" max="12809" width="12.1796875" customWidth="1"/>
    <col min="12810" max="12810" width="11.7265625" customWidth="1"/>
    <col min="12811" max="12811" width="15.7265625" customWidth="1"/>
    <col min="12812" max="12816" width="0" hidden="1" customWidth="1"/>
    <col min="12817" max="12817" width="15.7265625" customWidth="1"/>
    <col min="12818" max="12818" width="12.54296875" customWidth="1"/>
    <col min="12819" max="12819" width="0" hidden="1" customWidth="1"/>
    <col min="12820" max="12820" width="12.81640625" customWidth="1"/>
    <col min="13057" max="13057" width="3.54296875" customWidth="1"/>
    <col min="13058" max="13058" width="37.453125" customWidth="1"/>
    <col min="13059" max="13059" width="19.54296875" customWidth="1"/>
    <col min="13060" max="13060" width="12" customWidth="1"/>
    <col min="13061" max="13061" width="10" customWidth="1"/>
    <col min="13062" max="13062" width="12.54296875" customWidth="1"/>
    <col min="13063" max="13063" width="13.453125" customWidth="1"/>
    <col min="13064" max="13064" width="12" customWidth="1"/>
    <col min="13065" max="13065" width="12.1796875" customWidth="1"/>
    <col min="13066" max="13066" width="11.7265625" customWidth="1"/>
    <col min="13067" max="13067" width="15.7265625" customWidth="1"/>
    <col min="13068" max="13072" width="0" hidden="1" customWidth="1"/>
    <col min="13073" max="13073" width="15.7265625" customWidth="1"/>
    <col min="13074" max="13074" width="12.54296875" customWidth="1"/>
    <col min="13075" max="13075" width="0" hidden="1" customWidth="1"/>
    <col min="13076" max="13076" width="12.81640625" customWidth="1"/>
    <col min="13313" max="13313" width="3.54296875" customWidth="1"/>
    <col min="13314" max="13314" width="37.453125" customWidth="1"/>
    <col min="13315" max="13315" width="19.54296875" customWidth="1"/>
    <col min="13316" max="13316" width="12" customWidth="1"/>
    <col min="13317" max="13317" width="10" customWidth="1"/>
    <col min="13318" max="13318" width="12.54296875" customWidth="1"/>
    <col min="13319" max="13319" width="13.453125" customWidth="1"/>
    <col min="13320" max="13320" width="12" customWidth="1"/>
    <col min="13321" max="13321" width="12.1796875" customWidth="1"/>
    <col min="13322" max="13322" width="11.7265625" customWidth="1"/>
    <col min="13323" max="13323" width="15.7265625" customWidth="1"/>
    <col min="13324" max="13328" width="0" hidden="1" customWidth="1"/>
    <col min="13329" max="13329" width="15.7265625" customWidth="1"/>
    <col min="13330" max="13330" width="12.54296875" customWidth="1"/>
    <col min="13331" max="13331" width="0" hidden="1" customWidth="1"/>
    <col min="13332" max="13332" width="12.81640625" customWidth="1"/>
    <col min="13569" max="13569" width="3.54296875" customWidth="1"/>
    <col min="13570" max="13570" width="37.453125" customWidth="1"/>
    <col min="13571" max="13571" width="19.54296875" customWidth="1"/>
    <col min="13572" max="13572" width="12" customWidth="1"/>
    <col min="13573" max="13573" width="10" customWidth="1"/>
    <col min="13574" max="13574" width="12.54296875" customWidth="1"/>
    <col min="13575" max="13575" width="13.453125" customWidth="1"/>
    <col min="13576" max="13576" width="12" customWidth="1"/>
    <col min="13577" max="13577" width="12.1796875" customWidth="1"/>
    <col min="13578" max="13578" width="11.7265625" customWidth="1"/>
    <col min="13579" max="13579" width="15.7265625" customWidth="1"/>
    <col min="13580" max="13584" width="0" hidden="1" customWidth="1"/>
    <col min="13585" max="13585" width="15.7265625" customWidth="1"/>
    <col min="13586" max="13586" width="12.54296875" customWidth="1"/>
    <col min="13587" max="13587" width="0" hidden="1" customWidth="1"/>
    <col min="13588" max="13588" width="12.81640625" customWidth="1"/>
    <col min="13825" max="13825" width="3.54296875" customWidth="1"/>
    <col min="13826" max="13826" width="37.453125" customWidth="1"/>
    <col min="13827" max="13827" width="19.54296875" customWidth="1"/>
    <col min="13828" max="13828" width="12" customWidth="1"/>
    <col min="13829" max="13829" width="10" customWidth="1"/>
    <col min="13830" max="13830" width="12.54296875" customWidth="1"/>
    <col min="13831" max="13831" width="13.453125" customWidth="1"/>
    <col min="13832" max="13832" width="12" customWidth="1"/>
    <col min="13833" max="13833" width="12.1796875" customWidth="1"/>
    <col min="13834" max="13834" width="11.7265625" customWidth="1"/>
    <col min="13835" max="13835" width="15.7265625" customWidth="1"/>
    <col min="13836" max="13840" width="0" hidden="1" customWidth="1"/>
    <col min="13841" max="13841" width="15.7265625" customWidth="1"/>
    <col min="13842" max="13842" width="12.54296875" customWidth="1"/>
    <col min="13843" max="13843" width="0" hidden="1" customWidth="1"/>
    <col min="13844" max="13844" width="12.81640625" customWidth="1"/>
    <col min="14081" max="14081" width="3.54296875" customWidth="1"/>
    <col min="14082" max="14082" width="37.453125" customWidth="1"/>
    <col min="14083" max="14083" width="19.54296875" customWidth="1"/>
    <col min="14084" max="14084" width="12" customWidth="1"/>
    <col min="14085" max="14085" width="10" customWidth="1"/>
    <col min="14086" max="14086" width="12.54296875" customWidth="1"/>
    <col min="14087" max="14087" width="13.453125" customWidth="1"/>
    <col min="14088" max="14088" width="12" customWidth="1"/>
    <col min="14089" max="14089" width="12.1796875" customWidth="1"/>
    <col min="14090" max="14090" width="11.7265625" customWidth="1"/>
    <col min="14091" max="14091" width="15.7265625" customWidth="1"/>
    <col min="14092" max="14096" width="0" hidden="1" customWidth="1"/>
    <col min="14097" max="14097" width="15.7265625" customWidth="1"/>
    <col min="14098" max="14098" width="12.54296875" customWidth="1"/>
    <col min="14099" max="14099" width="0" hidden="1" customWidth="1"/>
    <col min="14100" max="14100" width="12.81640625" customWidth="1"/>
    <col min="14337" max="14337" width="3.54296875" customWidth="1"/>
    <col min="14338" max="14338" width="37.453125" customWidth="1"/>
    <col min="14339" max="14339" width="19.54296875" customWidth="1"/>
    <col min="14340" max="14340" width="12" customWidth="1"/>
    <col min="14341" max="14341" width="10" customWidth="1"/>
    <col min="14342" max="14342" width="12.54296875" customWidth="1"/>
    <col min="14343" max="14343" width="13.453125" customWidth="1"/>
    <col min="14344" max="14344" width="12" customWidth="1"/>
    <col min="14345" max="14345" width="12.1796875" customWidth="1"/>
    <col min="14346" max="14346" width="11.7265625" customWidth="1"/>
    <col min="14347" max="14347" width="15.7265625" customWidth="1"/>
    <col min="14348" max="14352" width="0" hidden="1" customWidth="1"/>
    <col min="14353" max="14353" width="15.7265625" customWidth="1"/>
    <col min="14354" max="14354" width="12.54296875" customWidth="1"/>
    <col min="14355" max="14355" width="0" hidden="1" customWidth="1"/>
    <col min="14356" max="14356" width="12.81640625" customWidth="1"/>
    <col min="14593" max="14593" width="3.54296875" customWidth="1"/>
    <col min="14594" max="14594" width="37.453125" customWidth="1"/>
    <col min="14595" max="14595" width="19.54296875" customWidth="1"/>
    <col min="14596" max="14596" width="12" customWidth="1"/>
    <col min="14597" max="14597" width="10" customWidth="1"/>
    <col min="14598" max="14598" width="12.54296875" customWidth="1"/>
    <col min="14599" max="14599" width="13.453125" customWidth="1"/>
    <col min="14600" max="14600" width="12" customWidth="1"/>
    <col min="14601" max="14601" width="12.1796875" customWidth="1"/>
    <col min="14602" max="14602" width="11.7265625" customWidth="1"/>
    <col min="14603" max="14603" width="15.7265625" customWidth="1"/>
    <col min="14604" max="14608" width="0" hidden="1" customWidth="1"/>
    <col min="14609" max="14609" width="15.7265625" customWidth="1"/>
    <col min="14610" max="14610" width="12.54296875" customWidth="1"/>
    <col min="14611" max="14611" width="0" hidden="1" customWidth="1"/>
    <col min="14612" max="14612" width="12.81640625" customWidth="1"/>
    <col min="14849" max="14849" width="3.54296875" customWidth="1"/>
    <col min="14850" max="14850" width="37.453125" customWidth="1"/>
    <col min="14851" max="14851" width="19.54296875" customWidth="1"/>
    <col min="14852" max="14852" width="12" customWidth="1"/>
    <col min="14853" max="14853" width="10" customWidth="1"/>
    <col min="14854" max="14854" width="12.54296875" customWidth="1"/>
    <col min="14855" max="14855" width="13.453125" customWidth="1"/>
    <col min="14856" max="14856" width="12" customWidth="1"/>
    <col min="14857" max="14857" width="12.1796875" customWidth="1"/>
    <col min="14858" max="14858" width="11.7265625" customWidth="1"/>
    <col min="14859" max="14859" width="15.7265625" customWidth="1"/>
    <col min="14860" max="14864" width="0" hidden="1" customWidth="1"/>
    <col min="14865" max="14865" width="15.7265625" customWidth="1"/>
    <col min="14866" max="14866" width="12.54296875" customWidth="1"/>
    <col min="14867" max="14867" width="0" hidden="1" customWidth="1"/>
    <col min="14868" max="14868" width="12.81640625" customWidth="1"/>
    <col min="15105" max="15105" width="3.54296875" customWidth="1"/>
    <col min="15106" max="15106" width="37.453125" customWidth="1"/>
    <col min="15107" max="15107" width="19.54296875" customWidth="1"/>
    <col min="15108" max="15108" width="12" customWidth="1"/>
    <col min="15109" max="15109" width="10" customWidth="1"/>
    <col min="15110" max="15110" width="12.54296875" customWidth="1"/>
    <col min="15111" max="15111" width="13.453125" customWidth="1"/>
    <col min="15112" max="15112" width="12" customWidth="1"/>
    <col min="15113" max="15113" width="12.1796875" customWidth="1"/>
    <col min="15114" max="15114" width="11.7265625" customWidth="1"/>
    <col min="15115" max="15115" width="15.7265625" customWidth="1"/>
    <col min="15116" max="15120" width="0" hidden="1" customWidth="1"/>
    <col min="15121" max="15121" width="15.7265625" customWidth="1"/>
    <col min="15122" max="15122" width="12.54296875" customWidth="1"/>
    <col min="15123" max="15123" width="0" hidden="1" customWidth="1"/>
    <col min="15124" max="15124" width="12.81640625" customWidth="1"/>
    <col min="15361" max="15361" width="3.54296875" customWidth="1"/>
    <col min="15362" max="15362" width="37.453125" customWidth="1"/>
    <col min="15363" max="15363" width="19.54296875" customWidth="1"/>
    <col min="15364" max="15364" width="12" customWidth="1"/>
    <col min="15365" max="15365" width="10" customWidth="1"/>
    <col min="15366" max="15366" width="12.54296875" customWidth="1"/>
    <col min="15367" max="15367" width="13.453125" customWidth="1"/>
    <col min="15368" max="15368" width="12" customWidth="1"/>
    <col min="15369" max="15369" width="12.1796875" customWidth="1"/>
    <col min="15370" max="15370" width="11.7265625" customWidth="1"/>
    <col min="15371" max="15371" width="15.7265625" customWidth="1"/>
    <col min="15372" max="15376" width="0" hidden="1" customWidth="1"/>
    <col min="15377" max="15377" width="15.7265625" customWidth="1"/>
    <col min="15378" max="15378" width="12.54296875" customWidth="1"/>
    <col min="15379" max="15379" width="0" hidden="1" customWidth="1"/>
    <col min="15380" max="15380" width="12.81640625" customWidth="1"/>
    <col min="15617" max="15617" width="3.54296875" customWidth="1"/>
    <col min="15618" max="15618" width="37.453125" customWidth="1"/>
    <col min="15619" max="15619" width="19.54296875" customWidth="1"/>
    <col min="15620" max="15620" width="12" customWidth="1"/>
    <col min="15621" max="15621" width="10" customWidth="1"/>
    <col min="15622" max="15622" width="12.54296875" customWidth="1"/>
    <col min="15623" max="15623" width="13.453125" customWidth="1"/>
    <col min="15624" max="15624" width="12" customWidth="1"/>
    <col min="15625" max="15625" width="12.1796875" customWidth="1"/>
    <col min="15626" max="15626" width="11.7265625" customWidth="1"/>
    <col min="15627" max="15627" width="15.7265625" customWidth="1"/>
    <col min="15628" max="15632" width="0" hidden="1" customWidth="1"/>
    <col min="15633" max="15633" width="15.7265625" customWidth="1"/>
    <col min="15634" max="15634" width="12.54296875" customWidth="1"/>
    <col min="15635" max="15635" width="0" hidden="1" customWidth="1"/>
    <col min="15636" max="15636" width="12.81640625" customWidth="1"/>
    <col min="15873" max="15873" width="3.54296875" customWidth="1"/>
    <col min="15874" max="15874" width="37.453125" customWidth="1"/>
    <col min="15875" max="15875" width="19.54296875" customWidth="1"/>
    <col min="15876" max="15876" width="12" customWidth="1"/>
    <col min="15877" max="15877" width="10" customWidth="1"/>
    <col min="15878" max="15878" width="12.54296875" customWidth="1"/>
    <col min="15879" max="15879" width="13.453125" customWidth="1"/>
    <col min="15880" max="15880" width="12" customWidth="1"/>
    <col min="15881" max="15881" width="12.1796875" customWidth="1"/>
    <col min="15882" max="15882" width="11.7265625" customWidth="1"/>
    <col min="15883" max="15883" width="15.7265625" customWidth="1"/>
    <col min="15884" max="15888" width="0" hidden="1" customWidth="1"/>
    <col min="15889" max="15889" width="15.7265625" customWidth="1"/>
    <col min="15890" max="15890" width="12.54296875" customWidth="1"/>
    <col min="15891" max="15891" width="0" hidden="1" customWidth="1"/>
    <col min="15892" max="15892" width="12.81640625" customWidth="1"/>
    <col min="16129" max="16129" width="3.54296875" customWidth="1"/>
    <col min="16130" max="16130" width="37.453125" customWidth="1"/>
    <col min="16131" max="16131" width="19.54296875" customWidth="1"/>
    <col min="16132" max="16132" width="12" customWidth="1"/>
    <col min="16133" max="16133" width="10" customWidth="1"/>
    <col min="16134" max="16134" width="12.54296875" customWidth="1"/>
    <col min="16135" max="16135" width="13.453125" customWidth="1"/>
    <col min="16136" max="16136" width="12" customWidth="1"/>
    <col min="16137" max="16137" width="12.1796875" customWidth="1"/>
    <col min="16138" max="16138" width="11.7265625" customWidth="1"/>
    <col min="16139" max="16139" width="15.7265625" customWidth="1"/>
    <col min="16140" max="16144" width="0" hidden="1" customWidth="1"/>
    <col min="16145" max="16145" width="15.7265625" customWidth="1"/>
    <col min="16146" max="16146" width="12.54296875" customWidth="1"/>
    <col min="16147" max="16147" width="0" hidden="1" customWidth="1"/>
    <col min="16148" max="16148" width="12.81640625" customWidth="1"/>
  </cols>
  <sheetData>
    <row r="1" spans="1:20" x14ac:dyDescent="0.25">
      <c r="B1" s="1649" t="s">
        <v>218</v>
      </c>
      <c r="C1" s="1650"/>
      <c r="D1" s="1650"/>
      <c r="E1" s="1650"/>
      <c r="F1" s="1650"/>
      <c r="G1" s="1650"/>
      <c r="H1" s="1650"/>
      <c r="I1" s="1650"/>
      <c r="J1" s="1650"/>
      <c r="K1" s="1650"/>
      <c r="L1" s="1650"/>
      <c r="M1" s="1650"/>
      <c r="N1" s="1650"/>
      <c r="O1" s="1650"/>
      <c r="P1" s="1650"/>
      <c r="Q1" s="1650"/>
      <c r="R1" s="1650"/>
      <c r="S1" s="1651"/>
    </row>
    <row r="2" spans="1:20" ht="9" customHeight="1" x14ac:dyDescent="0.25">
      <c r="B2" s="104"/>
      <c r="S2" s="354"/>
    </row>
    <row r="3" spans="1:20" x14ac:dyDescent="0.25">
      <c r="B3" s="1652" t="s">
        <v>1484</v>
      </c>
      <c r="C3" s="1653"/>
      <c r="D3" s="1653"/>
      <c r="E3" s="1653"/>
      <c r="F3" s="1653"/>
      <c r="G3" s="1653"/>
      <c r="H3" s="1653"/>
      <c r="I3" s="1653"/>
      <c r="J3" s="1653"/>
      <c r="K3" s="1653"/>
      <c r="L3" s="1653"/>
      <c r="M3" s="1653"/>
      <c r="N3" s="1653"/>
      <c r="O3" s="1653"/>
      <c r="P3" s="1653"/>
      <c r="Q3" s="1653"/>
      <c r="R3" s="1653"/>
      <c r="S3" s="1654"/>
    </row>
    <row r="4" spans="1:20" x14ac:dyDescent="0.25">
      <c r="B4" s="105"/>
      <c r="C4" s="650"/>
      <c r="D4" s="650"/>
      <c r="E4" s="650"/>
      <c r="F4" s="650"/>
      <c r="G4" s="650"/>
      <c r="H4" s="650"/>
      <c r="I4" s="650"/>
      <c r="J4" s="650"/>
      <c r="K4" s="650"/>
      <c r="L4" s="650"/>
      <c r="M4" s="650"/>
      <c r="N4" s="651"/>
      <c r="O4" s="650"/>
      <c r="P4" s="650"/>
      <c r="Q4" s="650"/>
      <c r="R4" s="650"/>
      <c r="S4" s="355"/>
    </row>
    <row r="5" spans="1:20" ht="23.25" customHeight="1" x14ac:dyDescent="0.3">
      <c r="A5">
        <v>1</v>
      </c>
      <c r="B5" s="13">
        <v>7</v>
      </c>
      <c r="C5" s="357" t="s">
        <v>1408</v>
      </c>
      <c r="D5" s="357" t="s">
        <v>1221</v>
      </c>
      <c r="E5" s="357" t="s">
        <v>14</v>
      </c>
      <c r="F5" s="357" t="s">
        <v>15</v>
      </c>
      <c r="G5" s="357" t="s">
        <v>1222</v>
      </c>
      <c r="H5" s="996" t="s">
        <v>16</v>
      </c>
      <c r="I5" s="357" t="s">
        <v>17</v>
      </c>
      <c r="J5" s="997" t="s">
        <v>18</v>
      </c>
      <c r="K5" s="357" t="s">
        <v>19</v>
      </c>
      <c r="L5" s="357" t="s">
        <v>20</v>
      </c>
      <c r="M5" s="357" t="s">
        <v>21</v>
      </c>
      <c r="N5" s="357" t="s">
        <v>22</v>
      </c>
      <c r="O5" s="357" t="s">
        <v>23</v>
      </c>
      <c r="P5" s="996" t="s">
        <v>24</v>
      </c>
      <c r="Q5" s="998" t="s">
        <v>26</v>
      </c>
      <c r="R5" s="357" t="s">
        <v>25</v>
      </c>
      <c r="S5" s="653" t="s">
        <v>46</v>
      </c>
      <c r="T5" s="654" t="s">
        <v>1223</v>
      </c>
    </row>
    <row r="6" spans="1:20" x14ac:dyDescent="0.25">
      <c r="B6" s="53" t="s">
        <v>45</v>
      </c>
      <c r="C6" s="362">
        <v>353308839</v>
      </c>
      <c r="D6" s="362">
        <f>+C6/12</f>
        <v>29442403.25</v>
      </c>
      <c r="E6" s="362">
        <f>-287015+28701567</f>
        <v>28414552</v>
      </c>
      <c r="F6" s="362">
        <v>28414552</v>
      </c>
      <c r="G6" s="362">
        <v>28414552</v>
      </c>
      <c r="H6" s="999">
        <f>+H8-H7</f>
        <v>32509259</v>
      </c>
      <c r="I6" s="362">
        <f>29735584-I7</f>
        <v>29438226</v>
      </c>
      <c r="J6" s="867">
        <f>+J8-J7</f>
        <v>29438226</v>
      </c>
      <c r="K6" s="867">
        <f>+K8-K7</f>
        <v>29438226</v>
      </c>
      <c r="L6" s="362"/>
      <c r="M6" s="362"/>
      <c r="N6" s="362"/>
      <c r="O6" s="362"/>
      <c r="P6" s="999"/>
      <c r="Q6" s="867">
        <f>SUM(E6:P6)</f>
        <v>206067593</v>
      </c>
      <c r="R6" s="362">
        <f>+D6*$B$5</f>
        <v>206096822.75</v>
      </c>
      <c r="S6" s="655">
        <f>+R6-Q6</f>
        <v>29229.75</v>
      </c>
      <c r="T6" s="656">
        <f>+R6-Q6</f>
        <v>29229.75</v>
      </c>
    </row>
    <row r="7" spans="1:20" x14ac:dyDescent="0.25">
      <c r="B7" s="13" t="s">
        <v>120</v>
      </c>
      <c r="C7" s="364">
        <v>3533088</v>
      </c>
      <c r="D7" s="362">
        <f>+C7/12</f>
        <v>294424</v>
      </c>
      <c r="E7" s="364">
        <v>287015</v>
      </c>
      <c r="F7" s="364">
        <v>287015</v>
      </c>
      <c r="G7" s="364">
        <v>287015</v>
      </c>
      <c r="H7" s="1000">
        <v>328376</v>
      </c>
      <c r="I7" s="364">
        <v>297358</v>
      </c>
      <c r="J7" s="361">
        <v>297358</v>
      </c>
      <c r="K7" s="361">
        <v>297358</v>
      </c>
      <c r="L7" s="364"/>
      <c r="M7" s="364"/>
      <c r="N7" s="364"/>
      <c r="O7" s="364"/>
      <c r="P7" s="1000"/>
      <c r="Q7" s="361">
        <f>SUM(E7:P7)</f>
        <v>2081495</v>
      </c>
      <c r="R7" s="364">
        <f>+D7*$B$5</f>
        <v>2060968</v>
      </c>
      <c r="S7" s="655">
        <f>+R7-Q7</f>
        <v>-20527</v>
      </c>
      <c r="T7" s="656">
        <f>+R7-Q7</f>
        <v>-20527</v>
      </c>
    </row>
    <row r="8" spans="1:20" ht="14" x14ac:dyDescent="0.3">
      <c r="B8" s="864" t="s">
        <v>125</v>
      </c>
      <c r="C8" s="865">
        <f>+C6+C7</f>
        <v>356841927</v>
      </c>
      <c r="D8" s="865">
        <f>SUM(D6:D7)</f>
        <v>29736827.25</v>
      </c>
      <c r="E8" s="865">
        <f>SUM(E6:E7)</f>
        <v>28701567</v>
      </c>
      <c r="F8" s="865">
        <f>SUM(F6:F7)</f>
        <v>28701567</v>
      </c>
      <c r="G8" s="865">
        <f>SUM(G6:G7)</f>
        <v>28701567</v>
      </c>
      <c r="H8" s="1001">
        <v>32837635</v>
      </c>
      <c r="I8" s="907">
        <f>+I6+I7</f>
        <v>29735584</v>
      </c>
      <c r="J8" s="865">
        <v>29735584</v>
      </c>
      <c r="K8" s="865">
        <v>29735584</v>
      </c>
      <c r="L8" s="865">
        <v>27282827</v>
      </c>
      <c r="M8" s="865">
        <f>SUM(M6:M7)</f>
        <v>0</v>
      </c>
      <c r="N8" s="865">
        <f>SUM(N6:N7)</f>
        <v>0</v>
      </c>
      <c r="O8" s="865">
        <f>SUM(O6:O7)</f>
        <v>0</v>
      </c>
      <c r="P8" s="1001">
        <f>SUM(P6:P7)</f>
        <v>0</v>
      </c>
      <c r="Q8" s="865">
        <f>SUM(Q6:Q7)</f>
        <v>208149088</v>
      </c>
      <c r="R8" s="907">
        <f>+D8*$B$5</f>
        <v>208157790.75</v>
      </c>
      <c r="S8" s="868">
        <f>+R8-Q8</f>
        <v>8702.75</v>
      </c>
      <c r="T8" s="504">
        <f>+R8-Q8</f>
        <v>8702.75</v>
      </c>
    </row>
    <row r="9" spans="1:20" ht="15.5" x14ac:dyDescent="0.25">
      <c r="B9" s="59" t="s">
        <v>77</v>
      </c>
      <c r="C9" s="366"/>
      <c r="D9" s="431" t="s">
        <v>33</v>
      </c>
      <c r="E9" s="431" t="s">
        <v>33</v>
      </c>
      <c r="F9" s="367"/>
      <c r="G9" s="367"/>
      <c r="H9" s="1002"/>
      <c r="I9" s="367"/>
      <c r="J9" s="1003"/>
      <c r="K9" s="1003"/>
      <c r="L9" s="367"/>
      <c r="M9" s="367"/>
      <c r="N9" s="367"/>
      <c r="O9" s="367"/>
      <c r="P9" s="1002"/>
      <c r="Q9" s="1003"/>
      <c r="R9" s="367" t="s">
        <v>33</v>
      </c>
      <c r="S9" s="655"/>
      <c r="T9" s="657" t="s">
        <v>33</v>
      </c>
    </row>
    <row r="10" spans="1:20" ht="16.5" customHeight="1" x14ac:dyDescent="0.25">
      <c r="B10" s="60" t="s">
        <v>78</v>
      </c>
      <c r="C10" s="368"/>
      <c r="D10" s="369"/>
      <c r="E10" s="369"/>
      <c r="F10" s="371"/>
      <c r="G10" s="371"/>
      <c r="H10" s="1004"/>
      <c r="I10" s="371"/>
      <c r="J10" s="1005"/>
      <c r="K10" s="1005"/>
      <c r="L10" s="371"/>
      <c r="M10" s="371"/>
      <c r="N10" s="371"/>
      <c r="O10" s="371"/>
      <c r="P10" s="1004"/>
      <c r="Q10" s="1005"/>
      <c r="R10" s="371" t="s">
        <v>33</v>
      </c>
      <c r="S10" s="658"/>
      <c r="T10" s="657" t="s">
        <v>33</v>
      </c>
    </row>
    <row r="11" spans="1:20" x14ac:dyDescent="0.25">
      <c r="B11" s="61" t="s">
        <v>79</v>
      </c>
      <c r="C11" s="659">
        <v>33199438.319999997</v>
      </c>
      <c r="D11" s="432">
        <f>+C11/12</f>
        <v>2766619.86</v>
      </c>
      <c r="E11" s="432">
        <v>2766619</v>
      </c>
      <c r="F11" s="374">
        <v>2766619</v>
      </c>
      <c r="G11" s="374">
        <v>2766619</v>
      </c>
      <c r="H11" s="1006">
        <v>2766619</v>
      </c>
      <c r="I11" s="374">
        <v>2827988</v>
      </c>
      <c r="J11" s="1007">
        <v>2766620</v>
      </c>
      <c r="K11" s="1007">
        <v>2766620</v>
      </c>
      <c r="L11" s="374"/>
      <c r="M11" s="374"/>
      <c r="N11" s="374"/>
      <c r="O11" s="374"/>
      <c r="P11" s="1006"/>
      <c r="Q11" s="1007">
        <f t="shared" ref="Q11:Q18" si="0">SUM(E11:P11)</f>
        <v>19427704</v>
      </c>
      <c r="R11" s="374">
        <f t="shared" ref="R11:R19" si="1">+D11*$B$5</f>
        <v>19366339.02</v>
      </c>
      <c r="S11" s="655">
        <f t="shared" ref="S11:S18" si="2">+R11-Q11</f>
        <v>-61364.980000000447</v>
      </c>
      <c r="T11" s="656">
        <f t="shared" ref="T11:T19" si="3">+R11-Q11</f>
        <v>-61364.980000000447</v>
      </c>
    </row>
    <row r="12" spans="1:20" x14ac:dyDescent="0.25">
      <c r="B12" s="62" t="s">
        <v>80</v>
      </c>
      <c r="C12" s="660">
        <v>1260000</v>
      </c>
      <c r="D12" s="433">
        <f t="shared" ref="D12:D35" si="4">+C12/12</f>
        <v>105000</v>
      </c>
      <c r="E12" s="433">
        <v>143550</v>
      </c>
      <c r="F12" s="364">
        <v>235199</v>
      </c>
      <c r="G12" s="364">
        <v>220474</v>
      </c>
      <c r="H12" s="1000">
        <v>175110</v>
      </c>
      <c r="I12" s="364">
        <v>120400</v>
      </c>
      <c r="J12" s="361">
        <v>95350</v>
      </c>
      <c r="K12" s="361">
        <v>115100</v>
      </c>
      <c r="L12" s="364"/>
      <c r="M12" s="364"/>
      <c r="N12" s="364"/>
      <c r="O12" s="364"/>
      <c r="P12" s="1000"/>
      <c r="Q12" s="361">
        <f t="shared" si="0"/>
        <v>1105183</v>
      </c>
      <c r="R12" s="364">
        <f t="shared" si="1"/>
        <v>735000</v>
      </c>
      <c r="S12" s="655">
        <f t="shared" si="2"/>
        <v>-370183</v>
      </c>
      <c r="T12" s="656">
        <f t="shared" si="3"/>
        <v>-370183</v>
      </c>
    </row>
    <row r="13" spans="1:20" x14ac:dyDescent="0.25">
      <c r="B13" s="61" t="s">
        <v>81</v>
      </c>
      <c r="C13" s="659">
        <v>10500000</v>
      </c>
      <c r="D13" s="432">
        <f t="shared" si="4"/>
        <v>875000</v>
      </c>
      <c r="E13" s="432">
        <v>1581421</v>
      </c>
      <c r="F13" s="374">
        <v>0</v>
      </c>
      <c r="G13" s="374">
        <f>196100+277737+50000</f>
        <v>523837</v>
      </c>
      <c r="H13" s="1006">
        <v>338825</v>
      </c>
      <c r="I13" s="374">
        <f>-111750+278850</f>
        <v>167100</v>
      </c>
      <c r="J13" s="1007">
        <v>1050763</v>
      </c>
      <c r="K13" s="1007">
        <v>1107390</v>
      </c>
      <c r="L13" s="374"/>
      <c r="M13" s="374"/>
      <c r="N13" s="374"/>
      <c r="O13" s="374"/>
      <c r="P13" s="1006"/>
      <c r="Q13" s="1007">
        <f t="shared" si="0"/>
        <v>4769336</v>
      </c>
      <c r="R13" s="374">
        <f t="shared" si="1"/>
        <v>6125000</v>
      </c>
      <c r="S13" s="655">
        <f t="shared" si="2"/>
        <v>1355664</v>
      </c>
      <c r="T13" s="656">
        <f t="shared" si="3"/>
        <v>1355664</v>
      </c>
    </row>
    <row r="14" spans="1:20" x14ac:dyDescent="0.25">
      <c r="B14" s="62" t="s">
        <v>82</v>
      </c>
      <c r="C14" s="660">
        <v>1800000</v>
      </c>
      <c r="D14" s="433">
        <f t="shared" si="4"/>
        <v>150000</v>
      </c>
      <c r="E14" s="433">
        <v>229300</v>
      </c>
      <c r="F14" s="364">
        <v>104000</v>
      </c>
      <c r="G14" s="364">
        <v>366738</v>
      </c>
      <c r="H14" s="1000"/>
      <c r="I14" s="364">
        <v>6000</v>
      </c>
      <c r="J14" s="361">
        <v>122000</v>
      </c>
      <c r="K14" s="361">
        <v>0</v>
      </c>
      <c r="L14" s="364"/>
      <c r="M14" s="364"/>
      <c r="N14" s="364"/>
      <c r="O14" s="364"/>
      <c r="P14" s="1000"/>
      <c r="Q14" s="361">
        <f t="shared" si="0"/>
        <v>828038</v>
      </c>
      <c r="R14" s="364">
        <f t="shared" si="1"/>
        <v>1050000</v>
      </c>
      <c r="S14" s="655">
        <f t="shared" si="2"/>
        <v>221962</v>
      </c>
      <c r="T14" s="656">
        <f t="shared" si="3"/>
        <v>221962</v>
      </c>
    </row>
    <row r="15" spans="1:20" x14ac:dyDescent="0.25">
      <c r="B15" s="61" t="s">
        <v>83</v>
      </c>
      <c r="C15" s="659">
        <v>11900000</v>
      </c>
      <c r="D15" s="432">
        <f t="shared" si="4"/>
        <v>991666.66666666663</v>
      </c>
      <c r="E15" s="432">
        <v>823302</v>
      </c>
      <c r="F15" s="374">
        <v>1301779</v>
      </c>
      <c r="G15" s="374">
        <v>611281</v>
      </c>
      <c r="H15" s="1006">
        <v>203409</v>
      </c>
      <c r="I15" s="374">
        <v>984464</v>
      </c>
      <c r="J15" s="1007">
        <v>203409</v>
      </c>
      <c r="K15" s="1007">
        <v>203409</v>
      </c>
      <c r="L15" s="374"/>
      <c r="M15" s="374"/>
      <c r="N15" s="374"/>
      <c r="O15" s="374"/>
      <c r="P15" s="1006"/>
      <c r="Q15" s="1007">
        <f t="shared" si="0"/>
        <v>4331053</v>
      </c>
      <c r="R15" s="374">
        <f t="shared" si="1"/>
        <v>6941666.666666666</v>
      </c>
      <c r="S15" s="655">
        <f t="shared" si="2"/>
        <v>2610613.666666666</v>
      </c>
      <c r="T15" s="656">
        <f t="shared" si="3"/>
        <v>2610613.666666666</v>
      </c>
    </row>
    <row r="16" spans="1:20" x14ac:dyDescent="0.25">
      <c r="B16" s="62" t="s">
        <v>84</v>
      </c>
      <c r="C16" s="660">
        <v>590000</v>
      </c>
      <c r="D16" s="433">
        <f t="shared" si="4"/>
        <v>49166.666666666664</v>
      </c>
      <c r="E16" s="433">
        <v>0</v>
      </c>
      <c r="F16" s="364">
        <v>140000</v>
      </c>
      <c r="G16" s="364">
        <v>0</v>
      </c>
      <c r="H16" s="1000"/>
      <c r="I16" s="364"/>
      <c r="J16" s="361"/>
      <c r="K16" s="361"/>
      <c r="L16" s="364"/>
      <c r="M16" s="364"/>
      <c r="N16" s="364"/>
      <c r="O16" s="364"/>
      <c r="P16" s="1000"/>
      <c r="Q16" s="361">
        <f t="shared" si="0"/>
        <v>140000</v>
      </c>
      <c r="R16" s="364">
        <f t="shared" si="1"/>
        <v>344166.66666666663</v>
      </c>
      <c r="S16" s="655">
        <f t="shared" si="2"/>
        <v>204166.66666666663</v>
      </c>
      <c r="T16" s="656">
        <f t="shared" si="3"/>
        <v>204166.66666666663</v>
      </c>
    </row>
    <row r="17" spans="1:22" x14ac:dyDescent="0.25">
      <c r="B17" s="61" t="s">
        <v>85</v>
      </c>
      <c r="C17" s="659">
        <v>2429980</v>
      </c>
      <c r="D17" s="432">
        <f t="shared" si="4"/>
        <v>202498.33333333334</v>
      </c>
      <c r="E17" s="432">
        <v>246330</v>
      </c>
      <c r="F17" s="374">
        <v>0</v>
      </c>
      <c r="G17" s="374">
        <v>749700</v>
      </c>
      <c r="H17" s="1006"/>
      <c r="I17" s="374">
        <v>246330</v>
      </c>
      <c r="J17" s="1007">
        <v>0</v>
      </c>
      <c r="K17" s="1007">
        <v>238000</v>
      </c>
      <c r="L17" s="374"/>
      <c r="M17" s="374"/>
      <c r="N17" s="374"/>
      <c r="O17" s="374"/>
      <c r="P17" s="1006"/>
      <c r="Q17" s="1007">
        <f t="shared" si="0"/>
        <v>1480360</v>
      </c>
      <c r="R17" s="374">
        <f t="shared" si="1"/>
        <v>1417488.3333333335</v>
      </c>
      <c r="S17" s="655">
        <f t="shared" si="2"/>
        <v>-62871.666666666511</v>
      </c>
      <c r="T17" s="656">
        <f t="shared" si="3"/>
        <v>-62871.666666666511</v>
      </c>
    </row>
    <row r="18" spans="1:22" x14ac:dyDescent="0.25">
      <c r="A18" s="145"/>
      <c r="B18" s="869" t="s">
        <v>269</v>
      </c>
      <c r="C18" s="370">
        <v>0</v>
      </c>
      <c r="D18" s="870">
        <f>+C18/12</f>
        <v>0</v>
      </c>
      <c r="E18" s="369">
        <v>0</v>
      </c>
      <c r="F18" s="370">
        <v>350000</v>
      </c>
      <c r="G18" s="370"/>
      <c r="H18" s="1008"/>
      <c r="I18" s="370"/>
      <c r="J18" s="870"/>
      <c r="K18" s="870"/>
      <c r="L18" s="370"/>
      <c r="M18" s="370"/>
      <c r="N18" s="370"/>
      <c r="O18" s="370"/>
      <c r="P18" s="1008"/>
      <c r="Q18" s="870">
        <f t="shared" si="0"/>
        <v>350000</v>
      </c>
      <c r="R18" s="370">
        <f t="shared" si="1"/>
        <v>0</v>
      </c>
      <c r="S18" s="658">
        <f t="shared" si="2"/>
        <v>-350000</v>
      </c>
      <c r="T18" s="871">
        <f t="shared" si="3"/>
        <v>-350000</v>
      </c>
    </row>
    <row r="19" spans="1:22" s="54" customFormat="1" ht="13" x14ac:dyDescent="0.3">
      <c r="B19" s="63" t="s">
        <v>86</v>
      </c>
      <c r="C19" s="378">
        <f>SUM(C11:C18)</f>
        <v>61679418.319999993</v>
      </c>
      <c r="D19" s="378">
        <f t="shared" ref="D19:I19" si="5">SUM(D11:D18)</f>
        <v>5139951.5266666664</v>
      </c>
      <c r="E19" s="378">
        <f t="shared" si="5"/>
        <v>5790522</v>
      </c>
      <c r="F19" s="378">
        <f t="shared" si="5"/>
        <v>4897597</v>
      </c>
      <c r="G19" s="378">
        <f t="shared" si="5"/>
        <v>5238649</v>
      </c>
      <c r="H19" s="1009">
        <f t="shared" si="5"/>
        <v>3483963</v>
      </c>
      <c r="I19" s="378">
        <f t="shared" si="5"/>
        <v>4352282</v>
      </c>
      <c r="J19" s="1010">
        <f t="shared" ref="J19:P19" si="6">SUM(J11:J17)</f>
        <v>4238142</v>
      </c>
      <c r="K19" s="1010">
        <f>SUM(K11:K17)</f>
        <v>4430519</v>
      </c>
      <c r="L19" s="378">
        <f t="shared" si="6"/>
        <v>0</v>
      </c>
      <c r="M19" s="378">
        <f t="shared" si="6"/>
        <v>0</v>
      </c>
      <c r="N19" s="378">
        <f t="shared" si="6"/>
        <v>0</v>
      </c>
      <c r="O19" s="378">
        <f t="shared" si="6"/>
        <v>0</v>
      </c>
      <c r="P19" s="1009">
        <f t="shared" si="6"/>
        <v>0</v>
      </c>
      <c r="Q19" s="670">
        <f>SUM(Q11:Q18)</f>
        <v>32431674</v>
      </c>
      <c r="R19" s="378">
        <f t="shared" si="1"/>
        <v>35979660.686666667</v>
      </c>
      <c r="S19" s="406">
        <f>SUM(S11:S17)</f>
        <v>3897986.6866666656</v>
      </c>
      <c r="T19" s="661">
        <f t="shared" si="3"/>
        <v>3547986.6866666675</v>
      </c>
    </row>
    <row r="20" spans="1:22" x14ac:dyDescent="0.25">
      <c r="B20" s="872" t="s">
        <v>87</v>
      </c>
      <c r="C20" s="370"/>
      <c r="D20" s="369">
        <f t="shared" si="4"/>
        <v>0</v>
      </c>
      <c r="E20" s="369"/>
      <c r="F20" s="370"/>
      <c r="G20" s="370"/>
      <c r="H20" s="1008"/>
      <c r="I20" s="370"/>
      <c r="J20" s="870"/>
      <c r="K20" s="870"/>
      <c r="L20" s="370"/>
      <c r="M20" s="370"/>
      <c r="N20" s="370"/>
      <c r="O20" s="370"/>
      <c r="P20" s="1008"/>
      <c r="Q20" s="870"/>
      <c r="R20" s="370" t="s">
        <v>33</v>
      </c>
      <c r="S20" s="655"/>
      <c r="T20" s="657" t="s">
        <v>33</v>
      </c>
    </row>
    <row r="21" spans="1:22" x14ac:dyDescent="0.25">
      <c r="B21" s="64" t="s">
        <v>88</v>
      </c>
      <c r="C21" s="369">
        <v>158830392.15000004</v>
      </c>
      <c r="D21" s="369">
        <f t="shared" si="4"/>
        <v>13235866.012500003</v>
      </c>
      <c r="E21" s="369">
        <v>13136493</v>
      </c>
      <c r="F21" s="370">
        <v>13136493</v>
      </c>
      <c r="G21" s="370">
        <v>13136494</v>
      </c>
      <c r="H21" s="1008">
        <v>13136494</v>
      </c>
      <c r="I21" s="370">
        <v>13136494</v>
      </c>
      <c r="J21" s="870">
        <v>13136493</v>
      </c>
      <c r="K21" s="870">
        <v>13244869</v>
      </c>
      <c r="L21" s="370"/>
      <c r="M21" s="370"/>
      <c r="N21" s="370"/>
      <c r="O21" s="370"/>
      <c r="P21" s="1008"/>
      <c r="Q21" s="870">
        <f t="shared" ref="Q21:Q29" si="7">SUM(E21:P21)</f>
        <v>92063830</v>
      </c>
      <c r="R21" s="370">
        <f t="shared" ref="R21:R30" si="8">+D21*$B$5</f>
        <v>92651062.087500021</v>
      </c>
      <c r="S21" s="655">
        <f>+R21-Q21</f>
        <v>587232.08750002086</v>
      </c>
      <c r="T21" s="656">
        <f t="shared" ref="T21:T30" si="9">+R21-Q21</f>
        <v>587232.08750002086</v>
      </c>
    </row>
    <row r="22" spans="1:22" x14ac:dyDescent="0.25">
      <c r="B22" s="873" t="s">
        <v>1224</v>
      </c>
      <c r="C22" s="874">
        <f>1751531+2225540</f>
        <v>3977071</v>
      </c>
      <c r="D22" s="874">
        <f t="shared" si="4"/>
        <v>331422.58333333331</v>
      </c>
      <c r="E22" s="874"/>
      <c r="F22" s="875">
        <v>1751531</v>
      </c>
      <c r="G22" s="875"/>
      <c r="H22" s="874"/>
      <c r="I22" s="875"/>
      <c r="J22" s="874"/>
      <c r="K22" s="874"/>
      <c r="L22" s="874"/>
      <c r="M22" s="874"/>
      <c r="N22" s="874"/>
      <c r="O22" s="874"/>
      <c r="P22" s="874"/>
      <c r="Q22" s="874">
        <f t="shared" si="7"/>
        <v>1751531</v>
      </c>
      <c r="R22" s="875">
        <f t="shared" si="8"/>
        <v>2319958.083333333</v>
      </c>
      <c r="S22" s="655"/>
      <c r="T22" s="656">
        <f t="shared" si="9"/>
        <v>568427.08333333302</v>
      </c>
    </row>
    <row r="23" spans="1:22" x14ac:dyDescent="0.25">
      <c r="A23" s="442"/>
      <c r="B23" s="64" t="s">
        <v>89</v>
      </c>
      <c r="C23" s="369">
        <v>17577558</v>
      </c>
      <c r="D23" s="369">
        <f t="shared" si="4"/>
        <v>1464796.5</v>
      </c>
      <c r="E23" s="369">
        <v>1357394</v>
      </c>
      <c r="F23" s="370">
        <v>904930</v>
      </c>
      <c r="G23" s="370">
        <v>1443315</v>
      </c>
      <c r="H23" s="369">
        <v>1486277</v>
      </c>
      <c r="I23" s="370">
        <v>1486277</v>
      </c>
      <c r="J23" s="369">
        <v>1443315</v>
      </c>
      <c r="K23" s="369">
        <v>1443315</v>
      </c>
      <c r="L23" s="369"/>
      <c r="M23" s="369"/>
      <c r="N23" s="369"/>
      <c r="O23" s="369"/>
      <c r="P23" s="369"/>
      <c r="Q23" s="369">
        <f t="shared" si="7"/>
        <v>9564823</v>
      </c>
      <c r="R23" s="370">
        <f t="shared" si="8"/>
        <v>10253575.5</v>
      </c>
      <c r="S23" s="655">
        <f>+R23-Q23</f>
        <v>688752.5</v>
      </c>
      <c r="T23" s="656">
        <f t="shared" si="9"/>
        <v>688752.5</v>
      </c>
    </row>
    <row r="24" spans="1:22" x14ac:dyDescent="0.25">
      <c r="B24" s="876" t="s">
        <v>90</v>
      </c>
      <c r="C24" s="874">
        <v>1341006.24</v>
      </c>
      <c r="D24" s="874">
        <f t="shared" si="4"/>
        <v>111750.52</v>
      </c>
      <c r="E24" s="874">
        <v>640110</v>
      </c>
      <c r="F24" s="875">
        <v>111750</v>
      </c>
      <c r="G24" s="875">
        <v>111750</v>
      </c>
      <c r="H24" s="874">
        <v>111750</v>
      </c>
      <c r="I24" s="875">
        <v>111750</v>
      </c>
      <c r="J24" s="874">
        <v>111750</v>
      </c>
      <c r="K24" s="874">
        <v>111750</v>
      </c>
      <c r="L24" s="874"/>
      <c r="M24" s="874"/>
      <c r="N24" s="874"/>
      <c r="O24" s="874"/>
      <c r="P24" s="874"/>
      <c r="Q24" s="874">
        <f t="shared" si="7"/>
        <v>1310610</v>
      </c>
      <c r="R24" s="875">
        <f t="shared" si="8"/>
        <v>782253.64</v>
      </c>
      <c r="S24" s="655">
        <f>+R24-Q24</f>
        <v>-528356.36</v>
      </c>
      <c r="T24" s="656">
        <f t="shared" si="9"/>
        <v>-528356.36</v>
      </c>
    </row>
    <row r="25" spans="1:22" s="145" customFormat="1" x14ac:dyDescent="0.25">
      <c r="B25" s="869" t="s">
        <v>1225</v>
      </c>
      <c r="C25" s="369">
        <v>1950000</v>
      </c>
      <c r="D25" s="369">
        <f t="shared" si="4"/>
        <v>162500</v>
      </c>
      <c r="E25" s="369">
        <v>0</v>
      </c>
      <c r="F25" s="370">
        <v>0</v>
      </c>
      <c r="G25" s="370">
        <v>0</v>
      </c>
      <c r="H25" s="369"/>
      <c r="I25" s="370">
        <v>555730</v>
      </c>
      <c r="J25" s="369">
        <v>142800</v>
      </c>
      <c r="K25" s="369">
        <v>0</v>
      </c>
      <c r="L25" s="369"/>
      <c r="M25" s="369"/>
      <c r="N25" s="369"/>
      <c r="O25" s="369"/>
      <c r="P25" s="369"/>
      <c r="Q25" s="369">
        <f t="shared" si="7"/>
        <v>698530</v>
      </c>
      <c r="R25" s="370">
        <f t="shared" si="8"/>
        <v>1137500</v>
      </c>
      <c r="S25" s="658"/>
      <c r="T25" s="656">
        <f t="shared" si="9"/>
        <v>438970</v>
      </c>
    </row>
    <row r="26" spans="1:22" x14ac:dyDescent="0.25">
      <c r="B26" s="876" t="s">
        <v>91</v>
      </c>
      <c r="C26" s="874">
        <v>1910000</v>
      </c>
      <c r="D26" s="874">
        <f t="shared" si="4"/>
        <v>159166.66666666666</v>
      </c>
      <c r="E26" s="874">
        <v>0</v>
      </c>
      <c r="F26" s="875">
        <v>0</v>
      </c>
      <c r="G26" s="875">
        <v>288000</v>
      </c>
      <c r="H26" s="1011">
        <v>50000</v>
      </c>
      <c r="I26" s="875">
        <v>305387</v>
      </c>
      <c r="J26" s="1012"/>
      <c r="K26" s="1012">
        <f>-529000+875700</f>
        <v>346700</v>
      </c>
      <c r="L26" s="875"/>
      <c r="M26" s="875"/>
      <c r="N26" s="875"/>
      <c r="O26" s="875"/>
      <c r="P26" s="1011"/>
      <c r="Q26" s="1012">
        <f t="shared" si="7"/>
        <v>990087</v>
      </c>
      <c r="R26" s="875">
        <f t="shared" si="8"/>
        <v>1114166.6666666665</v>
      </c>
      <c r="S26" s="655">
        <f>+R26-Q26</f>
        <v>124079.66666666651</v>
      </c>
      <c r="T26" s="656">
        <f t="shared" si="9"/>
        <v>124079.66666666651</v>
      </c>
    </row>
    <row r="27" spans="1:22" x14ac:dyDescent="0.25">
      <c r="B27" s="64" t="s">
        <v>92</v>
      </c>
      <c r="C27" s="369">
        <v>372000</v>
      </c>
      <c r="D27" s="369">
        <f t="shared" si="4"/>
        <v>31000</v>
      </c>
      <c r="E27" s="369">
        <v>0</v>
      </c>
      <c r="F27" s="370">
        <v>0</v>
      </c>
      <c r="G27" s="370">
        <v>0</v>
      </c>
      <c r="H27" s="1008"/>
      <c r="I27" s="370"/>
      <c r="J27" s="870"/>
      <c r="K27" s="870">
        <v>0</v>
      </c>
      <c r="L27" s="370"/>
      <c r="M27" s="370"/>
      <c r="N27" s="370"/>
      <c r="O27" s="370"/>
      <c r="P27" s="1008"/>
      <c r="Q27" s="870">
        <f t="shared" si="7"/>
        <v>0</v>
      </c>
      <c r="R27" s="370">
        <f t="shared" si="8"/>
        <v>217000</v>
      </c>
      <c r="S27" s="655" t="e">
        <f>+#REF!-#REF!</f>
        <v>#REF!</v>
      </c>
      <c r="T27" s="656">
        <f t="shared" si="9"/>
        <v>217000</v>
      </c>
    </row>
    <row r="28" spans="1:22" x14ac:dyDescent="0.25">
      <c r="B28" s="876" t="s">
        <v>93</v>
      </c>
      <c r="C28" s="874">
        <v>740000</v>
      </c>
      <c r="D28" s="874">
        <f t="shared" si="4"/>
        <v>61666.666666666664</v>
      </c>
      <c r="E28" s="874"/>
      <c r="F28" s="875">
        <v>138500</v>
      </c>
      <c r="G28" s="875">
        <v>0</v>
      </c>
      <c r="H28" s="1011"/>
      <c r="I28" s="875"/>
      <c r="J28" s="1012"/>
      <c r="K28" s="1012"/>
      <c r="L28" s="875"/>
      <c r="M28" s="875"/>
      <c r="N28" s="875"/>
      <c r="O28" s="875"/>
      <c r="P28" s="1011"/>
      <c r="Q28" s="1012">
        <f t="shared" si="7"/>
        <v>138500</v>
      </c>
      <c r="R28" s="875">
        <f t="shared" si="8"/>
        <v>431666.66666666663</v>
      </c>
      <c r="S28" s="655">
        <f>+R28-Q28</f>
        <v>293166.66666666663</v>
      </c>
      <c r="T28" s="656">
        <f t="shared" si="9"/>
        <v>293166.66666666663</v>
      </c>
      <c r="V28" s="42"/>
    </row>
    <row r="29" spans="1:22" x14ac:dyDescent="0.25">
      <c r="A29" s="442"/>
      <c r="B29" s="64" t="s">
        <v>126</v>
      </c>
      <c r="C29" s="369">
        <v>3533088</v>
      </c>
      <c r="D29" s="369">
        <f t="shared" si="4"/>
        <v>294424</v>
      </c>
      <c r="E29" s="369">
        <f>+E7</f>
        <v>287015</v>
      </c>
      <c r="F29" s="370">
        <v>287015</v>
      </c>
      <c r="G29" s="370">
        <v>287015</v>
      </c>
      <c r="H29" s="1008">
        <v>328376</v>
      </c>
      <c r="I29" s="370">
        <f>-14659+297358</f>
        <v>282699</v>
      </c>
      <c r="J29" s="870">
        <f>11725+282699</f>
        <v>294424</v>
      </c>
      <c r="K29" s="870">
        <v>297358</v>
      </c>
      <c r="L29" s="370"/>
      <c r="M29" s="370"/>
      <c r="N29" s="370"/>
      <c r="O29" s="370"/>
      <c r="P29" s="1008"/>
      <c r="Q29" s="870">
        <f t="shared" si="7"/>
        <v>2063902</v>
      </c>
      <c r="R29" s="370">
        <f t="shared" si="8"/>
        <v>2060968</v>
      </c>
      <c r="S29" s="655">
        <f>+R29-Q29</f>
        <v>-2934</v>
      </c>
      <c r="T29" s="656">
        <f t="shared" si="9"/>
        <v>-2934</v>
      </c>
      <c r="V29" s="42"/>
    </row>
    <row r="30" spans="1:22" ht="13" x14ac:dyDescent="0.3">
      <c r="B30" s="878" t="s">
        <v>94</v>
      </c>
      <c r="C30" s="879">
        <f>SUM(C21:C29)</f>
        <v>190231115.39000005</v>
      </c>
      <c r="D30" s="879">
        <f t="shared" si="4"/>
        <v>15852592.94916667</v>
      </c>
      <c r="E30" s="879">
        <f t="shared" ref="E30:P30" si="10">SUM(E21:E29)</f>
        <v>15421012</v>
      </c>
      <c r="F30" s="879">
        <f t="shared" si="10"/>
        <v>16330219</v>
      </c>
      <c r="G30" s="879">
        <f t="shared" si="10"/>
        <v>15266574</v>
      </c>
      <c r="H30" s="879">
        <f>SUM(H21:H29)</f>
        <v>15112897</v>
      </c>
      <c r="I30" s="1013">
        <f>SUM(I21:I29)</f>
        <v>15878337</v>
      </c>
      <c r="J30" s="879">
        <f t="shared" si="10"/>
        <v>15128782</v>
      </c>
      <c r="K30" s="879">
        <f>SUM(K21:K29)</f>
        <v>15443992</v>
      </c>
      <c r="L30" s="879">
        <f t="shared" si="10"/>
        <v>0</v>
      </c>
      <c r="M30" s="879">
        <f t="shared" si="10"/>
        <v>0</v>
      </c>
      <c r="N30" s="879">
        <f t="shared" si="10"/>
        <v>0</v>
      </c>
      <c r="O30" s="879">
        <f t="shared" si="10"/>
        <v>0</v>
      </c>
      <c r="P30" s="879">
        <f t="shared" si="10"/>
        <v>0</v>
      </c>
      <c r="Q30" s="879">
        <f>SUM(Q21:Q29)</f>
        <v>108581813</v>
      </c>
      <c r="R30" s="1013">
        <f t="shared" si="8"/>
        <v>110968150.64416669</v>
      </c>
      <c r="S30" s="882" t="e">
        <f>SUM(S21:S29)</f>
        <v>#REF!</v>
      </c>
      <c r="T30" s="661">
        <f t="shared" si="9"/>
        <v>2386337.6441666931</v>
      </c>
      <c r="V30" s="42"/>
    </row>
    <row r="31" spans="1:22" x14ac:dyDescent="0.25">
      <c r="B31" s="65" t="s">
        <v>95</v>
      </c>
      <c r="C31" s="370"/>
      <c r="D31" s="369">
        <f t="shared" si="4"/>
        <v>0</v>
      </c>
      <c r="E31" s="369"/>
      <c r="F31" s="370" t="s">
        <v>33</v>
      </c>
      <c r="G31" s="370"/>
      <c r="H31" s="1008"/>
      <c r="I31" s="370"/>
      <c r="J31" s="870"/>
      <c r="K31" s="870"/>
      <c r="L31" s="370"/>
      <c r="M31" s="370"/>
      <c r="N31" s="370"/>
      <c r="O31" s="370"/>
      <c r="P31" s="1008"/>
      <c r="Q31" s="870" t="s">
        <v>33</v>
      </c>
      <c r="R31" s="370" t="s">
        <v>33</v>
      </c>
      <c r="S31" s="658" t="s">
        <v>33</v>
      </c>
      <c r="T31" s="657" t="s">
        <v>33</v>
      </c>
    </row>
    <row r="32" spans="1:22" x14ac:dyDescent="0.25">
      <c r="B32" s="62" t="s">
        <v>759</v>
      </c>
      <c r="C32" s="376">
        <v>0</v>
      </c>
      <c r="D32" s="433">
        <f t="shared" si="4"/>
        <v>0</v>
      </c>
      <c r="E32" s="433">
        <f>+D32/12</f>
        <v>0</v>
      </c>
      <c r="F32" s="364">
        <v>0</v>
      </c>
      <c r="G32" s="364">
        <v>0</v>
      </c>
      <c r="H32" s="1000">
        <v>0</v>
      </c>
      <c r="I32" s="364">
        <v>0</v>
      </c>
      <c r="J32" s="361">
        <v>179214</v>
      </c>
      <c r="K32" s="361">
        <v>0</v>
      </c>
      <c r="L32" s="364"/>
      <c r="M32" s="364"/>
      <c r="N32" s="364"/>
      <c r="O32" s="364"/>
      <c r="P32" s="1000"/>
      <c r="Q32" s="361">
        <f>SUM(E32:P32)</f>
        <v>179214</v>
      </c>
      <c r="R32" s="364">
        <f>+D32*$B$5</f>
        <v>0</v>
      </c>
      <c r="S32" s="658">
        <f>+R32-Q32</f>
        <v>-179214</v>
      </c>
      <c r="T32" s="656">
        <f>+R32-Q32</f>
        <v>-179214</v>
      </c>
    </row>
    <row r="33" spans="2:22" x14ac:dyDescent="0.25">
      <c r="B33" s="62" t="s">
        <v>96</v>
      </c>
      <c r="C33" s="376">
        <v>0</v>
      </c>
      <c r="D33" s="433">
        <f t="shared" si="4"/>
        <v>0</v>
      </c>
      <c r="E33" s="433">
        <f>+D33/12</f>
        <v>0</v>
      </c>
      <c r="F33" s="364">
        <v>0</v>
      </c>
      <c r="G33" s="364">
        <f>46000+17700+274950</f>
        <v>338650</v>
      </c>
      <c r="H33" s="1000">
        <v>0</v>
      </c>
      <c r="I33" s="364">
        <v>176715</v>
      </c>
      <c r="J33" s="361">
        <v>0</v>
      </c>
      <c r="K33" s="361">
        <v>0</v>
      </c>
      <c r="L33" s="364">
        <v>0</v>
      </c>
      <c r="M33" s="364">
        <v>0</v>
      </c>
      <c r="N33" s="364">
        <v>0</v>
      </c>
      <c r="O33" s="364">
        <v>0</v>
      </c>
      <c r="P33" s="1000">
        <v>0</v>
      </c>
      <c r="Q33" s="361">
        <f>SUM(E33:P33)</f>
        <v>515365</v>
      </c>
      <c r="R33" s="364">
        <f>+D33*$B$5</f>
        <v>0</v>
      </c>
      <c r="S33" s="658">
        <f>+R33-Q33</f>
        <v>-515365</v>
      </c>
      <c r="T33" s="656">
        <f>+R33-Q33</f>
        <v>-515365</v>
      </c>
    </row>
    <row r="34" spans="2:22" ht="13" x14ac:dyDescent="0.3">
      <c r="B34" s="883" t="s">
        <v>97</v>
      </c>
      <c r="C34" s="884">
        <f>SUM(C32:C33)</f>
        <v>0</v>
      </c>
      <c r="D34" s="885">
        <f>+C34/12</f>
        <v>0</v>
      </c>
      <c r="E34" s="885">
        <f t="shared" ref="E34:S34" si="11">SUM(E32:E33)</f>
        <v>0</v>
      </c>
      <c r="F34" s="886">
        <f t="shared" si="11"/>
        <v>0</v>
      </c>
      <c r="G34" s="886">
        <f t="shared" si="11"/>
        <v>338650</v>
      </c>
      <c r="H34" s="1014">
        <f>SUM(H32:H33)</f>
        <v>0</v>
      </c>
      <c r="I34" s="886">
        <f>SUM(I32:I33)</f>
        <v>176715</v>
      </c>
      <c r="J34" s="1015">
        <f t="shared" si="11"/>
        <v>179214</v>
      </c>
      <c r="K34" s="1015">
        <f>SUM(K32:K33)</f>
        <v>0</v>
      </c>
      <c r="L34" s="886">
        <f t="shared" si="11"/>
        <v>0</v>
      </c>
      <c r="M34" s="886">
        <f t="shared" si="11"/>
        <v>0</v>
      </c>
      <c r="N34" s="886">
        <f t="shared" si="11"/>
        <v>0</v>
      </c>
      <c r="O34" s="886">
        <f t="shared" si="11"/>
        <v>0</v>
      </c>
      <c r="P34" s="1014">
        <f t="shared" si="11"/>
        <v>0</v>
      </c>
      <c r="Q34" s="1015">
        <f>SUM(E34:P34)</f>
        <v>694579</v>
      </c>
      <c r="R34" s="886">
        <f>SUM(R32:R33)</f>
        <v>0</v>
      </c>
      <c r="S34" s="662">
        <f t="shared" si="11"/>
        <v>-694579</v>
      </c>
      <c r="T34" s="656">
        <f>+R34-Q34</f>
        <v>-694579</v>
      </c>
    </row>
    <row r="35" spans="2:22" s="1" customFormat="1" x14ac:dyDescent="0.25">
      <c r="B35" s="887" t="s">
        <v>98</v>
      </c>
      <c r="C35" s="370"/>
      <c r="D35" s="369">
        <f t="shared" si="4"/>
        <v>0</v>
      </c>
      <c r="E35" s="369"/>
      <c r="F35" s="370"/>
      <c r="G35" s="370"/>
      <c r="H35" s="1008"/>
      <c r="I35" s="370"/>
      <c r="J35" s="870"/>
      <c r="K35" s="870"/>
      <c r="L35" s="370"/>
      <c r="M35" s="370"/>
      <c r="N35" s="370"/>
      <c r="O35" s="370"/>
      <c r="P35" s="1008"/>
      <c r="Q35" s="870" t="s">
        <v>33</v>
      </c>
      <c r="R35" s="370" t="s">
        <v>33</v>
      </c>
      <c r="S35" s="658" t="s">
        <v>33</v>
      </c>
      <c r="T35" s="657" t="s">
        <v>33</v>
      </c>
    </row>
    <row r="36" spans="2:22" x14ac:dyDescent="0.25">
      <c r="B36" s="62" t="s">
        <v>67</v>
      </c>
      <c r="C36" s="433">
        <v>2568001.5</v>
      </c>
      <c r="D36" s="433">
        <f>+C36/12</f>
        <v>214000.125</v>
      </c>
      <c r="E36" s="433">
        <v>0</v>
      </c>
      <c r="F36" s="364">
        <v>0</v>
      </c>
      <c r="G36" s="364">
        <v>595450</v>
      </c>
      <c r="H36" s="1000">
        <v>0</v>
      </c>
      <c r="I36" s="364">
        <v>781652</v>
      </c>
      <c r="J36" s="361"/>
      <c r="K36" s="361"/>
      <c r="L36" s="364"/>
      <c r="M36" s="364"/>
      <c r="N36" s="364"/>
      <c r="O36" s="364"/>
      <c r="P36" s="1000"/>
      <c r="Q36" s="361">
        <f t="shared" ref="Q36:Q43" si="12">SUM(E36:P36)</f>
        <v>1377102</v>
      </c>
      <c r="R36" s="364">
        <f t="shared" ref="R36:R44" si="13">+D36*$B$5</f>
        <v>1498000.875</v>
      </c>
      <c r="S36" s="658">
        <f>+R36-Q36</f>
        <v>120898.875</v>
      </c>
      <c r="T36" s="656">
        <f t="shared" ref="T36:T44" si="14">+R36-Q36</f>
        <v>120898.875</v>
      </c>
    </row>
    <row r="37" spans="2:22" x14ac:dyDescent="0.25">
      <c r="B37" s="887" t="s">
        <v>66</v>
      </c>
      <c r="C37" s="888">
        <f>33250000*1.15</f>
        <v>38237500</v>
      </c>
      <c r="D37" s="888">
        <f t="shared" ref="D37:D42" si="15">+C37/12</f>
        <v>3186458.3333333335</v>
      </c>
      <c r="E37" s="888">
        <v>3189683.88</v>
      </c>
      <c r="F37" s="889">
        <v>2628727</v>
      </c>
      <c r="G37" s="889">
        <v>2554892</v>
      </c>
      <c r="H37" s="1016">
        <v>2640861</v>
      </c>
      <c r="I37" s="889">
        <v>3098024</v>
      </c>
      <c r="J37" s="1017">
        <v>2908845</v>
      </c>
      <c r="K37" s="1017">
        <f>2964954</f>
        <v>2964954</v>
      </c>
      <c r="L37" s="889"/>
      <c r="M37" s="889"/>
      <c r="N37" s="889"/>
      <c r="O37" s="889"/>
      <c r="P37" s="1016"/>
      <c r="Q37" s="1017">
        <f>SUM(E37:P37)</f>
        <v>19985986.879999999</v>
      </c>
      <c r="R37" s="889">
        <f t="shared" si="13"/>
        <v>22305208.333333336</v>
      </c>
      <c r="S37" s="658">
        <f>+R37-Q37</f>
        <v>2319221.4533333369</v>
      </c>
      <c r="T37" s="656">
        <f t="shared" si="14"/>
        <v>2319221.4533333369</v>
      </c>
      <c r="V37" s="42"/>
    </row>
    <row r="38" spans="2:22" x14ac:dyDescent="0.25">
      <c r="B38" s="62" t="s">
        <v>99</v>
      </c>
      <c r="C38" s="433">
        <v>3500000</v>
      </c>
      <c r="D38" s="433">
        <f t="shared" si="15"/>
        <v>291666.66666666669</v>
      </c>
      <c r="E38" s="433">
        <v>129706</v>
      </c>
      <c r="F38" s="364">
        <v>233099</v>
      </c>
      <c r="G38" s="364">
        <v>303870</v>
      </c>
      <c r="H38" s="1000">
        <v>205744</v>
      </c>
      <c r="I38" s="364">
        <v>217588</v>
      </c>
      <c r="J38" s="361">
        <v>249565</v>
      </c>
      <c r="K38" s="361">
        <f>956190</f>
        <v>956190</v>
      </c>
      <c r="L38" s="364"/>
      <c r="M38" s="364"/>
      <c r="N38" s="364"/>
      <c r="O38" s="364"/>
      <c r="P38" s="1000"/>
      <c r="Q38" s="361">
        <f t="shared" si="12"/>
        <v>2295762</v>
      </c>
      <c r="R38" s="364">
        <f t="shared" si="13"/>
        <v>2041666.6666666667</v>
      </c>
      <c r="S38" s="658">
        <f>+R38-Q38</f>
        <v>-254095.33333333326</v>
      </c>
      <c r="T38" s="656">
        <f t="shared" si="14"/>
        <v>-254095.33333333326</v>
      </c>
    </row>
    <row r="39" spans="2:22" x14ac:dyDescent="0.25">
      <c r="B39" s="887" t="s">
        <v>100</v>
      </c>
      <c r="C39" s="888">
        <v>604000</v>
      </c>
      <c r="D39" s="888">
        <f t="shared" si="15"/>
        <v>50333.333333333336</v>
      </c>
      <c r="E39" s="888">
        <v>50100</v>
      </c>
      <c r="F39" s="889">
        <v>50115</v>
      </c>
      <c r="G39" s="889">
        <v>56102</v>
      </c>
      <c r="H39" s="1016">
        <v>56070</v>
      </c>
      <c r="I39" s="889">
        <v>56076</v>
      </c>
      <c r="J39" s="1017">
        <v>55806</v>
      </c>
      <c r="K39" s="1017">
        <v>55760</v>
      </c>
      <c r="L39" s="889"/>
      <c r="M39" s="889"/>
      <c r="N39" s="889"/>
      <c r="O39" s="889"/>
      <c r="P39" s="1016"/>
      <c r="Q39" s="1017">
        <f>SUM(E39:P39)</f>
        <v>380029</v>
      </c>
      <c r="R39" s="889">
        <f t="shared" si="13"/>
        <v>352333.33333333337</v>
      </c>
      <c r="S39" s="658">
        <f>+R39-Q39</f>
        <v>-27695.666666666628</v>
      </c>
      <c r="T39" s="656">
        <f t="shared" si="14"/>
        <v>-27695.666666666628</v>
      </c>
      <c r="V39" s="42"/>
    </row>
    <row r="40" spans="2:22" x14ac:dyDescent="0.25">
      <c r="B40" s="60" t="s">
        <v>1226</v>
      </c>
      <c r="C40" s="369">
        <f>100988*12</f>
        <v>1211856</v>
      </c>
      <c r="D40" s="369">
        <f t="shared" si="15"/>
        <v>100988</v>
      </c>
      <c r="E40" s="369">
        <v>0</v>
      </c>
      <c r="F40" s="370">
        <v>0</v>
      </c>
      <c r="G40" s="370">
        <v>55250</v>
      </c>
      <c r="H40" s="1008">
        <v>0</v>
      </c>
      <c r="I40" s="370">
        <v>0</v>
      </c>
      <c r="J40" s="870"/>
      <c r="K40" s="870"/>
      <c r="L40" s="370"/>
      <c r="M40" s="370"/>
      <c r="N40" s="370"/>
      <c r="O40" s="370"/>
      <c r="P40" s="1008"/>
      <c r="Q40" s="870">
        <f t="shared" si="12"/>
        <v>55250</v>
      </c>
      <c r="R40" s="370">
        <f t="shared" si="13"/>
        <v>706916</v>
      </c>
      <c r="S40" s="658"/>
      <c r="T40" s="656">
        <f t="shared" si="14"/>
        <v>651666</v>
      </c>
      <c r="V40" s="42"/>
    </row>
    <row r="41" spans="2:22" x14ac:dyDescent="0.25">
      <c r="B41" s="887" t="s">
        <v>101</v>
      </c>
      <c r="C41" s="888">
        <v>800000</v>
      </c>
      <c r="D41" s="888">
        <f t="shared" si="15"/>
        <v>66666.666666666672</v>
      </c>
      <c r="E41" s="888">
        <v>87582</v>
      </c>
      <c r="F41" s="889">
        <v>100988</v>
      </c>
      <c r="G41" s="889">
        <v>100988</v>
      </c>
      <c r="H41" s="1016">
        <v>100988</v>
      </c>
      <c r="I41" s="889">
        <v>100988</v>
      </c>
      <c r="J41" s="1017">
        <v>100988</v>
      </c>
      <c r="K41" s="1017">
        <v>100988</v>
      </c>
      <c r="L41" s="889"/>
      <c r="M41" s="889"/>
      <c r="N41" s="889"/>
      <c r="O41" s="889"/>
      <c r="P41" s="1016"/>
      <c r="Q41" s="1017">
        <f t="shared" si="12"/>
        <v>693510</v>
      </c>
      <c r="R41" s="889">
        <f t="shared" si="13"/>
        <v>466666.66666666669</v>
      </c>
      <c r="S41" s="658">
        <f>+R41-Q41</f>
        <v>-226843.33333333331</v>
      </c>
      <c r="T41" s="656">
        <f t="shared" si="14"/>
        <v>-226843.33333333331</v>
      </c>
    </row>
    <row r="42" spans="2:22" x14ac:dyDescent="0.25">
      <c r="B42" s="62" t="s">
        <v>102</v>
      </c>
      <c r="C42" s="433">
        <f>(1187000+167200)*12</f>
        <v>16250400</v>
      </c>
      <c r="D42" s="433">
        <f t="shared" si="15"/>
        <v>1354200</v>
      </c>
      <c r="E42" s="433">
        <v>1354200</v>
      </c>
      <c r="F42" s="364">
        <v>1354200</v>
      </c>
      <c r="G42" s="364">
        <v>1354200</v>
      </c>
      <c r="H42" s="1000">
        <v>1354200</v>
      </c>
      <c r="I42" s="364">
        <v>1354200</v>
      </c>
      <c r="J42" s="361"/>
      <c r="K42" s="361">
        <v>1354200</v>
      </c>
      <c r="L42" s="364"/>
      <c r="M42" s="364"/>
      <c r="N42" s="364"/>
      <c r="O42" s="364"/>
      <c r="P42" s="1000"/>
      <c r="Q42" s="361">
        <f t="shared" si="12"/>
        <v>8125200</v>
      </c>
      <c r="R42" s="364">
        <f t="shared" si="13"/>
        <v>9479400</v>
      </c>
      <c r="S42" s="658">
        <f>+R42-Q42</f>
        <v>1354200</v>
      </c>
      <c r="T42" s="656">
        <f t="shared" si="14"/>
        <v>1354200</v>
      </c>
    </row>
    <row r="43" spans="2:22" x14ac:dyDescent="0.25">
      <c r="B43" s="62" t="s">
        <v>1409</v>
      </c>
      <c r="C43" s="433"/>
      <c r="D43" s="433"/>
      <c r="E43" s="433"/>
      <c r="F43" s="364"/>
      <c r="G43" s="433"/>
      <c r="H43" s="433"/>
      <c r="I43" s="364">
        <v>472500</v>
      </c>
      <c r="J43" s="433"/>
      <c r="K43" s="433">
        <v>529000</v>
      </c>
      <c r="L43" s="433"/>
      <c r="M43" s="433"/>
      <c r="N43" s="433"/>
      <c r="O43" s="433"/>
      <c r="P43" s="433"/>
      <c r="Q43" s="433">
        <f t="shared" si="12"/>
        <v>1001500</v>
      </c>
      <c r="R43" s="364">
        <f t="shared" si="13"/>
        <v>0</v>
      </c>
      <c r="S43" s="658"/>
      <c r="T43" s="656">
        <f t="shared" si="14"/>
        <v>-1001500</v>
      </c>
    </row>
    <row r="44" spans="2:22" ht="13" x14ac:dyDescent="0.3">
      <c r="B44" s="892" t="s">
        <v>103</v>
      </c>
      <c r="C44" s="893">
        <f>SUM(C36:C42)</f>
        <v>63171757.5</v>
      </c>
      <c r="D44" s="893">
        <f>+C44/12</f>
        <v>5264313.125</v>
      </c>
      <c r="E44" s="894">
        <f>SUM(E36:E42)</f>
        <v>4811271.88</v>
      </c>
      <c r="F44" s="893">
        <f>SUM(F36:F42)</f>
        <v>4367129</v>
      </c>
      <c r="G44" s="894">
        <f>SUM(G36:G42)</f>
        <v>5020752</v>
      </c>
      <c r="H44" s="894">
        <f>SUM(H36:H42)</f>
        <v>4357863</v>
      </c>
      <c r="I44" s="893">
        <f>SUM(I36:I43)</f>
        <v>6081028</v>
      </c>
      <c r="J44" s="894">
        <f t="shared" ref="J44:P44" si="16">SUM(J36:J42)</f>
        <v>3315204</v>
      </c>
      <c r="K44" s="894">
        <f>SUM(K36:K43)</f>
        <v>5961092</v>
      </c>
      <c r="L44" s="894">
        <f t="shared" si="16"/>
        <v>0</v>
      </c>
      <c r="M44" s="894">
        <f t="shared" si="16"/>
        <v>0</v>
      </c>
      <c r="N44" s="894">
        <f t="shared" si="16"/>
        <v>0</v>
      </c>
      <c r="O44" s="894">
        <f t="shared" si="16"/>
        <v>0</v>
      </c>
      <c r="P44" s="894">
        <f t="shared" si="16"/>
        <v>0</v>
      </c>
      <c r="Q44" s="894">
        <f>SUM(Q36:Q43)</f>
        <v>33914339.879999995</v>
      </c>
      <c r="R44" s="893">
        <f t="shared" si="13"/>
        <v>36850191.875</v>
      </c>
      <c r="S44" s="897">
        <f>SUM(S36:S42)</f>
        <v>3285685.9950000038</v>
      </c>
      <c r="T44" s="661">
        <f t="shared" si="14"/>
        <v>2935851.9950000048</v>
      </c>
    </row>
    <row r="45" spans="2:22" x14ac:dyDescent="0.25">
      <c r="B45" s="66" t="s">
        <v>104</v>
      </c>
      <c r="C45" s="370"/>
      <c r="D45" s="369" t="s">
        <v>33</v>
      </c>
      <c r="E45" s="369"/>
      <c r="F45" s="370"/>
      <c r="G45" s="370"/>
      <c r="H45" s="1008"/>
      <c r="I45" s="370"/>
      <c r="J45" s="870"/>
      <c r="K45" s="870"/>
      <c r="L45" s="370"/>
      <c r="M45" s="370"/>
      <c r="N45" s="370"/>
      <c r="O45" s="370"/>
      <c r="P45" s="1008"/>
      <c r="Q45" s="870"/>
      <c r="R45" s="370" t="s">
        <v>33</v>
      </c>
      <c r="S45" s="663">
        <f>+F45+G45+E45</f>
        <v>0</v>
      </c>
      <c r="T45" s="657" t="s">
        <v>33</v>
      </c>
    </row>
    <row r="46" spans="2:22" ht="14.25" customHeight="1" x14ac:dyDescent="0.25">
      <c r="B46" s="62" t="s">
        <v>105</v>
      </c>
      <c r="C46" s="364">
        <v>30797847</v>
      </c>
      <c r="D46" s="433">
        <f>+C46/12</f>
        <v>2566487.25</v>
      </c>
      <c r="E46" s="433">
        <v>2343824</v>
      </c>
      <c r="F46" s="364">
        <v>2343824</v>
      </c>
      <c r="G46" s="364">
        <v>2343824</v>
      </c>
      <c r="H46" s="1000">
        <v>3235079</v>
      </c>
      <c r="I46" s="364">
        <v>2566487</v>
      </c>
      <c r="J46" s="361">
        <v>2566487</v>
      </c>
      <c r="K46" s="361">
        <v>2566487</v>
      </c>
      <c r="L46" s="364"/>
      <c r="M46" s="364"/>
      <c r="N46" s="364"/>
      <c r="O46" s="364"/>
      <c r="P46" s="1000"/>
      <c r="Q46" s="361">
        <f t="shared" ref="Q46:Q55" si="17">SUM(E46:P46)</f>
        <v>17966012</v>
      </c>
      <c r="R46" s="364">
        <f t="shared" ref="R46:R57" si="18">+D46*$B$5</f>
        <v>17965410.75</v>
      </c>
      <c r="S46" s="658">
        <f t="shared" ref="S46:S53" si="19">+R46-Q46</f>
        <v>-601.25</v>
      </c>
      <c r="T46" s="656">
        <f t="shared" ref="T46:T56" si="20">+R46-Q46</f>
        <v>-601.25</v>
      </c>
    </row>
    <row r="47" spans="2:22" ht="14.25" customHeight="1" x14ac:dyDescent="0.25">
      <c r="B47" s="66" t="s">
        <v>65</v>
      </c>
      <c r="C47" s="898">
        <v>6413421</v>
      </c>
      <c r="D47" s="899">
        <f t="shared" ref="D47:D55" si="21">+C47/12</f>
        <v>534451.75</v>
      </c>
      <c r="E47" s="899">
        <v>488080</v>
      </c>
      <c r="F47" s="898">
        <v>488080</v>
      </c>
      <c r="G47" s="898">
        <v>627190</v>
      </c>
      <c r="H47" s="1018">
        <v>534352</v>
      </c>
      <c r="I47" s="898">
        <v>534352</v>
      </c>
      <c r="J47" s="1019">
        <v>534352</v>
      </c>
      <c r="K47" s="1019">
        <v>534452</v>
      </c>
      <c r="L47" s="898"/>
      <c r="M47" s="898"/>
      <c r="N47" s="898"/>
      <c r="O47" s="898"/>
      <c r="P47" s="1018"/>
      <c r="Q47" s="1019">
        <f t="shared" si="17"/>
        <v>3740858</v>
      </c>
      <c r="R47" s="898">
        <f t="shared" si="18"/>
        <v>3741162.25</v>
      </c>
      <c r="S47" s="658">
        <f t="shared" si="19"/>
        <v>304.25</v>
      </c>
      <c r="T47" s="656">
        <f t="shared" si="20"/>
        <v>304.25</v>
      </c>
    </row>
    <row r="48" spans="2:22" x14ac:dyDescent="0.25">
      <c r="B48" s="62" t="s">
        <v>106</v>
      </c>
      <c r="C48" s="364">
        <v>534465</v>
      </c>
      <c r="D48" s="433">
        <f t="shared" si="21"/>
        <v>44538.75</v>
      </c>
      <c r="E48" s="433">
        <v>0</v>
      </c>
      <c r="F48" s="364">
        <v>0</v>
      </c>
      <c r="G48" s="364">
        <v>0</v>
      </c>
      <c r="H48" s="1000">
        <v>0</v>
      </c>
      <c r="I48" s="364">
        <v>0</v>
      </c>
      <c r="J48" s="361">
        <v>534565</v>
      </c>
      <c r="K48" s="361">
        <v>0</v>
      </c>
      <c r="L48" s="364"/>
      <c r="M48" s="364"/>
      <c r="N48" s="364"/>
      <c r="O48" s="364"/>
      <c r="P48" s="1000"/>
      <c r="Q48" s="361">
        <f t="shared" si="17"/>
        <v>534565</v>
      </c>
      <c r="R48" s="364">
        <f t="shared" si="18"/>
        <v>311771.25</v>
      </c>
      <c r="S48" s="658">
        <f t="shared" si="19"/>
        <v>-222793.75</v>
      </c>
      <c r="T48" s="656">
        <f t="shared" si="20"/>
        <v>-222793.75</v>
      </c>
    </row>
    <row r="49" spans="2:22" x14ac:dyDescent="0.25">
      <c r="B49" s="66" t="s">
        <v>107</v>
      </c>
      <c r="C49" s="898">
        <v>603903</v>
      </c>
      <c r="D49" s="899">
        <f t="shared" si="21"/>
        <v>50325.25</v>
      </c>
      <c r="E49" s="899">
        <v>50344</v>
      </c>
      <c r="F49" s="898">
        <v>50344</v>
      </c>
      <c r="G49" s="898">
        <v>50344</v>
      </c>
      <c r="H49" s="1018">
        <v>50344</v>
      </c>
      <c r="I49" s="898">
        <v>50344</v>
      </c>
      <c r="J49" s="1019">
        <v>50344</v>
      </c>
      <c r="K49" s="1019">
        <v>50344</v>
      </c>
      <c r="L49" s="898"/>
      <c r="M49" s="898"/>
      <c r="N49" s="898"/>
      <c r="O49" s="898"/>
      <c r="P49" s="1018"/>
      <c r="Q49" s="1019">
        <f t="shared" si="17"/>
        <v>352408</v>
      </c>
      <c r="R49" s="898">
        <f t="shared" si="18"/>
        <v>352276.75</v>
      </c>
      <c r="S49" s="658">
        <f t="shared" si="19"/>
        <v>-131.25</v>
      </c>
      <c r="T49" s="656">
        <f t="shared" si="20"/>
        <v>-131.25</v>
      </c>
    </row>
    <row r="50" spans="2:22" x14ac:dyDescent="0.25">
      <c r="B50" s="62" t="s">
        <v>108</v>
      </c>
      <c r="C50" s="364">
        <v>200000</v>
      </c>
      <c r="D50" s="433">
        <f t="shared" si="21"/>
        <v>16666.666666666668</v>
      </c>
      <c r="E50" s="433">
        <v>0</v>
      </c>
      <c r="F50" s="364">
        <v>0</v>
      </c>
      <c r="G50" s="364">
        <v>10000</v>
      </c>
      <c r="H50" s="1000">
        <v>10000</v>
      </c>
      <c r="I50" s="364">
        <v>0</v>
      </c>
      <c r="J50" s="361">
        <v>0</v>
      </c>
      <c r="K50" s="361">
        <v>0</v>
      </c>
      <c r="L50" s="364"/>
      <c r="M50" s="364"/>
      <c r="N50" s="364"/>
      <c r="O50" s="364"/>
      <c r="P50" s="1000"/>
      <c r="Q50" s="361">
        <f t="shared" si="17"/>
        <v>20000</v>
      </c>
      <c r="R50" s="364">
        <f t="shared" si="18"/>
        <v>116666.66666666667</v>
      </c>
      <c r="S50" s="658">
        <f t="shared" si="19"/>
        <v>96666.666666666672</v>
      </c>
      <c r="T50" s="656">
        <f t="shared" si="20"/>
        <v>96666.666666666672</v>
      </c>
    </row>
    <row r="51" spans="2:22" x14ac:dyDescent="0.25">
      <c r="B51" s="66" t="s">
        <v>109</v>
      </c>
      <c r="C51" s="898">
        <v>360000</v>
      </c>
      <c r="D51" s="899">
        <f t="shared" si="21"/>
        <v>30000</v>
      </c>
      <c r="E51" s="899">
        <v>0</v>
      </c>
      <c r="F51" s="898">
        <v>0</v>
      </c>
      <c r="G51" s="898">
        <v>26640</v>
      </c>
      <c r="H51" s="1018">
        <v>4390</v>
      </c>
      <c r="I51" s="898">
        <v>27030</v>
      </c>
      <c r="J51" s="1019">
        <v>0</v>
      </c>
      <c r="K51" s="1019">
        <v>75550</v>
      </c>
      <c r="L51" s="898"/>
      <c r="M51" s="898"/>
      <c r="N51" s="898"/>
      <c r="O51" s="898"/>
      <c r="P51" s="1018"/>
      <c r="Q51" s="1019">
        <f t="shared" si="17"/>
        <v>133610</v>
      </c>
      <c r="R51" s="898">
        <f t="shared" si="18"/>
        <v>210000</v>
      </c>
      <c r="S51" s="658">
        <f t="shared" si="19"/>
        <v>76390</v>
      </c>
      <c r="T51" s="656">
        <f t="shared" si="20"/>
        <v>76390</v>
      </c>
    </row>
    <row r="52" spans="2:22" x14ac:dyDescent="0.25">
      <c r="B52" s="62" t="s">
        <v>110</v>
      </c>
      <c r="C52" s="364">
        <v>150000</v>
      </c>
      <c r="D52" s="433">
        <f t="shared" si="21"/>
        <v>12500</v>
      </c>
      <c r="E52" s="433">
        <v>0</v>
      </c>
      <c r="F52" s="364">
        <v>0</v>
      </c>
      <c r="G52" s="364">
        <v>4500</v>
      </c>
      <c r="H52" s="1000">
        <v>0</v>
      </c>
      <c r="I52" s="364">
        <v>0</v>
      </c>
      <c r="J52" s="361">
        <v>0</v>
      </c>
      <c r="K52" s="361">
        <v>0</v>
      </c>
      <c r="L52" s="364"/>
      <c r="M52" s="364"/>
      <c r="N52" s="364"/>
      <c r="O52" s="364"/>
      <c r="P52" s="1000"/>
      <c r="Q52" s="361">
        <f t="shared" si="17"/>
        <v>4500</v>
      </c>
      <c r="R52" s="364">
        <f t="shared" si="18"/>
        <v>87500</v>
      </c>
      <c r="S52" s="658">
        <f t="shared" si="19"/>
        <v>83000</v>
      </c>
      <c r="T52" s="656">
        <f t="shared" si="20"/>
        <v>83000</v>
      </c>
    </row>
    <row r="53" spans="2:22" x14ac:dyDescent="0.25">
      <c r="B53" s="66" t="s">
        <v>111</v>
      </c>
      <c r="C53" s="898">
        <v>2700000</v>
      </c>
      <c r="D53" s="899">
        <f t="shared" si="21"/>
        <v>225000</v>
      </c>
      <c r="E53" s="899">
        <v>191152.44</v>
      </c>
      <c r="F53" s="898">
        <v>189522.6</v>
      </c>
      <c r="G53" s="898">
        <v>196603.1</v>
      </c>
      <c r="H53" s="1018">
        <v>179705.1</v>
      </c>
      <c r="I53" s="898">
        <v>225057.48</v>
      </c>
      <c r="J53" s="1019">
        <v>101784</v>
      </c>
      <c r="K53" s="1019">
        <v>108924</v>
      </c>
      <c r="L53" s="898"/>
      <c r="M53" s="898"/>
      <c r="N53" s="898"/>
      <c r="O53" s="898"/>
      <c r="P53" s="1018"/>
      <c r="Q53" s="1019">
        <f t="shared" si="17"/>
        <v>1192748.72</v>
      </c>
      <c r="R53" s="898">
        <f t="shared" si="18"/>
        <v>1575000</v>
      </c>
      <c r="S53" s="658">
        <f t="shared" si="19"/>
        <v>382251.28</v>
      </c>
      <c r="T53" s="656">
        <f t="shared" si="20"/>
        <v>382251.28</v>
      </c>
    </row>
    <row r="54" spans="2:22" s="145" customFormat="1" x14ac:dyDescent="0.25">
      <c r="B54" s="869" t="s">
        <v>68</v>
      </c>
      <c r="C54" s="901">
        <v>0</v>
      </c>
      <c r="D54" s="881">
        <f t="shared" si="21"/>
        <v>0</v>
      </c>
      <c r="E54" s="369">
        <v>0</v>
      </c>
      <c r="F54" s="370">
        <v>0</v>
      </c>
      <c r="G54" s="474">
        <v>1227</v>
      </c>
      <c r="H54" s="474">
        <v>5</v>
      </c>
      <c r="I54" s="1020">
        <v>-1887</v>
      </c>
      <c r="J54" s="474"/>
      <c r="K54" s="474">
        <v>1</v>
      </c>
      <c r="L54" s="474"/>
      <c r="M54" s="474"/>
      <c r="N54" s="474"/>
      <c r="O54" s="474"/>
      <c r="P54" s="474"/>
      <c r="Q54" s="440">
        <f t="shared" si="17"/>
        <v>-654</v>
      </c>
      <c r="R54" s="1020">
        <f t="shared" si="18"/>
        <v>0</v>
      </c>
      <c r="S54" s="658" t="e">
        <f>+#REF!-#REF!</f>
        <v>#REF!</v>
      </c>
      <c r="T54" s="656">
        <f t="shared" si="20"/>
        <v>654</v>
      </c>
    </row>
    <row r="55" spans="2:22" ht="15.75" hidden="1" customHeight="1" x14ac:dyDescent="0.25">
      <c r="B55" s="62" t="s">
        <v>112</v>
      </c>
      <c r="C55" s="659">
        <v>0</v>
      </c>
      <c r="D55" s="902">
        <f t="shared" si="21"/>
        <v>0</v>
      </c>
      <c r="E55" s="433"/>
      <c r="F55" s="364"/>
      <c r="G55" s="364"/>
      <c r="H55" s="1000"/>
      <c r="I55" s="364"/>
      <c r="J55" s="361"/>
      <c r="K55" s="361"/>
      <c r="L55" s="364"/>
      <c r="M55" s="364"/>
      <c r="N55" s="364"/>
      <c r="O55" s="364"/>
      <c r="P55" s="1000"/>
      <c r="Q55" s="361">
        <f t="shared" si="17"/>
        <v>0</v>
      </c>
      <c r="R55" s="364">
        <f t="shared" si="18"/>
        <v>0</v>
      </c>
      <c r="S55" s="658">
        <f>+R55-Q55</f>
        <v>0</v>
      </c>
      <c r="T55" s="656">
        <f t="shared" si="20"/>
        <v>0</v>
      </c>
    </row>
    <row r="56" spans="2:22" ht="13" x14ac:dyDescent="0.3">
      <c r="B56" s="67" t="s">
        <v>113</v>
      </c>
      <c r="C56" s="903">
        <f t="shared" ref="C56:J56" si="22">SUM(C46:C55)</f>
        <v>41759636</v>
      </c>
      <c r="D56" s="903">
        <f t="shared" si="22"/>
        <v>3479969.6666666665</v>
      </c>
      <c r="E56" s="903">
        <f t="shared" si="22"/>
        <v>3073400.44</v>
      </c>
      <c r="F56" s="903">
        <f t="shared" si="22"/>
        <v>3071770.6</v>
      </c>
      <c r="G56" s="903">
        <f t="shared" si="22"/>
        <v>3260328.1</v>
      </c>
      <c r="H56" s="1021">
        <f t="shared" si="22"/>
        <v>4013875.1</v>
      </c>
      <c r="I56" s="362">
        <f t="shared" si="22"/>
        <v>3401383.48</v>
      </c>
      <c r="J56" s="362">
        <f t="shared" si="22"/>
        <v>3787532</v>
      </c>
      <c r="K56" s="362">
        <f>SUM(K46:K55)</f>
        <v>3335758</v>
      </c>
      <c r="L56" s="362"/>
      <c r="M56" s="362"/>
      <c r="N56" s="362"/>
      <c r="O56" s="362"/>
      <c r="P56" s="999"/>
      <c r="Q56" s="362">
        <f>SUM(Q46:Q55)</f>
        <v>23944047.719999999</v>
      </c>
      <c r="R56" s="362">
        <f t="shared" si="18"/>
        <v>24359787.666666664</v>
      </c>
      <c r="S56" s="882" t="e">
        <f>SUM(S46:S55)</f>
        <v>#REF!</v>
      </c>
      <c r="T56" s="661">
        <f t="shared" si="20"/>
        <v>415739.94666666538</v>
      </c>
    </row>
    <row r="57" spans="2:22" x14ac:dyDescent="0.25">
      <c r="B57" s="68" t="s">
        <v>118</v>
      </c>
      <c r="C57" s="903">
        <f>+C56+C44+C30+C34+C19</f>
        <v>356841927.21000004</v>
      </c>
      <c r="D57" s="406">
        <f>+D56+D44+D30+D19</f>
        <v>29736827.267500002</v>
      </c>
      <c r="E57" s="406">
        <f t="shared" ref="E57:P57" si="23">+E56+E44+E30+E34+E19</f>
        <v>29096206.32</v>
      </c>
      <c r="F57" s="362">
        <f t="shared" si="23"/>
        <v>28666715.600000001</v>
      </c>
      <c r="G57" s="903">
        <f t="shared" si="23"/>
        <v>29124953.100000001</v>
      </c>
      <c r="H57" s="1021">
        <f t="shared" si="23"/>
        <v>26968598.100000001</v>
      </c>
      <c r="I57" s="362">
        <f t="shared" si="23"/>
        <v>29889745.48</v>
      </c>
      <c r="J57" s="867">
        <f>+J56+J44+J30+J34+J19</f>
        <v>26648874</v>
      </c>
      <c r="K57" s="867">
        <f>+K56+K44+K30+K34+K19</f>
        <v>29171361</v>
      </c>
      <c r="L57" s="362">
        <f t="shared" si="23"/>
        <v>0</v>
      </c>
      <c r="M57" s="362">
        <f t="shared" si="23"/>
        <v>0</v>
      </c>
      <c r="N57" s="362">
        <f t="shared" si="23"/>
        <v>0</v>
      </c>
      <c r="O57" s="362">
        <f t="shared" si="23"/>
        <v>0</v>
      </c>
      <c r="P57" s="362">
        <f t="shared" si="23"/>
        <v>0</v>
      </c>
      <c r="Q57" s="867">
        <f>+Q56+Q44+Q30+Q34+Q19</f>
        <v>199566453.59999999</v>
      </c>
      <c r="R57" s="362">
        <f t="shared" si="18"/>
        <v>208157790.8725</v>
      </c>
      <c r="S57" s="904" t="e">
        <f>+S56+S44+S30+S34+S19</f>
        <v>#REF!</v>
      </c>
      <c r="T57" s="904">
        <f>+T56+T44+T30+T34+T19</f>
        <v>8591337.2725000307</v>
      </c>
      <c r="U57" s="462" t="s">
        <v>33</v>
      </c>
      <c r="V57" s="462" t="s">
        <v>33</v>
      </c>
    </row>
    <row r="58" spans="2:22" ht="13" x14ac:dyDescent="0.3">
      <c r="B58" s="52"/>
      <c r="C58" s="383"/>
      <c r="D58" s="435"/>
      <c r="E58" s="362"/>
      <c r="F58" s="382"/>
      <c r="G58" s="382"/>
      <c r="H58" s="382"/>
      <c r="I58" s="382"/>
      <c r="J58" s="382"/>
      <c r="K58" s="382"/>
      <c r="L58" s="382"/>
      <c r="M58" s="382"/>
      <c r="N58" s="382"/>
      <c r="O58" s="382"/>
      <c r="P58" s="382"/>
      <c r="Q58" s="382"/>
      <c r="R58" s="382"/>
      <c r="S58" s="662"/>
      <c r="T58" s="667"/>
    </row>
    <row r="59" spans="2:22" ht="13" x14ac:dyDescent="0.3">
      <c r="B59" s="905" t="s">
        <v>219</v>
      </c>
      <c r="C59" s="906">
        <f>SUM(C60:C64)</f>
        <v>0</v>
      </c>
      <c r="D59" s="865"/>
      <c r="E59" s="865">
        <f>SUM(E60:E65)</f>
        <v>451228.69</v>
      </c>
      <c r="F59" s="907">
        <f>SUM(F60:F64)</f>
        <v>472103.33999999997</v>
      </c>
      <c r="G59" s="907">
        <f>SUM(G60:G64)</f>
        <v>455679.26</v>
      </c>
      <c r="H59" s="907">
        <f>SUM(H60:H64)</f>
        <v>411197.13</v>
      </c>
      <c r="I59" s="907">
        <f>SUM(I60:I65)</f>
        <v>713029.05</v>
      </c>
      <c r="J59" s="907">
        <f>SUM(J60:J65)</f>
        <v>414671.35999999999</v>
      </c>
      <c r="K59" s="907">
        <f>SUM(K60:K65)</f>
        <v>602175.76</v>
      </c>
      <c r="L59" s="907">
        <f t="shared" ref="L59:S59" si="24">SUM(L60:L64)</f>
        <v>0</v>
      </c>
      <c r="M59" s="907">
        <f t="shared" si="24"/>
        <v>0</v>
      </c>
      <c r="N59" s="907">
        <f t="shared" si="24"/>
        <v>0</v>
      </c>
      <c r="O59" s="907">
        <f t="shared" si="24"/>
        <v>0</v>
      </c>
      <c r="P59" s="907">
        <f t="shared" si="24"/>
        <v>0</v>
      </c>
      <c r="Q59" s="907">
        <f>SUM(Q60:Q65)</f>
        <v>3520084.59</v>
      </c>
      <c r="R59" s="907">
        <f t="shared" si="24"/>
        <v>0</v>
      </c>
      <c r="S59" s="910">
        <f t="shared" si="24"/>
        <v>-3271631.85</v>
      </c>
      <c r="T59" s="661">
        <f>+Q59</f>
        <v>3520084.59</v>
      </c>
    </row>
    <row r="60" spans="2:22" x14ac:dyDescent="0.25">
      <c r="B60" s="106" t="s">
        <v>121</v>
      </c>
      <c r="C60" s="376"/>
      <c r="D60" s="361"/>
      <c r="E60" s="361">
        <v>69013</v>
      </c>
      <c r="F60" s="364">
        <v>95407</v>
      </c>
      <c r="G60" s="382">
        <v>139518</v>
      </c>
      <c r="H60" s="382">
        <v>92495</v>
      </c>
      <c r="I60" s="382">
        <v>136086</v>
      </c>
      <c r="J60" s="382">
        <v>108094</v>
      </c>
      <c r="K60" s="382">
        <v>249985</v>
      </c>
      <c r="L60" s="382"/>
      <c r="M60" s="382"/>
      <c r="N60" s="382"/>
      <c r="O60" s="382"/>
      <c r="P60" s="382"/>
      <c r="Q60" s="382">
        <f t="shared" ref="Q60:Q65" si="25">SUM(E60:P60)</f>
        <v>890598</v>
      </c>
      <c r="R60" s="382">
        <v>0</v>
      </c>
      <c r="S60" s="668">
        <f>+R60-Q60</f>
        <v>-890598</v>
      </c>
      <c r="T60" s="657"/>
    </row>
    <row r="61" spans="2:22" x14ac:dyDescent="0.25">
      <c r="B61" s="913" t="s">
        <v>122</v>
      </c>
      <c r="C61" s="914"/>
      <c r="D61" s="915"/>
      <c r="E61" s="915">
        <f>669.24+123715.45</f>
        <v>124384.69</v>
      </c>
      <c r="F61" s="916">
        <f>52094.04+1011.3</f>
        <v>53105.340000000004</v>
      </c>
      <c r="G61" s="916">
        <f>57021.36+1056.9</f>
        <v>58078.26</v>
      </c>
      <c r="H61" s="916">
        <f>1143+59728.13</f>
        <v>60871.13</v>
      </c>
      <c r="I61" s="916">
        <v>67835.31</v>
      </c>
      <c r="J61" s="916">
        <v>48746.36</v>
      </c>
      <c r="K61" s="916">
        <f>4108.41+88124.35</f>
        <v>92232.760000000009</v>
      </c>
      <c r="L61" s="916"/>
      <c r="M61" s="916"/>
      <c r="N61" s="916"/>
      <c r="O61" s="916"/>
      <c r="P61" s="916"/>
      <c r="Q61" s="916">
        <f t="shared" si="25"/>
        <v>505253.85</v>
      </c>
      <c r="R61" s="916">
        <v>0</v>
      </c>
      <c r="S61" s="668">
        <f>+R61-Q61</f>
        <v>-505253.85</v>
      </c>
      <c r="T61" s="657"/>
    </row>
    <row r="62" spans="2:22" x14ac:dyDescent="0.25">
      <c r="B62" s="106" t="s">
        <v>1227</v>
      </c>
      <c r="C62" s="376"/>
      <c r="D62" s="361"/>
      <c r="E62" s="361"/>
      <c r="F62" s="364">
        <v>0</v>
      </c>
      <c r="G62" s="382"/>
      <c r="H62" s="382"/>
      <c r="I62" s="382">
        <v>0</v>
      </c>
      <c r="J62" s="382">
        <v>0</v>
      </c>
      <c r="K62" s="382">
        <v>0</v>
      </c>
      <c r="L62" s="382"/>
      <c r="M62" s="382"/>
      <c r="N62" s="382"/>
      <c r="O62" s="382"/>
      <c r="P62" s="382"/>
      <c r="Q62" s="382">
        <f t="shared" si="25"/>
        <v>0</v>
      </c>
      <c r="R62" s="382">
        <v>0</v>
      </c>
      <c r="S62" s="668">
        <f>+R62-Q62</f>
        <v>0</v>
      </c>
      <c r="T62" s="657"/>
    </row>
    <row r="63" spans="2:22" x14ac:dyDescent="0.25">
      <c r="B63" s="913" t="s">
        <v>123</v>
      </c>
      <c r="C63" s="914"/>
      <c r="D63" s="915"/>
      <c r="E63" s="915">
        <v>257831</v>
      </c>
      <c r="F63" s="916">
        <v>323591</v>
      </c>
      <c r="G63" s="916">
        <v>257831</v>
      </c>
      <c r="H63" s="916">
        <v>257831</v>
      </c>
      <c r="I63" s="916">
        <v>257831</v>
      </c>
      <c r="J63" s="916">
        <v>257831</v>
      </c>
      <c r="K63" s="916">
        <v>259958</v>
      </c>
      <c r="L63" s="916"/>
      <c r="M63" s="916"/>
      <c r="N63" s="916"/>
      <c r="O63" s="916"/>
      <c r="P63" s="916"/>
      <c r="Q63" s="916">
        <f t="shared" si="25"/>
        <v>1872704</v>
      </c>
      <c r="R63" s="916">
        <v>0</v>
      </c>
      <c r="S63" s="668">
        <f>+R63-Q63</f>
        <v>-1872704</v>
      </c>
      <c r="T63" s="657"/>
    </row>
    <row r="64" spans="2:22" x14ac:dyDescent="0.25">
      <c r="B64" s="106" t="s">
        <v>124</v>
      </c>
      <c r="C64" s="376"/>
      <c r="D64" s="364"/>
      <c r="E64" s="364"/>
      <c r="F64" s="364"/>
      <c r="G64" s="382">
        <v>252</v>
      </c>
      <c r="H64" s="382"/>
      <c r="I64" s="382">
        <f>2321+503</f>
        <v>2824</v>
      </c>
      <c r="J64" s="382">
        <v>0</v>
      </c>
      <c r="K64" s="382">
        <v>0</v>
      </c>
      <c r="L64" s="382"/>
      <c r="M64" s="382"/>
      <c r="N64" s="382"/>
      <c r="O64" s="382"/>
      <c r="P64" s="382"/>
      <c r="Q64" s="382">
        <f t="shared" si="25"/>
        <v>3076</v>
      </c>
      <c r="R64" s="382">
        <v>0</v>
      </c>
      <c r="S64" s="668">
        <f>+R64-Q64</f>
        <v>-3076</v>
      </c>
      <c r="T64" s="657"/>
    </row>
    <row r="65" spans="2:21" x14ac:dyDescent="0.25">
      <c r="B65" s="918" t="s">
        <v>1410</v>
      </c>
      <c r="C65" s="919"/>
      <c r="D65" s="920"/>
      <c r="E65" s="920"/>
      <c r="F65" s="920"/>
      <c r="G65" s="886"/>
      <c r="H65" s="886"/>
      <c r="I65" s="916">
        <v>248452.74</v>
      </c>
      <c r="J65" s="916">
        <v>0</v>
      </c>
      <c r="K65" s="916">
        <v>0</v>
      </c>
      <c r="L65" s="916"/>
      <c r="M65" s="916"/>
      <c r="N65" s="916"/>
      <c r="O65" s="916"/>
      <c r="P65" s="916"/>
      <c r="Q65" s="382">
        <f t="shared" si="25"/>
        <v>248452.74</v>
      </c>
      <c r="R65" s="916"/>
      <c r="S65" s="668"/>
      <c r="T65" s="922"/>
    </row>
    <row r="66" spans="2:21" ht="15.5" x14ac:dyDescent="0.35">
      <c r="B66" s="271" t="s">
        <v>566</v>
      </c>
      <c r="C66" s="384">
        <f>+C8-C57</f>
        <v>-0.21000003814697266</v>
      </c>
      <c r="D66" s="385">
        <f>+D8-D57</f>
        <v>-1.7500001937150955E-2</v>
      </c>
      <c r="E66" s="669">
        <f t="shared" ref="E66:J66" si="26">+E8-E57+E59</f>
        <v>56589.369999999704</v>
      </c>
      <c r="F66" s="669">
        <f t="shared" si="26"/>
        <v>506954.73999999848</v>
      </c>
      <c r="G66" s="385">
        <f t="shared" si="26"/>
        <v>32293.159999998519</v>
      </c>
      <c r="H66" s="385">
        <f t="shared" si="26"/>
        <v>6280234.0299999984</v>
      </c>
      <c r="I66" s="1022">
        <f>+I8-I57+I59</f>
        <v>558867.5699999996</v>
      </c>
      <c r="J66" s="1022">
        <f t="shared" si="26"/>
        <v>3501381.36</v>
      </c>
      <c r="K66" s="1028">
        <f>+K8-K57+K59</f>
        <v>1166398.76</v>
      </c>
      <c r="L66" s="1022"/>
      <c r="M66" s="1022">
        <f>+M8-M57+M59</f>
        <v>0</v>
      </c>
      <c r="N66" s="1022">
        <f>+N8-N57+N59</f>
        <v>0</v>
      </c>
      <c r="O66" s="1022">
        <f>+O8-O57+O59</f>
        <v>0</v>
      </c>
      <c r="P66" s="1022">
        <f>+P8-P57+P59</f>
        <v>0</v>
      </c>
      <c r="Q66" s="1022">
        <f>+Q8-Q57+Q59</f>
        <v>12102718.990000006</v>
      </c>
      <c r="R66" s="1022">
        <v>0</v>
      </c>
      <c r="S66" s="670" t="e">
        <f>+S8-S57+S59</f>
        <v>#REF!</v>
      </c>
      <c r="T66" s="670">
        <f>+T57-T8+T59</f>
        <v>12102719.112500031</v>
      </c>
    </row>
    <row r="67" spans="2:21" hidden="1" x14ac:dyDescent="0.25">
      <c r="B67" s="415"/>
      <c r="C67" s="353"/>
      <c r="D67" s="353"/>
      <c r="E67" s="353"/>
      <c r="F67" s="387">
        <f>SUM(E66:F66)</f>
        <v>563544.10999999824</v>
      </c>
      <c r="G67" s="387">
        <f>SUM(E66:G66)</f>
        <v>595837.26999999676</v>
      </c>
      <c r="H67" s="387">
        <f>SUM(E66:H66)</f>
        <v>6876071.2999999952</v>
      </c>
      <c r="I67" s="387">
        <f>SUM(E66:I66)</f>
        <v>7434938.8699999945</v>
      </c>
      <c r="J67" s="387"/>
      <c r="K67" s="387"/>
      <c r="L67" s="387"/>
      <c r="M67" s="387"/>
      <c r="N67" s="387"/>
      <c r="O67" s="387"/>
      <c r="P67" s="387"/>
      <c r="Q67" s="387"/>
      <c r="R67" s="387"/>
      <c r="T67" s="667"/>
    </row>
    <row r="68" spans="2:21" x14ac:dyDescent="0.25">
      <c r="B68" s="672"/>
      <c r="C68" s="408"/>
      <c r="D68" s="408"/>
      <c r="E68" s="408"/>
      <c r="F68" s="408"/>
      <c r="G68" s="408"/>
      <c r="H68" s="408"/>
      <c r="I68" s="361">
        <f>SUM(E66:I66)</f>
        <v>7434938.8699999945</v>
      </c>
      <c r="J68" s="361">
        <f>SUM(E66:J66)</f>
        <v>10936320.229999995</v>
      </c>
      <c r="K68" s="361">
        <f>SUM(E66:K66)</f>
        <v>12102718.989999995</v>
      </c>
      <c r="L68" s="361"/>
      <c r="M68" s="361"/>
      <c r="N68" s="361" t="s">
        <v>33</v>
      </c>
      <c r="O68" s="361" t="s">
        <v>33</v>
      </c>
      <c r="P68" s="361"/>
      <c r="Q68" s="361"/>
      <c r="R68" s="361"/>
      <c r="S68" s="1023" t="e">
        <f>+Q66+S66</f>
        <v>#REF!</v>
      </c>
      <c r="T68" s="44"/>
      <c r="U68" s="462" t="s">
        <v>33</v>
      </c>
    </row>
    <row r="69" spans="2:21" x14ac:dyDescent="0.25">
      <c r="B69" s="289" t="s">
        <v>456</v>
      </c>
      <c r="C69" s="474"/>
      <c r="D69" s="474"/>
      <c r="E69" s="474"/>
      <c r="F69" s="674" t="s">
        <v>40</v>
      </c>
      <c r="G69" s="474"/>
      <c r="H69" s="474"/>
      <c r="I69" s="474"/>
      <c r="J69" s="474"/>
      <c r="K69" s="404" t="s">
        <v>40</v>
      </c>
      <c r="L69" s="474"/>
      <c r="M69" s="440"/>
      <c r="N69" s="664"/>
      <c r="O69" s="474"/>
      <c r="P69" s="474"/>
      <c r="Q69" s="474"/>
      <c r="R69" s="440"/>
      <c r="S69" s="405"/>
      <c r="T69" s="145"/>
    </row>
    <row r="70" spans="2:21" x14ac:dyDescent="0.25">
      <c r="B70" s="289" t="s">
        <v>119</v>
      </c>
      <c r="C70" s="474"/>
      <c r="D70" s="474"/>
      <c r="E70" s="474"/>
      <c r="F70" s="474" t="s">
        <v>48</v>
      </c>
      <c r="G70" s="474"/>
      <c r="H70" s="474"/>
      <c r="I70" s="474"/>
      <c r="J70" s="440"/>
      <c r="K70" s="675" t="s">
        <v>48</v>
      </c>
      <c r="L70" s="440"/>
      <c r="M70" s="474"/>
      <c r="N70" s="664"/>
      <c r="O70" s="474" t="s">
        <v>33</v>
      </c>
      <c r="P70" s="474"/>
      <c r="Q70" s="474"/>
      <c r="R70" s="474"/>
      <c r="S70" s="405"/>
      <c r="T70" s="145"/>
    </row>
    <row r="71" spans="2:21" x14ac:dyDescent="0.25">
      <c r="B71" s="145"/>
      <c r="C71" s="474"/>
      <c r="D71" s="474"/>
      <c r="E71" s="474"/>
      <c r="F71" s="474"/>
      <c r="G71" s="474"/>
      <c r="H71" s="474"/>
      <c r="I71" s="474"/>
      <c r="J71" s="474"/>
      <c r="K71" s="474"/>
      <c r="L71" s="474"/>
      <c r="M71" s="474"/>
      <c r="N71" s="664"/>
      <c r="O71" s="474"/>
      <c r="P71" s="474"/>
      <c r="Q71" s="474"/>
      <c r="R71" s="474"/>
      <c r="S71" s="405"/>
      <c r="T71" s="145"/>
    </row>
    <row r="72" spans="2:21" x14ac:dyDescent="0.25">
      <c r="B72" s="145"/>
      <c r="C72" s="474"/>
      <c r="D72" s="474"/>
      <c r="E72" s="474"/>
      <c r="F72" s="474"/>
      <c r="G72" s="474"/>
      <c r="H72" s="474"/>
      <c r="I72" s="474"/>
      <c r="J72" s="474"/>
      <c r="K72" s="474"/>
      <c r="L72" s="474"/>
      <c r="M72" s="474"/>
      <c r="N72" s="664"/>
      <c r="O72" s="474"/>
      <c r="P72" s="474"/>
      <c r="Q72" s="474"/>
      <c r="R72" s="474"/>
      <c r="S72" s="405"/>
      <c r="T72" s="145"/>
    </row>
    <row r="73" spans="2:21" x14ac:dyDescent="0.25">
      <c r="B73" s="145"/>
      <c r="C73" s="474"/>
      <c r="D73" s="474"/>
      <c r="E73" s="474"/>
      <c r="F73" s="440" t="s">
        <v>33</v>
      </c>
      <c r="G73" s="474"/>
      <c r="H73" s="440"/>
      <c r="I73" s="474"/>
      <c r="J73" s="474"/>
      <c r="K73" s="474"/>
      <c r="L73" s="474"/>
      <c r="M73" s="474"/>
      <c r="N73" s="664"/>
      <c r="O73" s="474"/>
      <c r="P73" s="474"/>
      <c r="Q73" s="474"/>
      <c r="R73" s="474"/>
      <c r="S73" s="405"/>
      <c r="T73" s="1029"/>
    </row>
    <row r="74" spans="2:21" x14ac:dyDescent="0.25">
      <c r="B74" s="145"/>
      <c r="C74" s="474"/>
      <c r="D74" s="474"/>
      <c r="E74" s="474"/>
      <c r="F74" s="474"/>
      <c r="G74" s="440"/>
      <c r="H74" s="474"/>
      <c r="I74" s="440"/>
      <c r="J74" s="474">
        <v>-3501381.36</v>
      </c>
      <c r="K74" s="474">
        <v>-1166399</v>
      </c>
      <c r="L74" s="474"/>
      <c r="M74" s="474"/>
      <c r="N74" s="664"/>
      <c r="O74" s="474"/>
      <c r="P74" s="474"/>
      <c r="Q74" s="474"/>
      <c r="R74" s="474"/>
      <c r="S74" s="405"/>
      <c r="T74" s="1029"/>
    </row>
    <row r="75" spans="2:21" x14ac:dyDescent="0.25">
      <c r="B75" s="145"/>
      <c r="C75" s="474"/>
      <c r="D75" s="474"/>
      <c r="E75" s="474"/>
      <c r="F75" s="474"/>
      <c r="G75" s="474"/>
      <c r="H75" s="474"/>
      <c r="I75" s="474"/>
      <c r="J75" s="440">
        <f>+J66+J74</f>
        <v>0</v>
      </c>
      <c r="K75" s="440">
        <f>+K66+K74</f>
        <v>-0.23999999999068677</v>
      </c>
      <c r="L75" s="474"/>
      <c r="M75" s="474"/>
      <c r="N75" s="664"/>
      <c r="O75" s="474"/>
      <c r="P75" s="474"/>
      <c r="Q75" s="474"/>
      <c r="R75" s="474"/>
      <c r="S75" s="405"/>
      <c r="T75" s="145"/>
    </row>
    <row r="76" spans="2:21" x14ac:dyDescent="0.25">
      <c r="B76" s="1633" t="s">
        <v>962</v>
      </c>
      <c r="C76" s="1634"/>
      <c r="D76"/>
      <c r="U76" s="462" t="s">
        <v>33</v>
      </c>
    </row>
    <row r="77" spans="2:21" x14ac:dyDescent="0.25">
      <c r="B77" s="302" t="s">
        <v>773</v>
      </c>
      <c r="C77" s="638">
        <f>-49920464</f>
        <v>-49920464</v>
      </c>
      <c r="D77"/>
      <c r="U77" s="1" t="s">
        <v>33</v>
      </c>
    </row>
    <row r="78" spans="2:21" x14ac:dyDescent="0.25">
      <c r="B78" s="639" t="s">
        <v>963</v>
      </c>
      <c r="C78" s="640">
        <v>-893269.33</v>
      </c>
      <c r="D78"/>
    </row>
    <row r="79" spans="2:21" x14ac:dyDescent="0.25">
      <c r="B79" s="641" t="s">
        <v>964</v>
      </c>
      <c r="C79" s="642">
        <f>SUM(C77:C78)</f>
        <v>-50813733.329999998</v>
      </c>
      <c r="D79"/>
    </row>
    <row r="80" spans="2:21" x14ac:dyDescent="0.25">
      <c r="B80" s="639" t="s">
        <v>965</v>
      </c>
      <c r="C80" s="643"/>
      <c r="D80"/>
    </row>
    <row r="81" spans="2:4" x14ac:dyDescent="0.25">
      <c r="B81" s="302" t="s">
        <v>75</v>
      </c>
      <c r="C81" s="640">
        <v>7425682</v>
      </c>
      <c r="D81"/>
    </row>
    <row r="82" spans="2:4" x14ac:dyDescent="0.25">
      <c r="B82" s="302" t="s">
        <v>58</v>
      </c>
      <c r="C82" s="640">
        <v>8550122</v>
      </c>
      <c r="D82"/>
    </row>
    <row r="83" spans="2:4" x14ac:dyDescent="0.25">
      <c r="B83" s="302" t="s">
        <v>220</v>
      </c>
      <c r="C83" s="640">
        <v>3837291</v>
      </c>
      <c r="D83"/>
    </row>
    <row r="84" spans="2:4" x14ac:dyDescent="0.25">
      <c r="B84" s="302" t="s">
        <v>224</v>
      </c>
      <c r="C84" s="640">
        <v>23006463.5</v>
      </c>
      <c r="D84"/>
    </row>
    <row r="85" spans="2:4" x14ac:dyDescent="0.25">
      <c r="B85" s="302" t="s">
        <v>966</v>
      </c>
      <c r="C85" s="640">
        <v>7994163.0700000003</v>
      </c>
      <c r="D85"/>
    </row>
    <row r="86" spans="2:4" x14ac:dyDescent="0.25">
      <c r="B86" s="644" t="s">
        <v>967</v>
      </c>
      <c r="C86" s="645">
        <f>SUM(C81:C85)</f>
        <v>50813721.57</v>
      </c>
      <c r="D86"/>
    </row>
    <row r="87" spans="2:4" x14ac:dyDescent="0.25">
      <c r="C87" s="325"/>
      <c r="D87"/>
    </row>
    <row r="88" spans="2:4" x14ac:dyDescent="0.25">
      <c r="C88" s="325"/>
      <c r="D88"/>
    </row>
    <row r="89" spans="2:4" x14ac:dyDescent="0.25">
      <c r="B89" s="1633" t="s">
        <v>962</v>
      </c>
      <c r="C89" s="1634"/>
      <c r="D89"/>
    </row>
    <row r="90" spans="2:4" x14ac:dyDescent="0.25">
      <c r="B90" s="302" t="s">
        <v>773</v>
      </c>
      <c r="C90" s="638">
        <f>-49920464</f>
        <v>-49920464</v>
      </c>
    </row>
    <row r="91" spans="2:4" x14ac:dyDescent="0.25">
      <c r="B91" s="639" t="s">
        <v>963</v>
      </c>
      <c r="C91" s="640">
        <v>-893269.33</v>
      </c>
    </row>
    <row r="92" spans="2:4" x14ac:dyDescent="0.25">
      <c r="B92" s="641" t="s">
        <v>964</v>
      </c>
      <c r="C92" s="642">
        <f>SUM(C90:C91)</f>
        <v>-50813733.329999998</v>
      </c>
    </row>
    <row r="93" spans="2:4" x14ac:dyDescent="0.25">
      <c r="B93" s="639" t="s">
        <v>965</v>
      </c>
      <c r="C93" s="643"/>
    </row>
    <row r="94" spans="2:4" x14ac:dyDescent="0.25">
      <c r="B94" s="302" t="s">
        <v>75</v>
      </c>
      <c r="C94" s="640">
        <v>7425682</v>
      </c>
    </row>
    <row r="95" spans="2:4" x14ac:dyDescent="0.25">
      <c r="B95" s="302" t="s">
        <v>58</v>
      </c>
      <c r="C95" s="640">
        <v>0</v>
      </c>
    </row>
    <row r="96" spans="2:4" x14ac:dyDescent="0.25">
      <c r="B96" s="302" t="s">
        <v>220</v>
      </c>
      <c r="C96" s="640">
        <v>3837291</v>
      </c>
    </row>
    <row r="97" spans="2:3" x14ac:dyDescent="0.25">
      <c r="B97" s="302" t="s">
        <v>224</v>
      </c>
      <c r="C97" s="640">
        <v>0</v>
      </c>
    </row>
    <row r="98" spans="2:3" x14ac:dyDescent="0.25">
      <c r="B98" s="302" t="s">
        <v>966</v>
      </c>
      <c r="C98" s="640">
        <v>7994163.0700000003</v>
      </c>
    </row>
    <row r="99" spans="2:3" x14ac:dyDescent="0.25">
      <c r="B99" s="644" t="s">
        <v>967</v>
      </c>
      <c r="C99" s="645">
        <f>SUM(C94:C98)</f>
        <v>19257136.07</v>
      </c>
    </row>
    <row r="100" spans="2:3" x14ac:dyDescent="0.25">
      <c r="C100"/>
    </row>
    <row r="101" spans="2:3" x14ac:dyDescent="0.25">
      <c r="B101" s="289" t="s">
        <v>1402</v>
      </c>
      <c r="C101" s="404">
        <v>31805050</v>
      </c>
    </row>
  </sheetData>
  <mergeCells count="4">
    <mergeCell ref="B1:S1"/>
    <mergeCell ref="B3:S3"/>
    <mergeCell ref="B76:C76"/>
    <mergeCell ref="B89:C89"/>
  </mergeCell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AD678-FD55-4825-B2D0-1D294581A782}">
  <dimension ref="A1:BI150"/>
  <sheetViews>
    <sheetView topLeftCell="A24" zoomScale="48" zoomScaleNormal="48" workbookViewId="0">
      <selection activeCell="S27" sqref="S27"/>
    </sheetView>
  </sheetViews>
  <sheetFormatPr baseColWidth="10" defaultColWidth="10.90625" defaultRowHeight="12.5" x14ac:dyDescent="0.25"/>
  <cols>
    <col min="1" max="1" width="3.54296875" customWidth="1"/>
    <col min="2" max="2" width="28.26953125" customWidth="1"/>
    <col min="3" max="3" width="14.81640625" style="352" customWidth="1"/>
    <col min="4" max="4" width="10.453125" style="352" customWidth="1"/>
    <col min="5" max="5" width="11.7265625" style="352" hidden="1" customWidth="1"/>
    <col min="6" max="6" width="12.54296875" style="352" hidden="1" customWidth="1"/>
    <col min="7" max="7" width="11.81640625" style="352" hidden="1" customWidth="1"/>
    <col min="8" max="8" width="12" style="352" hidden="1" customWidth="1"/>
    <col min="9" max="9" width="12.1796875" style="352" customWidth="1"/>
    <col min="10" max="10" width="11.7265625" style="352" customWidth="1"/>
    <col min="11" max="13" width="15.7265625" style="352" hidden="1" customWidth="1"/>
    <col min="14" max="14" width="15.7265625" style="388" hidden="1" customWidth="1"/>
    <col min="15" max="16" width="15.7265625" style="352" hidden="1" customWidth="1"/>
    <col min="17" max="17" width="13.453125" style="352" customWidth="1"/>
    <col min="18" max="18" width="15.54296875" style="353" customWidth="1"/>
    <col min="19" max="19" width="17.36328125" style="389" customWidth="1"/>
    <col min="21" max="25" width="0" hidden="1" customWidth="1"/>
    <col min="28" max="31" width="11.54296875" customWidth="1"/>
    <col min="35" max="36" width="12.7265625" customWidth="1"/>
    <col min="37" max="37" width="12.6328125" customWidth="1"/>
  </cols>
  <sheetData>
    <row r="1" spans="1:48" x14ac:dyDescent="0.25">
      <c r="B1" s="1649" t="s">
        <v>218</v>
      </c>
      <c r="C1" s="1650"/>
      <c r="D1" s="1650"/>
      <c r="E1" s="1650"/>
      <c r="F1" s="1650"/>
      <c r="G1" s="1650"/>
      <c r="H1" s="1650"/>
      <c r="I1" s="1650"/>
      <c r="J1" s="1650"/>
      <c r="K1" s="1650"/>
      <c r="L1" s="1650"/>
      <c r="M1" s="1650"/>
      <c r="N1" s="1650"/>
      <c r="O1" s="1650"/>
      <c r="P1" s="1650"/>
      <c r="Q1" s="1650"/>
      <c r="R1" s="1650"/>
      <c r="S1" s="1651"/>
    </row>
    <row r="2" spans="1:48" ht="9" customHeight="1" x14ac:dyDescent="0.25">
      <c r="B2" s="104"/>
      <c r="S2" s="354"/>
    </row>
    <row r="3" spans="1:48" x14ac:dyDescent="0.25">
      <c r="B3" s="1652" t="s">
        <v>1220</v>
      </c>
      <c r="C3" s="1653"/>
      <c r="D3" s="1653"/>
      <c r="E3" s="1653"/>
      <c r="F3" s="1653"/>
      <c r="G3" s="1653"/>
      <c r="H3" s="1653"/>
      <c r="I3" s="1653"/>
      <c r="J3" s="1653"/>
      <c r="K3" s="1653"/>
      <c r="L3" s="1653"/>
      <c r="M3" s="1653"/>
      <c r="N3" s="1653"/>
      <c r="O3" s="1653"/>
      <c r="P3" s="1653"/>
      <c r="Q3" s="1653"/>
      <c r="R3" s="1653"/>
      <c r="S3" s="1654"/>
    </row>
    <row r="4" spans="1:48" x14ac:dyDescent="0.25">
      <c r="B4" s="105"/>
      <c r="C4" s="650"/>
      <c r="D4" s="650"/>
      <c r="E4" s="650"/>
      <c r="F4" s="650"/>
      <c r="G4" s="650"/>
      <c r="H4" s="650"/>
      <c r="I4" s="650"/>
      <c r="J4" s="650"/>
      <c r="K4" s="650"/>
      <c r="L4" s="650"/>
      <c r="M4" s="650"/>
      <c r="N4" s="651"/>
      <c r="O4" s="650"/>
      <c r="P4" s="650"/>
      <c r="Q4" s="650"/>
      <c r="R4" s="652"/>
      <c r="S4" s="355"/>
    </row>
    <row r="5" spans="1:48" ht="23.25" customHeight="1" x14ac:dyDescent="0.3">
      <c r="A5">
        <v>12</v>
      </c>
      <c r="B5" s="13">
        <v>6</v>
      </c>
      <c r="C5" s="745" t="s">
        <v>1408</v>
      </c>
      <c r="D5" s="746" t="s">
        <v>1221</v>
      </c>
      <c r="E5" s="357" t="s">
        <v>14</v>
      </c>
      <c r="F5" s="357" t="s">
        <v>15</v>
      </c>
      <c r="G5" s="357" t="s">
        <v>1222</v>
      </c>
      <c r="H5" s="357" t="s">
        <v>16</v>
      </c>
      <c r="I5" s="357" t="s">
        <v>17</v>
      </c>
      <c r="J5" s="357" t="s">
        <v>18</v>
      </c>
      <c r="K5" s="357" t="s">
        <v>19</v>
      </c>
      <c r="L5" s="357" t="s">
        <v>20</v>
      </c>
      <c r="M5" s="357" t="s">
        <v>21</v>
      </c>
      <c r="N5" s="358" t="s">
        <v>22</v>
      </c>
      <c r="O5" s="357" t="s">
        <v>23</v>
      </c>
      <c r="P5" s="357" t="s">
        <v>24</v>
      </c>
      <c r="Q5" s="359" t="s">
        <v>25</v>
      </c>
      <c r="R5" s="360" t="s">
        <v>26</v>
      </c>
      <c r="S5" s="653" t="s">
        <v>46</v>
      </c>
      <c r="T5" s="654" t="s">
        <v>1223</v>
      </c>
    </row>
    <row r="6" spans="1:48" x14ac:dyDescent="0.25">
      <c r="B6" s="53" t="s">
        <v>45</v>
      </c>
      <c r="C6" s="362">
        <v>353308839</v>
      </c>
      <c r="D6" s="362">
        <f>+C6/12</f>
        <v>29442403.25</v>
      </c>
      <c r="E6" s="362">
        <f>-287015+28701567</f>
        <v>28414552</v>
      </c>
      <c r="F6" s="362">
        <v>28414552</v>
      </c>
      <c r="G6" s="362">
        <v>28414552</v>
      </c>
      <c r="H6" s="362">
        <f>+H8-H7</f>
        <v>32509259</v>
      </c>
      <c r="I6" s="362">
        <f>29735584-I7</f>
        <v>29438226</v>
      </c>
      <c r="J6" s="362">
        <f>+J8-J7</f>
        <v>29438226</v>
      </c>
      <c r="K6" s="362"/>
      <c r="L6" s="362"/>
      <c r="M6" s="362"/>
      <c r="N6" s="363"/>
      <c r="O6" s="363"/>
      <c r="P6" s="363"/>
      <c r="Q6" s="364">
        <f>+D6*$B$5</f>
        <v>176654419.5</v>
      </c>
      <c r="R6" s="364">
        <f>SUM(E6:P6)</f>
        <v>176629367</v>
      </c>
      <c r="S6" s="655">
        <f>+Q6-R6</f>
        <v>25052.5</v>
      </c>
      <c r="T6" s="656">
        <f>+Q6-R6</f>
        <v>25052.5</v>
      </c>
      <c r="Z6" s="352"/>
      <c r="AA6" s="352"/>
      <c r="AB6" s="352"/>
      <c r="AC6" s="352"/>
      <c r="AD6" s="352"/>
      <c r="AE6" s="352"/>
      <c r="AF6" s="352"/>
      <c r="AG6" s="352"/>
      <c r="AH6" s="352"/>
      <c r="AI6" s="352"/>
      <c r="AJ6" s="352"/>
      <c r="AK6" s="352"/>
      <c r="AL6" s="352"/>
      <c r="AM6" s="352"/>
      <c r="AN6" s="352"/>
      <c r="AO6" s="352"/>
      <c r="AP6" s="352"/>
      <c r="AQ6" s="352"/>
      <c r="AR6" s="352"/>
      <c r="AS6" s="352"/>
      <c r="AT6" s="352"/>
      <c r="AU6" s="352"/>
      <c r="AV6" s="352"/>
    </row>
    <row r="7" spans="1:48" x14ac:dyDescent="0.25">
      <c r="B7" s="13" t="s">
        <v>120</v>
      </c>
      <c r="C7" s="364">
        <v>3533088</v>
      </c>
      <c r="D7" s="362">
        <f>+C7/12</f>
        <v>294424</v>
      </c>
      <c r="E7" s="364">
        <v>287015</v>
      </c>
      <c r="F7" s="364">
        <v>287015</v>
      </c>
      <c r="G7" s="364">
        <v>287015</v>
      </c>
      <c r="H7" s="364">
        <v>328376</v>
      </c>
      <c r="I7" s="364">
        <v>297358</v>
      </c>
      <c r="J7" s="364">
        <v>297358</v>
      </c>
      <c r="K7" s="364"/>
      <c r="L7" s="364"/>
      <c r="M7" s="364"/>
      <c r="N7" s="365"/>
      <c r="O7" s="365"/>
      <c r="P7" s="365"/>
      <c r="Q7" s="364">
        <f>+D7*$B$5</f>
        <v>1766544</v>
      </c>
      <c r="R7" s="364">
        <f>SUM(E7:P7)</f>
        <v>1784137</v>
      </c>
      <c r="S7" s="655">
        <f>+Q7-R7</f>
        <v>-17593</v>
      </c>
      <c r="T7" s="656">
        <f>+Q7-R7</f>
        <v>-17593</v>
      </c>
      <c r="Z7" s="352"/>
      <c r="AA7" s="1657" t="s">
        <v>776</v>
      </c>
      <c r="AB7" s="1657"/>
      <c r="AC7" s="1657"/>
      <c r="AD7" s="1657"/>
      <c r="AE7" s="1657"/>
      <c r="AF7" s="1657"/>
      <c r="AG7" s="352"/>
      <c r="AH7" s="352"/>
      <c r="AI7" s="352"/>
      <c r="AJ7" s="352"/>
      <c r="AK7" s="352"/>
      <c r="AL7" s="352"/>
      <c r="AM7" s="352"/>
      <c r="AN7" s="352"/>
      <c r="AO7" s="352"/>
      <c r="AP7" s="352"/>
      <c r="AQ7" s="352"/>
      <c r="AR7" s="352"/>
      <c r="AS7" s="352"/>
      <c r="AT7" s="352"/>
      <c r="AU7" s="352"/>
      <c r="AV7" s="352"/>
    </row>
    <row r="8" spans="1:48" ht="14" x14ac:dyDescent="0.3">
      <c r="B8" s="677" t="s">
        <v>125</v>
      </c>
      <c r="C8" s="678">
        <f>+C6+C7</f>
        <v>356841927</v>
      </c>
      <c r="D8" s="678">
        <f>SUM(D6:D7)</f>
        <v>29736827.25</v>
      </c>
      <c r="E8" s="678">
        <f>SUM(E6:E7)</f>
        <v>28701567</v>
      </c>
      <c r="F8" s="678">
        <f>SUM(F6:F7)</f>
        <v>28701567</v>
      </c>
      <c r="G8" s="678">
        <f>SUM(G6:G7)</f>
        <v>28701567</v>
      </c>
      <c r="H8" s="678">
        <v>32837635</v>
      </c>
      <c r="I8" s="678">
        <f>+I6+I7</f>
        <v>29735584</v>
      </c>
      <c r="J8" s="678">
        <v>29735584</v>
      </c>
      <c r="K8" s="678">
        <f>SUM(K6:K7)</f>
        <v>0</v>
      </c>
      <c r="L8" s="678">
        <v>0</v>
      </c>
      <c r="M8" s="678">
        <f>SUM(M6:M7)</f>
        <v>0</v>
      </c>
      <c r="N8" s="679">
        <f>SUM(N6:N7)</f>
        <v>0</v>
      </c>
      <c r="O8" s="679">
        <f>SUM(O6:O7)</f>
        <v>0</v>
      </c>
      <c r="P8" s="679">
        <f>SUM(P6:P7)</f>
        <v>0</v>
      </c>
      <c r="Q8" s="680">
        <f t="shared" ref="Q8:Q55" si="0">+D8*$B$5</f>
        <v>178420963.5</v>
      </c>
      <c r="R8" s="678">
        <f>SUM(R6:R7)</f>
        <v>178413504</v>
      </c>
      <c r="S8" s="681">
        <f>+Q8-R8</f>
        <v>7459.5</v>
      </c>
      <c r="T8" s="682">
        <f>+Q8-R8</f>
        <v>7459.5</v>
      </c>
      <c r="Z8" s="352"/>
      <c r="AA8" s="352"/>
      <c r="AB8" s="352"/>
      <c r="AC8" s="352"/>
      <c r="AD8" s="352"/>
      <c r="AE8" s="352"/>
      <c r="AF8" s="353">
        <f>281797442-AC10</f>
        <v>103376478.5</v>
      </c>
      <c r="AG8" s="352"/>
      <c r="AH8" s="352"/>
      <c r="AI8" s="352"/>
      <c r="AJ8" s="352"/>
      <c r="AK8" s="352"/>
      <c r="AL8" s="352"/>
      <c r="AM8" s="352"/>
      <c r="AN8" s="352"/>
      <c r="AO8" s="352"/>
      <c r="AP8" s="352"/>
      <c r="AQ8" s="352"/>
      <c r="AR8" s="352"/>
      <c r="AS8" s="352"/>
      <c r="AT8" s="352"/>
      <c r="AU8" s="352"/>
      <c r="AV8" s="352"/>
    </row>
    <row r="9" spans="1:48" ht="15.5" x14ac:dyDescent="0.25">
      <c r="B9" s="59" t="s">
        <v>77</v>
      </c>
      <c r="C9" s="366"/>
      <c r="D9" s="431" t="s">
        <v>33</v>
      </c>
      <c r="E9" s="431" t="s">
        <v>33</v>
      </c>
      <c r="F9" s="367"/>
      <c r="G9" s="367"/>
      <c r="H9" s="367"/>
      <c r="I9" s="367"/>
      <c r="J9" s="367"/>
      <c r="K9" s="367"/>
      <c r="L9" s="367"/>
      <c r="M9" s="367"/>
      <c r="N9" s="365"/>
      <c r="O9" s="365"/>
      <c r="P9" s="365"/>
      <c r="Q9" s="364" t="s">
        <v>33</v>
      </c>
      <c r="R9" s="364"/>
      <c r="S9" s="655"/>
      <c r="T9" s="657" t="s">
        <v>33</v>
      </c>
      <c r="Z9" s="747"/>
      <c r="AA9" s="747"/>
      <c r="AB9" s="747"/>
      <c r="AC9" s="747"/>
      <c r="AD9" s="747"/>
      <c r="AE9" s="747"/>
      <c r="AF9" s="747"/>
      <c r="AG9" s="747"/>
      <c r="AH9" s="753"/>
      <c r="AI9" s="753"/>
      <c r="AJ9" s="753"/>
      <c r="AK9" s="753"/>
      <c r="AL9" s="753"/>
      <c r="AM9" s="753"/>
      <c r="AN9" s="753"/>
      <c r="AO9" s="753"/>
      <c r="AP9" s="352"/>
      <c r="AQ9" s="352"/>
      <c r="AR9" s="453"/>
      <c r="AS9" s="352"/>
      <c r="AT9" s="353"/>
      <c r="AV9" s="352"/>
    </row>
    <row r="10" spans="1:48" ht="16.5" customHeight="1" x14ac:dyDescent="0.25">
      <c r="B10" s="60" t="s">
        <v>78</v>
      </c>
      <c r="C10" s="368"/>
      <c r="D10" s="369"/>
      <c r="E10" s="369"/>
      <c r="F10" s="371"/>
      <c r="G10" s="371"/>
      <c r="H10" s="371"/>
      <c r="I10" s="371"/>
      <c r="J10" s="371"/>
      <c r="K10" s="371"/>
      <c r="L10" s="371"/>
      <c r="M10" s="371"/>
      <c r="N10" s="372"/>
      <c r="O10" s="372"/>
      <c r="P10" s="372"/>
      <c r="Q10" s="364" t="s">
        <v>33</v>
      </c>
      <c r="R10" s="370"/>
      <c r="S10" s="658"/>
      <c r="T10" s="657" t="s">
        <v>33</v>
      </c>
      <c r="Z10" s="747"/>
      <c r="AA10" s="747" t="s">
        <v>777</v>
      </c>
      <c r="AB10" s="748"/>
      <c r="AC10" s="749">
        <f>Q8</f>
        <v>178420963.5</v>
      </c>
      <c r="AD10" s="749"/>
      <c r="AE10" s="749"/>
      <c r="AF10" s="747"/>
      <c r="AG10" s="747"/>
      <c r="AH10" s="753" t="s">
        <v>1411</v>
      </c>
      <c r="AI10" s="754"/>
      <c r="AJ10" s="754"/>
      <c r="AK10" s="755">
        <f>Q57</f>
        <v>178420963.60500002</v>
      </c>
      <c r="AL10" s="753"/>
      <c r="AM10" s="753"/>
      <c r="AN10" s="753"/>
      <c r="AO10" s="753"/>
      <c r="AP10" s="352"/>
      <c r="AQ10" s="352"/>
      <c r="AR10" s="453"/>
      <c r="AS10" s="352"/>
      <c r="AT10" s="923"/>
      <c r="AV10" s="352"/>
    </row>
    <row r="11" spans="1:48" x14ac:dyDescent="0.25">
      <c r="B11" s="61" t="s">
        <v>79</v>
      </c>
      <c r="C11" s="659">
        <v>33199438.319999997</v>
      </c>
      <c r="D11" s="432">
        <f>+C11/12</f>
        <v>2766619.86</v>
      </c>
      <c r="E11" s="432">
        <v>2766619</v>
      </c>
      <c r="F11" s="374">
        <v>2766619</v>
      </c>
      <c r="G11" s="374">
        <v>2766619</v>
      </c>
      <c r="H11" s="374">
        <v>2766619</v>
      </c>
      <c r="I11" s="374">
        <v>2827988</v>
      </c>
      <c r="J11" s="374">
        <v>2766620</v>
      </c>
      <c r="K11" s="374"/>
      <c r="L11" s="374"/>
      <c r="M11" s="374"/>
      <c r="N11" s="375"/>
      <c r="O11" s="375"/>
      <c r="P11" s="375"/>
      <c r="Q11" s="364">
        <f t="shared" si="0"/>
        <v>16599719.16</v>
      </c>
      <c r="R11" s="364">
        <f t="shared" ref="R11:R17" si="1">SUM(E11:P11)</f>
        <v>16661084</v>
      </c>
      <c r="S11" s="655">
        <f t="shared" ref="S11:S18" si="2">+Q11-R11</f>
        <v>-61364.839999999851</v>
      </c>
      <c r="T11" s="656">
        <f>+Q11-R11</f>
        <v>-61364.839999999851</v>
      </c>
      <c r="Z11" s="747"/>
      <c r="AA11" s="747" t="s">
        <v>778</v>
      </c>
      <c r="AB11" s="748"/>
      <c r="AC11" s="749">
        <f>R8</f>
        <v>178413504</v>
      </c>
      <c r="AD11" s="749"/>
      <c r="AE11" s="749"/>
      <c r="AF11" s="747"/>
      <c r="AG11" s="747"/>
      <c r="AH11" s="753" t="s">
        <v>814</v>
      </c>
      <c r="AI11" s="754"/>
      <c r="AJ11" s="754"/>
      <c r="AK11" s="755">
        <f>R57</f>
        <v>170395092.59999999</v>
      </c>
      <c r="AL11" s="753"/>
      <c r="AM11" s="753"/>
      <c r="AN11" s="753"/>
      <c r="AO11" s="753"/>
      <c r="AP11" s="352"/>
      <c r="AQ11" s="352"/>
      <c r="AR11" s="453"/>
      <c r="AS11" s="352"/>
      <c r="AT11" s="353"/>
      <c r="AV11" s="352"/>
    </row>
    <row r="12" spans="1:48" x14ac:dyDescent="0.25">
      <c r="B12" s="62" t="s">
        <v>80</v>
      </c>
      <c r="C12" s="660">
        <v>1260000</v>
      </c>
      <c r="D12" s="433">
        <f t="shared" ref="D12:D35" si="3">+C12/12</f>
        <v>105000</v>
      </c>
      <c r="E12" s="433">
        <v>143550</v>
      </c>
      <c r="F12" s="364">
        <v>235199</v>
      </c>
      <c r="G12" s="364">
        <v>220474</v>
      </c>
      <c r="H12" s="364">
        <v>175110</v>
      </c>
      <c r="I12" s="364">
        <v>120400</v>
      </c>
      <c r="J12" s="364">
        <v>95350</v>
      </c>
      <c r="K12" s="364"/>
      <c r="L12" s="364"/>
      <c r="M12" s="364"/>
      <c r="N12" s="365"/>
      <c r="O12" s="365"/>
      <c r="P12" s="365"/>
      <c r="Q12" s="364">
        <f t="shared" si="0"/>
        <v>630000</v>
      </c>
      <c r="R12" s="364">
        <f t="shared" si="1"/>
        <v>990083</v>
      </c>
      <c r="S12" s="655">
        <f t="shared" si="2"/>
        <v>-360083</v>
      </c>
      <c r="T12" s="656">
        <f t="shared" ref="T12:T55" si="4">+Q12-R12</f>
        <v>-360083</v>
      </c>
      <c r="Z12" s="747"/>
      <c r="AA12" s="747" t="s">
        <v>813</v>
      </c>
      <c r="AB12" s="748"/>
      <c r="AC12" s="749">
        <f>AC10-AC11</f>
        <v>7459.5</v>
      </c>
      <c r="AD12" s="749"/>
      <c r="AE12" s="749"/>
      <c r="AF12" s="747"/>
      <c r="AG12" s="747"/>
      <c r="AH12" s="753" t="s">
        <v>780</v>
      </c>
      <c r="AI12" s="754"/>
      <c r="AJ12" s="754"/>
      <c r="AK12" s="755">
        <f>AK10-AK11</f>
        <v>8025871.005000025</v>
      </c>
      <c r="AL12" s="753"/>
      <c r="AM12" s="753"/>
      <c r="AN12" s="753"/>
      <c r="AO12" s="753"/>
      <c r="AP12" s="352"/>
      <c r="AQ12" s="352"/>
      <c r="AR12" s="352"/>
      <c r="AS12" s="352"/>
      <c r="AT12" s="352"/>
      <c r="AU12" s="352"/>
      <c r="AV12" s="352"/>
    </row>
    <row r="13" spans="1:48" x14ac:dyDescent="0.25">
      <c r="B13" s="61" t="s">
        <v>81</v>
      </c>
      <c r="C13" s="659">
        <v>10500000</v>
      </c>
      <c r="D13" s="432">
        <f t="shared" si="3"/>
        <v>875000</v>
      </c>
      <c r="E13" s="432">
        <v>1581421</v>
      </c>
      <c r="F13" s="374">
        <v>0</v>
      </c>
      <c r="G13" s="374">
        <f>196100+277737+50000</f>
        <v>523837</v>
      </c>
      <c r="H13" s="374">
        <v>338825</v>
      </c>
      <c r="I13" s="374">
        <f>-111750+278850</f>
        <v>167100</v>
      </c>
      <c r="J13" s="374">
        <v>1050763</v>
      </c>
      <c r="K13" s="374"/>
      <c r="L13" s="374"/>
      <c r="M13" s="374"/>
      <c r="N13" s="377"/>
      <c r="O13" s="377"/>
      <c r="P13" s="377"/>
      <c r="Q13" s="364">
        <f t="shared" si="0"/>
        <v>5250000</v>
      </c>
      <c r="R13" s="364">
        <f t="shared" si="1"/>
        <v>3661946</v>
      </c>
      <c r="S13" s="655">
        <f t="shared" si="2"/>
        <v>1588054</v>
      </c>
      <c r="T13" s="656">
        <f t="shared" si="4"/>
        <v>1588054</v>
      </c>
      <c r="Z13" s="750"/>
      <c r="AA13" s="751"/>
      <c r="AB13" s="752"/>
      <c r="AC13" s="750"/>
      <c r="AD13" s="750"/>
      <c r="AE13" s="750"/>
      <c r="AF13" s="750"/>
      <c r="AG13" s="750"/>
      <c r="AH13" s="756"/>
      <c r="AI13" s="756"/>
      <c r="AJ13" s="756"/>
      <c r="AK13" s="756"/>
      <c r="AL13" s="756"/>
      <c r="AM13" s="756"/>
      <c r="AN13" s="756"/>
      <c r="AO13" s="756"/>
      <c r="AP13" s="454"/>
      <c r="AQ13" s="454"/>
      <c r="AR13" s="454"/>
      <c r="AS13" s="454"/>
      <c r="AT13" s="454"/>
      <c r="AU13" s="454"/>
      <c r="AV13" s="454"/>
    </row>
    <row r="14" spans="1:48" x14ac:dyDescent="0.25">
      <c r="B14" s="62" t="s">
        <v>82</v>
      </c>
      <c r="C14" s="660">
        <v>1800000</v>
      </c>
      <c r="D14" s="433">
        <f t="shared" si="3"/>
        <v>150000</v>
      </c>
      <c r="E14" s="433">
        <v>229300</v>
      </c>
      <c r="F14" s="364">
        <v>104000</v>
      </c>
      <c r="G14" s="364">
        <v>366738</v>
      </c>
      <c r="H14" s="364"/>
      <c r="I14" s="364">
        <v>6000</v>
      </c>
      <c r="J14" s="364">
        <v>122000</v>
      </c>
      <c r="K14" s="364"/>
      <c r="L14" s="364"/>
      <c r="M14" s="364"/>
      <c r="N14" s="365"/>
      <c r="O14" s="365"/>
      <c r="P14" s="365"/>
      <c r="Q14" s="364">
        <f t="shared" si="0"/>
        <v>900000</v>
      </c>
      <c r="R14" s="364">
        <f t="shared" si="1"/>
        <v>828038</v>
      </c>
      <c r="S14" s="655">
        <f t="shared" si="2"/>
        <v>71962</v>
      </c>
      <c r="T14" s="656">
        <f t="shared" si="4"/>
        <v>71962</v>
      </c>
      <c r="Z14" s="747"/>
      <c r="AA14" s="747"/>
      <c r="AB14" s="747"/>
      <c r="AC14" s="747"/>
      <c r="AD14" s="747"/>
      <c r="AE14" s="747"/>
      <c r="AF14" s="747"/>
      <c r="AG14" s="747"/>
      <c r="AH14" s="757"/>
      <c r="AI14" s="758"/>
      <c r="AJ14" s="758"/>
      <c r="AK14" s="753"/>
      <c r="AL14" s="753"/>
      <c r="AM14" s="753"/>
      <c r="AN14" s="753"/>
      <c r="AO14" s="753"/>
      <c r="AP14" s="352"/>
      <c r="AQ14" s="1658"/>
      <c r="AR14" s="352"/>
      <c r="AS14" s="352"/>
      <c r="AT14" s="352"/>
      <c r="AU14" s="352"/>
      <c r="AV14" s="352"/>
    </row>
    <row r="15" spans="1:48" ht="17.5" x14ac:dyDescent="0.35">
      <c r="B15" s="61" t="s">
        <v>83</v>
      </c>
      <c r="C15" s="659">
        <v>11900000</v>
      </c>
      <c r="D15" s="432">
        <f t="shared" si="3"/>
        <v>991666.66666666663</v>
      </c>
      <c r="E15" s="432">
        <v>823302</v>
      </c>
      <c r="F15" s="374">
        <v>1301779</v>
      </c>
      <c r="G15" s="374">
        <v>611281</v>
      </c>
      <c r="H15" s="374">
        <v>203409</v>
      </c>
      <c r="I15" s="374">
        <v>984464</v>
      </c>
      <c r="J15" s="374">
        <v>203409</v>
      </c>
      <c r="K15" s="374"/>
      <c r="L15" s="374"/>
      <c r="M15" s="374"/>
      <c r="N15" s="377"/>
      <c r="O15" s="377"/>
      <c r="P15" s="377"/>
      <c r="Q15" s="364">
        <f t="shared" si="0"/>
        <v>5950000</v>
      </c>
      <c r="R15" s="364">
        <f t="shared" si="1"/>
        <v>4127644</v>
      </c>
      <c r="S15" s="655">
        <f t="shared" si="2"/>
        <v>1822356</v>
      </c>
      <c r="T15" s="656">
        <f t="shared" si="4"/>
        <v>1822356</v>
      </c>
      <c r="Z15" s="1659">
        <v>1</v>
      </c>
      <c r="AA15" s="747"/>
      <c r="AB15" s="747"/>
      <c r="AC15" s="747"/>
      <c r="AD15" s="747"/>
      <c r="AE15" s="747"/>
      <c r="AF15" s="747"/>
      <c r="AG15" s="747"/>
      <c r="AH15" s="1660">
        <v>2</v>
      </c>
      <c r="AI15" s="1661"/>
      <c r="AJ15" s="863"/>
      <c r="AK15" s="753"/>
      <c r="AL15" s="753"/>
      <c r="AM15" s="753"/>
      <c r="AN15" s="753"/>
      <c r="AO15" s="753"/>
      <c r="AP15" s="352"/>
      <c r="AQ15" s="1658"/>
      <c r="AR15" s="352"/>
      <c r="AS15" s="352"/>
      <c r="AT15" s="352"/>
      <c r="AU15" s="352"/>
      <c r="AV15" s="352"/>
    </row>
    <row r="16" spans="1:48" ht="17.5" x14ac:dyDescent="0.35">
      <c r="B16" s="62" t="s">
        <v>84</v>
      </c>
      <c r="C16" s="660">
        <v>590000</v>
      </c>
      <c r="D16" s="433">
        <f t="shared" si="3"/>
        <v>49166.666666666664</v>
      </c>
      <c r="E16" s="433">
        <v>0</v>
      </c>
      <c r="F16" s="364">
        <v>140000</v>
      </c>
      <c r="G16" s="364">
        <v>0</v>
      </c>
      <c r="H16" s="364"/>
      <c r="I16" s="364"/>
      <c r="J16" s="364"/>
      <c r="K16" s="364"/>
      <c r="L16" s="364"/>
      <c r="M16" s="364"/>
      <c r="N16" s="365"/>
      <c r="O16" s="365"/>
      <c r="P16" s="365"/>
      <c r="Q16" s="364">
        <f t="shared" si="0"/>
        <v>295000</v>
      </c>
      <c r="R16" s="364">
        <f t="shared" si="1"/>
        <v>140000</v>
      </c>
      <c r="S16" s="655">
        <f t="shared" si="2"/>
        <v>155000</v>
      </c>
      <c r="T16" s="656">
        <f t="shared" si="4"/>
        <v>155000</v>
      </c>
      <c r="Z16" s="1659"/>
      <c r="AA16" s="747"/>
      <c r="AB16" s="747"/>
      <c r="AC16" s="747"/>
      <c r="AD16" s="747"/>
      <c r="AE16" s="747"/>
      <c r="AF16" s="747"/>
      <c r="AG16" s="747"/>
      <c r="AH16" s="1660"/>
      <c r="AI16" s="1661"/>
      <c r="AJ16" s="863"/>
      <c r="AK16" s="753"/>
      <c r="AL16" s="753"/>
      <c r="AM16" s="753"/>
      <c r="AN16" s="753"/>
      <c r="AO16" s="753"/>
      <c r="AP16" s="352"/>
      <c r="AQ16" s="352"/>
      <c r="AR16" s="352"/>
      <c r="AS16" s="352"/>
      <c r="AT16" s="352"/>
      <c r="AU16" s="352"/>
      <c r="AV16" s="352"/>
    </row>
    <row r="17" spans="1:55" x14ac:dyDescent="0.25">
      <c r="B17" s="61" t="s">
        <v>85</v>
      </c>
      <c r="C17" s="659">
        <v>2429980</v>
      </c>
      <c r="D17" s="432">
        <f t="shared" si="3"/>
        <v>202498.33333333334</v>
      </c>
      <c r="E17" s="432">
        <v>246330</v>
      </c>
      <c r="F17" s="374">
        <v>0</v>
      </c>
      <c r="G17" s="374">
        <v>749700</v>
      </c>
      <c r="H17" s="374"/>
      <c r="I17" s="374">
        <v>246330</v>
      </c>
      <c r="J17" s="374">
        <v>0</v>
      </c>
      <c r="K17" s="374"/>
      <c r="L17" s="374"/>
      <c r="M17" s="374"/>
      <c r="N17" s="377"/>
      <c r="O17" s="377"/>
      <c r="P17" s="377"/>
      <c r="Q17" s="364">
        <f t="shared" si="0"/>
        <v>1214990</v>
      </c>
      <c r="R17" s="364">
        <f t="shared" si="1"/>
        <v>1242360</v>
      </c>
      <c r="S17" s="655">
        <f t="shared" si="2"/>
        <v>-27370</v>
      </c>
      <c r="T17" s="656">
        <f t="shared" si="4"/>
        <v>-27370</v>
      </c>
      <c r="Z17" s="747"/>
      <c r="AA17" s="747"/>
      <c r="AB17" s="747"/>
      <c r="AC17" s="747"/>
      <c r="AD17" s="747"/>
      <c r="AE17" s="747"/>
      <c r="AF17" s="747"/>
      <c r="AG17" s="747"/>
      <c r="AH17" s="753"/>
      <c r="AI17" s="753"/>
      <c r="AJ17" s="753"/>
      <c r="AK17" s="753"/>
      <c r="AL17" s="753"/>
      <c r="AM17" s="753"/>
      <c r="AN17" s="753"/>
      <c r="AO17" s="753"/>
      <c r="AP17" s="352"/>
      <c r="AQ17" s="352"/>
      <c r="AR17" s="352"/>
      <c r="AS17" s="352"/>
      <c r="AT17" s="352"/>
      <c r="AU17" s="352"/>
      <c r="AV17" s="352"/>
    </row>
    <row r="18" spans="1:55" s="54" customFormat="1" ht="13" x14ac:dyDescent="0.3">
      <c r="B18" s="63" t="s">
        <v>269</v>
      </c>
      <c r="C18" s="378">
        <v>0</v>
      </c>
      <c r="D18" s="434">
        <f>+C18/12</f>
        <v>0</v>
      </c>
      <c r="E18" s="434">
        <v>0</v>
      </c>
      <c r="F18" s="373">
        <v>350000</v>
      </c>
      <c r="G18" s="373"/>
      <c r="H18" s="373"/>
      <c r="I18" s="373"/>
      <c r="J18" s="373"/>
      <c r="K18" s="373"/>
      <c r="L18" s="373"/>
      <c r="M18" s="373"/>
      <c r="N18" s="379"/>
      <c r="O18" s="379"/>
      <c r="P18" s="379"/>
      <c r="Q18" s="364">
        <f t="shared" si="0"/>
        <v>0</v>
      </c>
      <c r="R18" s="362">
        <f>SUM(E18:P18)</f>
        <v>350000</v>
      </c>
      <c r="S18" s="406">
        <f t="shared" si="2"/>
        <v>-350000</v>
      </c>
      <c r="T18" s="661">
        <f>+Q18-R18</f>
        <v>-350000</v>
      </c>
      <c r="Z18" s="747"/>
      <c r="AA18" s="747"/>
      <c r="AB18" s="747"/>
      <c r="AC18" s="747"/>
      <c r="AD18" s="747"/>
      <c r="AE18" s="747"/>
      <c r="AF18" s="747"/>
      <c r="AG18" s="747"/>
      <c r="AH18" s="753"/>
      <c r="AI18" s="753"/>
      <c r="AJ18" s="753"/>
      <c r="AK18" s="753"/>
      <c r="AL18" s="753"/>
      <c r="AM18" s="753"/>
      <c r="AN18" s="753"/>
      <c r="AO18" s="753"/>
      <c r="AP18" s="352"/>
      <c r="AQ18" s="352"/>
      <c r="AR18" s="352"/>
      <c r="AS18" s="352"/>
      <c r="AT18" s="352"/>
      <c r="AU18" s="352"/>
      <c r="AV18" s="352"/>
    </row>
    <row r="19" spans="1:55" x14ac:dyDescent="0.25">
      <c r="B19" s="683" t="s">
        <v>86</v>
      </c>
      <c r="C19" s="370">
        <f t="shared" ref="C19:I19" si="5">SUM(C11:C18)</f>
        <v>61679418.319999993</v>
      </c>
      <c r="D19" s="369">
        <f t="shared" si="5"/>
        <v>5139951.5266666664</v>
      </c>
      <c r="E19" s="369">
        <f t="shared" si="5"/>
        <v>5790522</v>
      </c>
      <c r="F19" s="370">
        <f t="shared" si="5"/>
        <v>4897597</v>
      </c>
      <c r="G19" s="370">
        <f t="shared" si="5"/>
        <v>5238649</v>
      </c>
      <c r="H19" s="370">
        <f t="shared" si="5"/>
        <v>3483963</v>
      </c>
      <c r="I19" s="370">
        <f t="shared" si="5"/>
        <v>4352282</v>
      </c>
      <c r="J19" s="370">
        <f>SUM(J11:J17)</f>
        <v>4238142</v>
      </c>
      <c r="K19" s="370">
        <f t="shared" ref="K19:P19" si="6">SUM(K11:K17)</f>
        <v>0</v>
      </c>
      <c r="L19" s="370">
        <f t="shared" si="6"/>
        <v>0</v>
      </c>
      <c r="M19" s="370">
        <f t="shared" si="6"/>
        <v>0</v>
      </c>
      <c r="N19" s="380">
        <f t="shared" si="6"/>
        <v>0</v>
      </c>
      <c r="O19" s="380">
        <f t="shared" si="6"/>
        <v>0</v>
      </c>
      <c r="P19" s="380">
        <f t="shared" si="6"/>
        <v>0</v>
      </c>
      <c r="Q19" s="364">
        <f>+D19*$B$5</f>
        <v>30839709.159999996</v>
      </c>
      <c r="R19" s="364">
        <f>SUM(R11:R18)</f>
        <v>28001155</v>
      </c>
      <c r="S19" s="655">
        <f>SUM(S11:S17)</f>
        <v>3188554.16</v>
      </c>
      <c r="T19" s="657">
        <f>+Q19-R19</f>
        <v>2838554.1599999964</v>
      </c>
      <c r="Z19" s="747"/>
      <c r="AA19" s="747"/>
      <c r="AB19" s="747"/>
      <c r="AC19" s="747"/>
      <c r="AD19" s="747"/>
      <c r="AE19" s="747"/>
      <c r="AF19" s="747"/>
      <c r="AG19" s="747"/>
      <c r="AH19" s="753"/>
      <c r="AI19" s="753"/>
      <c r="AJ19" s="753"/>
      <c r="AK19" s="753"/>
      <c r="AL19" s="753"/>
      <c r="AM19" s="753"/>
      <c r="AN19" s="753"/>
      <c r="AO19" s="753"/>
      <c r="AP19" s="352"/>
      <c r="AQ19" s="352"/>
      <c r="AR19" s="352"/>
      <c r="AS19" s="352"/>
      <c r="AT19" s="352"/>
      <c r="AU19" s="352"/>
      <c r="AV19" s="352"/>
    </row>
    <row r="20" spans="1:55" x14ac:dyDescent="0.25">
      <c r="B20" s="64" t="s">
        <v>87</v>
      </c>
      <c r="C20" s="369"/>
      <c r="D20" s="369">
        <f t="shared" si="3"/>
        <v>0</v>
      </c>
      <c r="E20" s="369"/>
      <c r="F20" s="370"/>
      <c r="G20" s="370"/>
      <c r="H20" s="370"/>
      <c r="I20" s="370"/>
      <c r="J20" s="370"/>
      <c r="K20" s="370"/>
      <c r="L20" s="370"/>
      <c r="M20" s="370"/>
      <c r="N20" s="380"/>
      <c r="O20" s="380"/>
      <c r="P20" s="380"/>
      <c r="Q20" s="364" t="s">
        <v>33</v>
      </c>
      <c r="R20" s="364"/>
      <c r="S20" s="655"/>
      <c r="T20" s="656" t="s">
        <v>33</v>
      </c>
      <c r="Z20" s="747"/>
      <c r="AA20" s="747"/>
      <c r="AB20" s="747"/>
      <c r="AC20" s="747"/>
      <c r="AD20" s="747"/>
      <c r="AE20" s="747"/>
      <c r="AF20" s="747"/>
      <c r="AG20" s="747"/>
      <c r="AH20" s="753"/>
      <c r="AI20" s="753"/>
      <c r="AJ20" s="753"/>
      <c r="AK20" s="753"/>
      <c r="AL20" s="753"/>
      <c r="AM20" s="753"/>
      <c r="AN20" s="753"/>
      <c r="AO20" s="753"/>
      <c r="AP20" s="352"/>
      <c r="AQ20" s="352"/>
      <c r="AR20" s="352"/>
      <c r="AS20" s="352"/>
      <c r="AT20" s="352"/>
      <c r="AU20" s="352"/>
      <c r="AV20" s="352"/>
    </row>
    <row r="21" spans="1:55" x14ac:dyDescent="0.25">
      <c r="A21" s="442"/>
      <c r="B21" s="684" t="s">
        <v>88</v>
      </c>
      <c r="C21" s="685">
        <v>158830392.15000004</v>
      </c>
      <c r="D21" s="685">
        <f t="shared" si="3"/>
        <v>13235866.012500003</v>
      </c>
      <c r="E21" s="685">
        <v>13136493</v>
      </c>
      <c r="F21" s="686">
        <v>13136493</v>
      </c>
      <c r="G21" s="686">
        <v>13136494</v>
      </c>
      <c r="H21" s="685">
        <v>13136494</v>
      </c>
      <c r="I21" s="686">
        <v>13136494</v>
      </c>
      <c r="J21" s="686">
        <v>13136493</v>
      </c>
      <c r="K21" s="686"/>
      <c r="L21" s="686"/>
      <c r="M21" s="686"/>
      <c r="N21" s="687"/>
      <c r="O21" s="687"/>
      <c r="P21" s="687"/>
      <c r="Q21" s="686">
        <f t="shared" si="0"/>
        <v>79415196.075000018</v>
      </c>
      <c r="R21" s="686">
        <f t="shared" ref="R21:R28" si="7">SUM(E21:P21)</f>
        <v>78818961</v>
      </c>
      <c r="S21" s="688">
        <f>+Q21-R21</f>
        <v>596235.07500001788</v>
      </c>
      <c r="T21" s="689">
        <f t="shared" si="4"/>
        <v>596235.07500001788</v>
      </c>
      <c r="Z21" s="750"/>
      <c r="AA21" s="750"/>
      <c r="AB21" s="750"/>
      <c r="AC21" s="750"/>
      <c r="AD21" s="750"/>
      <c r="AE21" s="750"/>
      <c r="AF21" s="750"/>
      <c r="AG21" s="750"/>
      <c r="AH21" s="756"/>
      <c r="AI21" s="756"/>
      <c r="AJ21" s="756"/>
      <c r="AK21" s="756"/>
      <c r="AL21" s="756"/>
      <c r="AM21" s="756"/>
      <c r="AN21" s="756"/>
      <c r="AO21" s="756"/>
      <c r="AP21" s="454"/>
      <c r="AQ21" s="454"/>
      <c r="AR21" s="454"/>
      <c r="AS21" s="454"/>
      <c r="AT21" s="454"/>
      <c r="AU21" s="454"/>
      <c r="AV21" s="454"/>
    </row>
    <row r="22" spans="1:55" x14ac:dyDescent="0.25">
      <c r="B22" s="62" t="s">
        <v>1224</v>
      </c>
      <c r="C22" s="433">
        <f>1751531+2225540</f>
        <v>3977071</v>
      </c>
      <c r="D22" s="433">
        <f t="shared" si="3"/>
        <v>331422.58333333331</v>
      </c>
      <c r="E22" s="433"/>
      <c r="F22" s="364">
        <v>1751531</v>
      </c>
      <c r="G22" s="364"/>
      <c r="H22" s="433"/>
      <c r="I22" s="364"/>
      <c r="J22" s="364"/>
      <c r="K22" s="364"/>
      <c r="L22" s="364"/>
      <c r="M22" s="364"/>
      <c r="N22" s="365"/>
      <c r="O22" s="365"/>
      <c r="P22" s="365"/>
      <c r="Q22" s="364">
        <f t="shared" si="0"/>
        <v>1988535.5</v>
      </c>
      <c r="R22" s="364">
        <f t="shared" si="7"/>
        <v>1751531</v>
      </c>
      <c r="S22" s="655"/>
      <c r="T22" s="656">
        <f t="shared" si="4"/>
        <v>237004.5</v>
      </c>
      <c r="Z22" s="750"/>
      <c r="AA22" s="750"/>
      <c r="AB22" s="750"/>
      <c r="AC22" s="750"/>
      <c r="AD22" s="750"/>
      <c r="AE22" s="750"/>
      <c r="AF22" s="750"/>
      <c r="AG22" s="750"/>
      <c r="AH22" s="759"/>
      <c r="AI22" s="756"/>
      <c r="AJ22" s="756"/>
      <c r="AK22" s="756"/>
      <c r="AL22" s="756"/>
      <c r="AM22" s="756"/>
      <c r="AN22" s="756"/>
      <c r="AO22" s="756"/>
      <c r="AP22" s="454"/>
      <c r="AQ22" s="454"/>
      <c r="AR22" s="454"/>
      <c r="AS22" s="454"/>
      <c r="AT22" s="454"/>
      <c r="AU22" s="454"/>
      <c r="AV22" s="454"/>
    </row>
    <row r="23" spans="1:55" x14ac:dyDescent="0.25">
      <c r="A23" s="444"/>
      <c r="B23" s="684" t="s">
        <v>89</v>
      </c>
      <c r="C23" s="685">
        <v>17577558</v>
      </c>
      <c r="D23" s="685">
        <f t="shared" si="3"/>
        <v>1464796.5</v>
      </c>
      <c r="E23" s="685">
        <v>1357394</v>
      </c>
      <c r="F23" s="686">
        <v>904930</v>
      </c>
      <c r="G23" s="686">
        <v>1443315</v>
      </c>
      <c r="H23" s="685">
        <v>1486277</v>
      </c>
      <c r="I23" s="686">
        <v>1486277</v>
      </c>
      <c r="J23" s="686">
        <v>1443315</v>
      </c>
      <c r="K23" s="686"/>
      <c r="L23" s="686"/>
      <c r="M23" s="686"/>
      <c r="N23" s="687"/>
      <c r="O23" s="687"/>
      <c r="P23" s="687"/>
      <c r="Q23" s="686">
        <f t="shared" si="0"/>
        <v>8788779</v>
      </c>
      <c r="R23" s="686">
        <f t="shared" si="7"/>
        <v>8121508</v>
      </c>
      <c r="S23" s="688">
        <f>+Q23-R23</f>
        <v>667271</v>
      </c>
      <c r="T23" s="689">
        <f t="shared" si="4"/>
        <v>667271</v>
      </c>
      <c r="Z23" s="747"/>
      <c r="AA23" s="747"/>
      <c r="AB23" s="747"/>
      <c r="AC23" s="747"/>
      <c r="AD23" s="747"/>
      <c r="AE23" s="747"/>
      <c r="AF23" s="747"/>
      <c r="AG23" s="747"/>
      <c r="AH23" s="753"/>
      <c r="AI23" s="753"/>
      <c r="AJ23" s="753"/>
      <c r="AK23" s="753"/>
      <c r="AL23" s="753"/>
      <c r="AM23" s="753"/>
      <c r="AN23" s="753"/>
      <c r="AO23" s="753"/>
      <c r="AP23" s="352"/>
      <c r="AQ23" s="352"/>
      <c r="AR23" s="352"/>
      <c r="AS23" s="352"/>
      <c r="AT23" s="352"/>
      <c r="AU23" s="352"/>
      <c r="AV23" s="352"/>
    </row>
    <row r="24" spans="1:55" x14ac:dyDescent="0.25">
      <c r="B24" s="62" t="s">
        <v>90</v>
      </c>
      <c r="C24" s="433">
        <v>1341006.24</v>
      </c>
      <c r="D24" s="433">
        <f t="shared" si="3"/>
        <v>111750.52</v>
      </c>
      <c r="E24" s="433">
        <v>640110</v>
      </c>
      <c r="F24" s="364">
        <v>111750</v>
      </c>
      <c r="G24" s="364">
        <v>111750</v>
      </c>
      <c r="H24" s="433">
        <v>111750</v>
      </c>
      <c r="I24" s="364">
        <v>111750</v>
      </c>
      <c r="J24" s="364">
        <v>111750</v>
      </c>
      <c r="K24" s="364"/>
      <c r="L24" s="364"/>
      <c r="M24" s="364"/>
      <c r="N24" s="365"/>
      <c r="O24" s="365"/>
      <c r="P24" s="365"/>
      <c r="Q24" s="364">
        <f t="shared" si="0"/>
        <v>670503.12</v>
      </c>
      <c r="R24" s="364">
        <f t="shared" si="7"/>
        <v>1198860</v>
      </c>
      <c r="S24" s="655">
        <f>+Q24-R24</f>
        <v>-528356.88</v>
      </c>
      <c r="T24" s="656">
        <f t="shared" si="4"/>
        <v>-528356.88</v>
      </c>
      <c r="Z24" s="747"/>
      <c r="AA24" s="747"/>
      <c r="AB24" s="747"/>
      <c r="AC24" s="747"/>
      <c r="AD24" s="747"/>
      <c r="AE24" s="747"/>
      <c r="AF24" s="747"/>
      <c r="AG24" s="747"/>
      <c r="AH24" s="753"/>
      <c r="AI24" s="753"/>
      <c r="AJ24" s="753"/>
      <c r="AK24" s="753"/>
      <c r="AL24" s="753"/>
      <c r="AM24" s="753"/>
      <c r="AN24" s="753"/>
      <c r="AO24" s="753"/>
      <c r="AP24" s="352"/>
      <c r="AQ24" s="352"/>
      <c r="AR24" s="352"/>
      <c r="AS24" s="352"/>
      <c r="AT24" s="352"/>
      <c r="AU24" s="352"/>
      <c r="AV24" s="352"/>
    </row>
    <row r="25" spans="1:55" x14ac:dyDescent="0.25">
      <c r="A25" s="445"/>
      <c r="B25" s="684" t="s">
        <v>1225</v>
      </c>
      <c r="C25" s="685">
        <v>1950000</v>
      </c>
      <c r="D25" s="685">
        <f t="shared" si="3"/>
        <v>162500</v>
      </c>
      <c r="E25" s="685">
        <v>0</v>
      </c>
      <c r="F25" s="686">
        <v>0</v>
      </c>
      <c r="G25" s="686">
        <v>0</v>
      </c>
      <c r="H25" s="686"/>
      <c r="I25" s="686">
        <v>555730</v>
      </c>
      <c r="J25" s="686">
        <v>142800</v>
      </c>
      <c r="K25" s="690"/>
      <c r="L25" s="686"/>
      <c r="M25" s="686"/>
      <c r="N25" s="687"/>
      <c r="O25" s="687"/>
      <c r="P25" s="687"/>
      <c r="Q25" s="686">
        <f t="shared" si="0"/>
        <v>975000</v>
      </c>
      <c r="R25" s="686">
        <f t="shared" si="7"/>
        <v>698530</v>
      </c>
      <c r="S25" s="688"/>
      <c r="T25" s="689">
        <f t="shared" si="4"/>
        <v>276470</v>
      </c>
      <c r="Z25" s="747"/>
      <c r="AA25" s="747"/>
      <c r="AB25" s="747"/>
      <c r="AC25" s="747"/>
      <c r="AD25" s="747"/>
      <c r="AE25" s="747"/>
      <c r="AF25" s="747"/>
      <c r="AG25" s="747"/>
      <c r="AH25" s="753"/>
      <c r="AI25" s="753"/>
      <c r="AJ25" s="753"/>
      <c r="AK25" s="753"/>
      <c r="AL25" s="753"/>
      <c r="AM25" s="753"/>
      <c r="AN25" s="753"/>
      <c r="AO25" s="753"/>
      <c r="AP25" s="352"/>
      <c r="AQ25" s="352"/>
      <c r="AR25" s="352"/>
      <c r="AS25" s="352"/>
      <c r="AT25" s="352"/>
      <c r="AU25" s="352"/>
      <c r="AV25" s="352"/>
    </row>
    <row r="26" spans="1:55" x14ac:dyDescent="0.25">
      <c r="B26" s="62" t="s">
        <v>91</v>
      </c>
      <c r="C26" s="433">
        <v>1910000</v>
      </c>
      <c r="D26" s="433">
        <f t="shared" si="3"/>
        <v>159166.66666666666</v>
      </c>
      <c r="E26" s="433">
        <v>0</v>
      </c>
      <c r="F26" s="364">
        <v>0</v>
      </c>
      <c r="G26" s="364">
        <v>288000</v>
      </c>
      <c r="H26" s="364">
        <v>50000</v>
      </c>
      <c r="I26" s="364">
        <v>305387</v>
      </c>
      <c r="J26" s="364"/>
      <c r="K26" s="364"/>
      <c r="L26" s="364"/>
      <c r="M26" s="364"/>
      <c r="N26" s="364"/>
      <c r="O26" s="364"/>
      <c r="P26" s="365"/>
      <c r="Q26" s="364">
        <f t="shared" si="0"/>
        <v>955000</v>
      </c>
      <c r="R26" s="364">
        <f t="shared" si="7"/>
        <v>643387</v>
      </c>
      <c r="S26" s="655">
        <f>+Q26-R26</f>
        <v>311613</v>
      </c>
      <c r="T26" s="656">
        <f t="shared" si="4"/>
        <v>311613</v>
      </c>
      <c r="Z26" s="747"/>
      <c r="AA26" s="747"/>
      <c r="AB26" s="747"/>
      <c r="AC26" s="747"/>
      <c r="AD26" s="747"/>
      <c r="AE26" s="747"/>
      <c r="AF26" s="747"/>
      <c r="AG26" s="747"/>
      <c r="AH26" s="753"/>
      <c r="AI26" s="753"/>
      <c r="AJ26" s="753"/>
      <c r="AK26" s="753"/>
      <c r="AL26" s="753"/>
      <c r="AM26" s="753"/>
      <c r="AN26" s="753"/>
      <c r="AO26" s="753"/>
      <c r="AP26" s="352"/>
      <c r="AQ26" s="352"/>
      <c r="AR26" s="352"/>
      <c r="AS26" s="352"/>
      <c r="AT26" s="352"/>
      <c r="AU26" s="352"/>
      <c r="AV26" s="352"/>
    </row>
    <row r="27" spans="1:55" x14ac:dyDescent="0.25">
      <c r="A27" s="443"/>
      <c r="B27" s="684" t="s">
        <v>92</v>
      </c>
      <c r="C27" s="685">
        <v>372000</v>
      </c>
      <c r="D27" s="685">
        <f t="shared" si="3"/>
        <v>31000</v>
      </c>
      <c r="E27" s="685">
        <v>0</v>
      </c>
      <c r="F27" s="686">
        <v>0</v>
      </c>
      <c r="G27" s="686">
        <v>0</v>
      </c>
      <c r="H27" s="686"/>
      <c r="I27" s="686"/>
      <c r="J27" s="686"/>
      <c r="K27" s="686"/>
      <c r="L27" s="686"/>
      <c r="M27" s="686"/>
      <c r="N27" s="687"/>
      <c r="O27" s="687"/>
      <c r="P27" s="687"/>
      <c r="Q27" s="686">
        <f t="shared" si="0"/>
        <v>186000</v>
      </c>
      <c r="R27" s="686">
        <f t="shared" si="7"/>
        <v>0</v>
      </c>
      <c r="S27" s="688"/>
      <c r="T27" s="689">
        <f t="shared" si="4"/>
        <v>186000</v>
      </c>
      <c r="Z27" s="750"/>
      <c r="AA27" s="750"/>
      <c r="AB27" s="750"/>
      <c r="AC27" s="750"/>
      <c r="AD27" s="750"/>
      <c r="AE27" s="750"/>
      <c r="AF27" s="750"/>
      <c r="AG27" s="750"/>
      <c r="AH27" s="756"/>
      <c r="AI27" s="756"/>
      <c r="AJ27" s="756"/>
      <c r="AK27" s="756"/>
      <c r="AL27" s="756"/>
      <c r="AM27" s="756"/>
      <c r="AN27" s="756"/>
      <c r="AO27" s="756"/>
      <c r="AP27" s="454"/>
      <c r="AQ27" s="454"/>
      <c r="AR27" s="454"/>
      <c r="AS27" s="454"/>
      <c r="AT27" s="454"/>
      <c r="AU27" s="454"/>
      <c r="AV27" s="454"/>
    </row>
    <row r="28" spans="1:55" x14ac:dyDescent="0.25">
      <c r="B28" s="62" t="s">
        <v>93</v>
      </c>
      <c r="C28" s="433">
        <v>740000</v>
      </c>
      <c r="D28" s="433">
        <f t="shared" si="3"/>
        <v>61666.666666666664</v>
      </c>
      <c r="E28" s="433"/>
      <c r="F28" s="364">
        <v>138500</v>
      </c>
      <c r="G28" s="364">
        <v>0</v>
      </c>
      <c r="H28" s="364"/>
      <c r="I28" s="364"/>
      <c r="J28" s="364"/>
      <c r="K28" s="364"/>
      <c r="L28" s="364"/>
      <c r="M28" s="364"/>
      <c r="N28" s="365"/>
      <c r="O28" s="365"/>
      <c r="P28" s="365"/>
      <c r="Q28" s="364">
        <f t="shared" si="0"/>
        <v>370000</v>
      </c>
      <c r="R28" s="364">
        <f t="shared" si="7"/>
        <v>138500</v>
      </c>
      <c r="S28" s="655">
        <f>+Q28-R28</f>
        <v>231500</v>
      </c>
      <c r="T28" s="656">
        <f t="shared" si="4"/>
        <v>231500</v>
      </c>
      <c r="Z28" s="750"/>
      <c r="AA28" s="750"/>
      <c r="AB28" s="750"/>
      <c r="AC28" s="750"/>
      <c r="AD28" s="750"/>
      <c r="AE28" s="750"/>
      <c r="AF28" s="750"/>
      <c r="AG28" s="750"/>
      <c r="AH28" s="760"/>
      <c r="AI28" s="756"/>
      <c r="AJ28" s="756"/>
      <c r="AK28" s="756"/>
      <c r="AL28" s="756"/>
      <c r="AM28" s="756"/>
      <c r="AN28" s="756"/>
      <c r="AO28" s="756"/>
      <c r="AP28" s="454"/>
      <c r="AQ28" s="454"/>
      <c r="AR28" s="454"/>
      <c r="AS28" s="454"/>
      <c r="AT28" s="454"/>
      <c r="AU28" s="454"/>
      <c r="AV28" s="454"/>
    </row>
    <row r="29" spans="1:55" ht="13" x14ac:dyDescent="0.3">
      <c r="B29" s="691" t="s">
        <v>1412</v>
      </c>
      <c r="C29" s="692">
        <v>3533088</v>
      </c>
      <c r="D29" s="692">
        <f t="shared" si="3"/>
        <v>294424</v>
      </c>
      <c r="E29" s="692">
        <f>+E7</f>
        <v>287015</v>
      </c>
      <c r="F29" s="692">
        <v>287015</v>
      </c>
      <c r="G29" s="692">
        <v>287015</v>
      </c>
      <c r="H29" s="692">
        <v>328376</v>
      </c>
      <c r="I29" s="692">
        <f>-14659+297358</f>
        <v>282699</v>
      </c>
      <c r="J29" s="692">
        <f>11725+282699</f>
        <v>294424</v>
      </c>
      <c r="K29" s="692"/>
      <c r="L29" s="692"/>
      <c r="M29" s="692"/>
      <c r="N29" s="693"/>
      <c r="O29" s="693"/>
      <c r="P29" s="693"/>
      <c r="Q29" s="686">
        <f t="shared" si="0"/>
        <v>1766544</v>
      </c>
      <c r="R29" s="694">
        <f>SUM(E29:P29)</f>
        <v>1766544</v>
      </c>
      <c r="S29" s="695">
        <f>+Q29-R29</f>
        <v>0</v>
      </c>
      <c r="T29" s="696">
        <f t="shared" si="4"/>
        <v>0</v>
      </c>
      <c r="Z29" s="750"/>
      <c r="AA29" s="750"/>
      <c r="AB29" s="750"/>
      <c r="AC29" s="750"/>
      <c r="AD29" s="750"/>
      <c r="AE29" s="750"/>
      <c r="AF29" s="750"/>
      <c r="AG29" s="750"/>
      <c r="AH29" s="760"/>
      <c r="AI29" s="756"/>
      <c r="AJ29" s="756"/>
      <c r="AK29" s="756"/>
      <c r="AL29" s="756"/>
      <c r="AM29" s="756"/>
      <c r="AN29" s="756"/>
      <c r="AO29" s="756"/>
      <c r="AP29" s="454"/>
      <c r="AQ29" s="454"/>
      <c r="AR29" s="454"/>
      <c r="AS29" s="454"/>
      <c r="AT29" s="454"/>
      <c r="AU29" s="454"/>
      <c r="AV29" s="454"/>
    </row>
    <row r="30" spans="1:55" x14ac:dyDescent="0.25">
      <c r="B30" s="697" t="s">
        <v>94</v>
      </c>
      <c r="C30" s="370">
        <f>SUM(C21:C29)</f>
        <v>190231115.39000005</v>
      </c>
      <c r="D30" s="369">
        <f t="shared" si="3"/>
        <v>15852592.94916667</v>
      </c>
      <c r="E30" s="369">
        <f t="shared" ref="E30:J30" si="8">SUM(E21:E29)</f>
        <v>15421012</v>
      </c>
      <c r="F30" s="370">
        <f t="shared" si="8"/>
        <v>16330219</v>
      </c>
      <c r="G30" s="370">
        <f t="shared" si="8"/>
        <v>15266574</v>
      </c>
      <c r="H30" s="370">
        <f>SUM(H21:H29)</f>
        <v>15112897</v>
      </c>
      <c r="I30" s="370">
        <f>SUM(I21:I29)</f>
        <v>15878337</v>
      </c>
      <c r="J30" s="370">
        <f t="shared" si="8"/>
        <v>15128782</v>
      </c>
      <c r="K30" s="370">
        <f t="shared" ref="K30:P30" si="9">SUM(K21:K29)</f>
        <v>0</v>
      </c>
      <c r="L30" s="370">
        <f t="shared" si="9"/>
        <v>0</v>
      </c>
      <c r="M30" s="370">
        <f t="shared" si="9"/>
        <v>0</v>
      </c>
      <c r="N30" s="380">
        <f t="shared" si="9"/>
        <v>0</v>
      </c>
      <c r="O30" s="380">
        <f t="shared" si="9"/>
        <v>0</v>
      </c>
      <c r="P30" s="380">
        <f t="shared" si="9"/>
        <v>0</v>
      </c>
      <c r="Q30" s="364">
        <f t="shared" si="0"/>
        <v>95115557.695000023</v>
      </c>
      <c r="R30" s="370">
        <f>SUM(R21:R29)</f>
        <v>93137821</v>
      </c>
      <c r="S30" s="658">
        <f>SUM(S21:S29)</f>
        <v>1278262.195000018</v>
      </c>
      <c r="T30" s="657">
        <f>+Q30-R30</f>
        <v>1977736.6950000226</v>
      </c>
      <c r="Z30" s="352"/>
      <c r="AA30" s="352"/>
      <c r="AB30" s="352"/>
      <c r="AC30" s="352"/>
      <c r="AD30" s="352"/>
      <c r="AE30" s="352"/>
      <c r="AF30" s="352"/>
      <c r="AG30" s="352"/>
      <c r="AH30" s="352"/>
      <c r="AI30" s="352"/>
      <c r="AJ30" s="352"/>
      <c r="AK30" s="352"/>
      <c r="AL30" s="352"/>
      <c r="AM30" s="352"/>
      <c r="AN30" s="352"/>
      <c r="AO30" s="352"/>
      <c r="AP30" s="352"/>
      <c r="AQ30" s="352"/>
      <c r="AR30" s="352"/>
      <c r="AS30" s="352"/>
      <c r="AT30" s="352"/>
      <c r="AU30" s="352"/>
      <c r="AV30" s="352"/>
    </row>
    <row r="31" spans="1:55" x14ac:dyDescent="0.25">
      <c r="B31" s="62" t="s">
        <v>95</v>
      </c>
      <c r="C31" s="376"/>
      <c r="D31" s="433">
        <f t="shared" si="3"/>
        <v>0</v>
      </c>
      <c r="E31" s="433"/>
      <c r="F31" s="364" t="s">
        <v>33</v>
      </c>
      <c r="G31" s="364"/>
      <c r="H31" s="364"/>
      <c r="I31" s="364"/>
      <c r="J31" s="364"/>
      <c r="K31" s="364"/>
      <c r="L31" s="364"/>
      <c r="M31" s="364"/>
      <c r="N31" s="365"/>
      <c r="O31" s="365"/>
      <c r="P31" s="365"/>
      <c r="Q31" s="364" t="s">
        <v>33</v>
      </c>
      <c r="R31" s="370" t="s">
        <v>33</v>
      </c>
      <c r="S31" s="658" t="s">
        <v>33</v>
      </c>
      <c r="T31" s="656" t="s">
        <v>33</v>
      </c>
      <c r="Z31" s="754"/>
      <c r="AA31" s="754"/>
      <c r="AB31" s="754"/>
      <c r="AC31" s="754"/>
      <c r="AD31" s="754"/>
      <c r="AE31" s="754"/>
      <c r="AF31" s="754"/>
      <c r="AG31" s="753"/>
      <c r="AH31" s="754"/>
      <c r="AI31" s="754"/>
      <c r="AJ31" s="754"/>
      <c r="AK31" s="753"/>
      <c r="AL31" s="753"/>
      <c r="AM31" s="753"/>
      <c r="AN31" s="753"/>
      <c r="AO31" s="753"/>
      <c r="AP31" s="753"/>
      <c r="AQ31" s="352"/>
      <c r="AR31" s="352"/>
      <c r="AT31" s="352"/>
      <c r="AU31" s="352"/>
      <c r="AV31" s="352"/>
      <c r="BC31" s="772"/>
    </row>
    <row r="32" spans="1:55" x14ac:dyDescent="0.25">
      <c r="B32" s="62" t="s">
        <v>759</v>
      </c>
      <c r="C32" s="376">
        <v>0</v>
      </c>
      <c r="D32" s="433">
        <f t="shared" si="3"/>
        <v>0</v>
      </c>
      <c r="E32" s="433">
        <f>+D32/12</f>
        <v>0</v>
      </c>
      <c r="F32" s="364">
        <v>0</v>
      </c>
      <c r="G32" s="364">
        <v>0</v>
      </c>
      <c r="H32" s="364">
        <v>0</v>
      </c>
      <c r="I32" s="364">
        <v>0</v>
      </c>
      <c r="J32" s="364">
        <v>179214</v>
      </c>
      <c r="K32" s="364">
        <v>0</v>
      </c>
      <c r="L32" s="364"/>
      <c r="M32" s="364"/>
      <c r="N32" s="364"/>
      <c r="O32" s="364"/>
      <c r="P32" s="364"/>
      <c r="Q32" s="364">
        <f t="shared" si="0"/>
        <v>0</v>
      </c>
      <c r="R32" s="370">
        <f>SUM(E32:P32)</f>
        <v>179214</v>
      </c>
      <c r="S32" s="658">
        <f>+Q32-R32</f>
        <v>-179214</v>
      </c>
      <c r="T32" s="656">
        <f t="shared" si="4"/>
        <v>-179214</v>
      </c>
      <c r="Z32" s="1662">
        <v>3</v>
      </c>
      <c r="AA32" s="753" t="s">
        <v>1420</v>
      </c>
      <c r="AB32" s="924">
        <f>Q30</f>
        <v>95115557.695000023</v>
      </c>
      <c r="AC32" s="767"/>
      <c r="AD32" s="767"/>
      <c r="AE32" s="767"/>
      <c r="AF32" s="756"/>
      <c r="AG32" s="753"/>
      <c r="AH32" s="754"/>
      <c r="AI32" s="754"/>
      <c r="AJ32" s="754"/>
      <c r="AK32" s="753"/>
      <c r="AL32" s="753"/>
      <c r="AM32" s="753"/>
      <c r="AN32" s="753"/>
      <c r="AO32" s="753"/>
      <c r="AP32" s="753"/>
      <c r="AQ32" s="352"/>
      <c r="AR32" s="352"/>
      <c r="AT32" s="352"/>
      <c r="AU32" s="352"/>
      <c r="AV32" s="352"/>
      <c r="BC32" s="772"/>
    </row>
    <row r="33" spans="2:55" ht="13" x14ac:dyDescent="0.3">
      <c r="B33" s="698" t="s">
        <v>96</v>
      </c>
      <c r="C33" s="699">
        <v>0</v>
      </c>
      <c r="D33" s="700">
        <f t="shared" si="3"/>
        <v>0</v>
      </c>
      <c r="E33" s="700">
        <f>+D33/12</f>
        <v>0</v>
      </c>
      <c r="F33" s="701">
        <v>0</v>
      </c>
      <c r="G33" s="701">
        <f>46000+17700+274950</f>
        <v>338650</v>
      </c>
      <c r="H33" s="701">
        <v>0</v>
      </c>
      <c r="I33" s="701">
        <v>176715</v>
      </c>
      <c r="J33" s="701">
        <v>0</v>
      </c>
      <c r="K33" s="701">
        <v>0</v>
      </c>
      <c r="L33" s="701">
        <v>0</v>
      </c>
      <c r="M33" s="701">
        <v>0</v>
      </c>
      <c r="N33" s="701">
        <v>0</v>
      </c>
      <c r="O33" s="701">
        <v>0</v>
      </c>
      <c r="P33" s="701">
        <v>0</v>
      </c>
      <c r="Q33" s="702">
        <f t="shared" si="0"/>
        <v>0</v>
      </c>
      <c r="R33" s="702">
        <f>SUM(E33:P33)</f>
        <v>515365</v>
      </c>
      <c r="S33" s="703">
        <f>+Q33-R33</f>
        <v>-515365</v>
      </c>
      <c r="T33" s="704">
        <f t="shared" si="4"/>
        <v>-515365</v>
      </c>
      <c r="Z33" s="1662"/>
      <c r="AA33" s="753" t="s">
        <v>1234</v>
      </c>
      <c r="AB33" s="924">
        <f>R30</f>
        <v>93137821</v>
      </c>
      <c r="AC33" s="753"/>
      <c r="AD33" s="753"/>
      <c r="AE33" s="753"/>
      <c r="AF33" s="753"/>
      <c r="AG33" s="753"/>
      <c r="AH33" s="754"/>
      <c r="AI33" s="754"/>
      <c r="AJ33" s="754"/>
      <c r="AK33" s="753"/>
      <c r="AL33" s="753"/>
      <c r="AM33" s="753"/>
      <c r="AN33" s="753"/>
      <c r="AO33" s="753"/>
      <c r="AP33" s="753"/>
      <c r="AQ33" s="352"/>
      <c r="AR33" s="352"/>
      <c r="AT33" s="453"/>
      <c r="AU33" s="352"/>
      <c r="AV33" s="352"/>
      <c r="BC33" s="772"/>
    </row>
    <row r="34" spans="2:55" s="1" customFormat="1" x14ac:dyDescent="0.25">
      <c r="B34" s="705" t="s">
        <v>97</v>
      </c>
      <c r="C34" s="370">
        <f>SUM(C32:C33)</f>
        <v>0</v>
      </c>
      <c r="D34" s="369">
        <f>+C34/12</f>
        <v>0</v>
      </c>
      <c r="E34" s="369">
        <f t="shared" ref="E34:J34" si="10">SUM(E32:E33)</f>
        <v>0</v>
      </c>
      <c r="F34" s="370">
        <f t="shared" si="10"/>
        <v>0</v>
      </c>
      <c r="G34" s="370">
        <f t="shared" si="10"/>
        <v>338650</v>
      </c>
      <c r="H34" s="370">
        <f>SUM(H32:H33)</f>
        <v>0</v>
      </c>
      <c r="I34" s="370">
        <f>SUM(I32:I33)</f>
        <v>176715</v>
      </c>
      <c r="J34" s="370">
        <f t="shared" si="10"/>
        <v>179214</v>
      </c>
      <c r="K34" s="370">
        <f t="shared" ref="K34:S34" si="11">SUM(K32:K33)</f>
        <v>0</v>
      </c>
      <c r="L34" s="370">
        <f t="shared" si="11"/>
        <v>0</v>
      </c>
      <c r="M34" s="370">
        <f t="shared" si="11"/>
        <v>0</v>
      </c>
      <c r="N34" s="380">
        <f t="shared" si="11"/>
        <v>0</v>
      </c>
      <c r="O34" s="380">
        <f t="shared" si="11"/>
        <v>0</v>
      </c>
      <c r="P34" s="380">
        <f t="shared" si="11"/>
        <v>0</v>
      </c>
      <c r="Q34" s="364">
        <f t="shared" si="11"/>
        <v>0</v>
      </c>
      <c r="R34" s="370">
        <f>SUM(E34:P34)</f>
        <v>694579</v>
      </c>
      <c r="S34" s="658">
        <f t="shared" si="11"/>
        <v>-694579</v>
      </c>
      <c r="T34" s="657">
        <f t="shared" si="4"/>
        <v>-694579</v>
      </c>
      <c r="Z34" s="753"/>
      <c r="AA34" s="753" t="s">
        <v>780</v>
      </c>
      <c r="AB34" s="924">
        <f>AB32-AB33</f>
        <v>1977736.6950000226</v>
      </c>
      <c r="AC34" s="767"/>
      <c r="AD34" s="767"/>
      <c r="AE34" s="767"/>
      <c r="AF34" s="753"/>
      <c r="AG34" s="753"/>
      <c r="AH34" s="768"/>
      <c r="AI34" s="768"/>
      <c r="AJ34" s="768"/>
      <c r="AK34" s="753"/>
      <c r="AL34" s="753"/>
      <c r="AM34" s="753"/>
      <c r="AN34" s="753"/>
      <c r="AO34" s="753"/>
      <c r="AP34" s="753"/>
      <c r="AQ34" s="352"/>
      <c r="AR34" s="352"/>
      <c r="AT34" s="453"/>
      <c r="AU34" s="352"/>
      <c r="AV34" s="352"/>
      <c r="BC34" s="774"/>
    </row>
    <row r="35" spans="2:55" ht="12.5" customHeight="1" x14ac:dyDescent="0.25">
      <c r="B35" s="55" t="s">
        <v>98</v>
      </c>
      <c r="C35" s="706"/>
      <c r="D35" s="706">
        <f t="shared" si="3"/>
        <v>0</v>
      </c>
      <c r="E35" s="706"/>
      <c r="F35" s="676"/>
      <c r="G35" s="676"/>
      <c r="H35" s="676"/>
      <c r="I35" s="676"/>
      <c r="J35" s="676"/>
      <c r="K35" s="676"/>
      <c r="L35" s="676"/>
      <c r="M35" s="676"/>
      <c r="N35" s="707"/>
      <c r="O35" s="707"/>
      <c r="P35" s="707"/>
      <c r="Q35" s="676" t="s">
        <v>33</v>
      </c>
      <c r="R35" s="676" t="s">
        <v>33</v>
      </c>
      <c r="S35" s="708" t="s">
        <v>33</v>
      </c>
      <c r="T35" s="709" t="s">
        <v>33</v>
      </c>
      <c r="Z35" s="753"/>
      <c r="AA35" s="753"/>
      <c r="AB35" s="754"/>
      <c r="AC35" s="753"/>
      <c r="AD35" s="753"/>
      <c r="AE35" s="753"/>
      <c r="AF35" s="753"/>
      <c r="AG35" s="754"/>
      <c r="AH35" s="754"/>
      <c r="AI35" s="754"/>
      <c r="AJ35" s="754"/>
      <c r="AK35" s="754"/>
      <c r="AL35" s="754"/>
      <c r="AM35" s="754"/>
      <c r="AN35" s="756"/>
      <c r="AO35" s="756"/>
      <c r="AP35" s="756"/>
      <c r="AQ35" s="454"/>
      <c r="AR35" s="352"/>
      <c r="AT35" s="453"/>
      <c r="AU35" s="454"/>
      <c r="AV35" s="454"/>
      <c r="BC35" s="772"/>
    </row>
    <row r="36" spans="2:55" ht="12.5" customHeight="1" x14ac:dyDescent="0.25">
      <c r="B36" s="62" t="s">
        <v>67</v>
      </c>
      <c r="C36" s="433">
        <v>2568001.5</v>
      </c>
      <c r="D36" s="433">
        <f>+C36/12</f>
        <v>214000.125</v>
      </c>
      <c r="E36" s="433">
        <v>0</v>
      </c>
      <c r="F36" s="364">
        <v>0</v>
      </c>
      <c r="G36" s="364">
        <v>595450</v>
      </c>
      <c r="H36" s="364">
        <v>0</v>
      </c>
      <c r="I36" s="364">
        <v>781652</v>
      </c>
      <c r="J36" s="364"/>
      <c r="K36" s="364"/>
      <c r="L36" s="364"/>
      <c r="M36" s="364"/>
      <c r="N36" s="365"/>
      <c r="O36" s="365"/>
      <c r="P36" s="365"/>
      <c r="Q36" s="364">
        <f t="shared" si="0"/>
        <v>1284000.75</v>
      </c>
      <c r="R36" s="364">
        <f>SUM(E36:P36)</f>
        <v>1377102</v>
      </c>
      <c r="S36" s="655">
        <f>+Q36-R36</f>
        <v>-93101.25</v>
      </c>
      <c r="T36" s="656">
        <f t="shared" si="4"/>
        <v>-93101.25</v>
      </c>
      <c r="Z36" s="753"/>
      <c r="AA36" s="753" t="s">
        <v>1413</v>
      </c>
      <c r="AB36" s="924">
        <f>Q19</f>
        <v>30839709.159999996</v>
      </c>
      <c r="AC36" s="767"/>
      <c r="AD36" s="767"/>
      <c r="AE36" s="767"/>
      <c r="AF36" s="753"/>
      <c r="AG36" s="754"/>
      <c r="AH36" s="754"/>
      <c r="AI36" s="754"/>
      <c r="AJ36" s="754"/>
      <c r="AK36" s="754"/>
      <c r="AL36" s="754"/>
      <c r="AM36" s="754"/>
      <c r="AN36" s="755"/>
      <c r="AO36" s="755"/>
      <c r="AP36" s="753"/>
      <c r="AQ36" s="352"/>
      <c r="AR36" s="352"/>
      <c r="AT36" s="353"/>
      <c r="AU36" s="352"/>
      <c r="AV36" s="352"/>
      <c r="BC36" s="772"/>
    </row>
    <row r="37" spans="2:55" ht="12.5" customHeight="1" x14ac:dyDescent="0.25">
      <c r="B37" s="55" t="s">
        <v>66</v>
      </c>
      <c r="C37" s="706">
        <f>33250000*1.15</f>
        <v>38237500</v>
      </c>
      <c r="D37" s="706">
        <f t="shared" ref="D37:D42" si="12">+C37/12</f>
        <v>3186458.3333333335</v>
      </c>
      <c r="E37" s="706">
        <v>3189683.88</v>
      </c>
      <c r="F37" s="676">
        <v>2628727</v>
      </c>
      <c r="G37" s="676">
        <v>2554892</v>
      </c>
      <c r="H37" s="676">
        <v>2640861</v>
      </c>
      <c r="I37" s="676">
        <v>3098024</v>
      </c>
      <c r="J37" s="676">
        <v>2908845</v>
      </c>
      <c r="K37" s="676"/>
      <c r="L37" s="676"/>
      <c r="M37" s="676"/>
      <c r="N37" s="707"/>
      <c r="O37" s="707"/>
      <c r="P37" s="707"/>
      <c r="Q37" s="676">
        <f t="shared" si="0"/>
        <v>19118750</v>
      </c>
      <c r="R37" s="676">
        <f t="shared" ref="R37:R43" si="13">SUM(E37:P37)</f>
        <v>17021032.879999999</v>
      </c>
      <c r="S37" s="708">
        <f>+Q37-R37</f>
        <v>2097717.120000001</v>
      </c>
      <c r="T37" s="709">
        <f t="shared" si="4"/>
        <v>2097717.120000001</v>
      </c>
      <c r="Z37" s="753"/>
      <c r="AA37" s="753" t="s">
        <v>788</v>
      </c>
      <c r="AB37" s="924">
        <f>R19</f>
        <v>28001155</v>
      </c>
      <c r="AC37" s="753"/>
      <c r="AD37" s="753"/>
      <c r="AE37" s="753"/>
      <c r="AF37" s="753"/>
      <c r="AG37" s="754"/>
      <c r="AH37" s="754"/>
      <c r="AI37" s="754"/>
      <c r="AJ37" s="754"/>
      <c r="AK37" s="754"/>
      <c r="AL37" s="754"/>
      <c r="AM37" s="754"/>
      <c r="AN37" s="753"/>
      <c r="AO37" s="753"/>
      <c r="AP37" s="753"/>
      <c r="AQ37" s="352"/>
      <c r="AR37" s="352"/>
      <c r="AT37" s="453"/>
      <c r="AU37" s="352"/>
      <c r="AV37" s="352"/>
      <c r="BC37" s="772"/>
    </row>
    <row r="38" spans="2:55" ht="12.5" customHeight="1" x14ac:dyDescent="0.25">
      <c r="B38" s="62" t="s">
        <v>99</v>
      </c>
      <c r="C38" s="433">
        <v>3500000</v>
      </c>
      <c r="D38" s="433">
        <f t="shared" si="12"/>
        <v>291666.66666666669</v>
      </c>
      <c r="E38" s="433">
        <v>129706</v>
      </c>
      <c r="F38" s="364">
        <v>233099</v>
      </c>
      <c r="G38" s="364">
        <v>303870</v>
      </c>
      <c r="H38" s="364">
        <v>205744</v>
      </c>
      <c r="I38" s="364">
        <v>217588</v>
      </c>
      <c r="J38" s="364">
        <v>249565</v>
      </c>
      <c r="K38" s="364"/>
      <c r="L38" s="364"/>
      <c r="M38" s="364"/>
      <c r="N38" s="365"/>
      <c r="O38" s="365"/>
      <c r="P38" s="365"/>
      <c r="Q38" s="364">
        <f t="shared" si="0"/>
        <v>1750000</v>
      </c>
      <c r="R38" s="364">
        <f t="shared" si="13"/>
        <v>1339572</v>
      </c>
      <c r="S38" s="655">
        <f>+Q38-R38</f>
        <v>410428</v>
      </c>
      <c r="T38" s="656">
        <f t="shared" si="4"/>
        <v>410428</v>
      </c>
      <c r="Z38" s="753"/>
      <c r="AA38" s="753" t="s">
        <v>780</v>
      </c>
      <c r="AB38" s="924">
        <f>AB36-AB37</f>
        <v>2838554.1599999964</v>
      </c>
      <c r="AC38" s="753"/>
      <c r="AD38" s="753"/>
      <c r="AE38" s="753"/>
      <c r="AF38" s="753"/>
      <c r="AG38" s="754"/>
      <c r="AH38" s="754"/>
      <c r="AI38" s="754"/>
      <c r="AJ38" s="754"/>
      <c r="AK38" s="754"/>
      <c r="AL38" s="754"/>
      <c r="AM38" s="754"/>
      <c r="AN38" s="753"/>
      <c r="AO38" s="753"/>
      <c r="AP38" s="753"/>
      <c r="AQ38" s="352"/>
      <c r="AR38" s="352"/>
      <c r="AT38" s="453"/>
      <c r="AU38" s="352"/>
      <c r="AV38" s="352"/>
      <c r="BC38" s="772"/>
    </row>
    <row r="39" spans="2:55" x14ac:dyDescent="0.25">
      <c r="B39" s="55" t="s">
        <v>100</v>
      </c>
      <c r="C39" s="706">
        <v>604000</v>
      </c>
      <c r="D39" s="706">
        <f t="shared" si="12"/>
        <v>50333.333333333336</v>
      </c>
      <c r="E39" s="706">
        <v>50100</v>
      </c>
      <c r="F39" s="676">
        <v>50115</v>
      </c>
      <c r="G39" s="676">
        <v>56102</v>
      </c>
      <c r="H39" s="676">
        <v>56070</v>
      </c>
      <c r="I39" s="676">
        <v>56076</v>
      </c>
      <c r="J39" s="676">
        <v>55806</v>
      </c>
      <c r="K39" s="676"/>
      <c r="L39" s="676"/>
      <c r="M39" s="676"/>
      <c r="N39" s="707"/>
      <c r="O39" s="707"/>
      <c r="P39" s="707"/>
      <c r="Q39" s="676">
        <f t="shared" si="0"/>
        <v>302000</v>
      </c>
      <c r="R39" s="676">
        <f t="shared" si="13"/>
        <v>324269</v>
      </c>
      <c r="S39" s="708">
        <f>+Q39-R39</f>
        <v>-22269</v>
      </c>
      <c r="T39" s="709">
        <f t="shared" si="4"/>
        <v>-22269</v>
      </c>
      <c r="Z39" s="753"/>
      <c r="AA39" s="753"/>
      <c r="AB39" s="754"/>
      <c r="AC39" s="769"/>
      <c r="AD39" s="769"/>
      <c r="AE39" s="769"/>
      <c r="AF39" s="753"/>
      <c r="AG39" s="754"/>
      <c r="AH39" s="754"/>
      <c r="AI39" s="754"/>
      <c r="AJ39" s="754"/>
      <c r="AK39" s="754"/>
      <c r="AL39" s="754"/>
      <c r="AM39" s="754"/>
      <c r="AN39" s="753"/>
      <c r="AO39" s="753"/>
      <c r="AP39" s="753"/>
      <c r="AQ39" s="352"/>
      <c r="AR39" s="352"/>
      <c r="AT39" s="353"/>
      <c r="AU39" s="352"/>
      <c r="AV39" s="352"/>
      <c r="BC39" s="772"/>
    </row>
    <row r="40" spans="2:55" x14ac:dyDescent="0.25">
      <c r="B40" s="62" t="s">
        <v>1226</v>
      </c>
      <c r="C40" s="433">
        <f>100988*12</f>
        <v>1211856</v>
      </c>
      <c r="D40" s="433">
        <f t="shared" si="12"/>
        <v>100988</v>
      </c>
      <c r="E40" s="433">
        <v>0</v>
      </c>
      <c r="F40" s="364">
        <v>0</v>
      </c>
      <c r="G40" s="364">
        <v>55250</v>
      </c>
      <c r="H40" s="364">
        <v>0</v>
      </c>
      <c r="I40" s="364">
        <v>0</v>
      </c>
      <c r="J40" s="364"/>
      <c r="K40" s="364"/>
      <c r="L40" s="364"/>
      <c r="M40" s="364"/>
      <c r="N40" s="365"/>
      <c r="O40" s="365"/>
      <c r="P40" s="365"/>
      <c r="Q40" s="364">
        <f t="shared" si="0"/>
        <v>605928</v>
      </c>
      <c r="R40" s="364">
        <f t="shared" si="13"/>
        <v>55250</v>
      </c>
      <c r="S40" s="655"/>
      <c r="T40" s="656">
        <f t="shared" si="4"/>
        <v>550678</v>
      </c>
      <c r="Z40" s="756"/>
      <c r="AA40" s="753" t="s">
        <v>1414</v>
      </c>
      <c r="AB40" s="924">
        <f>Q44</f>
        <v>31585878.75</v>
      </c>
      <c r="AC40" s="767"/>
      <c r="AD40" s="767"/>
      <c r="AE40" s="767"/>
      <c r="AF40" s="756"/>
      <c r="AG40" s="754"/>
      <c r="AH40" s="754"/>
      <c r="AI40" s="754"/>
      <c r="AJ40" s="754"/>
      <c r="AK40" s="754"/>
      <c r="AL40" s="754"/>
      <c r="AM40" s="754"/>
      <c r="AN40" s="753"/>
      <c r="AO40" s="753"/>
      <c r="AP40" s="753"/>
      <c r="AQ40" s="352"/>
      <c r="AR40" s="352"/>
      <c r="AT40" s="459"/>
      <c r="AU40" s="352"/>
      <c r="AV40" s="352"/>
      <c r="BC40" s="772"/>
    </row>
    <row r="41" spans="2:55" x14ac:dyDescent="0.25">
      <c r="B41" s="55" t="s">
        <v>101</v>
      </c>
      <c r="C41" s="706">
        <v>800000</v>
      </c>
      <c r="D41" s="706">
        <f t="shared" si="12"/>
        <v>66666.666666666672</v>
      </c>
      <c r="E41" s="706">
        <v>87582</v>
      </c>
      <c r="F41" s="676">
        <v>100988</v>
      </c>
      <c r="G41" s="676">
        <v>100988</v>
      </c>
      <c r="H41" s="676">
        <v>100988</v>
      </c>
      <c r="I41" s="676">
        <v>100988</v>
      </c>
      <c r="J41" s="676">
        <v>100988</v>
      </c>
      <c r="K41" s="676"/>
      <c r="L41" s="676"/>
      <c r="M41" s="676"/>
      <c r="N41" s="707"/>
      <c r="O41" s="707"/>
      <c r="P41" s="707"/>
      <c r="Q41" s="676">
        <f t="shared" si="0"/>
        <v>400000</v>
      </c>
      <c r="R41" s="676">
        <f t="shared" si="13"/>
        <v>592522</v>
      </c>
      <c r="S41" s="708">
        <f>+Q41-R41</f>
        <v>-192522</v>
      </c>
      <c r="T41" s="709">
        <f t="shared" si="4"/>
        <v>-192522</v>
      </c>
      <c r="Z41" s="753"/>
      <c r="AA41" s="768" t="s">
        <v>1415</v>
      </c>
      <c r="AB41" s="924">
        <f>R44</f>
        <v>27953247.879999999</v>
      </c>
      <c r="AC41" s="754"/>
      <c r="AD41" s="754"/>
      <c r="AE41" s="754"/>
      <c r="AF41" s="753"/>
      <c r="AG41" s="754"/>
      <c r="AH41" s="754"/>
      <c r="AI41" s="754"/>
      <c r="AJ41" s="754"/>
      <c r="AK41" s="754"/>
      <c r="AL41" s="754"/>
      <c r="AM41" s="754"/>
      <c r="AN41" s="753"/>
      <c r="AO41" s="753"/>
      <c r="AP41" s="753"/>
      <c r="AQ41" s="352"/>
      <c r="AU41" s="352"/>
      <c r="AV41" s="352"/>
      <c r="BC41" s="772"/>
    </row>
    <row r="42" spans="2:55" ht="13" x14ac:dyDescent="0.3">
      <c r="B42" s="710" t="s">
        <v>102</v>
      </c>
      <c r="C42" s="711">
        <f>(1187000+167200)*12</f>
        <v>16250400</v>
      </c>
      <c r="D42" s="711">
        <f t="shared" si="12"/>
        <v>1354200</v>
      </c>
      <c r="E42" s="712">
        <v>1354200</v>
      </c>
      <c r="F42" s="711">
        <v>1354200</v>
      </c>
      <c r="G42" s="712">
        <v>1354200</v>
      </c>
      <c r="H42" s="712">
        <v>1354200</v>
      </c>
      <c r="I42" s="712">
        <v>1354200</v>
      </c>
      <c r="J42" s="712"/>
      <c r="K42" s="712"/>
      <c r="L42" s="712"/>
      <c r="M42" s="712"/>
      <c r="N42" s="713"/>
      <c r="O42" s="713"/>
      <c r="P42" s="713"/>
      <c r="Q42" s="676">
        <f t="shared" si="0"/>
        <v>8125200</v>
      </c>
      <c r="R42" s="714">
        <f t="shared" si="13"/>
        <v>6771000</v>
      </c>
      <c r="S42" s="715">
        <f>+Q42-R42</f>
        <v>1354200</v>
      </c>
      <c r="T42" s="716">
        <f t="shared" si="4"/>
        <v>1354200</v>
      </c>
      <c r="Z42" s="756"/>
      <c r="AA42" s="753" t="s">
        <v>780</v>
      </c>
      <c r="AB42" s="924">
        <f>AB40-AB41</f>
        <v>3632630.870000001</v>
      </c>
      <c r="AC42" s="767"/>
      <c r="AD42" s="767"/>
      <c r="AE42" s="767"/>
      <c r="AF42" s="756"/>
      <c r="AG42" s="754"/>
      <c r="AH42" s="754"/>
      <c r="AI42" s="754"/>
      <c r="AJ42" s="754"/>
      <c r="AK42" s="754"/>
      <c r="AL42" s="754"/>
      <c r="AM42" s="754"/>
      <c r="AN42" s="753"/>
      <c r="AO42" s="753"/>
      <c r="AP42" s="753"/>
      <c r="AQ42" s="352"/>
      <c r="AR42" s="352"/>
      <c r="AT42" s="42"/>
      <c r="AU42" s="352"/>
      <c r="AV42" s="352"/>
      <c r="BC42" s="772"/>
    </row>
    <row r="43" spans="2:55" x14ac:dyDescent="0.25">
      <c r="B43" s="684" t="s">
        <v>1409</v>
      </c>
      <c r="C43" s="370"/>
      <c r="D43" s="369"/>
      <c r="E43" s="369"/>
      <c r="F43" s="370"/>
      <c r="G43" s="370"/>
      <c r="H43" s="370"/>
      <c r="I43" s="370">
        <v>472500</v>
      </c>
      <c r="J43" s="370"/>
      <c r="K43" s="370"/>
      <c r="L43" s="370"/>
      <c r="M43" s="370"/>
      <c r="N43" s="380"/>
      <c r="O43" s="380"/>
      <c r="P43" s="380"/>
      <c r="Q43" s="364">
        <f t="shared" si="0"/>
        <v>0</v>
      </c>
      <c r="R43" s="439">
        <f t="shared" si="13"/>
        <v>472500</v>
      </c>
      <c r="S43" s="663"/>
      <c r="T43" s="657">
        <f t="shared" si="4"/>
        <v>-472500</v>
      </c>
      <c r="Z43" s="753"/>
      <c r="AA43" s="753"/>
      <c r="AB43" s="754"/>
      <c r="AC43" s="753"/>
      <c r="AD43" s="753"/>
      <c r="AE43" s="753"/>
      <c r="AF43" s="753"/>
      <c r="AG43" s="754"/>
      <c r="AH43" s="754"/>
      <c r="AI43" s="754"/>
      <c r="AJ43" s="754"/>
      <c r="AK43" s="754"/>
      <c r="AL43" s="754"/>
      <c r="AM43" s="754"/>
      <c r="AN43" s="756"/>
      <c r="AO43" s="756"/>
      <c r="AP43" s="756"/>
      <c r="AQ43" s="454"/>
      <c r="AR43" s="352"/>
      <c r="AT43" s="42"/>
      <c r="AU43" s="454"/>
      <c r="AV43" s="454"/>
      <c r="BC43" s="772"/>
    </row>
    <row r="44" spans="2:55" ht="14.25" customHeight="1" x14ac:dyDescent="0.25">
      <c r="B44" s="684" t="s">
        <v>103</v>
      </c>
      <c r="C44" s="686">
        <f>SUM(C36:C42)</f>
        <v>63171757.5</v>
      </c>
      <c r="D44" s="685">
        <f>+C44/12</f>
        <v>5264313.125</v>
      </c>
      <c r="E44" s="685">
        <f>SUM(E36:E42)</f>
        <v>4811271.88</v>
      </c>
      <c r="F44" s="686">
        <f>SUM(F36:F42)</f>
        <v>4367129</v>
      </c>
      <c r="G44" s="686">
        <f>SUM(G36:G42)</f>
        <v>5020752</v>
      </c>
      <c r="H44" s="686">
        <f>SUM(H36:H42)</f>
        <v>4357863</v>
      </c>
      <c r="I44" s="686">
        <f>SUM(I36:I43)</f>
        <v>6081028</v>
      </c>
      <c r="J44" s="686">
        <f>SUM(J36:J42)</f>
        <v>3315204</v>
      </c>
      <c r="K44" s="686">
        <f t="shared" ref="K44:P44" si="14">SUM(K36:K42)</f>
        <v>0</v>
      </c>
      <c r="L44" s="686">
        <f t="shared" si="14"/>
        <v>0</v>
      </c>
      <c r="M44" s="686">
        <f t="shared" si="14"/>
        <v>0</v>
      </c>
      <c r="N44" s="687">
        <f t="shared" si="14"/>
        <v>0</v>
      </c>
      <c r="O44" s="687">
        <f t="shared" si="14"/>
        <v>0</v>
      </c>
      <c r="P44" s="687">
        <f t="shared" si="14"/>
        <v>0</v>
      </c>
      <c r="Q44" s="686">
        <f>+D44*$B$5</f>
        <v>31585878.75</v>
      </c>
      <c r="R44" s="686">
        <f>SUM(R36:R43)</f>
        <v>27953247.879999999</v>
      </c>
      <c r="S44" s="688">
        <f>SUM(S36:S42)</f>
        <v>3554452.870000001</v>
      </c>
      <c r="T44" s="689">
        <f t="shared" si="4"/>
        <v>3632630.870000001</v>
      </c>
      <c r="Z44" s="753"/>
      <c r="AA44" s="753" t="s">
        <v>1416</v>
      </c>
      <c r="AB44" s="924">
        <f>Q56</f>
        <v>20879818</v>
      </c>
      <c r="AC44" s="760"/>
      <c r="AD44" s="760"/>
      <c r="AE44" s="760"/>
      <c r="AF44" s="753"/>
      <c r="AG44" s="754"/>
      <c r="AH44" s="754"/>
      <c r="AI44" s="754"/>
      <c r="AJ44" s="754"/>
      <c r="AK44" s="754"/>
      <c r="AL44" s="754"/>
      <c r="AM44" s="754"/>
      <c r="AN44" s="753"/>
      <c r="AO44" s="753"/>
      <c r="AP44" s="753"/>
      <c r="AQ44" s="352"/>
      <c r="AR44" s="352"/>
      <c r="AT44" s="353"/>
      <c r="AU44" s="352"/>
      <c r="AV44" s="352"/>
      <c r="BC44" s="772"/>
    </row>
    <row r="45" spans="2:55" ht="14.25" customHeight="1" x14ac:dyDescent="0.25">
      <c r="B45" s="62" t="s">
        <v>104</v>
      </c>
      <c r="C45" s="364"/>
      <c r="D45" s="433" t="s">
        <v>33</v>
      </c>
      <c r="E45" s="433"/>
      <c r="F45" s="364"/>
      <c r="G45" s="364"/>
      <c r="H45" s="364"/>
      <c r="I45" s="364"/>
      <c r="J45" s="364"/>
      <c r="K45" s="364"/>
      <c r="L45" s="364"/>
      <c r="M45" s="364"/>
      <c r="N45" s="365"/>
      <c r="O45" s="365"/>
      <c r="P45" s="365"/>
      <c r="Q45" s="364" t="s">
        <v>33</v>
      </c>
      <c r="R45" s="364"/>
      <c r="S45" s="655">
        <f>+F45+G45+E45</f>
        <v>0</v>
      </c>
      <c r="T45" s="656" t="s">
        <v>33</v>
      </c>
      <c r="Z45" s="753"/>
      <c r="AA45" s="753" t="s">
        <v>1417</v>
      </c>
      <c r="AB45" s="755">
        <f>R56</f>
        <v>20608289.719999999</v>
      </c>
      <c r="AC45" s="753"/>
      <c r="AD45" s="753"/>
      <c r="AE45" s="753"/>
      <c r="AF45" s="753"/>
      <c r="AG45" s="754"/>
      <c r="AH45" s="754"/>
      <c r="AI45" s="754"/>
      <c r="AJ45" s="754"/>
      <c r="AK45" s="754"/>
      <c r="AL45" s="754"/>
      <c r="AM45" s="754"/>
      <c r="AN45" s="756"/>
      <c r="AO45" s="756"/>
      <c r="AP45" s="756"/>
      <c r="AQ45" s="454"/>
      <c r="AR45" s="352"/>
      <c r="AT45" s="353"/>
      <c r="AU45" s="454"/>
      <c r="AV45" s="454"/>
      <c r="BC45" s="772"/>
    </row>
    <row r="46" spans="2:55" x14ac:dyDescent="0.25">
      <c r="B46" s="684" t="s">
        <v>105</v>
      </c>
      <c r="C46" s="686">
        <v>30797847</v>
      </c>
      <c r="D46" s="685">
        <f>+C46/12</f>
        <v>2566487.25</v>
      </c>
      <c r="E46" s="685">
        <v>2343824</v>
      </c>
      <c r="F46" s="686">
        <v>2343824</v>
      </c>
      <c r="G46" s="686">
        <v>2343824</v>
      </c>
      <c r="H46" s="686">
        <v>3235079</v>
      </c>
      <c r="I46" s="686">
        <v>2566487</v>
      </c>
      <c r="J46" s="686">
        <v>2566487</v>
      </c>
      <c r="K46" s="686"/>
      <c r="L46" s="686"/>
      <c r="M46" s="686"/>
      <c r="N46" s="687"/>
      <c r="O46" s="687"/>
      <c r="P46" s="687"/>
      <c r="Q46" s="686">
        <f t="shared" si="0"/>
        <v>15398923.5</v>
      </c>
      <c r="R46" s="686">
        <f t="shared" ref="R46:R55" si="15">SUM(E46:P46)</f>
        <v>15399525</v>
      </c>
      <c r="S46" s="688">
        <f>+Q46-R46</f>
        <v>-601.5</v>
      </c>
      <c r="T46" s="689">
        <f t="shared" si="4"/>
        <v>-601.5</v>
      </c>
      <c r="Z46" s="753"/>
      <c r="AA46" s="753" t="s">
        <v>780</v>
      </c>
      <c r="AB46" s="755">
        <f>AB44-AB45</f>
        <v>271528.28000000119</v>
      </c>
      <c r="AC46" s="753"/>
      <c r="AD46" s="753"/>
      <c r="AE46" s="753"/>
      <c r="AF46" s="753"/>
      <c r="AG46" s="754"/>
      <c r="AH46" s="754"/>
      <c r="AI46" s="754"/>
      <c r="AJ46" s="754"/>
      <c r="AK46" s="754"/>
      <c r="AL46" s="754"/>
      <c r="AM46" s="754"/>
      <c r="AN46" s="753"/>
      <c r="AO46" s="753"/>
      <c r="AP46" s="753"/>
      <c r="AQ46" s="352"/>
      <c r="AR46" s="352"/>
      <c r="AT46" s="459"/>
      <c r="AU46" s="352"/>
      <c r="AV46" s="352"/>
      <c r="BC46" s="772"/>
    </row>
    <row r="47" spans="2:55" x14ac:dyDescent="0.25">
      <c r="B47" s="62" t="s">
        <v>65</v>
      </c>
      <c r="C47" s="364">
        <v>6413421</v>
      </c>
      <c r="D47" s="433">
        <f t="shared" ref="D47:D55" si="16">+C47/12</f>
        <v>534451.75</v>
      </c>
      <c r="E47" s="433">
        <v>488080</v>
      </c>
      <c r="F47" s="364">
        <v>488080</v>
      </c>
      <c r="G47" s="364">
        <v>627190</v>
      </c>
      <c r="H47" s="364">
        <v>534352</v>
      </c>
      <c r="I47" s="364">
        <v>534352</v>
      </c>
      <c r="J47" s="364">
        <v>534352</v>
      </c>
      <c r="K47" s="364"/>
      <c r="L47" s="364"/>
      <c r="M47" s="364"/>
      <c r="N47" s="365"/>
      <c r="O47" s="365"/>
      <c r="P47" s="365"/>
      <c r="Q47" s="364">
        <f t="shared" si="0"/>
        <v>3206710.5</v>
      </c>
      <c r="R47" s="364">
        <f t="shared" si="15"/>
        <v>3206406</v>
      </c>
      <c r="S47" s="655">
        <f t="shared" ref="S47:S55" si="17">+Q47-R47</f>
        <v>304.5</v>
      </c>
      <c r="T47" s="656">
        <f t="shared" si="4"/>
        <v>304.5</v>
      </c>
      <c r="Z47" s="756"/>
      <c r="AA47" s="756"/>
      <c r="AB47" s="756"/>
      <c r="AC47" s="753"/>
      <c r="AD47" s="753"/>
      <c r="AE47" s="753"/>
      <c r="AF47" s="753"/>
      <c r="AG47" s="754"/>
      <c r="AH47" s="754"/>
      <c r="AI47" s="754"/>
      <c r="AJ47" s="754"/>
      <c r="AK47" s="754"/>
      <c r="AL47" s="754"/>
      <c r="AM47" s="754"/>
      <c r="AN47" s="753"/>
      <c r="AO47" s="753"/>
      <c r="AP47" s="753"/>
      <c r="AQ47" s="352"/>
      <c r="AR47" s="352"/>
      <c r="AT47" s="353"/>
      <c r="AU47" s="352"/>
      <c r="AV47" s="352"/>
      <c r="BC47" s="772"/>
    </row>
    <row r="48" spans="2:55" x14ac:dyDescent="0.25">
      <c r="B48" s="684" t="s">
        <v>106</v>
      </c>
      <c r="C48" s="686">
        <v>534465</v>
      </c>
      <c r="D48" s="685">
        <f t="shared" si="16"/>
        <v>44538.75</v>
      </c>
      <c r="E48" s="685">
        <v>0</v>
      </c>
      <c r="F48" s="686">
        <v>0</v>
      </c>
      <c r="G48" s="686">
        <v>0</v>
      </c>
      <c r="H48" s="686">
        <v>0</v>
      </c>
      <c r="I48" s="686">
        <v>0</v>
      </c>
      <c r="J48" s="686">
        <v>534565</v>
      </c>
      <c r="K48" s="686"/>
      <c r="L48" s="686"/>
      <c r="M48" s="686"/>
      <c r="N48" s="687"/>
      <c r="O48" s="687"/>
      <c r="P48" s="687"/>
      <c r="Q48" s="686">
        <f t="shared" si="0"/>
        <v>267232.5</v>
      </c>
      <c r="R48" s="686">
        <f t="shared" si="15"/>
        <v>534565</v>
      </c>
      <c r="S48" s="688">
        <f t="shared" si="17"/>
        <v>-267332.5</v>
      </c>
      <c r="T48" s="689">
        <f t="shared" si="4"/>
        <v>-267332.5</v>
      </c>
      <c r="Z48" s="753"/>
      <c r="AA48" s="753" t="s">
        <v>1418</v>
      </c>
      <c r="AB48" s="755">
        <f>Q33</f>
        <v>0</v>
      </c>
      <c r="AC48" s="753"/>
      <c r="AD48" s="753"/>
      <c r="AE48" s="753"/>
      <c r="AF48" s="753"/>
      <c r="AG48" s="754"/>
      <c r="AH48" s="754"/>
      <c r="AI48" s="754"/>
      <c r="AJ48" s="754"/>
      <c r="AK48" s="754"/>
      <c r="AL48" s="754"/>
      <c r="AM48" s="754"/>
      <c r="AN48" s="753"/>
      <c r="AO48" s="753"/>
      <c r="AP48" s="753"/>
      <c r="AQ48" s="352"/>
      <c r="AR48" s="1"/>
      <c r="AT48" s="925"/>
      <c r="AU48" s="352"/>
      <c r="AV48" s="352"/>
      <c r="BC48" s="772"/>
    </row>
    <row r="49" spans="2:61" x14ac:dyDescent="0.25">
      <c r="B49" s="62" t="s">
        <v>107</v>
      </c>
      <c r="C49" s="364">
        <v>603903</v>
      </c>
      <c r="D49" s="433">
        <f t="shared" si="16"/>
        <v>50325.25</v>
      </c>
      <c r="E49" s="433">
        <v>50344</v>
      </c>
      <c r="F49" s="364">
        <v>50344</v>
      </c>
      <c r="G49" s="364">
        <v>50344</v>
      </c>
      <c r="H49" s="364">
        <v>50344</v>
      </c>
      <c r="I49" s="364">
        <v>50344</v>
      </c>
      <c r="J49" s="364">
        <v>50344</v>
      </c>
      <c r="K49" s="364"/>
      <c r="L49" s="364"/>
      <c r="M49" s="364"/>
      <c r="N49" s="365"/>
      <c r="O49" s="365"/>
      <c r="P49" s="365"/>
      <c r="Q49" s="364">
        <f t="shared" si="0"/>
        <v>301951.5</v>
      </c>
      <c r="R49" s="364">
        <f t="shared" si="15"/>
        <v>302064</v>
      </c>
      <c r="S49" s="655">
        <f t="shared" si="17"/>
        <v>-112.5</v>
      </c>
      <c r="T49" s="656">
        <f t="shared" si="4"/>
        <v>-112.5</v>
      </c>
      <c r="Z49" s="753"/>
      <c r="AA49" s="753" t="s">
        <v>1419</v>
      </c>
      <c r="AB49" s="755">
        <f>R33</f>
        <v>515365</v>
      </c>
      <c r="AC49" s="753"/>
      <c r="AD49" s="753"/>
      <c r="AE49" s="753"/>
      <c r="AF49" s="753"/>
      <c r="AG49" s="754"/>
      <c r="AH49" s="754"/>
      <c r="AI49" s="754"/>
      <c r="AJ49" s="754"/>
      <c r="AK49" s="754"/>
      <c r="AL49" s="754"/>
      <c r="AM49" s="754"/>
      <c r="AN49" s="753"/>
      <c r="AO49" s="753"/>
      <c r="AP49" s="753"/>
      <c r="AQ49" s="352"/>
      <c r="AR49" s="1"/>
      <c r="AT49" s="459"/>
      <c r="AU49" s="352"/>
      <c r="BC49" s="772"/>
    </row>
    <row r="50" spans="2:61" x14ac:dyDescent="0.25">
      <c r="B50" s="684" t="s">
        <v>108</v>
      </c>
      <c r="C50" s="686">
        <v>200000</v>
      </c>
      <c r="D50" s="685">
        <f t="shared" si="16"/>
        <v>16666.666666666668</v>
      </c>
      <c r="E50" s="685">
        <v>0</v>
      </c>
      <c r="F50" s="686">
        <v>0</v>
      </c>
      <c r="G50" s="686">
        <v>10000</v>
      </c>
      <c r="H50" s="686">
        <v>10000</v>
      </c>
      <c r="I50" s="686">
        <v>0</v>
      </c>
      <c r="J50" s="686">
        <v>0</v>
      </c>
      <c r="K50" s="686"/>
      <c r="L50" s="686"/>
      <c r="M50" s="686"/>
      <c r="N50" s="687"/>
      <c r="O50" s="687"/>
      <c r="P50" s="687"/>
      <c r="Q50" s="686">
        <f t="shared" si="0"/>
        <v>100000</v>
      </c>
      <c r="R50" s="686">
        <f t="shared" si="15"/>
        <v>20000</v>
      </c>
      <c r="S50" s="688">
        <f t="shared" si="17"/>
        <v>80000</v>
      </c>
      <c r="T50" s="689">
        <f t="shared" si="4"/>
        <v>80000</v>
      </c>
      <c r="Z50" s="756"/>
      <c r="AA50" s="756"/>
      <c r="AB50" s="756"/>
      <c r="AC50" s="756"/>
      <c r="AD50" s="756"/>
      <c r="AE50" s="756"/>
      <c r="AF50" s="756"/>
      <c r="AG50" s="754"/>
      <c r="AH50" s="754"/>
      <c r="AI50" s="754"/>
      <c r="AJ50" s="754"/>
      <c r="AK50" s="754"/>
      <c r="AL50" s="754"/>
      <c r="AM50" s="754"/>
      <c r="AN50" s="753"/>
      <c r="AO50" s="753"/>
      <c r="AP50" s="753"/>
      <c r="AQ50" s="352"/>
      <c r="AR50" s="353"/>
      <c r="AT50" s="353"/>
      <c r="AU50" s="352"/>
      <c r="AV50" s="352"/>
      <c r="BC50" s="772"/>
    </row>
    <row r="51" spans="2:61" x14ac:dyDescent="0.25">
      <c r="B51" s="62" t="s">
        <v>109</v>
      </c>
      <c r="C51" s="364">
        <v>360000</v>
      </c>
      <c r="D51" s="433">
        <f t="shared" si="16"/>
        <v>30000</v>
      </c>
      <c r="E51" s="433">
        <v>0</v>
      </c>
      <c r="F51" s="364">
        <v>0</v>
      </c>
      <c r="G51" s="364">
        <v>26640</v>
      </c>
      <c r="H51" s="364">
        <v>4390</v>
      </c>
      <c r="I51" s="364">
        <v>27030</v>
      </c>
      <c r="J51" s="364">
        <v>0</v>
      </c>
      <c r="K51" s="364"/>
      <c r="L51" s="364"/>
      <c r="M51" s="364"/>
      <c r="N51" s="365"/>
      <c r="O51" s="365"/>
      <c r="P51" s="365"/>
      <c r="Q51" s="364">
        <f t="shared" si="0"/>
        <v>180000</v>
      </c>
      <c r="R51" s="364">
        <f t="shared" si="15"/>
        <v>58060</v>
      </c>
      <c r="S51" s="655">
        <f t="shared" si="17"/>
        <v>121940</v>
      </c>
      <c r="T51" s="656">
        <f t="shared" si="4"/>
        <v>121940</v>
      </c>
      <c r="Z51" s="754"/>
      <c r="AA51" s="754"/>
      <c r="AB51" s="754"/>
      <c r="AC51" s="754"/>
      <c r="AD51" s="754"/>
      <c r="AE51" s="754"/>
      <c r="AF51" s="754"/>
      <c r="AG51" s="754"/>
      <c r="AH51" s="754"/>
      <c r="AI51" s="754"/>
      <c r="AJ51" s="754"/>
      <c r="AK51" s="754"/>
      <c r="AL51" s="754"/>
      <c r="AM51" s="754"/>
      <c r="AN51" s="756"/>
      <c r="AO51" s="756"/>
      <c r="AP51" s="756" t="s">
        <v>783</v>
      </c>
      <c r="AQ51" s="454"/>
      <c r="AR51" s="352"/>
      <c r="AT51" s="353"/>
      <c r="AU51" s="454"/>
      <c r="AV51" s="454"/>
      <c r="BC51" s="772"/>
    </row>
    <row r="52" spans="2:61" ht="12.5" customHeight="1" x14ac:dyDescent="0.25">
      <c r="B52" s="684" t="s">
        <v>110</v>
      </c>
      <c r="C52" s="717">
        <v>150000</v>
      </c>
      <c r="D52" s="694">
        <f t="shared" si="16"/>
        <v>12500</v>
      </c>
      <c r="E52" s="685">
        <v>0</v>
      </c>
      <c r="F52" s="686">
        <v>0</v>
      </c>
      <c r="G52" s="718">
        <v>4500</v>
      </c>
      <c r="H52" s="718">
        <v>0</v>
      </c>
      <c r="I52" s="718">
        <v>0</v>
      </c>
      <c r="J52" s="718">
        <v>0</v>
      </c>
      <c r="K52" s="718"/>
      <c r="L52" s="718"/>
      <c r="M52" s="718"/>
      <c r="N52" s="719"/>
      <c r="O52" s="718"/>
      <c r="P52" s="718"/>
      <c r="Q52" s="686">
        <f t="shared" si="0"/>
        <v>75000</v>
      </c>
      <c r="R52" s="686">
        <f t="shared" si="15"/>
        <v>4500</v>
      </c>
      <c r="S52" s="688">
        <f t="shared" si="17"/>
        <v>70500</v>
      </c>
      <c r="T52" s="689">
        <f t="shared" si="4"/>
        <v>70500</v>
      </c>
      <c r="Z52" s="754"/>
      <c r="AA52" s="754"/>
      <c r="AB52" s="754"/>
      <c r="AC52" s="754"/>
      <c r="AD52" s="754"/>
      <c r="AE52" s="754"/>
      <c r="AF52" s="754"/>
      <c r="AG52" s="754"/>
      <c r="AH52" s="754"/>
      <c r="AI52" s="754"/>
      <c r="AJ52" s="754"/>
      <c r="AK52" s="754"/>
      <c r="AL52" s="754"/>
      <c r="AM52" s="754"/>
      <c r="AN52" s="753"/>
      <c r="AO52" s="753"/>
      <c r="AP52" s="753"/>
      <c r="AQ52" s="352"/>
      <c r="AR52" s="353"/>
      <c r="AT52" s="353"/>
      <c r="AU52" s="352"/>
      <c r="AV52" s="352"/>
      <c r="BC52" s="772"/>
    </row>
    <row r="53" spans="2:61" ht="12.5" customHeight="1" x14ac:dyDescent="0.25">
      <c r="B53" s="62" t="s">
        <v>111</v>
      </c>
      <c r="C53" s="660">
        <v>2700000</v>
      </c>
      <c r="D53" s="723">
        <f t="shared" si="16"/>
        <v>225000</v>
      </c>
      <c r="E53" s="433">
        <v>191152.44</v>
      </c>
      <c r="F53" s="364">
        <v>189522.6</v>
      </c>
      <c r="G53" s="364">
        <v>196603.1</v>
      </c>
      <c r="H53" s="364">
        <v>179705.1</v>
      </c>
      <c r="I53" s="364">
        <v>225057.48</v>
      </c>
      <c r="J53" s="364">
        <v>101784</v>
      </c>
      <c r="K53" s="364"/>
      <c r="L53" s="364"/>
      <c r="M53" s="364"/>
      <c r="N53" s="365"/>
      <c r="O53" s="365"/>
      <c r="P53" s="365"/>
      <c r="Q53" s="364">
        <f t="shared" si="0"/>
        <v>1350000</v>
      </c>
      <c r="R53" s="364">
        <f t="shared" si="15"/>
        <v>1083824.72</v>
      </c>
      <c r="S53" s="655">
        <f t="shared" si="17"/>
        <v>266175.28000000003</v>
      </c>
      <c r="T53" s="656">
        <f t="shared" si="4"/>
        <v>266175.28000000003</v>
      </c>
      <c r="Z53" s="754"/>
      <c r="AA53" s="754"/>
      <c r="AB53" s="754"/>
      <c r="AC53" s="754"/>
      <c r="AD53" s="754"/>
      <c r="AE53" s="754"/>
      <c r="AF53" s="754"/>
      <c r="AG53" s="754"/>
      <c r="AH53" s="754"/>
      <c r="AI53" s="754"/>
      <c r="AJ53" s="754"/>
      <c r="AK53" s="754"/>
      <c r="AL53" s="754"/>
      <c r="AM53" s="754"/>
      <c r="AN53" s="753"/>
      <c r="AO53" s="753"/>
      <c r="AP53" s="755">
        <f>Q34</f>
        <v>0</v>
      </c>
      <c r="AQ53" s="352"/>
      <c r="AU53" s="352"/>
      <c r="AV53" s="353"/>
    </row>
    <row r="54" spans="2:61" x14ac:dyDescent="0.25">
      <c r="B54" s="684" t="s">
        <v>68</v>
      </c>
      <c r="C54" s="686">
        <v>0</v>
      </c>
      <c r="D54" s="720">
        <f t="shared" si="16"/>
        <v>0</v>
      </c>
      <c r="E54" s="685">
        <v>0</v>
      </c>
      <c r="F54" s="686">
        <v>0</v>
      </c>
      <c r="G54" s="686">
        <v>1227</v>
      </c>
      <c r="H54" s="686">
        <v>5</v>
      </c>
      <c r="I54" s="686">
        <v>-1887</v>
      </c>
      <c r="J54" s="686"/>
      <c r="K54" s="686"/>
      <c r="L54" s="686"/>
      <c r="M54" s="686"/>
      <c r="N54" s="687"/>
      <c r="O54" s="687"/>
      <c r="P54" s="687"/>
      <c r="Q54" s="686">
        <f t="shared" si="0"/>
        <v>0</v>
      </c>
      <c r="R54" s="686">
        <f t="shared" si="15"/>
        <v>-655</v>
      </c>
      <c r="S54" s="688"/>
      <c r="T54" s="689">
        <f t="shared" si="4"/>
        <v>655</v>
      </c>
      <c r="Z54" s="754"/>
      <c r="AA54" s="754"/>
      <c r="AB54" s="754"/>
      <c r="AC54" s="754"/>
      <c r="AD54" s="754"/>
      <c r="AE54" s="754"/>
      <c r="AF54" s="754"/>
      <c r="AG54" s="754"/>
      <c r="AH54" s="754"/>
      <c r="AI54" s="754"/>
      <c r="AJ54" s="754"/>
      <c r="AK54" s="754"/>
      <c r="AL54" s="754"/>
      <c r="AM54" s="754"/>
      <c r="AN54" s="770"/>
      <c r="AO54" s="770"/>
      <c r="AP54" s="753"/>
      <c r="AQ54" s="352"/>
      <c r="AT54" s="352"/>
      <c r="AU54" s="352"/>
      <c r="AV54" s="352"/>
      <c r="AZ54" s="352"/>
      <c r="BA54" s="352"/>
      <c r="BB54" s="352"/>
      <c r="BC54" s="352"/>
      <c r="BD54" s="352"/>
      <c r="BE54" s="352"/>
      <c r="BF54" s="352" t="s">
        <v>782</v>
      </c>
      <c r="BG54" s="352" t="s">
        <v>780</v>
      </c>
      <c r="BH54" s="454"/>
      <c r="BI54" s="454"/>
    </row>
    <row r="55" spans="2:61" ht="13" x14ac:dyDescent="0.3">
      <c r="B55" s="721" t="s">
        <v>112</v>
      </c>
      <c r="C55" s="722">
        <v>0</v>
      </c>
      <c r="D55" s="722">
        <f t="shared" si="16"/>
        <v>0</v>
      </c>
      <c r="E55" s="722"/>
      <c r="F55" s="722"/>
      <c r="G55" s="722"/>
      <c r="H55" s="722"/>
      <c r="I55" s="722"/>
      <c r="J55" s="722"/>
      <c r="K55" s="722"/>
      <c r="L55" s="722"/>
      <c r="M55" s="722"/>
      <c r="N55" s="722"/>
      <c r="O55" s="722"/>
      <c r="P55" s="722"/>
      <c r="Q55" s="686">
        <f t="shared" si="0"/>
        <v>0</v>
      </c>
      <c r="R55" s="722">
        <f t="shared" si="15"/>
        <v>0</v>
      </c>
      <c r="S55" s="695">
        <f t="shared" si="17"/>
        <v>0</v>
      </c>
      <c r="T55" s="696">
        <f t="shared" si="4"/>
        <v>0</v>
      </c>
      <c r="Z55" s="754"/>
      <c r="AA55" s="754"/>
      <c r="AB55" s="754"/>
      <c r="AC55" s="754"/>
      <c r="AD55" s="754"/>
      <c r="AE55" s="754"/>
      <c r="AF55" s="754"/>
      <c r="AG55" s="754"/>
      <c r="AH55" s="754"/>
      <c r="AI55" s="754"/>
      <c r="AJ55" s="754"/>
      <c r="AK55" s="754"/>
      <c r="AL55" s="754"/>
      <c r="AM55" s="754"/>
      <c r="AN55" s="753"/>
      <c r="AO55" s="753"/>
      <c r="AP55" s="755">
        <f>R34</f>
        <v>694579</v>
      </c>
      <c r="AQ55" s="352"/>
      <c r="AT55" s="352"/>
      <c r="AU55" s="352"/>
      <c r="AV55" s="353"/>
      <c r="AZ55" s="352"/>
      <c r="BI55" s="352"/>
    </row>
    <row r="56" spans="2:61" x14ac:dyDescent="0.25">
      <c r="B56" s="741" t="s">
        <v>113</v>
      </c>
      <c r="C56" s="742">
        <f>SUM(C46:C55)</f>
        <v>41759636</v>
      </c>
      <c r="D56" s="743">
        <f>SUM(D46:D55)</f>
        <v>3479969.6666666665</v>
      </c>
      <c r="E56" s="743">
        <f t="shared" ref="E56:J56" si="18">SUM(E46:E55)</f>
        <v>3073400.44</v>
      </c>
      <c r="F56" s="744">
        <f t="shared" si="18"/>
        <v>3071770.6</v>
      </c>
      <c r="G56" s="742">
        <f t="shared" si="18"/>
        <v>3260328.1</v>
      </c>
      <c r="H56" s="742">
        <f t="shared" si="18"/>
        <v>4013875.1</v>
      </c>
      <c r="I56" s="742">
        <f t="shared" si="18"/>
        <v>3401383.48</v>
      </c>
      <c r="J56" s="742">
        <f t="shared" si="18"/>
        <v>3787532</v>
      </c>
      <c r="K56" s="742"/>
      <c r="L56" s="742"/>
      <c r="M56" s="742"/>
      <c r="N56" s="742"/>
      <c r="O56" s="742"/>
      <c r="P56" s="742"/>
      <c r="Q56" s="744">
        <f>+D56*$B$5</f>
        <v>20879818</v>
      </c>
      <c r="R56" s="742">
        <f>SUM(R46:R55)</f>
        <v>20608289.719999999</v>
      </c>
      <c r="S56" s="742">
        <f>SUM(S46:S55)</f>
        <v>270873.28000000003</v>
      </c>
      <c r="T56" s="742">
        <f>+Q56-R56</f>
        <v>271528.28000000119</v>
      </c>
      <c r="AN56" s="352"/>
      <c r="AO56" s="352"/>
      <c r="AP56" s="352"/>
      <c r="AQ56" s="352"/>
      <c r="AR56" s="352"/>
      <c r="AS56" s="353"/>
      <c r="AT56" s="352"/>
      <c r="AU56" s="352"/>
      <c r="AV56" s="352"/>
      <c r="AZ56" s="352"/>
      <c r="BI56" s="352"/>
    </row>
    <row r="57" spans="2:61" ht="13" x14ac:dyDescent="0.3">
      <c r="B57" s="52" t="s">
        <v>118</v>
      </c>
      <c r="C57" s="383">
        <f>+C56+C44+C30+C34+C19</f>
        <v>356841927.21000004</v>
      </c>
      <c r="D57" s="435">
        <f>+D56+D44+D30+D19</f>
        <v>29736827.267500002</v>
      </c>
      <c r="E57" s="362">
        <f t="shared" ref="E57:J57" si="19">+E56+E44+E30+E34+E19</f>
        <v>29096206.32</v>
      </c>
      <c r="F57" s="382">
        <f t="shared" si="19"/>
        <v>28666715.600000001</v>
      </c>
      <c r="G57" s="382">
        <f t="shared" si="19"/>
        <v>29124953.100000001</v>
      </c>
      <c r="H57" s="382">
        <f t="shared" si="19"/>
        <v>26968598.100000001</v>
      </c>
      <c r="I57" s="665">
        <f t="shared" si="19"/>
        <v>29889745.48</v>
      </c>
      <c r="J57" s="665">
        <f t="shared" si="19"/>
        <v>26648874</v>
      </c>
      <c r="K57" s="665">
        <f t="shared" ref="K57:P57" si="20">+K56+K44+K30+K34+K19</f>
        <v>0</v>
      </c>
      <c r="L57" s="665">
        <f t="shared" si="20"/>
        <v>0</v>
      </c>
      <c r="M57" s="665">
        <f t="shared" si="20"/>
        <v>0</v>
      </c>
      <c r="N57" s="666">
        <f t="shared" si="20"/>
        <v>0</v>
      </c>
      <c r="O57" s="666">
        <f t="shared" si="20"/>
        <v>0</v>
      </c>
      <c r="P57" s="666">
        <f t="shared" si="20"/>
        <v>0</v>
      </c>
      <c r="Q57" s="373">
        <f>+D57*$B$5</f>
        <v>178420963.60500002</v>
      </c>
      <c r="R57" s="378">
        <f>+R56+R44+R30+R34+R19</f>
        <v>170395092.59999999</v>
      </c>
      <c r="S57" s="662">
        <f>+S56+S44+S30+S34+S19</f>
        <v>7597563.5050000194</v>
      </c>
      <c r="T57" s="667">
        <f>+T56+T44+T30+T34+T19</f>
        <v>8025871.0050000213</v>
      </c>
      <c r="Z57" s="772"/>
      <c r="AA57" s="772"/>
      <c r="AB57" s="774" t="s">
        <v>1237</v>
      </c>
      <c r="AC57" s="772"/>
      <c r="AD57" s="772"/>
      <c r="AE57" s="772"/>
      <c r="AG57" s="784" t="s">
        <v>1239</v>
      </c>
      <c r="AH57" s="785"/>
      <c r="AI57" s="785"/>
      <c r="AJ57" s="785"/>
      <c r="AK57" s="785"/>
      <c r="AL57" s="785"/>
      <c r="AM57" s="785"/>
      <c r="AN57" s="786"/>
      <c r="AO57" s="786"/>
      <c r="AP57" s="786"/>
      <c r="AQ57" s="454"/>
      <c r="AR57" s="454"/>
      <c r="AS57" s="454"/>
      <c r="AT57" s="454"/>
      <c r="AU57" s="454"/>
      <c r="AV57" s="454"/>
      <c r="AZ57" s="352"/>
      <c r="BI57" s="352"/>
    </row>
    <row r="58" spans="2:61" ht="13" x14ac:dyDescent="0.3">
      <c r="B58" s="724"/>
      <c r="C58" s="725"/>
      <c r="D58" s="726"/>
      <c r="E58" s="726"/>
      <c r="F58" s="727"/>
      <c r="G58" s="727"/>
      <c r="H58" s="727"/>
      <c r="I58" s="727"/>
      <c r="J58" s="727"/>
      <c r="K58" s="727"/>
      <c r="L58" s="727"/>
      <c r="M58" s="727"/>
      <c r="N58" s="728"/>
      <c r="O58" s="728"/>
      <c r="P58" s="728"/>
      <c r="Q58" s="727"/>
      <c r="R58" s="727"/>
      <c r="S58" s="729"/>
      <c r="T58" s="730"/>
      <c r="Z58" s="771" t="s">
        <v>785</v>
      </c>
      <c r="AA58" s="780"/>
      <c r="AB58" s="781">
        <f>AB37/AB36</f>
        <v>0.90795781681100662</v>
      </c>
      <c r="AC58" s="776">
        <f>R34</f>
        <v>694579</v>
      </c>
      <c r="AD58" s="776"/>
      <c r="AE58" s="776"/>
      <c r="AF58" s="352"/>
      <c r="AG58" s="787" t="s">
        <v>785</v>
      </c>
      <c r="AH58" s="787"/>
      <c r="AI58" s="788">
        <f>R19/R8</f>
        <v>0.15694526687845334</v>
      </c>
      <c r="AJ58" s="788"/>
      <c r="AK58" s="785"/>
      <c r="AL58" s="785"/>
      <c r="AM58" s="785"/>
      <c r="AN58" s="787"/>
      <c r="AO58" s="787"/>
      <c r="AP58" s="787"/>
      <c r="AQ58" s="352"/>
      <c r="AR58" s="352"/>
      <c r="AS58" s="352"/>
      <c r="AT58" s="352"/>
      <c r="AU58" s="352"/>
      <c r="AV58" s="352"/>
      <c r="AZ58" s="352"/>
      <c r="BI58" s="352"/>
    </row>
    <row r="59" spans="2:61" ht="13" x14ac:dyDescent="0.3">
      <c r="B59" s="731" t="s">
        <v>219</v>
      </c>
      <c r="C59" s="732">
        <f>SUM(C60:C64)</f>
        <v>0</v>
      </c>
      <c r="D59" s="733"/>
      <c r="E59" s="733">
        <f>SUM(E60:E65)</f>
        <v>451228.69</v>
      </c>
      <c r="F59" s="734">
        <f>SUM(F60:F64)</f>
        <v>472103.33999999997</v>
      </c>
      <c r="G59" s="735">
        <f>SUM(G60:G64)</f>
        <v>455679.26</v>
      </c>
      <c r="H59" s="735">
        <f>SUM(H60:H64)</f>
        <v>411197.13</v>
      </c>
      <c r="I59" s="735">
        <f>SUM(I60:I65)</f>
        <v>713029.05</v>
      </c>
      <c r="J59" s="735">
        <f>SUM(J60:J65)</f>
        <v>414671.35999999999</v>
      </c>
      <c r="K59" s="735">
        <f t="shared" ref="K59:S59" si="21">SUM(K60:K64)</f>
        <v>0</v>
      </c>
      <c r="L59" s="735">
        <f t="shared" si="21"/>
        <v>0</v>
      </c>
      <c r="M59" s="735">
        <f t="shared" si="21"/>
        <v>0</v>
      </c>
      <c r="N59" s="736">
        <f t="shared" si="21"/>
        <v>0</v>
      </c>
      <c r="O59" s="736">
        <f t="shared" si="21"/>
        <v>0</v>
      </c>
      <c r="P59" s="736">
        <f t="shared" si="21"/>
        <v>0</v>
      </c>
      <c r="Q59" s="735">
        <f t="shared" si="21"/>
        <v>0</v>
      </c>
      <c r="R59" s="737">
        <f t="shared" si="21"/>
        <v>2669456.09</v>
      </c>
      <c r="S59" s="738">
        <f t="shared" si="21"/>
        <v>-2669456.09</v>
      </c>
      <c r="T59" s="739">
        <f>+R59</f>
        <v>2669456.09</v>
      </c>
      <c r="Z59" s="771"/>
      <c r="AA59" s="780"/>
      <c r="AB59" s="781"/>
      <c r="AC59" s="771"/>
      <c r="AD59" s="771"/>
      <c r="AE59" s="771"/>
      <c r="AF59" s="352"/>
      <c r="AG59" s="787"/>
      <c r="AH59" s="787"/>
      <c r="AI59" s="788"/>
      <c r="AJ59" s="788"/>
      <c r="AK59" s="785"/>
      <c r="AL59" s="785"/>
      <c r="AM59" s="785"/>
      <c r="AN59" s="787"/>
      <c r="AO59" s="787"/>
      <c r="AP59" s="787"/>
      <c r="AQ59" s="352"/>
      <c r="AR59" s="352"/>
      <c r="AS59" s="352"/>
      <c r="AT59" s="352"/>
      <c r="AU59" s="352"/>
      <c r="AV59" s="352"/>
      <c r="AZ59" s="352"/>
      <c r="BI59" s="352"/>
    </row>
    <row r="60" spans="2:61" x14ac:dyDescent="0.25">
      <c r="B60" s="731" t="s">
        <v>121</v>
      </c>
      <c r="C60" s="732"/>
      <c r="D60" s="733"/>
      <c r="E60" s="733">
        <v>69013</v>
      </c>
      <c r="F60" s="734">
        <v>95407</v>
      </c>
      <c r="G60" s="734">
        <v>139518</v>
      </c>
      <c r="H60" s="734">
        <v>92495</v>
      </c>
      <c r="I60" s="734">
        <v>136086</v>
      </c>
      <c r="J60" s="734">
        <v>108094</v>
      </c>
      <c r="K60" s="734"/>
      <c r="L60" s="734"/>
      <c r="M60" s="734"/>
      <c r="N60" s="740"/>
      <c r="O60" s="740"/>
      <c r="P60" s="740"/>
      <c r="Q60" s="735">
        <v>0</v>
      </c>
      <c r="R60" s="734">
        <f>SUM(E60:P60)</f>
        <v>640613</v>
      </c>
      <c r="S60" s="738">
        <f>+Q60-R60</f>
        <v>-640613</v>
      </c>
      <c r="T60" s="739"/>
      <c r="Z60" s="771" t="s">
        <v>786</v>
      </c>
      <c r="AA60" s="780"/>
      <c r="AB60" s="781">
        <f>AB33/AB32</f>
        <v>0.97920701152442502</v>
      </c>
      <c r="AC60" s="776"/>
      <c r="AD60" s="776"/>
      <c r="AE60" s="776"/>
      <c r="AF60" s="352"/>
      <c r="AG60" s="787" t="s">
        <v>786</v>
      </c>
      <c r="AH60" s="788"/>
      <c r="AI60" s="788">
        <f>R29/R8</f>
        <v>9.9014029790032033E-3</v>
      </c>
      <c r="AJ60" s="788"/>
      <c r="AK60" s="785"/>
      <c r="AL60" s="785"/>
      <c r="AM60" s="785"/>
      <c r="AN60" s="787"/>
      <c r="AO60" s="787"/>
      <c r="AP60" s="787"/>
      <c r="AQ60" s="352"/>
      <c r="AR60" s="352"/>
      <c r="AS60" s="352"/>
      <c r="AT60" s="352"/>
      <c r="AU60" s="352"/>
      <c r="AV60" s="352"/>
      <c r="AZ60" s="454"/>
      <c r="BI60" s="454"/>
    </row>
    <row r="61" spans="2:61" ht="13" x14ac:dyDescent="0.3">
      <c r="B61" s="731" t="s">
        <v>122</v>
      </c>
      <c r="C61" s="732"/>
      <c r="D61" s="733"/>
      <c r="E61" s="733">
        <f>669.24+123715.45</f>
        <v>124384.69</v>
      </c>
      <c r="F61" s="734">
        <f>52094.04+1011.3</f>
        <v>53105.340000000004</v>
      </c>
      <c r="G61" s="735">
        <f>57021.36+1056.9</f>
        <v>58078.26</v>
      </c>
      <c r="H61" s="735">
        <f>1143+59728.13</f>
        <v>60871.13</v>
      </c>
      <c r="I61" s="735">
        <v>67835.31</v>
      </c>
      <c r="J61" s="735">
        <v>48746.36</v>
      </c>
      <c r="K61" s="735"/>
      <c r="L61" s="735"/>
      <c r="M61" s="735"/>
      <c r="N61" s="736"/>
      <c r="O61" s="736"/>
      <c r="P61" s="736"/>
      <c r="Q61" s="735">
        <v>0</v>
      </c>
      <c r="R61" s="737">
        <f>SUM(E61:P61)</f>
        <v>413021.08999999997</v>
      </c>
      <c r="S61" s="738">
        <f>+Q61-R61</f>
        <v>-413021.08999999997</v>
      </c>
      <c r="T61" s="739"/>
      <c r="Z61" s="771"/>
      <c r="AA61" s="780"/>
      <c r="AB61" s="781"/>
      <c r="AC61" s="771"/>
      <c r="AD61" s="771"/>
      <c r="AE61" s="771"/>
      <c r="AF61" s="352"/>
      <c r="AG61" s="787"/>
      <c r="AH61" s="788"/>
      <c r="AI61" s="788"/>
      <c r="AJ61" s="788"/>
      <c r="AK61" s="785"/>
      <c r="AL61" s="785"/>
      <c r="AM61" s="785"/>
      <c r="AN61" s="787"/>
      <c r="AO61" s="787"/>
      <c r="AP61" s="787"/>
      <c r="AQ61" s="353"/>
      <c r="AR61" s="352"/>
      <c r="AS61" s="352"/>
      <c r="AT61" s="352"/>
      <c r="AU61" s="352"/>
      <c r="AV61" s="352"/>
      <c r="AZ61" s="352"/>
      <c r="BI61" s="352"/>
    </row>
    <row r="62" spans="2:61" x14ac:dyDescent="0.25">
      <c r="B62" s="731" t="s">
        <v>1227</v>
      </c>
      <c r="C62" s="732"/>
      <c r="D62" s="733"/>
      <c r="E62" s="733"/>
      <c r="F62" s="734">
        <v>0</v>
      </c>
      <c r="G62" s="734"/>
      <c r="H62" s="734"/>
      <c r="I62" s="734">
        <v>0</v>
      </c>
      <c r="J62" s="734">
        <v>0</v>
      </c>
      <c r="K62" s="734">
        <v>0</v>
      </c>
      <c r="L62" s="734"/>
      <c r="M62" s="734"/>
      <c r="N62" s="740"/>
      <c r="O62" s="740"/>
      <c r="P62" s="740"/>
      <c r="Q62" s="735">
        <v>0</v>
      </c>
      <c r="R62" s="734">
        <f>SUM(E62:P62)</f>
        <v>0</v>
      </c>
      <c r="S62" s="738">
        <f>+Q62-R62</f>
        <v>0</v>
      </c>
      <c r="T62" s="739"/>
      <c r="Z62" s="771" t="s">
        <v>98</v>
      </c>
      <c r="AA62" s="780"/>
      <c r="AB62" s="781">
        <f>AB41/AB40</f>
        <v>0.8849919326686454</v>
      </c>
      <c r="AC62" s="776"/>
      <c r="AD62" s="776"/>
      <c r="AE62" s="776"/>
      <c r="AF62" s="352"/>
      <c r="AG62" s="787" t="s">
        <v>98</v>
      </c>
      <c r="AH62" s="788"/>
      <c r="AI62" s="788">
        <f>R42/R8</f>
        <v>3.7951163158591407E-2</v>
      </c>
      <c r="AJ62" s="788"/>
      <c r="AK62" s="785"/>
      <c r="AL62" s="785"/>
      <c r="AM62" s="785"/>
      <c r="AN62" s="787"/>
      <c r="AO62" s="787"/>
      <c r="AP62" s="789"/>
      <c r="AQ62" s="352"/>
      <c r="AR62" s="353"/>
      <c r="AS62" s="352"/>
      <c r="AT62" s="352"/>
      <c r="AU62" s="352"/>
      <c r="AV62" s="352"/>
      <c r="AZ62" s="352"/>
      <c r="BI62" s="352"/>
    </row>
    <row r="63" spans="2:61" ht="12.5" hidden="1" customHeight="1" x14ac:dyDescent="0.25">
      <c r="B63" s="106" t="s">
        <v>123</v>
      </c>
      <c r="C63" s="376"/>
      <c r="D63" s="361"/>
      <c r="E63" s="361">
        <v>257831</v>
      </c>
      <c r="F63" s="364">
        <v>323591</v>
      </c>
      <c r="G63" s="382">
        <v>257831</v>
      </c>
      <c r="H63" s="382">
        <v>257831</v>
      </c>
      <c r="I63" s="382">
        <v>257831</v>
      </c>
      <c r="J63" s="665">
        <v>257831</v>
      </c>
      <c r="K63" s="665"/>
      <c r="L63" s="665"/>
      <c r="M63" s="665"/>
      <c r="N63" s="666"/>
      <c r="O63" s="666"/>
      <c r="P63" s="666"/>
      <c r="Q63" s="382">
        <v>0</v>
      </c>
      <c r="R63" s="370">
        <f>SUM(E63:P63)</f>
        <v>1612746</v>
      </c>
      <c r="S63" s="668">
        <f>+Q63-R63</f>
        <v>-1612746</v>
      </c>
      <c r="T63" s="657"/>
      <c r="Z63" s="775"/>
      <c r="AA63" s="782"/>
      <c r="AB63" s="783"/>
      <c r="AC63" s="775"/>
      <c r="AD63" s="775"/>
      <c r="AE63" s="775"/>
      <c r="AF63" s="454"/>
      <c r="AG63" s="786"/>
      <c r="AH63" s="788"/>
      <c r="AI63" s="791"/>
      <c r="AJ63" s="791"/>
      <c r="AK63" s="785"/>
      <c r="AL63" s="785"/>
      <c r="AM63" s="785"/>
      <c r="AN63" s="787"/>
      <c r="AO63" s="787"/>
      <c r="AP63" s="789"/>
      <c r="AQ63" s="454"/>
      <c r="AR63" s="454"/>
      <c r="AS63" s="454"/>
      <c r="AT63" s="454"/>
      <c r="AU63" s="454"/>
      <c r="AV63" s="454"/>
      <c r="AZ63" s="352"/>
      <c r="BI63" s="352"/>
    </row>
    <row r="64" spans="2:61" x14ac:dyDescent="0.25">
      <c r="B64" s="271" t="s">
        <v>124</v>
      </c>
      <c r="C64" s="384"/>
      <c r="D64" s="385"/>
      <c r="E64" s="669"/>
      <c r="F64" s="669"/>
      <c r="G64" s="385">
        <v>252</v>
      </c>
      <c r="H64" s="385"/>
      <c r="I64" s="385">
        <f>2321+503</f>
        <v>2824</v>
      </c>
      <c r="J64" s="385">
        <v>0</v>
      </c>
      <c r="K64" s="385"/>
      <c r="L64" s="385"/>
      <c r="M64" s="385"/>
      <c r="N64" s="386"/>
      <c r="O64" s="386"/>
      <c r="P64" s="386"/>
      <c r="Q64" s="382">
        <v>0</v>
      </c>
      <c r="R64" s="670">
        <f>SUM(E64:P64)</f>
        <v>3076</v>
      </c>
      <c r="S64" s="670">
        <f>+Q64-R64</f>
        <v>-3076</v>
      </c>
      <c r="T64" s="670"/>
      <c r="Z64" s="771"/>
      <c r="AA64" s="780"/>
      <c r="AB64" s="781"/>
      <c r="AC64" s="776"/>
      <c r="AD64" s="776"/>
      <c r="AE64" s="776"/>
      <c r="AF64" s="352"/>
      <c r="AG64" s="787"/>
      <c r="AH64" s="788"/>
      <c r="AI64" s="788"/>
      <c r="AJ64" s="788"/>
      <c r="AK64" s="785"/>
      <c r="AL64" s="785"/>
      <c r="AM64" s="785"/>
      <c r="AN64" s="786"/>
      <c r="AO64" s="786"/>
      <c r="AP64" s="786"/>
      <c r="AQ64" s="352"/>
      <c r="AR64" s="352"/>
      <c r="AS64" s="352"/>
      <c r="AT64" s="352"/>
      <c r="AU64" s="352"/>
      <c r="AV64" s="352"/>
      <c r="AZ64" s="352"/>
      <c r="BI64" s="352"/>
    </row>
    <row r="65" spans="2:61" x14ac:dyDescent="0.25">
      <c r="B65" s="415" t="s">
        <v>1410</v>
      </c>
      <c r="C65" s="353"/>
      <c r="D65" s="353"/>
      <c r="E65" s="353"/>
      <c r="F65" s="387"/>
      <c r="G65" s="387"/>
      <c r="H65" s="387"/>
      <c r="I65" s="387">
        <v>248452.74</v>
      </c>
      <c r="J65" s="352">
        <v>0</v>
      </c>
      <c r="O65" s="388"/>
      <c r="P65" s="388"/>
      <c r="R65" s="671"/>
      <c r="T65" s="667"/>
      <c r="Z65" s="771" t="s">
        <v>104</v>
      </c>
      <c r="AA65" s="780"/>
      <c r="AB65" s="781">
        <f>AB45/AB44</f>
        <v>0.98699565867863404</v>
      </c>
      <c r="AC65" s="771"/>
      <c r="AD65" s="771"/>
      <c r="AE65" s="771"/>
      <c r="AF65" s="352"/>
      <c r="AG65" s="787" t="s">
        <v>104</v>
      </c>
      <c r="AH65" s="788"/>
      <c r="AI65" s="788">
        <f>R55/R8</f>
        <v>0</v>
      </c>
      <c r="AJ65" s="788"/>
      <c r="AK65" s="785"/>
      <c r="AL65" s="785"/>
      <c r="AM65" s="785"/>
      <c r="AN65" s="787"/>
      <c r="AO65" s="787"/>
      <c r="AP65" s="787"/>
      <c r="AQ65" s="352"/>
      <c r="AR65" s="352"/>
      <c r="AS65" s="352"/>
      <c r="AT65" s="352"/>
      <c r="AU65" s="352"/>
      <c r="AV65" s="352"/>
      <c r="AZ65" s="352"/>
      <c r="BI65" s="352"/>
    </row>
    <row r="66" spans="2:61" x14ac:dyDescent="0.25">
      <c r="B66" s="672" t="s">
        <v>566</v>
      </c>
      <c r="C66" s="408">
        <f>+C8-C57</f>
        <v>-0.21000003814697266</v>
      </c>
      <c r="D66" s="408">
        <f>+D8-D57</f>
        <v>-1.7500001937150955E-2</v>
      </c>
      <c r="E66" s="408">
        <f t="shared" ref="E66:J66" si="22">+E8-E57+E59</f>
        <v>56589.369999999704</v>
      </c>
      <c r="F66" s="408">
        <f t="shared" si="22"/>
        <v>506954.73999999848</v>
      </c>
      <c r="G66" s="408">
        <f t="shared" si="22"/>
        <v>32293.159999998519</v>
      </c>
      <c r="H66" s="408">
        <f t="shared" si="22"/>
        <v>6280234.0299999984</v>
      </c>
      <c r="I66" s="408">
        <f t="shared" si="22"/>
        <v>558867.5699999996</v>
      </c>
      <c r="J66" s="408">
        <f t="shared" si="22"/>
        <v>3501381.36</v>
      </c>
      <c r="K66" s="408">
        <f>+K8-K57+K59</f>
        <v>0</v>
      </c>
      <c r="L66" s="408"/>
      <c r="M66" s="408">
        <f>+M8-M57+M59</f>
        <v>0</v>
      </c>
      <c r="N66" s="673">
        <f>+N8-N57+N59</f>
        <v>0</v>
      </c>
      <c r="O66" s="407">
        <f>+O8-O57+O59</f>
        <v>0</v>
      </c>
      <c r="P66" s="407">
        <f>+P8-P57+P59</f>
        <v>0</v>
      </c>
      <c r="Q66" s="356">
        <v>0</v>
      </c>
      <c r="R66" s="370">
        <f>+R8-R57+R59</f>
        <v>10687867.490000006</v>
      </c>
      <c r="S66" s="389">
        <f>+S8-S57+S59</f>
        <v>-10259560.095000019</v>
      </c>
      <c r="T66" s="44">
        <f>+T57-T8+T59</f>
        <v>10687867.595000021</v>
      </c>
      <c r="Z66" s="771"/>
      <c r="AA66" s="780"/>
      <c r="AB66" s="771"/>
      <c r="AC66" s="776"/>
      <c r="AD66" s="776"/>
      <c r="AE66" s="776"/>
      <c r="AF66" s="352"/>
      <c r="AG66" s="789"/>
      <c r="AH66" s="788"/>
      <c r="AI66" s="788"/>
      <c r="AJ66" s="788"/>
      <c r="AK66" s="785"/>
      <c r="AL66" s="785"/>
      <c r="AM66" s="785"/>
      <c r="AN66" s="787"/>
      <c r="AO66" s="787"/>
      <c r="AP66" s="787"/>
      <c r="AQ66" s="352"/>
      <c r="AR66" s="352"/>
      <c r="AS66" s="352"/>
      <c r="AT66" s="352"/>
      <c r="AU66" s="352"/>
      <c r="AV66" s="352"/>
      <c r="AZ66" s="454"/>
      <c r="BI66" s="352"/>
    </row>
    <row r="67" spans="2:61" x14ac:dyDescent="0.25">
      <c r="B67" s="289"/>
      <c r="C67" s="474"/>
      <c r="D67" s="474"/>
      <c r="E67" s="474"/>
      <c r="F67" s="674">
        <f>SUM(E66:F66)</f>
        <v>563544.10999999824</v>
      </c>
      <c r="G67" s="474">
        <f>SUM(E66:G66)</f>
        <v>595837.26999999676</v>
      </c>
      <c r="H67" s="474">
        <f>SUM(E66:H66)</f>
        <v>6876071.2999999952</v>
      </c>
      <c r="I67" s="474">
        <f>SUM(E66:I66)</f>
        <v>7434938.8699999945</v>
      </c>
      <c r="J67" s="474"/>
      <c r="K67" s="404"/>
      <c r="L67" s="474"/>
      <c r="M67" s="440"/>
      <c r="N67" s="664"/>
      <c r="O67" s="474"/>
      <c r="P67" s="474"/>
      <c r="Q67" s="440"/>
      <c r="R67" s="440"/>
      <c r="S67" s="405"/>
      <c r="T67" s="145"/>
      <c r="Z67" s="771" t="s">
        <v>1238</v>
      </c>
      <c r="AA67" s="780"/>
      <c r="AB67" s="781">
        <f>R56/Q56</f>
        <v>0.98699565867863404</v>
      </c>
      <c r="AC67" s="771"/>
      <c r="AD67" s="771"/>
      <c r="AE67" s="771"/>
      <c r="AF67" s="352"/>
      <c r="AG67" s="787"/>
      <c r="AH67" s="788"/>
      <c r="AI67" s="787"/>
      <c r="AJ67" s="787"/>
      <c r="AK67" s="785"/>
      <c r="AL67" s="785"/>
      <c r="AM67" s="785"/>
      <c r="AN67" s="787"/>
      <c r="AO67" s="787"/>
      <c r="AP67" s="787"/>
      <c r="AQ67" s="352"/>
      <c r="AR67" s="352"/>
      <c r="AS67" s="352"/>
      <c r="AT67" s="352"/>
      <c r="AU67" s="352"/>
      <c r="AV67" s="352"/>
      <c r="AZ67" s="352"/>
      <c r="BI67" s="454"/>
    </row>
    <row r="68" spans="2:61" x14ac:dyDescent="0.25">
      <c r="B68" s="289"/>
      <c r="C68" s="474"/>
      <c r="D68" s="474"/>
      <c r="E68" s="474"/>
      <c r="F68" s="474"/>
      <c r="G68" s="474"/>
      <c r="H68" s="474"/>
      <c r="I68" s="474">
        <f>SUM(E66:I66)</f>
        <v>7434938.8699999945</v>
      </c>
      <c r="J68" s="440">
        <f>SUM(E66:J66)</f>
        <v>10936320.229999995</v>
      </c>
      <c r="K68" s="675"/>
      <c r="L68" s="440"/>
      <c r="M68" s="474"/>
      <c r="N68" s="664" t="s">
        <v>33</v>
      </c>
      <c r="O68" s="474" t="s">
        <v>33</v>
      </c>
      <c r="P68" s="474"/>
      <c r="Q68" s="474"/>
      <c r="R68" s="440"/>
      <c r="S68" s="405">
        <f>+R66+S66</f>
        <v>428307.39499998651</v>
      </c>
      <c r="T68" s="145"/>
      <c r="Z68" s="774"/>
      <c r="AA68" s="780"/>
      <c r="AB68" s="772"/>
      <c r="AC68" s="778"/>
      <c r="AD68" s="778"/>
      <c r="AE68" s="778"/>
      <c r="AF68" s="352"/>
      <c r="AG68" s="789"/>
      <c r="AH68" s="788"/>
      <c r="AI68" s="787"/>
      <c r="AJ68" s="787"/>
      <c r="AK68" s="787"/>
      <c r="AL68" s="787"/>
      <c r="AM68" s="787"/>
      <c r="AN68" s="787"/>
      <c r="AO68" s="787"/>
      <c r="AP68" s="787"/>
      <c r="AQ68" s="454"/>
      <c r="AR68" s="454"/>
      <c r="AS68" s="454"/>
      <c r="AT68" s="454"/>
      <c r="AU68" s="454"/>
      <c r="AV68" s="454"/>
      <c r="AZ68" s="352"/>
      <c r="BI68" s="352"/>
    </row>
    <row r="69" spans="2:61" x14ac:dyDescent="0.25">
      <c r="B69" s="2" t="s">
        <v>456</v>
      </c>
      <c r="F69" s="391" t="s">
        <v>40</v>
      </c>
      <c r="K69" s="3" t="s">
        <v>40</v>
      </c>
      <c r="M69" s="353"/>
      <c r="Q69" s="353"/>
      <c r="R69" s="353">
        <v>-41875789.93</v>
      </c>
      <c r="Z69" s="454"/>
      <c r="AA69" s="457"/>
      <c r="AB69" s="454"/>
      <c r="AC69" s="454"/>
      <c r="AD69" s="454"/>
      <c r="AE69" s="454"/>
      <c r="AF69" s="454"/>
      <c r="AG69" s="787"/>
      <c r="AH69" s="790"/>
      <c r="AI69" s="787"/>
      <c r="AJ69" s="787"/>
      <c r="AK69" s="786"/>
      <c r="AL69" s="786"/>
      <c r="AM69" s="786"/>
      <c r="AN69" s="786"/>
      <c r="AO69" s="786"/>
      <c r="AP69" s="786"/>
      <c r="AQ69" s="352"/>
      <c r="AR69" s="352"/>
      <c r="AS69" s="352"/>
      <c r="AT69" s="352"/>
      <c r="AU69" s="352"/>
      <c r="AV69" s="352"/>
      <c r="AZ69" s="352"/>
      <c r="BA69" s="352"/>
      <c r="BB69" s="352"/>
      <c r="BC69" s="352"/>
      <c r="BD69" s="353"/>
      <c r="BE69" s="352"/>
      <c r="BF69" s="352"/>
      <c r="BG69" s="352"/>
      <c r="BH69" s="352"/>
      <c r="BI69" s="352"/>
    </row>
    <row r="70" spans="2:61" x14ac:dyDescent="0.25">
      <c r="B70" s="2" t="s">
        <v>119</v>
      </c>
      <c r="F70" s="352" t="s">
        <v>48</v>
      </c>
      <c r="J70" s="353"/>
      <c r="K70" s="1" t="s">
        <v>48</v>
      </c>
      <c r="L70" s="353"/>
      <c r="O70" s="352" t="s">
        <v>33</v>
      </c>
      <c r="R70" s="353">
        <f>+R68-R69</f>
        <v>41875789.93</v>
      </c>
      <c r="Z70" s="352"/>
      <c r="AA70" s="457"/>
      <c r="AB70" s="352"/>
      <c r="AC70" s="352"/>
      <c r="AD70" s="352"/>
      <c r="AE70" s="352"/>
      <c r="AF70" s="352"/>
      <c r="AG70" s="787"/>
      <c r="AH70" s="790"/>
      <c r="AI70" s="786"/>
      <c r="AJ70" s="786"/>
      <c r="AK70" s="787"/>
      <c r="AL70" s="787"/>
      <c r="AM70" s="787"/>
      <c r="AN70" s="787"/>
      <c r="AO70" s="787"/>
      <c r="AP70" s="787"/>
      <c r="AQ70" s="352"/>
      <c r="AR70" s="352"/>
      <c r="AS70" s="352"/>
      <c r="AT70" s="352"/>
      <c r="AU70" s="352"/>
      <c r="AV70" s="352"/>
      <c r="AZ70" s="352"/>
      <c r="BA70" s="352"/>
      <c r="BB70" s="352"/>
      <c r="BC70" s="352"/>
      <c r="BD70" s="352"/>
      <c r="BE70" s="352"/>
      <c r="BF70" s="352"/>
      <c r="BG70" s="352"/>
      <c r="BH70" s="352"/>
      <c r="BI70" s="352"/>
    </row>
    <row r="71" spans="2:61" x14ac:dyDescent="0.25">
      <c r="I71" s="353"/>
      <c r="P71" s="370"/>
      <c r="R71" s="353" t="s">
        <v>33</v>
      </c>
      <c r="Z71" s="352"/>
      <c r="AA71" s="457"/>
      <c r="AB71" s="352"/>
      <c r="AC71" s="42"/>
      <c r="AD71" s="42"/>
      <c r="AE71" s="42"/>
      <c r="AF71" s="352"/>
      <c r="AG71" s="789"/>
      <c r="AH71" s="790"/>
      <c r="AI71" s="787"/>
      <c r="AJ71" s="787"/>
      <c r="AK71" s="787"/>
      <c r="AL71" s="787"/>
      <c r="AM71" s="787"/>
      <c r="AN71" s="787"/>
      <c r="AO71" s="787"/>
      <c r="AP71" s="787"/>
      <c r="AQ71" s="352"/>
      <c r="AR71" s="352"/>
      <c r="AS71" s="352"/>
      <c r="AT71" s="352"/>
      <c r="AU71" s="352"/>
      <c r="AV71" s="352"/>
    </row>
    <row r="72" spans="2:61" x14ac:dyDescent="0.25">
      <c r="O72" s="388" t="s">
        <v>33</v>
      </c>
      <c r="Z72" s="352"/>
      <c r="AC72" s="352"/>
      <c r="AD72" s="352"/>
      <c r="AE72" s="352"/>
      <c r="AF72" s="352"/>
      <c r="AG72" s="787"/>
      <c r="AH72" s="787"/>
      <c r="AI72" s="787"/>
      <c r="AJ72" s="787"/>
      <c r="AK72" s="787"/>
      <c r="AL72" s="787"/>
      <c r="AM72" s="787"/>
      <c r="AN72" s="787"/>
      <c r="AO72" s="787"/>
      <c r="AP72" s="787"/>
      <c r="AQ72" s="352"/>
      <c r="AR72" s="352"/>
      <c r="AS72" s="352"/>
      <c r="AT72" s="352"/>
      <c r="AU72" s="352"/>
      <c r="AV72" s="352"/>
    </row>
    <row r="73" spans="2:61" ht="17.5" hidden="1" x14ac:dyDescent="0.25">
      <c r="B73" s="49" t="s">
        <v>114</v>
      </c>
      <c r="C73" s="48"/>
      <c r="D73" s="436"/>
      <c r="E73" s="45"/>
      <c r="F73" s="46"/>
      <c r="G73" s="46"/>
      <c r="H73" s="392"/>
      <c r="I73" s="392"/>
      <c r="J73" s="392"/>
      <c r="K73" s="392"/>
      <c r="L73" s="392"/>
      <c r="M73" s="392"/>
      <c r="N73" s="393"/>
      <c r="O73" s="392"/>
      <c r="P73" s="392"/>
      <c r="Q73" s="392"/>
      <c r="R73" s="394"/>
      <c r="Z73" s="454"/>
      <c r="AC73" s="454"/>
      <c r="AD73" s="454"/>
      <c r="AE73" s="454"/>
      <c r="AF73" s="454"/>
      <c r="AG73" s="786"/>
      <c r="AH73" s="787"/>
      <c r="AI73" s="787"/>
      <c r="AJ73" s="787"/>
      <c r="AK73" s="787"/>
      <c r="AL73" s="787"/>
      <c r="AM73" s="787"/>
      <c r="AN73" s="787"/>
      <c r="AO73" s="787"/>
      <c r="AP73" s="787"/>
      <c r="AQ73" s="454"/>
      <c r="AR73" s="454"/>
      <c r="AS73" s="454"/>
      <c r="AT73" s="454"/>
      <c r="AU73" s="454"/>
      <c r="AV73" s="454"/>
    </row>
    <row r="74" spans="2:61" hidden="1" x14ac:dyDescent="0.25">
      <c r="B74" s="50" t="s">
        <v>89</v>
      </c>
      <c r="C74" s="47">
        <v>16288728</v>
      </c>
      <c r="D74" s="437">
        <v>16288728</v>
      </c>
      <c r="E74" s="45">
        <f>+D74/12</f>
        <v>1357394</v>
      </c>
      <c r="F74" s="46">
        <v>0</v>
      </c>
      <c r="G74" s="46">
        <v>0</v>
      </c>
      <c r="Z74" s="454"/>
      <c r="AC74" s="454"/>
      <c r="AD74" s="454"/>
      <c r="AE74" s="454"/>
      <c r="AF74" s="454"/>
      <c r="AG74" s="786"/>
      <c r="AH74" s="787"/>
      <c r="AI74" s="786"/>
      <c r="AJ74" s="786"/>
      <c r="AK74" s="786"/>
      <c r="AL74" s="786"/>
      <c r="AM74" s="786"/>
      <c r="AN74" s="786"/>
      <c r="AO74" s="786"/>
      <c r="AP74" s="786"/>
      <c r="AQ74" s="454"/>
      <c r="AR74" s="454"/>
      <c r="AS74" s="454"/>
      <c r="AT74" s="454"/>
      <c r="AU74" s="454"/>
      <c r="AV74" s="454"/>
    </row>
    <row r="75" spans="2:61" hidden="1" x14ac:dyDescent="0.25">
      <c r="B75" s="50" t="s">
        <v>115</v>
      </c>
      <c r="C75" s="47">
        <v>4784604</v>
      </c>
      <c r="D75" s="437">
        <v>4784604</v>
      </c>
      <c r="E75" s="45">
        <f>+D75/12</f>
        <v>398717</v>
      </c>
      <c r="F75" s="46">
        <v>1584693</v>
      </c>
      <c r="G75" s="46">
        <v>0</v>
      </c>
      <c r="H75" s="391"/>
      <c r="I75" s="391"/>
      <c r="J75" s="395"/>
      <c r="K75" s="391"/>
      <c r="L75" s="391"/>
      <c r="M75" s="391"/>
      <c r="P75" s="381"/>
      <c r="Z75" s="352"/>
      <c r="AC75" s="352"/>
      <c r="AD75" s="352"/>
      <c r="AE75" s="352"/>
      <c r="AF75" s="352"/>
      <c r="AG75" s="787"/>
      <c r="AH75" s="787"/>
      <c r="AI75" s="786"/>
      <c r="AJ75" s="786"/>
      <c r="AK75" s="786"/>
      <c r="AL75" s="786"/>
      <c r="AM75" s="786"/>
      <c r="AN75" s="786"/>
      <c r="AO75" s="786"/>
      <c r="AP75" s="786"/>
      <c r="AQ75" s="352"/>
      <c r="AR75" s="352"/>
      <c r="AS75" s="352"/>
      <c r="AT75" s="352"/>
      <c r="AU75" s="352"/>
      <c r="AV75" s="352"/>
    </row>
    <row r="76" spans="2:61" hidden="1" x14ac:dyDescent="0.25">
      <c r="B76" s="50" t="s">
        <v>116</v>
      </c>
      <c r="C76" s="47">
        <v>3000000</v>
      </c>
      <c r="D76" s="437">
        <v>3000000</v>
      </c>
      <c r="E76" s="45">
        <f>+D76/12</f>
        <v>250000</v>
      </c>
      <c r="F76" s="46">
        <v>0</v>
      </c>
      <c r="G76" s="46">
        <v>0</v>
      </c>
      <c r="J76" s="396"/>
      <c r="Z76" s="352"/>
      <c r="AC76" s="453"/>
      <c r="AD76" s="453"/>
      <c r="AE76" s="453"/>
      <c r="AF76" s="352"/>
      <c r="AG76" s="787"/>
      <c r="AH76" s="787"/>
      <c r="AI76" s="787"/>
      <c r="AJ76" s="787"/>
      <c r="AK76" s="787"/>
      <c r="AL76" s="787"/>
      <c r="AM76" s="787"/>
      <c r="AN76" s="787"/>
      <c r="AO76" s="787"/>
      <c r="AP76" s="787"/>
      <c r="AQ76" s="352"/>
      <c r="AR76" s="352"/>
      <c r="AS76" s="352"/>
      <c r="AT76" s="352"/>
      <c r="AU76" s="352"/>
      <c r="AV76" s="352"/>
    </row>
    <row r="77" spans="2:61" ht="13.5" hidden="1" x14ac:dyDescent="0.3">
      <c r="B77" s="51" t="s">
        <v>117</v>
      </c>
      <c r="C77" s="397">
        <f>SUM(C74:C76)</f>
        <v>24073332</v>
      </c>
      <c r="D77" s="438">
        <f>SUM(D74:D76)</f>
        <v>24073332</v>
      </c>
      <c r="E77" s="398">
        <f>SUM(E74:E76)</f>
        <v>2006111</v>
      </c>
      <c r="F77" s="398">
        <f>SUM(F74:F76)</f>
        <v>1584693</v>
      </c>
      <c r="G77" s="399">
        <f>SUM(G74:G76)</f>
        <v>0</v>
      </c>
      <c r="Z77" s="454"/>
      <c r="AC77" s="454"/>
      <c r="AD77" s="454"/>
      <c r="AE77" s="454"/>
      <c r="AF77" s="454"/>
      <c r="AG77" s="786"/>
      <c r="AH77" s="786"/>
      <c r="AI77" s="786"/>
      <c r="AJ77" s="786"/>
      <c r="AK77" s="786"/>
      <c r="AL77" s="786"/>
      <c r="AM77" s="786"/>
      <c r="AN77" s="786"/>
      <c r="AO77" s="786"/>
      <c r="AP77" s="786"/>
      <c r="AQ77" s="454"/>
      <c r="AR77" s="454"/>
      <c r="AS77" s="454"/>
      <c r="AT77" s="454"/>
      <c r="AU77" s="454"/>
      <c r="AV77" s="454"/>
    </row>
    <row r="78" spans="2:61" hidden="1" x14ac:dyDescent="0.25">
      <c r="Z78" s="454"/>
      <c r="AC78" s="454"/>
      <c r="AD78" s="454"/>
      <c r="AE78" s="454"/>
      <c r="AF78" s="454"/>
      <c r="AG78" s="786"/>
      <c r="AH78" s="786"/>
      <c r="AI78" s="786"/>
      <c r="AJ78" s="786"/>
      <c r="AK78" s="786"/>
      <c r="AL78" s="786"/>
      <c r="AM78" s="786"/>
      <c r="AN78" s="786"/>
      <c r="AO78" s="786"/>
      <c r="AP78" s="786"/>
      <c r="AQ78" s="454"/>
      <c r="AR78" s="454"/>
      <c r="AS78" s="454"/>
      <c r="AT78" s="454"/>
      <c r="AU78" s="454"/>
      <c r="AV78" s="454"/>
    </row>
    <row r="79" spans="2:61" hidden="1" x14ac:dyDescent="0.25">
      <c r="Z79" s="454"/>
      <c r="AC79" s="454"/>
      <c r="AD79" s="454"/>
      <c r="AE79" s="454"/>
      <c r="AF79" s="454"/>
      <c r="AG79" s="786"/>
      <c r="AH79" s="786"/>
      <c r="AI79" s="786"/>
      <c r="AJ79" s="786"/>
      <c r="AK79" s="786"/>
      <c r="AL79" s="786"/>
      <c r="AM79" s="786"/>
      <c r="AN79" s="786"/>
      <c r="AO79" s="786"/>
      <c r="AP79" s="786"/>
      <c r="AQ79" s="454"/>
      <c r="AR79" s="454"/>
      <c r="AS79" s="454"/>
      <c r="AT79" s="454"/>
      <c r="AU79" s="454"/>
      <c r="AV79" s="454"/>
    </row>
    <row r="80" spans="2:61" hidden="1" x14ac:dyDescent="0.25">
      <c r="Z80" s="454"/>
      <c r="AC80" s="456"/>
      <c r="AD80" s="456"/>
      <c r="AE80" s="456"/>
      <c r="AF80" s="454"/>
      <c r="AG80" s="786"/>
      <c r="AH80" s="786"/>
      <c r="AI80" s="786"/>
      <c r="AJ80" s="786"/>
      <c r="AK80" s="786"/>
      <c r="AL80" s="786"/>
      <c r="AM80" s="786"/>
      <c r="AN80" s="786"/>
      <c r="AO80" s="786"/>
      <c r="AP80" s="786"/>
      <c r="AQ80" s="454"/>
      <c r="AR80" s="454"/>
      <c r="AS80" s="454"/>
      <c r="AT80" s="454"/>
      <c r="AU80" s="454"/>
      <c r="AV80" s="454"/>
    </row>
    <row r="81" spans="16:48" x14ac:dyDescent="0.25">
      <c r="P81" s="388"/>
      <c r="Z81" s="454"/>
      <c r="AF81" s="454"/>
      <c r="AG81" s="786"/>
      <c r="AH81" s="786"/>
      <c r="AI81" s="786"/>
      <c r="AJ81" s="786"/>
      <c r="AK81" s="786"/>
      <c r="AL81" s="786"/>
      <c r="AM81" s="786"/>
      <c r="AN81" s="786"/>
      <c r="AO81" s="786"/>
      <c r="AP81" s="786"/>
      <c r="AQ81" s="454"/>
      <c r="AR81" s="454"/>
      <c r="AS81" s="454"/>
      <c r="AT81" s="454"/>
      <c r="AU81" s="454"/>
      <c r="AV81" s="454"/>
    </row>
    <row r="82" spans="16:48" x14ac:dyDescent="0.25">
      <c r="Z82" s="352"/>
      <c r="AC82" s="352"/>
      <c r="AD82" s="352"/>
      <c r="AE82" s="352"/>
      <c r="AF82" s="352"/>
      <c r="AG82" s="352"/>
      <c r="AH82" s="352"/>
      <c r="AI82" s="352"/>
      <c r="AJ82" s="352"/>
      <c r="AK82" s="352"/>
      <c r="AL82" s="352"/>
      <c r="AM82" s="352"/>
      <c r="AN82" s="352"/>
      <c r="AO82" s="352"/>
      <c r="AP82" s="352"/>
      <c r="AQ82" s="352"/>
      <c r="AR82" s="352"/>
      <c r="AS82" s="352"/>
      <c r="AT82" s="352"/>
      <c r="AU82" s="352"/>
      <c r="AV82" s="352"/>
    </row>
    <row r="83" spans="16:48" x14ac:dyDescent="0.25">
      <c r="Z83" s="454"/>
      <c r="AF83" s="454"/>
      <c r="AG83" s="454"/>
      <c r="AH83" s="454"/>
      <c r="AI83" s="454"/>
      <c r="AJ83" s="454"/>
      <c r="AK83" s="454"/>
      <c r="AL83" s="454"/>
      <c r="AM83" s="454"/>
      <c r="AN83" s="454"/>
      <c r="AO83" s="454"/>
      <c r="AP83" s="454"/>
      <c r="AQ83" s="454"/>
      <c r="AR83" s="454"/>
      <c r="AS83" s="454"/>
      <c r="AT83" s="454"/>
      <c r="AU83" s="454"/>
      <c r="AV83" s="454"/>
    </row>
    <row r="84" spans="16:48" x14ac:dyDescent="0.25">
      <c r="Z84" s="352"/>
      <c r="AF84" s="352"/>
      <c r="AG84" s="352"/>
      <c r="AH84" s="352"/>
      <c r="AI84" s="352"/>
      <c r="AJ84" s="352"/>
      <c r="AK84" s="352"/>
      <c r="AL84" s="352"/>
      <c r="AM84" s="352"/>
      <c r="AN84" s="352"/>
      <c r="AO84" s="352"/>
      <c r="AP84" s="352"/>
      <c r="AQ84" s="352"/>
      <c r="AR84" s="352"/>
      <c r="AS84" s="352"/>
      <c r="AT84" s="352"/>
      <c r="AU84" s="352"/>
      <c r="AV84" s="352"/>
    </row>
    <row r="85" spans="16:48" x14ac:dyDescent="0.25">
      <c r="Z85" s="460"/>
      <c r="AC85" s="459"/>
      <c r="AD85" s="459"/>
      <c r="AE85" s="459"/>
      <c r="AF85" s="460"/>
      <c r="AG85" s="460"/>
      <c r="AH85" s="460"/>
      <c r="AI85" s="460"/>
      <c r="AJ85" s="460"/>
      <c r="AK85" s="460"/>
      <c r="AL85" s="460"/>
      <c r="AM85" s="460"/>
      <c r="AN85" s="460"/>
      <c r="AO85" s="460"/>
      <c r="AP85" s="460"/>
      <c r="AQ85" s="460"/>
      <c r="AR85" s="460"/>
      <c r="AS85" s="460"/>
      <c r="AT85" s="460"/>
      <c r="AU85" s="460"/>
      <c r="AV85" s="460"/>
    </row>
    <row r="86" spans="16:48" x14ac:dyDescent="0.25">
      <c r="Z86" s="461"/>
      <c r="AF86" s="461"/>
      <c r="AG86" s="461"/>
      <c r="AH86" s="461"/>
      <c r="AI86" s="461"/>
      <c r="AJ86" s="461"/>
      <c r="AK86" s="461"/>
      <c r="AL86" s="461"/>
      <c r="AM86" s="461"/>
      <c r="AN86" s="461"/>
      <c r="AO86" s="461"/>
      <c r="AP86" s="461"/>
      <c r="AQ86" s="461"/>
      <c r="AR86" s="461"/>
      <c r="AS86" s="461"/>
      <c r="AT86" s="461"/>
      <c r="AU86" s="461"/>
      <c r="AV86" s="461"/>
    </row>
    <row r="87" spans="16:48" x14ac:dyDescent="0.25">
      <c r="Z87" s="461"/>
      <c r="AC87" s="459"/>
      <c r="AD87" s="459"/>
      <c r="AE87" s="459"/>
      <c r="AF87" s="461"/>
      <c r="AG87" s="461"/>
      <c r="AH87" s="461"/>
      <c r="AI87" s="461"/>
      <c r="AJ87" s="461"/>
      <c r="AK87" s="461"/>
      <c r="AL87" s="461"/>
      <c r="AM87" s="461"/>
      <c r="AN87" s="461"/>
      <c r="AO87" s="461"/>
      <c r="AP87" s="461"/>
      <c r="AQ87" s="461"/>
      <c r="AR87" s="461"/>
      <c r="AS87" s="461"/>
      <c r="AT87" s="461"/>
      <c r="AU87" s="461"/>
      <c r="AV87" s="461"/>
    </row>
    <row r="88" spans="16:48" x14ac:dyDescent="0.25">
      <c r="Z88" s="461"/>
      <c r="AF88" s="461"/>
      <c r="AG88" s="461"/>
      <c r="AH88" s="461"/>
      <c r="AI88" s="461"/>
      <c r="AJ88" s="461"/>
      <c r="AK88" s="461"/>
      <c r="AL88" s="461"/>
      <c r="AM88" s="461"/>
      <c r="AN88" s="461"/>
      <c r="AO88" s="461"/>
      <c r="AP88" s="461"/>
      <c r="AQ88" s="461"/>
      <c r="AR88" s="461"/>
      <c r="AS88" s="461"/>
      <c r="AT88" s="461"/>
      <c r="AU88" s="461"/>
      <c r="AV88" s="461"/>
    </row>
    <row r="89" spans="16:48" x14ac:dyDescent="0.25">
      <c r="Z89" s="461"/>
      <c r="AC89" s="461"/>
      <c r="AD89" s="461"/>
      <c r="AE89" s="461"/>
      <c r="AF89" s="461"/>
      <c r="AG89" s="461"/>
      <c r="AH89" s="461"/>
      <c r="AI89" s="461"/>
      <c r="AJ89" s="461"/>
      <c r="AK89" s="461"/>
      <c r="AL89" s="461"/>
      <c r="AM89" s="461"/>
      <c r="AN89" s="461"/>
      <c r="AO89" s="461"/>
      <c r="AP89" s="461"/>
      <c r="AQ89" s="461"/>
      <c r="AR89" s="461"/>
      <c r="AS89" s="461"/>
      <c r="AT89" s="461"/>
      <c r="AU89" s="461"/>
      <c r="AV89" s="461"/>
    </row>
    <row r="90" spans="16:48" x14ac:dyDescent="0.25">
      <c r="Z90" s="461"/>
      <c r="AC90" s="459"/>
      <c r="AD90" s="459"/>
      <c r="AE90" s="459"/>
      <c r="AF90" s="461"/>
      <c r="AG90" s="461"/>
      <c r="AH90" s="461"/>
      <c r="AI90" s="461"/>
      <c r="AJ90" s="461"/>
      <c r="AK90" s="461"/>
      <c r="AL90" s="461"/>
      <c r="AM90" s="461"/>
      <c r="AN90" s="461"/>
      <c r="AO90" s="461"/>
      <c r="AP90" s="461"/>
      <c r="AQ90" s="461"/>
      <c r="AR90" s="461"/>
      <c r="AS90" s="461"/>
      <c r="AT90" s="461"/>
      <c r="AU90" s="461"/>
      <c r="AV90" s="461"/>
    </row>
    <row r="91" spans="16:48" x14ac:dyDescent="0.25">
      <c r="Z91" s="461"/>
      <c r="AF91" s="461"/>
      <c r="AG91" s="461"/>
      <c r="AH91" s="461"/>
      <c r="AI91" s="461"/>
      <c r="AJ91" s="461"/>
      <c r="AK91" s="461"/>
      <c r="AL91" s="461"/>
      <c r="AM91" s="461"/>
      <c r="AN91" s="461"/>
      <c r="AO91" s="461"/>
      <c r="AP91" s="461"/>
      <c r="AQ91" s="461"/>
      <c r="AR91" s="461"/>
      <c r="AS91" s="461"/>
      <c r="AT91" s="461"/>
      <c r="AU91" s="461"/>
      <c r="AV91" s="461"/>
    </row>
    <row r="92" spans="16:48" x14ac:dyDescent="0.25">
      <c r="Z92" s="352"/>
      <c r="AC92" s="352"/>
      <c r="AD92" s="352"/>
      <c r="AE92" s="352"/>
      <c r="AF92" s="352"/>
      <c r="AG92" s="352"/>
      <c r="AH92" s="352"/>
      <c r="AI92" s="352"/>
      <c r="AJ92" s="352"/>
      <c r="AK92" s="352"/>
      <c r="AL92" s="352"/>
      <c r="AM92" s="352"/>
      <c r="AN92" s="352"/>
      <c r="AO92" s="352"/>
      <c r="AP92" s="352"/>
      <c r="AQ92" s="352"/>
      <c r="AR92" s="352"/>
      <c r="AS92" s="352"/>
      <c r="AT92" s="352"/>
      <c r="AU92" s="352"/>
      <c r="AV92" s="352"/>
    </row>
    <row r="93" spans="16:48" x14ac:dyDescent="0.25">
      <c r="Z93" s="352"/>
      <c r="AC93" s="352"/>
      <c r="AD93" s="352"/>
      <c r="AE93" s="352"/>
      <c r="AF93" s="352"/>
      <c r="AG93" s="352"/>
      <c r="AH93" s="352"/>
      <c r="AI93" s="352"/>
      <c r="AJ93" s="352"/>
      <c r="AK93" s="352"/>
      <c r="AL93" s="352"/>
      <c r="AM93" s="352"/>
      <c r="AN93" s="352"/>
      <c r="AO93" s="352"/>
      <c r="AP93" s="352"/>
      <c r="AQ93" s="352"/>
      <c r="AR93" s="352"/>
      <c r="AS93" s="352"/>
      <c r="AT93" s="352"/>
      <c r="AU93" s="352"/>
      <c r="AV93" s="352"/>
    </row>
    <row r="94" spans="16:48" x14ac:dyDescent="0.25">
      <c r="Z94" s="352"/>
      <c r="AC94" s="352"/>
      <c r="AD94" s="352"/>
      <c r="AE94" s="352"/>
      <c r="AF94" s="352"/>
      <c r="AG94" s="352"/>
      <c r="AH94" s="352"/>
      <c r="AI94" s="352"/>
      <c r="AJ94" s="352"/>
      <c r="AK94" s="352"/>
      <c r="AL94" s="352"/>
      <c r="AM94" s="352"/>
      <c r="AN94" s="352"/>
      <c r="AO94" s="352"/>
      <c r="AP94" s="352"/>
      <c r="AQ94" s="352"/>
      <c r="AR94" s="352"/>
      <c r="AS94" s="352"/>
      <c r="AT94" s="352"/>
      <c r="AU94" s="352"/>
      <c r="AV94" s="352"/>
    </row>
    <row r="95" spans="16:48" x14ac:dyDescent="0.25">
      <c r="Z95" s="352"/>
      <c r="AC95" s="352"/>
      <c r="AD95" s="352"/>
      <c r="AE95" s="352"/>
      <c r="AF95" s="352"/>
      <c r="AG95" s="352"/>
      <c r="AH95" s="352"/>
      <c r="AI95" s="352"/>
      <c r="AJ95" s="352"/>
      <c r="AK95" s="352"/>
      <c r="AL95" s="352"/>
      <c r="AM95" s="352"/>
      <c r="AN95" s="352"/>
      <c r="AO95" s="352"/>
      <c r="AP95" s="352"/>
      <c r="AQ95" s="352"/>
      <c r="AR95" s="352"/>
      <c r="AS95" s="352"/>
      <c r="AT95" s="352"/>
      <c r="AU95" s="352"/>
      <c r="AV95" s="352"/>
    </row>
    <row r="96" spans="16:48" x14ac:dyDescent="0.25">
      <c r="Z96" s="352"/>
      <c r="AC96" s="352"/>
      <c r="AD96" s="352"/>
      <c r="AE96" s="352"/>
      <c r="AF96" s="352"/>
      <c r="AG96" s="352"/>
      <c r="AH96" s="352"/>
      <c r="AI96" s="352"/>
      <c r="AJ96" s="352"/>
      <c r="AK96" s="352"/>
      <c r="AL96" s="352"/>
      <c r="AM96" s="352"/>
      <c r="AN96" s="352"/>
      <c r="AO96" s="352"/>
      <c r="AP96" s="352"/>
      <c r="AQ96" s="352"/>
      <c r="AR96" s="352"/>
      <c r="AS96" s="352"/>
      <c r="AT96" s="352"/>
      <c r="AU96" s="352"/>
      <c r="AV96" s="352"/>
    </row>
    <row r="97" spans="26:48" x14ac:dyDescent="0.25">
      <c r="Z97" s="352"/>
      <c r="AA97" s="352" t="s">
        <v>790</v>
      </c>
      <c r="AB97" s="353">
        <f>3454978+664608</f>
        <v>4119586</v>
      </c>
      <c r="AC97" s="352"/>
      <c r="AD97" s="352"/>
      <c r="AE97" s="352"/>
      <c r="AF97" s="352"/>
      <c r="AG97" s="352"/>
      <c r="AH97" s="352"/>
      <c r="AI97" s="352"/>
      <c r="AJ97" s="352"/>
      <c r="AK97" s="352"/>
      <c r="AL97" s="352"/>
      <c r="AM97" s="352"/>
      <c r="AN97" s="352"/>
      <c r="AO97" s="352"/>
      <c r="AP97" s="352"/>
      <c r="AQ97" s="352"/>
      <c r="AR97" s="352"/>
      <c r="AS97" s="352"/>
      <c r="AT97" s="352"/>
      <c r="AU97" s="352"/>
      <c r="AV97" s="352"/>
    </row>
    <row r="98" spans="26:48" x14ac:dyDescent="0.25">
      <c r="Z98" s="352"/>
      <c r="AA98" s="352"/>
      <c r="AB98" s="353"/>
      <c r="AC98" s="352"/>
      <c r="AD98" s="352"/>
      <c r="AE98" s="352"/>
      <c r="AF98" s="352"/>
      <c r="AG98" s="352"/>
      <c r="AH98" s="352"/>
      <c r="AI98" s="352"/>
      <c r="AJ98" s="352"/>
      <c r="AK98" s="352"/>
      <c r="AL98" s="352"/>
      <c r="AM98" s="352"/>
      <c r="AN98" s="352"/>
      <c r="AO98" s="352"/>
      <c r="AP98" s="352"/>
      <c r="AQ98" s="352"/>
      <c r="AR98" s="352"/>
      <c r="AS98" s="352"/>
      <c r="AT98" s="352"/>
      <c r="AU98" s="352"/>
      <c r="AV98" s="352"/>
    </row>
    <row r="99" spans="26:48" x14ac:dyDescent="0.25">
      <c r="Z99" s="352"/>
      <c r="AA99" s="352" t="s">
        <v>124</v>
      </c>
      <c r="AB99" s="353" t="str">
        <f>Q20</f>
        <v xml:space="preserve"> </v>
      </c>
      <c r="AC99" s="352"/>
      <c r="AD99" s="352"/>
      <c r="AE99" s="352"/>
      <c r="AF99" s="352"/>
      <c r="AG99" s="352"/>
      <c r="AH99" s="352"/>
      <c r="AI99" s="352"/>
      <c r="AJ99" s="352"/>
      <c r="AK99" s="352"/>
      <c r="AL99" s="352"/>
      <c r="AM99" s="352"/>
      <c r="AN99" s="352"/>
      <c r="AO99" s="352"/>
      <c r="AP99" s="352"/>
      <c r="AQ99" s="352"/>
      <c r="AR99" s="352"/>
      <c r="AS99" s="352"/>
      <c r="AT99" s="352"/>
      <c r="AU99" s="352"/>
      <c r="AV99" s="352"/>
    </row>
    <row r="100" spans="26:48" x14ac:dyDescent="0.25">
      <c r="Z100" s="352"/>
      <c r="AA100" s="352"/>
      <c r="AB100" s="353"/>
      <c r="AC100" s="352"/>
      <c r="AD100" s="352"/>
      <c r="AE100" s="352"/>
      <c r="AF100" s="352"/>
      <c r="AG100" s="352"/>
      <c r="AH100" s="352"/>
      <c r="AI100" s="352"/>
      <c r="AJ100" s="352"/>
      <c r="AK100" s="352"/>
      <c r="AL100" s="352"/>
      <c r="AM100" s="352"/>
      <c r="AN100" s="352"/>
      <c r="AO100" s="352"/>
      <c r="AP100" s="352"/>
      <c r="AQ100" s="352"/>
      <c r="AR100" s="352"/>
      <c r="AS100" s="352"/>
      <c r="AT100" s="352"/>
      <c r="AU100" s="352"/>
      <c r="AV100" s="352"/>
    </row>
    <row r="101" spans="26:48" x14ac:dyDescent="0.25">
      <c r="Z101" s="352"/>
      <c r="AA101" s="352" t="s">
        <v>791</v>
      </c>
      <c r="AB101" s="353">
        <f>5896446</f>
        <v>5896446</v>
      </c>
      <c r="AC101" s="352"/>
      <c r="AD101" s="352"/>
      <c r="AE101" s="352"/>
      <c r="AF101" s="352"/>
      <c r="AG101" s="352"/>
      <c r="AH101" s="352"/>
      <c r="AI101" s="352"/>
      <c r="AJ101" s="352"/>
      <c r="AK101" s="352"/>
      <c r="AL101" s="352"/>
      <c r="AM101" s="352"/>
      <c r="AN101" s="352"/>
      <c r="AO101" s="352"/>
      <c r="AP101" s="352"/>
      <c r="AQ101" s="352"/>
      <c r="AR101" s="352"/>
      <c r="AS101" s="352"/>
      <c r="AT101" s="352"/>
      <c r="AU101" s="352"/>
      <c r="AV101" s="352"/>
    </row>
    <row r="102" spans="26:48" x14ac:dyDescent="0.25">
      <c r="Z102" s="352"/>
      <c r="AA102" s="352"/>
      <c r="AB102" s="455">
        <f>SUM(AB87:AB101)</f>
        <v>10016032</v>
      </c>
      <c r="AC102" s="352"/>
      <c r="AD102" s="352"/>
      <c r="AE102" s="352"/>
      <c r="AF102" s="352"/>
      <c r="AG102" s="352"/>
      <c r="AH102" s="352"/>
      <c r="AI102" s="352"/>
      <c r="AJ102" s="352"/>
      <c r="AK102" s="352"/>
      <c r="AL102" s="352"/>
      <c r="AM102" s="352"/>
      <c r="AN102" s="352"/>
      <c r="AO102" s="352"/>
      <c r="AP102" s="352"/>
      <c r="AQ102" s="352"/>
      <c r="AR102" s="352"/>
      <c r="AS102" s="352"/>
      <c r="AT102" s="352"/>
      <c r="AU102" s="352"/>
      <c r="AV102" s="352"/>
    </row>
    <row r="103" spans="26:48" x14ac:dyDescent="0.25">
      <c r="Z103" s="352"/>
      <c r="AA103" s="1"/>
      <c r="AB103" s="462"/>
      <c r="AC103" s="1"/>
      <c r="AD103" s="1"/>
      <c r="AE103" s="1"/>
      <c r="AF103" s="1"/>
      <c r="AG103" s="352"/>
      <c r="AH103" s="352"/>
      <c r="AI103" s="352"/>
      <c r="AJ103" s="352"/>
      <c r="AK103" s="352"/>
      <c r="AL103" s="352"/>
      <c r="AM103" s="352"/>
      <c r="AN103" s="352"/>
      <c r="AO103" s="352"/>
      <c r="AP103" s="352"/>
      <c r="AQ103" s="352"/>
      <c r="AR103" s="352"/>
      <c r="AS103" s="352"/>
      <c r="AT103" s="352"/>
      <c r="AU103" s="352"/>
      <c r="AV103" s="352"/>
    </row>
    <row r="104" spans="26:48" x14ac:dyDescent="0.25">
      <c r="Z104" s="352"/>
      <c r="AA104" s="1663">
        <f>AT50</f>
        <v>0</v>
      </c>
      <c r="AB104" s="1663"/>
      <c r="AC104" s="1"/>
      <c r="AD104" s="1"/>
      <c r="AE104" s="1"/>
      <c r="AF104" s="1"/>
      <c r="AG104" s="352"/>
      <c r="AH104" s="352"/>
      <c r="AI104" s="454"/>
      <c r="AJ104" s="454"/>
      <c r="AK104" s="454"/>
      <c r="AL104" s="352"/>
      <c r="AM104" s="352"/>
      <c r="AN104" s="352"/>
      <c r="AO104" s="352"/>
      <c r="AP104" s="352"/>
      <c r="AQ104" s="454"/>
      <c r="AR104" s="352"/>
      <c r="AS104" s="352"/>
      <c r="AT104" s="352"/>
      <c r="AU104" s="352"/>
      <c r="AV104" s="352"/>
    </row>
    <row r="105" spans="26:48" x14ac:dyDescent="0.25">
      <c r="Z105" s="352"/>
      <c r="AA105" s="1664" t="s">
        <v>792</v>
      </c>
      <c r="AB105" s="1664"/>
      <c r="AC105" s="1"/>
      <c r="AD105" s="1"/>
      <c r="AE105" s="1"/>
      <c r="AF105" s="1"/>
      <c r="AG105" s="352"/>
      <c r="AH105" s="352"/>
      <c r="AI105" s="1663" t="str">
        <f>AG58</f>
        <v>Mantenimiento</v>
      </c>
      <c r="AJ105" s="1663"/>
      <c r="AK105" s="1663"/>
      <c r="AL105" s="352"/>
      <c r="AM105" s="352"/>
      <c r="AN105" s="352"/>
      <c r="AO105" s="352"/>
      <c r="AP105" s="352"/>
      <c r="AQ105" s="454"/>
      <c r="AR105" s="352"/>
      <c r="AS105" s="352"/>
      <c r="AT105" s="352"/>
      <c r="AU105" s="352"/>
      <c r="AV105" s="352"/>
    </row>
    <row r="106" spans="26:48" x14ac:dyDescent="0.25">
      <c r="Z106" s="352"/>
      <c r="AA106" s="1"/>
      <c r="AB106" s="1"/>
      <c r="AC106" s="1"/>
      <c r="AD106" s="1"/>
      <c r="AE106" s="1"/>
      <c r="AF106" s="1"/>
      <c r="AG106" s="454"/>
      <c r="AH106" s="454"/>
      <c r="AI106" s="1664" t="s">
        <v>793</v>
      </c>
      <c r="AJ106" s="1664"/>
      <c r="AK106" s="1664"/>
      <c r="AL106" s="454"/>
      <c r="AM106" s="454"/>
      <c r="AN106" s="454"/>
      <c r="AO106" s="454"/>
      <c r="AP106" s="454"/>
      <c r="AQ106" s="454"/>
      <c r="AR106" s="352"/>
      <c r="AS106" s="352"/>
      <c r="AT106" s="352"/>
      <c r="AU106" s="352"/>
      <c r="AV106" s="352"/>
    </row>
    <row r="107" spans="26:48" x14ac:dyDescent="0.25">
      <c r="Z107" s="352"/>
      <c r="AA107" s="1"/>
      <c r="AB107" s="1"/>
      <c r="AC107" s="1"/>
      <c r="AD107" s="1"/>
      <c r="AE107" s="1"/>
      <c r="AF107" s="1"/>
      <c r="AG107" s="454"/>
      <c r="AH107" s="454"/>
      <c r="AI107" s="1"/>
      <c r="AJ107" s="1"/>
      <c r="AK107" s="1"/>
      <c r="AL107" s="454"/>
      <c r="AM107" s="454"/>
      <c r="AN107" s="454"/>
      <c r="AO107" s="454"/>
      <c r="AP107" s="454"/>
      <c r="AQ107" s="352"/>
      <c r="AR107" s="352"/>
      <c r="AS107" s="352"/>
      <c r="AT107" s="352"/>
      <c r="AU107" s="352"/>
      <c r="AV107" s="352"/>
    </row>
    <row r="108" spans="26:48" x14ac:dyDescent="0.25">
      <c r="Z108" s="352"/>
      <c r="AA108" s="1663" t="s">
        <v>794</v>
      </c>
      <c r="AB108" s="1663"/>
      <c r="AC108" s="1"/>
      <c r="AD108" s="1"/>
      <c r="AE108" s="1"/>
      <c r="AF108" s="1"/>
      <c r="AG108" s="1667" t="s">
        <v>795</v>
      </c>
      <c r="AH108" s="454"/>
      <c r="AI108" s="1"/>
      <c r="AJ108" s="1"/>
      <c r="AK108" s="1"/>
      <c r="AL108" s="463"/>
      <c r="AM108" s="463"/>
      <c r="AN108" s="1"/>
      <c r="AO108" s="1"/>
      <c r="AP108" s="1668" t="e">
        <f>AI105+AI109+AI113+AI117+AI121+AI125+AI129+AI133</f>
        <v>#VALUE!</v>
      </c>
      <c r="AQ108" s="352"/>
      <c r="AR108" s="352"/>
      <c r="AS108" s="352"/>
      <c r="AT108" s="352"/>
      <c r="AU108" s="352"/>
      <c r="AV108" s="352"/>
    </row>
    <row r="109" spans="26:48" x14ac:dyDescent="0.25">
      <c r="Z109" s="352"/>
      <c r="AA109" s="1663">
        <f>AT51</f>
        <v>0</v>
      </c>
      <c r="AB109" s="1663"/>
      <c r="AC109" s="352"/>
      <c r="AD109" s="352"/>
      <c r="AE109" s="352"/>
      <c r="AF109" s="1669" t="e">
        <f>AA104+AA109+AA112+AA116+AA120+AA124+AA128+AA132+AA137+AB144</f>
        <v>#VALUE!</v>
      </c>
      <c r="AG109" s="1667"/>
      <c r="AH109" s="352"/>
      <c r="AI109" s="1663" t="str">
        <f>AG60</f>
        <v>Riesgos y Seguridad</v>
      </c>
      <c r="AJ109" s="1663"/>
      <c r="AK109" s="1663"/>
      <c r="AL109" s="464"/>
      <c r="AM109" s="464"/>
      <c r="AN109" s="1"/>
      <c r="AO109" s="1"/>
      <c r="AP109" s="1668"/>
      <c r="AQ109" s="1665" t="s">
        <v>796</v>
      </c>
      <c r="AR109" s="352"/>
      <c r="AS109" s="352"/>
      <c r="AT109" s="352"/>
      <c r="AU109" s="352"/>
      <c r="AV109" s="352"/>
    </row>
    <row r="110" spans="26:48" x14ac:dyDescent="0.25">
      <c r="Z110" s="352"/>
      <c r="AA110" s="1"/>
      <c r="AB110" s="1"/>
      <c r="AC110" s="1"/>
      <c r="AD110" s="1"/>
      <c r="AE110" s="1"/>
      <c r="AF110" s="1669"/>
      <c r="AG110" s="1667"/>
      <c r="AH110" s="352"/>
      <c r="AI110" s="1666" t="s">
        <v>797</v>
      </c>
      <c r="AJ110" s="1666"/>
      <c r="AK110" s="1666"/>
      <c r="AL110" s="1"/>
      <c r="AM110" s="1"/>
      <c r="AN110" s="1"/>
      <c r="AO110" s="1"/>
      <c r="AP110" s="1668"/>
      <c r="AQ110" s="1665"/>
      <c r="AR110" s="352"/>
      <c r="AS110" s="352"/>
      <c r="AT110" s="352"/>
      <c r="AU110" s="352"/>
      <c r="AV110" s="352"/>
    </row>
    <row r="111" spans="26:48" x14ac:dyDescent="0.25">
      <c r="Z111" s="352"/>
      <c r="AA111" s="1"/>
      <c r="AB111" s="1"/>
      <c r="AC111" s="1"/>
      <c r="AD111" s="1"/>
      <c r="AE111" s="1"/>
      <c r="AF111" s="1669"/>
      <c r="AG111" s="1667"/>
      <c r="AH111" s="352"/>
      <c r="AI111" s="1"/>
      <c r="AJ111" s="1"/>
      <c r="AK111" s="1"/>
      <c r="AL111" s="1"/>
      <c r="AM111" s="1"/>
      <c r="AN111" s="1"/>
      <c r="AO111" s="1"/>
      <c r="AP111" s="1668"/>
      <c r="AQ111" s="1665"/>
      <c r="AR111" s="352"/>
      <c r="AS111" s="352"/>
      <c r="AT111" s="352"/>
      <c r="AU111" s="352"/>
      <c r="AV111" s="352"/>
    </row>
    <row r="112" spans="26:48" x14ac:dyDescent="0.25">
      <c r="Z112" s="352"/>
      <c r="AA112" s="1663">
        <f>Q14</f>
        <v>900000</v>
      </c>
      <c r="AB112" s="1663"/>
      <c r="AC112" s="1"/>
      <c r="AD112" s="1"/>
      <c r="AE112" s="1"/>
      <c r="AF112" s="1669"/>
      <c r="AG112" s="1667"/>
      <c r="AH112" s="352"/>
      <c r="AI112" s="1"/>
      <c r="AJ112" s="1"/>
      <c r="AK112" s="352"/>
      <c r="AL112" s="463"/>
      <c r="AM112" s="463"/>
      <c r="AN112" s="1"/>
      <c r="AO112" s="1"/>
      <c r="AP112" s="1668"/>
      <c r="AQ112" s="1665"/>
      <c r="AR112" s="352"/>
      <c r="AS112" s="352"/>
      <c r="AT112" s="352"/>
      <c r="AU112" s="352"/>
      <c r="AV112" s="352"/>
    </row>
    <row r="113" spans="26:48" x14ac:dyDescent="0.25">
      <c r="Z113" s="352"/>
      <c r="AA113" s="1666" t="s">
        <v>798</v>
      </c>
      <c r="AB113" s="1666"/>
      <c r="AC113" s="352"/>
      <c r="AD113" s="352"/>
      <c r="AE113" s="352"/>
      <c r="AF113" s="1669"/>
      <c r="AG113" s="1667"/>
      <c r="AH113" s="454"/>
      <c r="AI113" s="1663" t="str">
        <f>AG62</f>
        <v>Ambiental</v>
      </c>
      <c r="AJ113" s="1663"/>
      <c r="AK113" s="1663"/>
      <c r="AL113" s="465"/>
      <c r="AM113" s="465"/>
      <c r="AN113" s="352"/>
      <c r="AO113" s="352"/>
      <c r="AP113" s="1668"/>
      <c r="AQ113" s="1665"/>
      <c r="AR113" s="352"/>
      <c r="AS113" s="352"/>
      <c r="AT113" s="352"/>
      <c r="AU113" s="352"/>
      <c r="AV113" s="352"/>
    </row>
    <row r="114" spans="26:48" x14ac:dyDescent="0.25">
      <c r="Z114" s="352"/>
      <c r="AA114" s="1"/>
      <c r="AB114" s="1"/>
      <c r="AC114" s="1"/>
      <c r="AD114" s="1"/>
      <c r="AE114" s="1"/>
      <c r="AF114" s="1669"/>
      <c r="AG114" s="1667"/>
      <c r="AH114" s="352"/>
      <c r="AI114" s="1664" t="s">
        <v>97</v>
      </c>
      <c r="AJ114" s="1664"/>
      <c r="AK114" s="1664"/>
      <c r="AL114" s="1"/>
      <c r="AM114" s="1"/>
      <c r="AN114" s="1"/>
      <c r="AO114" s="1"/>
      <c r="AP114" s="1668"/>
      <c r="AQ114" s="1665"/>
      <c r="AR114" s="352"/>
      <c r="AS114" s="352"/>
      <c r="AT114" s="352"/>
      <c r="AU114" s="352"/>
      <c r="AV114" s="352"/>
    </row>
    <row r="115" spans="26:48" x14ac:dyDescent="0.25">
      <c r="Z115" s="352"/>
      <c r="AA115" s="1"/>
      <c r="AB115" s="352"/>
      <c r="AC115" s="1"/>
      <c r="AD115" s="1"/>
      <c r="AE115" s="1"/>
      <c r="AF115" s="1669"/>
      <c r="AG115" s="1667"/>
      <c r="AH115" s="352"/>
      <c r="AI115" s="1"/>
      <c r="AJ115" s="1"/>
      <c r="AK115" s="1"/>
      <c r="AL115" s="352"/>
      <c r="AM115" s="352"/>
      <c r="AN115" s="1"/>
      <c r="AO115" s="1"/>
      <c r="AP115" s="1668"/>
      <c r="AQ115" s="1665"/>
      <c r="AR115" s="352"/>
      <c r="AS115" s="352"/>
      <c r="AT115" s="352"/>
      <c r="AU115" s="352"/>
      <c r="AV115" s="352"/>
    </row>
    <row r="116" spans="26:48" x14ac:dyDescent="0.25">
      <c r="Z116" s="352"/>
      <c r="AA116" s="1663">
        <f>Q15</f>
        <v>5950000</v>
      </c>
      <c r="AB116" s="1663"/>
      <c r="AC116" s="1"/>
      <c r="AD116" s="1"/>
      <c r="AE116" s="1"/>
      <c r="AF116" s="1669"/>
      <c r="AG116" s="1667"/>
      <c r="AH116" s="352"/>
      <c r="AI116" s="1"/>
      <c r="AJ116" s="1"/>
      <c r="AK116" s="1"/>
      <c r="AL116" s="463"/>
      <c r="AM116" s="463"/>
      <c r="AN116" s="1"/>
      <c r="AO116" s="1"/>
      <c r="AP116" s="1668"/>
      <c r="AQ116" s="1665"/>
      <c r="AR116" s="352"/>
      <c r="AS116" s="352"/>
      <c r="AT116" s="352"/>
      <c r="AU116" s="352"/>
      <c r="AV116" s="352"/>
    </row>
    <row r="117" spans="26:48" x14ac:dyDescent="0.25">
      <c r="Z117" s="352"/>
      <c r="AA117" s="1664" t="s">
        <v>799</v>
      </c>
      <c r="AB117" s="1664"/>
      <c r="AC117" s="1"/>
      <c r="AD117" s="1"/>
      <c r="AE117" s="1"/>
      <c r="AF117" s="1669"/>
      <c r="AG117" s="1667"/>
      <c r="AH117" s="352"/>
      <c r="AI117" s="1663">
        <f>AG64</f>
        <v>0</v>
      </c>
      <c r="AJ117" s="1663"/>
      <c r="AK117" s="1663"/>
      <c r="AL117" s="464"/>
      <c r="AM117" s="464"/>
      <c r="AN117" s="1"/>
      <c r="AO117" s="1"/>
      <c r="AP117" s="1668"/>
      <c r="AQ117" s="1665"/>
      <c r="AR117" s="352"/>
      <c r="AS117" s="352"/>
      <c r="AT117" s="352"/>
      <c r="AU117" s="352"/>
      <c r="AV117" s="352"/>
    </row>
    <row r="118" spans="26:48" x14ac:dyDescent="0.25">
      <c r="Z118" s="352"/>
      <c r="AA118" s="1"/>
      <c r="AB118" s="1"/>
      <c r="AC118" s="1"/>
      <c r="AD118" s="1"/>
      <c r="AE118" s="1"/>
      <c r="AF118" s="1669"/>
      <c r="AG118" s="1667"/>
      <c r="AH118" s="352"/>
      <c r="AI118" s="1666" t="s">
        <v>800</v>
      </c>
      <c r="AJ118" s="1666"/>
      <c r="AK118" s="1666"/>
      <c r="AL118" s="1"/>
      <c r="AM118" s="1"/>
      <c r="AN118" s="1"/>
      <c r="AO118" s="1"/>
      <c r="AP118" s="1668"/>
      <c r="AQ118" s="1665"/>
      <c r="AR118" s="352"/>
      <c r="AS118" s="352"/>
      <c r="AT118" s="352"/>
      <c r="AU118" s="352"/>
      <c r="AV118" s="352"/>
    </row>
    <row r="119" spans="26:48" x14ac:dyDescent="0.25">
      <c r="Z119" s="352"/>
      <c r="AA119" s="1"/>
      <c r="AB119" s="1"/>
      <c r="AC119" s="1"/>
      <c r="AD119" s="1"/>
      <c r="AE119" s="1"/>
      <c r="AF119" s="1669"/>
      <c r="AG119" s="1667"/>
      <c r="AH119" s="352"/>
      <c r="AI119" s="454"/>
      <c r="AJ119" s="454"/>
      <c r="AK119" s="454"/>
      <c r="AL119" s="1"/>
      <c r="AM119" s="1"/>
      <c r="AN119" s="1"/>
      <c r="AO119" s="1"/>
      <c r="AP119" s="1668"/>
      <c r="AQ119" s="1665"/>
      <c r="AR119" s="352"/>
      <c r="AS119" s="352"/>
      <c r="AT119" s="352"/>
      <c r="AU119" s="352"/>
      <c r="AV119" s="352"/>
    </row>
    <row r="120" spans="26:48" x14ac:dyDescent="0.25">
      <c r="Z120" s="352"/>
      <c r="AA120" s="1663">
        <f>Q18</f>
        <v>0</v>
      </c>
      <c r="AB120" s="1663"/>
      <c r="AC120" s="352"/>
      <c r="AD120" s="352"/>
      <c r="AE120" s="352"/>
      <c r="AF120" s="1669"/>
      <c r="AG120" s="1667"/>
      <c r="AH120" s="352"/>
      <c r="AI120" s="1"/>
      <c r="AJ120" s="1"/>
      <c r="AK120" s="1"/>
      <c r="AL120" s="463"/>
      <c r="AM120" s="463"/>
      <c r="AN120" s="352"/>
      <c r="AO120" s="352"/>
      <c r="AP120" s="1668"/>
      <c r="AQ120" s="1665"/>
      <c r="AR120" s="352"/>
      <c r="AS120" s="352"/>
      <c r="AT120" s="352"/>
      <c r="AU120" s="352"/>
      <c r="AV120" s="352"/>
    </row>
    <row r="121" spans="26:48" x14ac:dyDescent="0.25">
      <c r="Z121" s="352"/>
      <c r="AA121" s="1664" t="s">
        <v>801</v>
      </c>
      <c r="AB121" s="1664"/>
      <c r="AC121" s="352"/>
      <c r="AD121" s="352"/>
      <c r="AE121" s="352"/>
      <c r="AF121" s="1669"/>
      <c r="AG121" s="1667"/>
      <c r="AH121" s="352"/>
      <c r="AI121" s="1663">
        <f>AG66</f>
        <v>0</v>
      </c>
      <c r="AJ121" s="1663"/>
      <c r="AK121" s="1663"/>
      <c r="AL121" s="465"/>
      <c r="AM121" s="465"/>
      <c r="AN121" s="352"/>
      <c r="AO121" s="352"/>
      <c r="AP121" s="1668"/>
      <c r="AQ121" s="1665"/>
      <c r="AR121" s="352"/>
      <c r="AS121" s="352"/>
      <c r="AT121" s="352"/>
      <c r="AU121" s="352"/>
      <c r="AV121" s="352"/>
    </row>
    <row r="122" spans="26:48" x14ac:dyDescent="0.25">
      <c r="Z122" s="352"/>
      <c r="AA122" s="454"/>
      <c r="AB122" s="454"/>
      <c r="AC122" s="454"/>
      <c r="AD122" s="454"/>
      <c r="AE122" s="454"/>
      <c r="AF122" s="1669"/>
      <c r="AG122" s="1667"/>
      <c r="AH122" s="454"/>
      <c r="AI122" s="1663" t="s">
        <v>113</v>
      </c>
      <c r="AJ122" s="1663"/>
      <c r="AK122" s="1663"/>
      <c r="AL122" s="454"/>
      <c r="AM122" s="454"/>
      <c r="AN122" s="454"/>
      <c r="AO122" s="454"/>
      <c r="AP122" s="1668"/>
      <c r="AQ122" s="1665"/>
      <c r="AR122" s="352"/>
      <c r="AS122" s="352"/>
      <c r="AT122" s="352"/>
      <c r="AU122" s="352"/>
      <c r="AV122" s="352"/>
    </row>
    <row r="123" spans="26:48" x14ac:dyDescent="0.25">
      <c r="Z123" s="352"/>
      <c r="AA123" s="1"/>
      <c r="AB123" s="1"/>
      <c r="AC123" s="352"/>
      <c r="AD123" s="352"/>
      <c r="AE123" s="352"/>
      <c r="AF123" s="1669"/>
      <c r="AG123" s="1667"/>
      <c r="AH123" s="352"/>
      <c r="AI123" s="352"/>
      <c r="AJ123" s="352"/>
      <c r="AK123" s="352"/>
      <c r="AL123" s="1"/>
      <c r="AM123" s="1"/>
      <c r="AN123" s="352"/>
      <c r="AO123" s="352"/>
      <c r="AP123" s="1668"/>
      <c r="AQ123" s="1665"/>
      <c r="AR123" s="352"/>
      <c r="AS123" s="352"/>
      <c r="AT123" s="352"/>
      <c r="AU123" s="352"/>
      <c r="AV123" s="352"/>
    </row>
    <row r="124" spans="26:48" x14ac:dyDescent="0.25">
      <c r="Z124" s="352"/>
      <c r="AA124" s="1663">
        <f>AT52</f>
        <v>0</v>
      </c>
      <c r="AB124" s="1663"/>
      <c r="AC124" s="352"/>
      <c r="AD124" s="352"/>
      <c r="AE124" s="352"/>
      <c r="AF124" s="1669"/>
      <c r="AG124" s="1667"/>
      <c r="AH124" s="352"/>
      <c r="AI124" s="454"/>
      <c r="AJ124" s="454"/>
      <c r="AK124" s="454"/>
      <c r="AL124" s="463"/>
      <c r="AM124" s="463"/>
      <c r="AN124" s="352"/>
      <c r="AO124" s="352"/>
      <c r="AP124" s="1668"/>
      <c r="AQ124" s="1665"/>
      <c r="AR124" s="352"/>
      <c r="AS124" s="352"/>
      <c r="AT124" s="352"/>
      <c r="AU124" s="352"/>
      <c r="AV124" s="352"/>
    </row>
    <row r="125" spans="26:48" x14ac:dyDescent="0.25">
      <c r="Z125" s="352"/>
      <c r="AA125" s="1663" t="s">
        <v>802</v>
      </c>
      <c r="AB125" s="1663"/>
      <c r="AC125" s="352"/>
      <c r="AD125" s="352"/>
      <c r="AE125" s="352"/>
      <c r="AF125" s="466"/>
      <c r="AG125" s="1667"/>
      <c r="AH125" s="352"/>
      <c r="AI125" s="1670">
        <v>7358809</v>
      </c>
      <c r="AJ125" s="1670"/>
      <c r="AK125" s="1670"/>
      <c r="AL125" s="463"/>
      <c r="AM125" s="463"/>
      <c r="AN125" s="352"/>
      <c r="AO125" s="352"/>
      <c r="AP125" s="1668"/>
      <c r="AQ125" s="352"/>
      <c r="AR125" s="352"/>
      <c r="AS125" s="352"/>
      <c r="AT125" s="352"/>
      <c r="AU125" s="352"/>
      <c r="AV125" s="352"/>
    </row>
    <row r="126" spans="26:48" x14ac:dyDescent="0.25">
      <c r="Z126" s="352"/>
      <c r="AA126" s="1671"/>
      <c r="AB126" s="1671"/>
      <c r="AC126" s="352"/>
      <c r="AD126" s="352"/>
      <c r="AE126" s="352"/>
      <c r="AF126" s="352"/>
      <c r="AG126" s="352"/>
      <c r="AH126" s="352"/>
      <c r="AI126" s="1663" t="s">
        <v>803</v>
      </c>
      <c r="AJ126" s="1663"/>
      <c r="AK126" s="1663"/>
      <c r="AL126" s="352"/>
      <c r="AM126" s="352"/>
      <c r="AN126" s="352"/>
      <c r="AO126" s="352"/>
      <c r="AP126" s="466"/>
      <c r="AQ126" s="352"/>
      <c r="AR126" s="352"/>
      <c r="AS126" s="352"/>
      <c r="AT126" s="352"/>
      <c r="AU126" s="352"/>
      <c r="AV126" s="352"/>
    </row>
    <row r="127" spans="26:48" x14ac:dyDescent="0.25">
      <c r="Z127" s="352"/>
      <c r="AA127" s="459"/>
      <c r="AB127" s="454"/>
      <c r="AC127" s="454"/>
      <c r="AD127" s="454"/>
      <c r="AE127" s="454"/>
      <c r="AF127" s="454"/>
      <c r="AG127" s="468">
        <v>45200</v>
      </c>
      <c r="AH127" s="454"/>
      <c r="AI127" s="352"/>
      <c r="AJ127" s="352"/>
      <c r="AK127" s="352"/>
      <c r="AL127" s="454"/>
      <c r="AM127" s="454"/>
      <c r="AN127" s="454"/>
      <c r="AO127" s="454"/>
      <c r="AP127" s="454"/>
      <c r="AQ127" s="468">
        <v>45200</v>
      </c>
      <c r="AR127" s="352"/>
      <c r="AS127" s="352"/>
      <c r="AT127" s="352"/>
      <c r="AU127" s="352"/>
      <c r="AV127" s="352"/>
    </row>
    <row r="128" spans="26:48" x14ac:dyDescent="0.25">
      <c r="Z128" s="1"/>
      <c r="AA128" s="469" t="str">
        <f>Q20</f>
        <v xml:space="preserve"> </v>
      </c>
      <c r="AB128" s="1"/>
      <c r="AC128" s="352"/>
      <c r="AD128" s="352"/>
      <c r="AE128" s="352"/>
      <c r="AF128" s="352"/>
      <c r="AG128" s="352"/>
      <c r="AH128" s="352"/>
      <c r="AI128" s="352"/>
      <c r="AJ128" s="352"/>
      <c r="AK128" s="352"/>
      <c r="AL128" s="467"/>
      <c r="AM128" s="467"/>
      <c r="AN128" s="352"/>
      <c r="AO128" s="352"/>
      <c r="AP128" s="352"/>
      <c r="AQ128" s="352"/>
      <c r="AR128" s="352"/>
      <c r="AS128" s="352"/>
      <c r="AT128" s="352"/>
      <c r="AU128" s="352"/>
      <c r="AV128" s="352"/>
    </row>
    <row r="129" spans="26:48" x14ac:dyDescent="0.25">
      <c r="Z129" s="470"/>
      <c r="AA129" s="1672" t="s">
        <v>124</v>
      </c>
      <c r="AB129" s="1672"/>
      <c r="AC129" s="352"/>
      <c r="AD129" s="352"/>
      <c r="AE129" s="352"/>
      <c r="AF129" s="352"/>
      <c r="AG129" s="352"/>
      <c r="AH129" s="352"/>
      <c r="AI129" s="1663">
        <v>3039759</v>
      </c>
      <c r="AJ129" s="1663"/>
      <c r="AK129" s="1663"/>
      <c r="AL129" s="352"/>
      <c r="AM129" s="352"/>
      <c r="AN129" s="352"/>
      <c r="AO129" s="352"/>
      <c r="AP129" s="352"/>
      <c r="AQ129" s="352"/>
      <c r="AR129" s="352"/>
      <c r="AS129" s="352"/>
      <c r="AT129" s="352"/>
      <c r="AU129" s="352"/>
      <c r="AV129" s="352"/>
    </row>
    <row r="130" spans="26:48" x14ac:dyDescent="0.25">
      <c r="Z130" s="352"/>
      <c r="AA130" s="352"/>
      <c r="AB130" s="352"/>
      <c r="AC130" s="352"/>
      <c r="AD130" s="352"/>
      <c r="AE130" s="352"/>
      <c r="AF130" s="352"/>
      <c r="AG130" s="352"/>
      <c r="AH130" s="352"/>
      <c r="AI130" s="1657" t="s">
        <v>804</v>
      </c>
      <c r="AJ130" s="1657"/>
      <c r="AK130" s="1657"/>
      <c r="AL130" s="352"/>
      <c r="AM130" s="352"/>
      <c r="AN130" s="352"/>
      <c r="AO130" s="352"/>
      <c r="AP130" s="352"/>
      <c r="AQ130" s="352"/>
      <c r="AR130" s="352"/>
      <c r="AS130" s="352"/>
      <c r="AT130" s="352"/>
      <c r="AU130" s="352"/>
      <c r="AV130" s="352"/>
    </row>
    <row r="131" spans="26:48" x14ac:dyDescent="0.25">
      <c r="Z131" s="352"/>
      <c r="AA131" s="1670" t="s">
        <v>791</v>
      </c>
      <c r="AB131" s="1670"/>
      <c r="AC131" s="352"/>
      <c r="AD131" s="352"/>
      <c r="AE131" s="352"/>
      <c r="AF131" s="352"/>
      <c r="AG131" s="352"/>
      <c r="AH131" s="352"/>
      <c r="AI131" s="352"/>
      <c r="AJ131" s="352"/>
      <c r="AK131" s="352"/>
      <c r="AL131" s="352"/>
      <c r="AM131" s="352"/>
      <c r="AN131" s="352"/>
      <c r="AO131" s="352"/>
      <c r="AP131" s="352"/>
      <c r="AQ131" s="352"/>
      <c r="AR131" s="352"/>
      <c r="AS131" s="352"/>
      <c r="AT131" s="352"/>
      <c r="AU131" s="352"/>
      <c r="AV131" s="352"/>
    </row>
    <row r="132" spans="26:48" x14ac:dyDescent="0.25">
      <c r="Z132" s="352"/>
      <c r="AA132" s="1663">
        <v>7063111</v>
      </c>
      <c r="AB132" s="1663"/>
      <c r="AC132" s="352"/>
      <c r="AD132" s="352"/>
      <c r="AE132" s="352"/>
      <c r="AF132" s="352"/>
      <c r="AG132" s="352"/>
      <c r="AH132" s="352"/>
      <c r="AI132" s="471"/>
      <c r="AJ132" s="471"/>
      <c r="AK132" s="471"/>
      <c r="AL132" s="467"/>
      <c r="AM132" s="467"/>
      <c r="AN132" s="352"/>
      <c r="AO132" s="352"/>
      <c r="AP132" s="352"/>
      <c r="AQ132" s="352"/>
      <c r="AR132" s="352"/>
      <c r="AS132" s="352"/>
      <c r="AT132" s="352"/>
      <c r="AU132" s="352"/>
      <c r="AV132" s="352"/>
    </row>
    <row r="133" spans="26:48" x14ac:dyDescent="0.25">
      <c r="Z133" s="352"/>
      <c r="AA133" s="352"/>
      <c r="AB133" s="352"/>
      <c r="AC133" s="352"/>
      <c r="AD133" s="352"/>
      <c r="AE133" s="352"/>
      <c r="AF133" s="352"/>
      <c r="AG133" s="352"/>
      <c r="AH133" s="352"/>
      <c r="AI133" s="1673">
        <v>6685800</v>
      </c>
      <c r="AJ133" s="1673"/>
      <c r="AK133" s="1673"/>
      <c r="AL133" s="452"/>
      <c r="AM133" s="452"/>
      <c r="AN133" s="352"/>
      <c r="AO133" s="352"/>
      <c r="AP133" s="352"/>
      <c r="AQ133" s="352"/>
      <c r="AR133" s="352"/>
      <c r="AS133" s="352"/>
      <c r="AT133" s="352"/>
      <c r="AU133" s="352"/>
      <c r="AV133" s="352"/>
    </row>
    <row r="134" spans="26:48" x14ac:dyDescent="0.25">
      <c r="Z134" s="352"/>
      <c r="AA134" s="352"/>
      <c r="AB134" s="352"/>
      <c r="AC134" s="352"/>
      <c r="AD134" s="352"/>
      <c r="AE134" s="352"/>
      <c r="AF134" s="352"/>
      <c r="AG134" s="352"/>
      <c r="AH134" s="352"/>
      <c r="AI134" s="1674" t="s">
        <v>805</v>
      </c>
      <c r="AJ134" s="1674"/>
      <c r="AK134" s="1674"/>
      <c r="AL134" s="352"/>
      <c r="AM134" s="352"/>
      <c r="AN134" s="352"/>
      <c r="AO134" s="352"/>
      <c r="AP134" s="352"/>
      <c r="AQ134" s="352"/>
      <c r="AR134" s="352"/>
      <c r="AS134" s="352"/>
      <c r="AT134" s="352"/>
      <c r="AU134" s="352"/>
      <c r="AV134" s="352"/>
    </row>
    <row r="135" spans="26:48" x14ac:dyDescent="0.25">
      <c r="Z135" s="352"/>
      <c r="AA135" s="352"/>
      <c r="AB135" s="352"/>
      <c r="AC135" s="352"/>
      <c r="AD135" s="352"/>
      <c r="AE135" s="352"/>
      <c r="AF135" s="352"/>
      <c r="AG135" s="352"/>
      <c r="AH135" s="352"/>
      <c r="AI135" s="1674"/>
      <c r="AJ135" s="1674"/>
      <c r="AK135" s="1674"/>
      <c r="AL135" s="352"/>
      <c r="AM135" s="352"/>
      <c r="AN135" s="352"/>
      <c r="AO135" s="352"/>
      <c r="AP135" s="352"/>
      <c r="AQ135" s="352"/>
      <c r="AR135" s="352"/>
      <c r="AS135" s="352"/>
      <c r="AT135" s="352"/>
      <c r="AU135" s="352"/>
      <c r="AV135" s="352"/>
    </row>
    <row r="136" spans="26:48" x14ac:dyDescent="0.25">
      <c r="Z136" s="352"/>
      <c r="AA136" s="1657" t="s">
        <v>806</v>
      </c>
      <c r="AB136" s="1657"/>
      <c r="AC136" s="352"/>
      <c r="AD136" s="352"/>
      <c r="AE136" s="352"/>
      <c r="AF136" s="352"/>
      <c r="AG136" s="352"/>
      <c r="AH136" s="352"/>
      <c r="AI136" s="471"/>
      <c r="AJ136" s="471"/>
      <c r="AK136" s="471"/>
      <c r="AL136" s="352"/>
      <c r="AM136" s="352"/>
      <c r="AN136" s="352"/>
      <c r="AO136" s="352"/>
      <c r="AP136" s="352"/>
      <c r="AQ136" s="352"/>
      <c r="AR136" s="352"/>
      <c r="AS136" s="352"/>
      <c r="AT136" s="352"/>
      <c r="AU136" s="352"/>
      <c r="AV136" s="352"/>
    </row>
    <row r="137" spans="26:48" x14ac:dyDescent="0.25">
      <c r="Z137" s="352"/>
      <c r="AA137" s="1670">
        <v>7358809</v>
      </c>
      <c r="AB137" s="1670"/>
      <c r="AC137" s="352"/>
      <c r="AD137" s="352"/>
      <c r="AE137" s="352"/>
      <c r="AF137" s="352"/>
      <c r="AG137" s="352"/>
      <c r="AH137" s="352"/>
      <c r="AI137" s="471"/>
      <c r="AJ137" s="471"/>
      <c r="AK137" s="471"/>
      <c r="AL137" s="352"/>
      <c r="AM137" s="352"/>
      <c r="AN137" s="352"/>
      <c r="AO137" s="352"/>
      <c r="AP137" s="352"/>
      <c r="AQ137" s="352"/>
      <c r="AR137" s="352"/>
      <c r="AS137" s="352"/>
      <c r="AT137" s="352"/>
      <c r="AU137" s="352"/>
      <c r="AV137" s="352"/>
    </row>
    <row r="138" spans="26:48" x14ac:dyDescent="0.25">
      <c r="Z138" s="352"/>
      <c r="AA138" s="352"/>
      <c r="AB138" s="352"/>
      <c r="AC138" s="352"/>
      <c r="AD138" s="352"/>
      <c r="AE138" s="352"/>
      <c r="AF138" s="352"/>
      <c r="AG138" s="352"/>
      <c r="AH138" s="352"/>
      <c r="AI138" s="1675">
        <v>1541050</v>
      </c>
      <c r="AJ138" s="1675"/>
      <c r="AK138" s="1675"/>
      <c r="AL138" s="352"/>
      <c r="AM138" s="352"/>
      <c r="AN138" s="352"/>
      <c r="AO138" s="352"/>
      <c r="AP138" s="352"/>
      <c r="AQ138" s="352"/>
      <c r="AR138" s="352"/>
      <c r="AS138" s="352"/>
      <c r="AT138" s="352"/>
      <c r="AU138" s="352"/>
      <c r="AV138" s="352"/>
    </row>
    <row r="139" spans="26:48" x14ac:dyDescent="0.25">
      <c r="Z139" s="352"/>
      <c r="AA139" s="352"/>
      <c r="AB139" s="352"/>
      <c r="AC139" s="352"/>
      <c r="AD139" s="352"/>
      <c r="AE139" s="352"/>
      <c r="AF139" s="352"/>
      <c r="AG139" s="352"/>
      <c r="AH139" s="352"/>
      <c r="AI139" s="1676" t="s">
        <v>807</v>
      </c>
      <c r="AJ139" s="1676"/>
      <c r="AK139" s="1676"/>
      <c r="AL139" s="352"/>
      <c r="AM139" s="352"/>
      <c r="AN139" s="352"/>
      <c r="AO139" s="352"/>
      <c r="AP139" s="352"/>
      <c r="AQ139" s="352"/>
      <c r="AR139" s="352"/>
      <c r="AS139" s="352"/>
      <c r="AT139" s="352"/>
      <c r="AU139" s="352"/>
      <c r="AV139" s="352"/>
    </row>
    <row r="140" spans="26:48" x14ac:dyDescent="0.25">
      <c r="Z140" s="352"/>
      <c r="AA140" s="352"/>
      <c r="AB140" s="352"/>
      <c r="AC140" s="352"/>
      <c r="AD140" s="352"/>
      <c r="AE140" s="352"/>
      <c r="AF140" s="352"/>
      <c r="AG140" s="352"/>
      <c r="AH140" s="352"/>
      <c r="AI140" s="1676"/>
      <c r="AJ140" s="1676"/>
      <c r="AK140" s="1676"/>
      <c r="AL140" s="352"/>
      <c r="AM140" s="352"/>
      <c r="AN140" s="352"/>
      <c r="AO140" s="352"/>
      <c r="AP140" s="352"/>
      <c r="AQ140" s="352"/>
      <c r="AR140" s="352"/>
      <c r="AS140" s="352"/>
      <c r="AT140" s="352"/>
      <c r="AU140" s="352"/>
      <c r="AV140" s="352"/>
    </row>
    <row r="141" spans="26:48" x14ac:dyDescent="0.25">
      <c r="Z141" s="352"/>
      <c r="AA141" s="1657" t="s">
        <v>808</v>
      </c>
      <c r="AB141" s="1657"/>
      <c r="AC141" s="352"/>
      <c r="AD141" s="352"/>
      <c r="AE141" s="352"/>
      <c r="AF141" s="352"/>
      <c r="AG141" s="352"/>
      <c r="AH141" s="352"/>
      <c r="AI141" s="1676"/>
      <c r="AJ141" s="1676"/>
      <c r="AK141" s="1676"/>
      <c r="AL141" s="352"/>
      <c r="AM141" s="352"/>
      <c r="AN141" s="352"/>
      <c r="AO141" s="352"/>
      <c r="AP141" s="352"/>
      <c r="AQ141" s="352"/>
      <c r="AR141" s="352"/>
      <c r="AS141" s="352"/>
      <c r="AT141" s="352"/>
      <c r="AU141" s="352"/>
      <c r="AV141" s="352"/>
    </row>
    <row r="142" spans="26:48" x14ac:dyDescent="0.25">
      <c r="Z142" s="352"/>
      <c r="AA142" s="1677" t="s">
        <v>809</v>
      </c>
      <c r="AB142" s="1677"/>
      <c r="AC142" s="352"/>
      <c r="AD142" s="352"/>
      <c r="AE142" s="352"/>
      <c r="AF142" s="352"/>
      <c r="AG142" s="352"/>
      <c r="AH142" s="352"/>
      <c r="AI142" s="471"/>
      <c r="AJ142" s="471"/>
      <c r="AK142" s="471"/>
      <c r="AL142" s="352"/>
      <c r="AM142" s="352"/>
      <c r="AN142" s="352"/>
      <c r="AO142" s="352"/>
      <c r="AP142" s="352"/>
      <c r="AQ142" s="352"/>
      <c r="AR142" s="352"/>
      <c r="AS142" s="352"/>
      <c r="AT142" s="352"/>
      <c r="AU142" s="352"/>
      <c r="AV142" s="352"/>
    </row>
    <row r="143" spans="26:48" x14ac:dyDescent="0.25">
      <c r="Z143" s="352"/>
      <c r="AA143" s="1677"/>
      <c r="AB143" s="1677"/>
      <c r="AC143" s="352"/>
      <c r="AD143" s="352"/>
      <c r="AE143" s="352"/>
      <c r="AF143" s="352"/>
      <c r="AG143" s="352"/>
      <c r="AH143" s="352"/>
      <c r="AI143" s="352"/>
      <c r="AJ143" s="352"/>
      <c r="AK143" s="352"/>
      <c r="AL143" s="352"/>
      <c r="AM143" s="352"/>
      <c r="AN143" s="352"/>
      <c r="AO143" s="352"/>
      <c r="AP143" s="352"/>
      <c r="AQ143" s="352"/>
      <c r="AR143" s="352"/>
      <c r="AS143" s="352"/>
      <c r="AT143" s="352"/>
      <c r="AU143" s="352"/>
      <c r="AV143" s="352"/>
    </row>
    <row r="144" spans="26:48" x14ac:dyDescent="0.25">
      <c r="Z144" s="352"/>
      <c r="AA144" s="472" t="s">
        <v>810</v>
      </c>
      <c r="AB144" s="473">
        <f>10142698-6685800</f>
        <v>3456898</v>
      </c>
      <c r="AC144" s="352"/>
      <c r="AD144" s="352"/>
      <c r="AE144" s="352"/>
      <c r="AF144" s="352"/>
      <c r="AG144" s="352"/>
      <c r="AH144" s="352"/>
      <c r="AI144" s="352"/>
      <c r="AJ144" s="352"/>
      <c r="AK144" s="352"/>
      <c r="AL144" s="352"/>
      <c r="AM144" s="352"/>
      <c r="AN144" s="352"/>
      <c r="AO144" s="352"/>
      <c r="AP144" s="352"/>
      <c r="AQ144" s="352"/>
      <c r="AR144" s="352"/>
      <c r="AS144" s="352"/>
      <c r="AT144" s="352"/>
      <c r="AU144" s="352"/>
      <c r="AV144" s="352"/>
    </row>
    <row r="145" spans="26:48" x14ac:dyDescent="0.25">
      <c r="Z145" s="352"/>
      <c r="AA145" s="352"/>
      <c r="AB145" s="352"/>
      <c r="AC145" s="352"/>
      <c r="AD145" s="352"/>
      <c r="AE145" s="352"/>
      <c r="AF145" s="352"/>
      <c r="AG145" s="352"/>
      <c r="AH145" s="352"/>
      <c r="AI145" s="352"/>
      <c r="AJ145" s="352"/>
      <c r="AK145" s="352"/>
      <c r="AL145" s="352"/>
      <c r="AM145" s="352"/>
      <c r="AN145" s="352"/>
      <c r="AO145" s="352"/>
      <c r="AP145" s="352"/>
      <c r="AQ145" s="352"/>
      <c r="AR145" s="352"/>
      <c r="AS145" s="352"/>
      <c r="AT145" s="352"/>
      <c r="AU145" s="352"/>
      <c r="AV145" s="352"/>
    </row>
    <row r="146" spans="26:48" x14ac:dyDescent="0.25">
      <c r="Z146" s="352"/>
      <c r="AA146" s="352"/>
      <c r="AB146" s="352"/>
      <c r="AC146" s="352"/>
      <c r="AD146" s="352"/>
      <c r="AE146" s="352"/>
      <c r="AF146" s="352"/>
      <c r="AG146" s="352"/>
      <c r="AH146" s="352"/>
      <c r="AI146" s="352"/>
      <c r="AJ146" s="352"/>
      <c r="AK146" s="352"/>
      <c r="AL146" s="352"/>
      <c r="AM146" s="352"/>
      <c r="AN146" s="352"/>
      <c r="AO146" s="352"/>
      <c r="AP146" s="352"/>
      <c r="AQ146" s="352"/>
      <c r="AR146" s="352"/>
      <c r="AS146" s="352"/>
      <c r="AT146" s="352"/>
      <c r="AU146" s="352"/>
      <c r="AV146" s="352"/>
    </row>
    <row r="147" spans="26:48" x14ac:dyDescent="0.25">
      <c r="Z147" s="352"/>
      <c r="AA147" s="352"/>
      <c r="AB147" s="352"/>
      <c r="AC147" s="352"/>
      <c r="AD147" s="352"/>
      <c r="AE147" s="352"/>
      <c r="AF147" s="352"/>
      <c r="AG147" s="352"/>
      <c r="AH147" s="352"/>
      <c r="AI147" s="352"/>
      <c r="AJ147" s="352"/>
      <c r="AK147" s="352"/>
      <c r="AL147" s="352"/>
      <c r="AM147" s="352"/>
      <c r="AN147" s="352"/>
      <c r="AO147" s="352"/>
      <c r="AP147" s="352"/>
      <c r="AQ147" s="352"/>
      <c r="AR147" s="352"/>
      <c r="AS147" s="352"/>
      <c r="AT147" s="352"/>
      <c r="AU147" s="352"/>
      <c r="AV147" s="352"/>
    </row>
    <row r="148" spans="26:48" x14ac:dyDescent="0.25">
      <c r="Z148" s="352"/>
      <c r="AA148" s="352"/>
      <c r="AB148" s="352"/>
      <c r="AC148" s="352"/>
      <c r="AD148" s="352"/>
      <c r="AE148" s="352"/>
      <c r="AF148" s="352"/>
      <c r="AG148" s="352"/>
      <c r="AH148" s="352"/>
      <c r="AI148" s="352"/>
      <c r="AJ148" s="352"/>
      <c r="AK148" s="352"/>
      <c r="AL148" s="352"/>
      <c r="AM148" s="352"/>
      <c r="AN148" s="352"/>
      <c r="AO148" s="352"/>
      <c r="AP148" s="352"/>
      <c r="AQ148" s="352"/>
      <c r="AR148" s="352"/>
      <c r="AS148" s="352"/>
      <c r="AT148" s="352"/>
      <c r="AU148" s="352"/>
      <c r="AV148" s="352"/>
    </row>
    <row r="149" spans="26:48" x14ac:dyDescent="0.25">
      <c r="Z149" s="352"/>
      <c r="AA149" s="352"/>
      <c r="AB149" s="352"/>
      <c r="AC149" s="352"/>
      <c r="AD149" s="352"/>
      <c r="AE149" s="352"/>
      <c r="AF149" s="352"/>
      <c r="AG149" s="352"/>
      <c r="AH149" s="352"/>
      <c r="AI149" s="352"/>
      <c r="AJ149" s="352"/>
      <c r="AK149" s="352"/>
      <c r="AL149" s="352"/>
      <c r="AM149" s="352"/>
      <c r="AN149" s="352"/>
      <c r="AO149" s="352"/>
      <c r="AP149" s="352"/>
      <c r="AQ149" s="352"/>
      <c r="AR149" s="352"/>
      <c r="AS149" s="352"/>
      <c r="AT149" s="352"/>
      <c r="AU149" s="352"/>
      <c r="AV149" s="352"/>
    </row>
    <row r="150" spans="26:48" x14ac:dyDescent="0.25">
      <c r="Z150" s="352"/>
      <c r="AA150" s="352"/>
      <c r="AB150" s="352"/>
      <c r="AC150" s="352"/>
      <c r="AD150" s="352"/>
      <c r="AE150" s="352"/>
      <c r="AF150" s="352"/>
      <c r="AG150" s="352"/>
      <c r="AH150" s="352"/>
      <c r="AI150" s="352"/>
      <c r="AJ150" s="352"/>
      <c r="AK150" s="352"/>
      <c r="AL150" s="352"/>
      <c r="AM150" s="352"/>
      <c r="AN150" s="352"/>
      <c r="AO150" s="352"/>
      <c r="AP150" s="352"/>
      <c r="AQ150" s="352"/>
      <c r="AR150" s="352"/>
      <c r="AS150" s="352"/>
      <c r="AT150" s="352"/>
      <c r="AU150" s="352"/>
      <c r="AV150" s="352"/>
    </row>
  </sheetData>
  <mergeCells count="50">
    <mergeCell ref="AA137:AB137"/>
    <mergeCell ref="AI138:AK138"/>
    <mergeCell ref="AI139:AK141"/>
    <mergeCell ref="AA141:AB141"/>
    <mergeCell ref="AA142:AB143"/>
    <mergeCell ref="AA136:AB136"/>
    <mergeCell ref="AA125:AB125"/>
    <mergeCell ref="AI125:AK125"/>
    <mergeCell ref="AA126:AB126"/>
    <mergeCell ref="AI126:AK126"/>
    <mergeCell ref="AA129:AB129"/>
    <mergeCell ref="AI129:AK129"/>
    <mergeCell ref="AI130:AK130"/>
    <mergeCell ref="AA131:AB131"/>
    <mergeCell ref="AA132:AB132"/>
    <mergeCell ref="AI133:AK133"/>
    <mergeCell ref="AI134:AK135"/>
    <mergeCell ref="AI118:AK118"/>
    <mergeCell ref="AA120:AB120"/>
    <mergeCell ref="AA121:AB121"/>
    <mergeCell ref="AI121:AK121"/>
    <mergeCell ref="AI122:AK122"/>
    <mergeCell ref="AQ109:AQ124"/>
    <mergeCell ref="AI110:AK110"/>
    <mergeCell ref="AA112:AB112"/>
    <mergeCell ref="AA113:AB113"/>
    <mergeCell ref="AI113:AK113"/>
    <mergeCell ref="AI114:AK114"/>
    <mergeCell ref="AG108:AG125"/>
    <mergeCell ref="AA116:AB116"/>
    <mergeCell ref="AA117:AB117"/>
    <mergeCell ref="AI117:AK117"/>
    <mergeCell ref="AA124:AB124"/>
    <mergeCell ref="AP108:AP125"/>
    <mergeCell ref="AA109:AB109"/>
    <mergeCell ref="AF109:AF124"/>
    <mergeCell ref="AI109:AK109"/>
    <mergeCell ref="AA108:AB108"/>
    <mergeCell ref="Z32:Z33"/>
    <mergeCell ref="AA104:AB104"/>
    <mergeCell ref="AA105:AB105"/>
    <mergeCell ref="AI105:AK105"/>
    <mergeCell ref="AI106:AK106"/>
    <mergeCell ref="B1:S1"/>
    <mergeCell ref="B3:S3"/>
    <mergeCell ref="AA7:AF7"/>
    <mergeCell ref="AQ14:AQ15"/>
    <mergeCell ref="Z15:Z16"/>
    <mergeCell ref="AH15:AH16"/>
    <mergeCell ref="AI15:AI16"/>
  </mergeCells>
  <pageMargins left="0.7" right="0.7" top="0.75" bottom="0.75" header="0.3" footer="0.3"/>
  <drawing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9E3E9-8ABB-439D-85DB-7669D93B7EDF}">
  <dimension ref="A1:N62"/>
  <sheetViews>
    <sheetView workbookViewId="0">
      <selection sqref="A1:XFD1048576"/>
    </sheetView>
  </sheetViews>
  <sheetFormatPr baseColWidth="10" defaultColWidth="11.453125" defaultRowHeight="11.5" x14ac:dyDescent="0.25"/>
  <cols>
    <col min="1" max="1" width="4.1796875" style="352" customWidth="1"/>
    <col min="2" max="2" width="33.26953125" style="352" customWidth="1"/>
    <col min="3" max="3" width="11.54296875" style="352" bestFit="1" customWidth="1"/>
    <col min="4" max="4" width="14.54296875" style="352" customWidth="1"/>
    <col min="5" max="5" width="14.1796875" style="352" customWidth="1"/>
    <col min="6" max="6" width="13" style="352" hidden="1" customWidth="1"/>
    <col min="7" max="7" width="14.54296875" style="472" hidden="1" customWidth="1"/>
    <col min="8" max="8" width="11.453125" style="472" bestFit="1"/>
    <col min="9" max="256" width="11.453125" style="352"/>
    <col min="257" max="257" width="4.1796875" style="352" customWidth="1"/>
    <col min="258" max="258" width="33.26953125" style="352" customWidth="1"/>
    <col min="259" max="259" width="11.54296875" style="352" bestFit="1" customWidth="1"/>
    <col min="260" max="260" width="14.54296875" style="352" customWidth="1"/>
    <col min="261" max="261" width="14.1796875" style="352" customWidth="1"/>
    <col min="262" max="263" width="0" style="352" hidden="1" customWidth="1"/>
    <col min="264" max="264" width="11.453125" style="352" bestFit="1"/>
    <col min="265" max="512" width="11.453125" style="352"/>
    <col min="513" max="513" width="4.1796875" style="352" customWidth="1"/>
    <col min="514" max="514" width="33.26953125" style="352" customWidth="1"/>
    <col min="515" max="515" width="11.54296875" style="352" bestFit="1" customWidth="1"/>
    <col min="516" max="516" width="14.54296875" style="352" customWidth="1"/>
    <col min="517" max="517" width="14.1796875" style="352" customWidth="1"/>
    <col min="518" max="519" width="0" style="352" hidden="1" customWidth="1"/>
    <col min="520" max="520" width="11.453125" style="352" bestFit="1"/>
    <col min="521" max="768" width="11.453125" style="352"/>
    <col min="769" max="769" width="4.1796875" style="352" customWidth="1"/>
    <col min="770" max="770" width="33.26953125" style="352" customWidth="1"/>
    <col min="771" max="771" width="11.54296875" style="352" bestFit="1" customWidth="1"/>
    <col min="772" max="772" width="14.54296875" style="352" customWidth="1"/>
    <col min="773" max="773" width="14.1796875" style="352" customWidth="1"/>
    <col min="774" max="775" width="0" style="352" hidden="1" customWidth="1"/>
    <col min="776" max="776" width="11.453125" style="352" bestFit="1"/>
    <col min="777" max="1024" width="11.453125" style="352"/>
    <col min="1025" max="1025" width="4.1796875" style="352" customWidth="1"/>
    <col min="1026" max="1026" width="33.26953125" style="352" customWidth="1"/>
    <col min="1027" max="1027" width="11.54296875" style="352" bestFit="1" customWidth="1"/>
    <col min="1028" max="1028" width="14.54296875" style="352" customWidth="1"/>
    <col min="1029" max="1029" width="14.1796875" style="352" customWidth="1"/>
    <col min="1030" max="1031" width="0" style="352" hidden="1" customWidth="1"/>
    <col min="1032" max="1032" width="11.453125" style="352" bestFit="1"/>
    <col min="1033" max="1280" width="11.453125" style="352"/>
    <col min="1281" max="1281" width="4.1796875" style="352" customWidth="1"/>
    <col min="1282" max="1282" width="33.26953125" style="352" customWidth="1"/>
    <col min="1283" max="1283" width="11.54296875" style="352" bestFit="1" customWidth="1"/>
    <col min="1284" max="1284" width="14.54296875" style="352" customWidth="1"/>
    <col min="1285" max="1285" width="14.1796875" style="352" customWidth="1"/>
    <col min="1286" max="1287" width="0" style="352" hidden="1" customWidth="1"/>
    <col min="1288" max="1288" width="11.453125" style="352" bestFit="1"/>
    <col min="1289" max="1536" width="11.453125" style="352"/>
    <col min="1537" max="1537" width="4.1796875" style="352" customWidth="1"/>
    <col min="1538" max="1538" width="33.26953125" style="352" customWidth="1"/>
    <col min="1539" max="1539" width="11.54296875" style="352" bestFit="1" customWidth="1"/>
    <col min="1540" max="1540" width="14.54296875" style="352" customWidth="1"/>
    <col min="1541" max="1541" width="14.1796875" style="352" customWidth="1"/>
    <col min="1542" max="1543" width="0" style="352" hidden="1" customWidth="1"/>
    <col min="1544" max="1544" width="11.453125" style="352" bestFit="1"/>
    <col min="1545" max="1792" width="11.453125" style="352"/>
    <col min="1793" max="1793" width="4.1796875" style="352" customWidth="1"/>
    <col min="1794" max="1794" width="33.26953125" style="352" customWidth="1"/>
    <col min="1795" max="1795" width="11.54296875" style="352" bestFit="1" customWidth="1"/>
    <col min="1796" max="1796" width="14.54296875" style="352" customWidth="1"/>
    <col min="1797" max="1797" width="14.1796875" style="352" customWidth="1"/>
    <col min="1798" max="1799" width="0" style="352" hidden="1" customWidth="1"/>
    <col min="1800" max="1800" width="11.453125" style="352" bestFit="1"/>
    <col min="1801" max="2048" width="11.453125" style="352"/>
    <col min="2049" max="2049" width="4.1796875" style="352" customWidth="1"/>
    <col min="2050" max="2050" width="33.26953125" style="352" customWidth="1"/>
    <col min="2051" max="2051" width="11.54296875" style="352" bestFit="1" customWidth="1"/>
    <col min="2052" max="2052" width="14.54296875" style="352" customWidth="1"/>
    <col min="2053" max="2053" width="14.1796875" style="352" customWidth="1"/>
    <col min="2054" max="2055" width="0" style="352" hidden="1" customWidth="1"/>
    <col min="2056" max="2056" width="11.453125" style="352" bestFit="1"/>
    <col min="2057" max="2304" width="11.453125" style="352"/>
    <col min="2305" max="2305" width="4.1796875" style="352" customWidth="1"/>
    <col min="2306" max="2306" width="33.26953125" style="352" customWidth="1"/>
    <col min="2307" max="2307" width="11.54296875" style="352" bestFit="1" customWidth="1"/>
    <col min="2308" max="2308" width="14.54296875" style="352" customWidth="1"/>
    <col min="2309" max="2309" width="14.1796875" style="352" customWidth="1"/>
    <col min="2310" max="2311" width="0" style="352" hidden="1" customWidth="1"/>
    <col min="2312" max="2312" width="11.453125" style="352" bestFit="1"/>
    <col min="2313" max="2560" width="11.453125" style="352"/>
    <col min="2561" max="2561" width="4.1796875" style="352" customWidth="1"/>
    <col min="2562" max="2562" width="33.26953125" style="352" customWidth="1"/>
    <col min="2563" max="2563" width="11.54296875" style="352" bestFit="1" customWidth="1"/>
    <col min="2564" max="2564" width="14.54296875" style="352" customWidth="1"/>
    <col min="2565" max="2565" width="14.1796875" style="352" customWidth="1"/>
    <col min="2566" max="2567" width="0" style="352" hidden="1" customWidth="1"/>
    <col min="2568" max="2568" width="11.453125" style="352" bestFit="1"/>
    <col min="2569" max="2816" width="11.453125" style="352"/>
    <col min="2817" max="2817" width="4.1796875" style="352" customWidth="1"/>
    <col min="2818" max="2818" width="33.26953125" style="352" customWidth="1"/>
    <col min="2819" max="2819" width="11.54296875" style="352" bestFit="1" customWidth="1"/>
    <col min="2820" max="2820" width="14.54296875" style="352" customWidth="1"/>
    <col min="2821" max="2821" width="14.1796875" style="352" customWidth="1"/>
    <col min="2822" max="2823" width="0" style="352" hidden="1" customWidth="1"/>
    <col min="2824" max="2824" width="11.453125" style="352" bestFit="1"/>
    <col min="2825" max="3072" width="11.453125" style="352"/>
    <col min="3073" max="3073" width="4.1796875" style="352" customWidth="1"/>
    <col min="3074" max="3074" width="33.26953125" style="352" customWidth="1"/>
    <col min="3075" max="3075" width="11.54296875" style="352" bestFit="1" customWidth="1"/>
    <col min="3076" max="3076" width="14.54296875" style="352" customWidth="1"/>
    <col min="3077" max="3077" width="14.1796875" style="352" customWidth="1"/>
    <col min="3078" max="3079" width="0" style="352" hidden="1" customWidth="1"/>
    <col min="3080" max="3080" width="11.453125" style="352" bestFit="1"/>
    <col min="3081" max="3328" width="11.453125" style="352"/>
    <col min="3329" max="3329" width="4.1796875" style="352" customWidth="1"/>
    <col min="3330" max="3330" width="33.26953125" style="352" customWidth="1"/>
    <col min="3331" max="3331" width="11.54296875" style="352" bestFit="1" customWidth="1"/>
    <col min="3332" max="3332" width="14.54296875" style="352" customWidth="1"/>
    <col min="3333" max="3333" width="14.1796875" style="352" customWidth="1"/>
    <col min="3334" max="3335" width="0" style="352" hidden="1" customWidth="1"/>
    <col min="3336" max="3336" width="11.453125" style="352" bestFit="1"/>
    <col min="3337" max="3584" width="11.453125" style="352"/>
    <col min="3585" max="3585" width="4.1796875" style="352" customWidth="1"/>
    <col min="3586" max="3586" width="33.26953125" style="352" customWidth="1"/>
    <col min="3587" max="3587" width="11.54296875" style="352" bestFit="1" customWidth="1"/>
    <col min="3588" max="3588" width="14.54296875" style="352" customWidth="1"/>
    <col min="3589" max="3589" width="14.1796875" style="352" customWidth="1"/>
    <col min="3590" max="3591" width="0" style="352" hidden="1" customWidth="1"/>
    <col min="3592" max="3592" width="11.453125" style="352" bestFit="1"/>
    <col min="3593" max="3840" width="11.453125" style="352"/>
    <col min="3841" max="3841" width="4.1796875" style="352" customWidth="1"/>
    <col min="3842" max="3842" width="33.26953125" style="352" customWidth="1"/>
    <col min="3843" max="3843" width="11.54296875" style="352" bestFit="1" customWidth="1"/>
    <col min="3844" max="3844" width="14.54296875" style="352" customWidth="1"/>
    <col min="3845" max="3845" width="14.1796875" style="352" customWidth="1"/>
    <col min="3846" max="3847" width="0" style="352" hidden="1" customWidth="1"/>
    <col min="3848" max="3848" width="11.453125" style="352" bestFit="1"/>
    <col min="3849" max="4096" width="11.453125" style="352"/>
    <col min="4097" max="4097" width="4.1796875" style="352" customWidth="1"/>
    <col min="4098" max="4098" width="33.26953125" style="352" customWidth="1"/>
    <col min="4099" max="4099" width="11.54296875" style="352" bestFit="1" customWidth="1"/>
    <col min="4100" max="4100" width="14.54296875" style="352" customWidth="1"/>
    <col min="4101" max="4101" width="14.1796875" style="352" customWidth="1"/>
    <col min="4102" max="4103" width="0" style="352" hidden="1" customWidth="1"/>
    <col min="4104" max="4104" width="11.453125" style="352" bestFit="1"/>
    <col min="4105" max="4352" width="11.453125" style="352"/>
    <col min="4353" max="4353" width="4.1796875" style="352" customWidth="1"/>
    <col min="4354" max="4354" width="33.26953125" style="352" customWidth="1"/>
    <col min="4355" max="4355" width="11.54296875" style="352" bestFit="1" customWidth="1"/>
    <col min="4356" max="4356" width="14.54296875" style="352" customWidth="1"/>
    <col min="4357" max="4357" width="14.1796875" style="352" customWidth="1"/>
    <col min="4358" max="4359" width="0" style="352" hidden="1" customWidth="1"/>
    <col min="4360" max="4360" width="11.453125" style="352" bestFit="1"/>
    <col min="4361" max="4608" width="11.453125" style="352"/>
    <col min="4609" max="4609" width="4.1796875" style="352" customWidth="1"/>
    <col min="4610" max="4610" width="33.26953125" style="352" customWidth="1"/>
    <col min="4611" max="4611" width="11.54296875" style="352" bestFit="1" customWidth="1"/>
    <col min="4612" max="4612" width="14.54296875" style="352" customWidth="1"/>
    <col min="4613" max="4613" width="14.1796875" style="352" customWidth="1"/>
    <col min="4614" max="4615" width="0" style="352" hidden="1" customWidth="1"/>
    <col min="4616" max="4616" width="11.453125" style="352" bestFit="1"/>
    <col min="4617" max="4864" width="11.453125" style="352"/>
    <col min="4865" max="4865" width="4.1796875" style="352" customWidth="1"/>
    <col min="4866" max="4866" width="33.26953125" style="352" customWidth="1"/>
    <col min="4867" max="4867" width="11.54296875" style="352" bestFit="1" customWidth="1"/>
    <col min="4868" max="4868" width="14.54296875" style="352" customWidth="1"/>
    <col min="4869" max="4869" width="14.1796875" style="352" customWidth="1"/>
    <col min="4870" max="4871" width="0" style="352" hidden="1" customWidth="1"/>
    <col min="4872" max="4872" width="11.453125" style="352" bestFit="1"/>
    <col min="4873" max="5120" width="11.453125" style="352"/>
    <col min="5121" max="5121" width="4.1796875" style="352" customWidth="1"/>
    <col min="5122" max="5122" width="33.26953125" style="352" customWidth="1"/>
    <col min="5123" max="5123" width="11.54296875" style="352" bestFit="1" customWidth="1"/>
    <col min="5124" max="5124" width="14.54296875" style="352" customWidth="1"/>
    <col min="5125" max="5125" width="14.1796875" style="352" customWidth="1"/>
    <col min="5126" max="5127" width="0" style="352" hidden="1" customWidth="1"/>
    <col min="5128" max="5128" width="11.453125" style="352" bestFit="1"/>
    <col min="5129" max="5376" width="11.453125" style="352"/>
    <col min="5377" max="5377" width="4.1796875" style="352" customWidth="1"/>
    <col min="5378" max="5378" width="33.26953125" style="352" customWidth="1"/>
    <col min="5379" max="5379" width="11.54296875" style="352" bestFit="1" customWidth="1"/>
    <col min="5380" max="5380" width="14.54296875" style="352" customWidth="1"/>
    <col min="5381" max="5381" width="14.1796875" style="352" customWidth="1"/>
    <col min="5382" max="5383" width="0" style="352" hidden="1" customWidth="1"/>
    <col min="5384" max="5384" width="11.453125" style="352" bestFit="1"/>
    <col min="5385" max="5632" width="11.453125" style="352"/>
    <col min="5633" max="5633" width="4.1796875" style="352" customWidth="1"/>
    <col min="5634" max="5634" width="33.26953125" style="352" customWidth="1"/>
    <col min="5635" max="5635" width="11.54296875" style="352" bestFit="1" customWidth="1"/>
    <col min="5636" max="5636" width="14.54296875" style="352" customWidth="1"/>
    <col min="5637" max="5637" width="14.1796875" style="352" customWidth="1"/>
    <col min="5638" max="5639" width="0" style="352" hidden="1" customWidth="1"/>
    <col min="5640" max="5640" width="11.453125" style="352" bestFit="1"/>
    <col min="5641" max="5888" width="11.453125" style="352"/>
    <col min="5889" max="5889" width="4.1796875" style="352" customWidth="1"/>
    <col min="5890" max="5890" width="33.26953125" style="352" customWidth="1"/>
    <col min="5891" max="5891" width="11.54296875" style="352" bestFit="1" customWidth="1"/>
    <col min="5892" max="5892" width="14.54296875" style="352" customWidth="1"/>
    <col min="5893" max="5893" width="14.1796875" style="352" customWidth="1"/>
    <col min="5894" max="5895" width="0" style="352" hidden="1" customWidth="1"/>
    <col min="5896" max="5896" width="11.453125" style="352" bestFit="1"/>
    <col min="5897" max="6144" width="11.453125" style="352"/>
    <col min="6145" max="6145" width="4.1796875" style="352" customWidth="1"/>
    <col min="6146" max="6146" width="33.26953125" style="352" customWidth="1"/>
    <col min="6147" max="6147" width="11.54296875" style="352" bestFit="1" customWidth="1"/>
    <col min="6148" max="6148" width="14.54296875" style="352" customWidth="1"/>
    <col min="6149" max="6149" width="14.1796875" style="352" customWidth="1"/>
    <col min="6150" max="6151" width="0" style="352" hidden="1" customWidth="1"/>
    <col min="6152" max="6152" width="11.453125" style="352" bestFit="1"/>
    <col min="6153" max="6400" width="11.453125" style="352"/>
    <col min="6401" max="6401" width="4.1796875" style="352" customWidth="1"/>
    <col min="6402" max="6402" width="33.26953125" style="352" customWidth="1"/>
    <col min="6403" max="6403" width="11.54296875" style="352" bestFit="1" customWidth="1"/>
    <col min="6404" max="6404" width="14.54296875" style="352" customWidth="1"/>
    <col min="6405" max="6405" width="14.1796875" style="352" customWidth="1"/>
    <col min="6406" max="6407" width="0" style="352" hidden="1" customWidth="1"/>
    <col min="6408" max="6408" width="11.453125" style="352" bestFit="1"/>
    <col min="6409" max="6656" width="11.453125" style="352"/>
    <col min="6657" max="6657" width="4.1796875" style="352" customWidth="1"/>
    <col min="6658" max="6658" width="33.26953125" style="352" customWidth="1"/>
    <col min="6659" max="6659" width="11.54296875" style="352" bestFit="1" customWidth="1"/>
    <col min="6660" max="6660" width="14.54296875" style="352" customWidth="1"/>
    <col min="6661" max="6661" width="14.1796875" style="352" customWidth="1"/>
    <col min="6662" max="6663" width="0" style="352" hidden="1" customWidth="1"/>
    <col min="6664" max="6664" width="11.453125" style="352" bestFit="1"/>
    <col min="6665" max="6912" width="11.453125" style="352"/>
    <col min="6913" max="6913" width="4.1796875" style="352" customWidth="1"/>
    <col min="6914" max="6914" width="33.26953125" style="352" customWidth="1"/>
    <col min="6915" max="6915" width="11.54296875" style="352" bestFit="1" customWidth="1"/>
    <col min="6916" max="6916" width="14.54296875" style="352" customWidth="1"/>
    <col min="6917" max="6917" width="14.1796875" style="352" customWidth="1"/>
    <col min="6918" max="6919" width="0" style="352" hidden="1" customWidth="1"/>
    <col min="6920" max="6920" width="11.453125" style="352" bestFit="1"/>
    <col min="6921" max="7168" width="11.453125" style="352"/>
    <col min="7169" max="7169" width="4.1796875" style="352" customWidth="1"/>
    <col min="7170" max="7170" width="33.26953125" style="352" customWidth="1"/>
    <col min="7171" max="7171" width="11.54296875" style="352" bestFit="1" customWidth="1"/>
    <col min="7172" max="7172" width="14.54296875" style="352" customWidth="1"/>
    <col min="7173" max="7173" width="14.1796875" style="352" customWidth="1"/>
    <col min="7174" max="7175" width="0" style="352" hidden="1" customWidth="1"/>
    <col min="7176" max="7176" width="11.453125" style="352" bestFit="1"/>
    <col min="7177" max="7424" width="11.453125" style="352"/>
    <col min="7425" max="7425" width="4.1796875" style="352" customWidth="1"/>
    <col min="7426" max="7426" width="33.26953125" style="352" customWidth="1"/>
    <col min="7427" max="7427" width="11.54296875" style="352" bestFit="1" customWidth="1"/>
    <col min="7428" max="7428" width="14.54296875" style="352" customWidth="1"/>
    <col min="7429" max="7429" width="14.1796875" style="352" customWidth="1"/>
    <col min="7430" max="7431" width="0" style="352" hidden="1" customWidth="1"/>
    <col min="7432" max="7432" width="11.453125" style="352" bestFit="1"/>
    <col min="7433" max="7680" width="11.453125" style="352"/>
    <col min="7681" max="7681" width="4.1796875" style="352" customWidth="1"/>
    <col min="7682" max="7682" width="33.26953125" style="352" customWidth="1"/>
    <col min="7683" max="7683" width="11.54296875" style="352" bestFit="1" customWidth="1"/>
    <col min="7684" max="7684" width="14.54296875" style="352" customWidth="1"/>
    <col min="7685" max="7685" width="14.1796875" style="352" customWidth="1"/>
    <col min="7686" max="7687" width="0" style="352" hidden="1" customWidth="1"/>
    <col min="7688" max="7688" width="11.453125" style="352" bestFit="1"/>
    <col min="7689" max="7936" width="11.453125" style="352"/>
    <col min="7937" max="7937" width="4.1796875" style="352" customWidth="1"/>
    <col min="7938" max="7938" width="33.26953125" style="352" customWidth="1"/>
    <col min="7939" max="7939" width="11.54296875" style="352" bestFit="1" customWidth="1"/>
    <col min="7940" max="7940" width="14.54296875" style="352" customWidth="1"/>
    <col min="7941" max="7941" width="14.1796875" style="352" customWidth="1"/>
    <col min="7942" max="7943" width="0" style="352" hidden="1" customWidth="1"/>
    <col min="7944" max="7944" width="11.453125" style="352" bestFit="1"/>
    <col min="7945" max="8192" width="11.453125" style="352"/>
    <col min="8193" max="8193" width="4.1796875" style="352" customWidth="1"/>
    <col min="8194" max="8194" width="33.26953125" style="352" customWidth="1"/>
    <col min="8195" max="8195" width="11.54296875" style="352" bestFit="1" customWidth="1"/>
    <col min="8196" max="8196" width="14.54296875" style="352" customWidth="1"/>
    <col min="8197" max="8197" width="14.1796875" style="352" customWidth="1"/>
    <col min="8198" max="8199" width="0" style="352" hidden="1" customWidth="1"/>
    <col min="8200" max="8200" width="11.453125" style="352" bestFit="1"/>
    <col min="8201" max="8448" width="11.453125" style="352"/>
    <col min="8449" max="8449" width="4.1796875" style="352" customWidth="1"/>
    <col min="8450" max="8450" width="33.26953125" style="352" customWidth="1"/>
    <col min="8451" max="8451" width="11.54296875" style="352" bestFit="1" customWidth="1"/>
    <col min="8452" max="8452" width="14.54296875" style="352" customWidth="1"/>
    <col min="8453" max="8453" width="14.1796875" style="352" customWidth="1"/>
    <col min="8454" max="8455" width="0" style="352" hidden="1" customWidth="1"/>
    <col min="8456" max="8456" width="11.453125" style="352" bestFit="1"/>
    <col min="8457" max="8704" width="11.453125" style="352"/>
    <col min="8705" max="8705" width="4.1796875" style="352" customWidth="1"/>
    <col min="8706" max="8706" width="33.26953125" style="352" customWidth="1"/>
    <col min="8707" max="8707" width="11.54296875" style="352" bestFit="1" customWidth="1"/>
    <col min="8708" max="8708" width="14.54296875" style="352" customWidth="1"/>
    <col min="8709" max="8709" width="14.1796875" style="352" customWidth="1"/>
    <col min="8710" max="8711" width="0" style="352" hidden="1" customWidth="1"/>
    <col min="8712" max="8712" width="11.453125" style="352" bestFit="1"/>
    <col min="8713" max="8960" width="11.453125" style="352"/>
    <col min="8961" max="8961" width="4.1796875" style="352" customWidth="1"/>
    <col min="8962" max="8962" width="33.26953125" style="352" customWidth="1"/>
    <col min="8963" max="8963" width="11.54296875" style="352" bestFit="1" customWidth="1"/>
    <col min="8964" max="8964" width="14.54296875" style="352" customWidth="1"/>
    <col min="8965" max="8965" width="14.1796875" style="352" customWidth="1"/>
    <col min="8966" max="8967" width="0" style="352" hidden="1" customWidth="1"/>
    <col min="8968" max="8968" width="11.453125" style="352" bestFit="1"/>
    <col min="8969" max="9216" width="11.453125" style="352"/>
    <col min="9217" max="9217" width="4.1796875" style="352" customWidth="1"/>
    <col min="9218" max="9218" width="33.26953125" style="352" customWidth="1"/>
    <col min="9219" max="9219" width="11.54296875" style="352" bestFit="1" customWidth="1"/>
    <col min="9220" max="9220" width="14.54296875" style="352" customWidth="1"/>
    <col min="9221" max="9221" width="14.1796875" style="352" customWidth="1"/>
    <col min="9222" max="9223" width="0" style="352" hidden="1" customWidth="1"/>
    <col min="9224" max="9224" width="11.453125" style="352" bestFit="1"/>
    <col min="9225" max="9472" width="11.453125" style="352"/>
    <col min="9473" max="9473" width="4.1796875" style="352" customWidth="1"/>
    <col min="9474" max="9474" width="33.26953125" style="352" customWidth="1"/>
    <col min="9475" max="9475" width="11.54296875" style="352" bestFit="1" customWidth="1"/>
    <col min="9476" max="9476" width="14.54296875" style="352" customWidth="1"/>
    <col min="9477" max="9477" width="14.1796875" style="352" customWidth="1"/>
    <col min="9478" max="9479" width="0" style="352" hidden="1" customWidth="1"/>
    <col min="9480" max="9480" width="11.453125" style="352" bestFit="1"/>
    <col min="9481" max="9728" width="11.453125" style="352"/>
    <col min="9729" max="9729" width="4.1796875" style="352" customWidth="1"/>
    <col min="9730" max="9730" width="33.26953125" style="352" customWidth="1"/>
    <col min="9731" max="9731" width="11.54296875" style="352" bestFit="1" customWidth="1"/>
    <col min="9732" max="9732" width="14.54296875" style="352" customWidth="1"/>
    <col min="9733" max="9733" width="14.1796875" style="352" customWidth="1"/>
    <col min="9734" max="9735" width="0" style="352" hidden="1" customWidth="1"/>
    <col min="9736" max="9736" width="11.453125" style="352" bestFit="1"/>
    <col min="9737" max="9984" width="11.453125" style="352"/>
    <col min="9985" max="9985" width="4.1796875" style="352" customWidth="1"/>
    <col min="9986" max="9986" width="33.26953125" style="352" customWidth="1"/>
    <col min="9987" max="9987" width="11.54296875" style="352" bestFit="1" customWidth="1"/>
    <col min="9988" max="9988" width="14.54296875" style="352" customWidth="1"/>
    <col min="9989" max="9989" width="14.1796875" style="352" customWidth="1"/>
    <col min="9990" max="9991" width="0" style="352" hidden="1" customWidth="1"/>
    <col min="9992" max="9992" width="11.453125" style="352" bestFit="1"/>
    <col min="9993" max="10240" width="11.453125" style="352"/>
    <col min="10241" max="10241" width="4.1796875" style="352" customWidth="1"/>
    <col min="10242" max="10242" width="33.26953125" style="352" customWidth="1"/>
    <col min="10243" max="10243" width="11.54296875" style="352" bestFit="1" customWidth="1"/>
    <col min="10244" max="10244" width="14.54296875" style="352" customWidth="1"/>
    <col min="10245" max="10245" width="14.1796875" style="352" customWidth="1"/>
    <col min="10246" max="10247" width="0" style="352" hidden="1" customWidth="1"/>
    <col min="10248" max="10248" width="11.453125" style="352" bestFit="1"/>
    <col min="10249" max="10496" width="11.453125" style="352"/>
    <col min="10497" max="10497" width="4.1796875" style="352" customWidth="1"/>
    <col min="10498" max="10498" width="33.26953125" style="352" customWidth="1"/>
    <col min="10499" max="10499" width="11.54296875" style="352" bestFit="1" customWidth="1"/>
    <col min="10500" max="10500" width="14.54296875" style="352" customWidth="1"/>
    <col min="10501" max="10501" width="14.1796875" style="352" customWidth="1"/>
    <col min="10502" max="10503" width="0" style="352" hidden="1" customWidth="1"/>
    <col min="10504" max="10504" width="11.453125" style="352" bestFit="1"/>
    <col min="10505" max="10752" width="11.453125" style="352"/>
    <col min="10753" max="10753" width="4.1796875" style="352" customWidth="1"/>
    <col min="10754" max="10754" width="33.26953125" style="352" customWidth="1"/>
    <col min="10755" max="10755" width="11.54296875" style="352" bestFit="1" customWidth="1"/>
    <col min="10756" max="10756" width="14.54296875" style="352" customWidth="1"/>
    <col min="10757" max="10757" width="14.1796875" style="352" customWidth="1"/>
    <col min="10758" max="10759" width="0" style="352" hidden="1" customWidth="1"/>
    <col min="10760" max="10760" width="11.453125" style="352" bestFit="1"/>
    <col min="10761" max="11008" width="11.453125" style="352"/>
    <col min="11009" max="11009" width="4.1796875" style="352" customWidth="1"/>
    <col min="11010" max="11010" width="33.26953125" style="352" customWidth="1"/>
    <col min="11011" max="11011" width="11.54296875" style="352" bestFit="1" customWidth="1"/>
    <col min="11012" max="11012" width="14.54296875" style="352" customWidth="1"/>
    <col min="11013" max="11013" width="14.1796875" style="352" customWidth="1"/>
    <col min="11014" max="11015" width="0" style="352" hidden="1" customWidth="1"/>
    <col min="11016" max="11016" width="11.453125" style="352" bestFit="1"/>
    <col min="11017" max="11264" width="11.453125" style="352"/>
    <col min="11265" max="11265" width="4.1796875" style="352" customWidth="1"/>
    <col min="11266" max="11266" width="33.26953125" style="352" customWidth="1"/>
    <col min="11267" max="11267" width="11.54296875" style="352" bestFit="1" customWidth="1"/>
    <col min="11268" max="11268" width="14.54296875" style="352" customWidth="1"/>
    <col min="11269" max="11269" width="14.1796875" style="352" customWidth="1"/>
    <col min="11270" max="11271" width="0" style="352" hidden="1" customWidth="1"/>
    <col min="11272" max="11272" width="11.453125" style="352" bestFit="1"/>
    <col min="11273" max="11520" width="11.453125" style="352"/>
    <col min="11521" max="11521" width="4.1796875" style="352" customWidth="1"/>
    <col min="11522" max="11522" width="33.26953125" style="352" customWidth="1"/>
    <col min="11523" max="11523" width="11.54296875" style="352" bestFit="1" customWidth="1"/>
    <col min="11524" max="11524" width="14.54296875" style="352" customWidth="1"/>
    <col min="11525" max="11525" width="14.1796875" style="352" customWidth="1"/>
    <col min="11526" max="11527" width="0" style="352" hidden="1" customWidth="1"/>
    <col min="11528" max="11528" width="11.453125" style="352" bestFit="1"/>
    <col min="11529" max="11776" width="11.453125" style="352"/>
    <col min="11777" max="11777" width="4.1796875" style="352" customWidth="1"/>
    <col min="11778" max="11778" width="33.26953125" style="352" customWidth="1"/>
    <col min="11779" max="11779" width="11.54296875" style="352" bestFit="1" customWidth="1"/>
    <col min="11780" max="11780" width="14.54296875" style="352" customWidth="1"/>
    <col min="11781" max="11781" width="14.1796875" style="352" customWidth="1"/>
    <col min="11782" max="11783" width="0" style="352" hidden="1" customWidth="1"/>
    <col min="11784" max="11784" width="11.453125" style="352" bestFit="1"/>
    <col min="11785" max="12032" width="11.453125" style="352"/>
    <col min="12033" max="12033" width="4.1796875" style="352" customWidth="1"/>
    <col min="12034" max="12034" width="33.26953125" style="352" customWidth="1"/>
    <col min="12035" max="12035" width="11.54296875" style="352" bestFit="1" customWidth="1"/>
    <col min="12036" max="12036" width="14.54296875" style="352" customWidth="1"/>
    <col min="12037" max="12037" width="14.1796875" style="352" customWidth="1"/>
    <col min="12038" max="12039" width="0" style="352" hidden="1" customWidth="1"/>
    <col min="12040" max="12040" width="11.453125" style="352" bestFit="1"/>
    <col min="12041" max="12288" width="11.453125" style="352"/>
    <col min="12289" max="12289" width="4.1796875" style="352" customWidth="1"/>
    <col min="12290" max="12290" width="33.26953125" style="352" customWidth="1"/>
    <col min="12291" max="12291" width="11.54296875" style="352" bestFit="1" customWidth="1"/>
    <col min="12292" max="12292" width="14.54296875" style="352" customWidth="1"/>
    <col min="12293" max="12293" width="14.1796875" style="352" customWidth="1"/>
    <col min="12294" max="12295" width="0" style="352" hidden="1" customWidth="1"/>
    <col min="12296" max="12296" width="11.453125" style="352" bestFit="1"/>
    <col min="12297" max="12544" width="11.453125" style="352"/>
    <col min="12545" max="12545" width="4.1796875" style="352" customWidth="1"/>
    <col min="12546" max="12546" width="33.26953125" style="352" customWidth="1"/>
    <col min="12547" max="12547" width="11.54296875" style="352" bestFit="1" customWidth="1"/>
    <col min="12548" max="12548" width="14.54296875" style="352" customWidth="1"/>
    <col min="12549" max="12549" width="14.1796875" style="352" customWidth="1"/>
    <col min="12550" max="12551" width="0" style="352" hidden="1" customWidth="1"/>
    <col min="12552" max="12552" width="11.453125" style="352" bestFit="1"/>
    <col min="12553" max="12800" width="11.453125" style="352"/>
    <col min="12801" max="12801" width="4.1796875" style="352" customWidth="1"/>
    <col min="12802" max="12802" width="33.26953125" style="352" customWidth="1"/>
    <col min="12803" max="12803" width="11.54296875" style="352" bestFit="1" customWidth="1"/>
    <col min="12804" max="12804" width="14.54296875" style="352" customWidth="1"/>
    <col min="12805" max="12805" width="14.1796875" style="352" customWidth="1"/>
    <col min="12806" max="12807" width="0" style="352" hidden="1" customWidth="1"/>
    <col min="12808" max="12808" width="11.453125" style="352" bestFit="1"/>
    <col min="12809" max="13056" width="11.453125" style="352"/>
    <col min="13057" max="13057" width="4.1796875" style="352" customWidth="1"/>
    <col min="13058" max="13058" width="33.26953125" style="352" customWidth="1"/>
    <col min="13059" max="13059" width="11.54296875" style="352" bestFit="1" customWidth="1"/>
    <col min="13060" max="13060" width="14.54296875" style="352" customWidth="1"/>
    <col min="13061" max="13061" width="14.1796875" style="352" customWidth="1"/>
    <col min="13062" max="13063" width="0" style="352" hidden="1" customWidth="1"/>
    <col min="13064" max="13064" width="11.453125" style="352" bestFit="1"/>
    <col min="13065" max="13312" width="11.453125" style="352"/>
    <col min="13313" max="13313" width="4.1796875" style="352" customWidth="1"/>
    <col min="13314" max="13314" width="33.26953125" style="352" customWidth="1"/>
    <col min="13315" max="13315" width="11.54296875" style="352" bestFit="1" customWidth="1"/>
    <col min="13316" max="13316" width="14.54296875" style="352" customWidth="1"/>
    <col min="13317" max="13317" width="14.1796875" style="352" customWidth="1"/>
    <col min="13318" max="13319" width="0" style="352" hidden="1" customWidth="1"/>
    <col min="13320" max="13320" width="11.453125" style="352" bestFit="1"/>
    <col min="13321" max="13568" width="11.453125" style="352"/>
    <col min="13569" max="13569" width="4.1796875" style="352" customWidth="1"/>
    <col min="13570" max="13570" width="33.26953125" style="352" customWidth="1"/>
    <col min="13571" max="13571" width="11.54296875" style="352" bestFit="1" customWidth="1"/>
    <col min="13572" max="13572" width="14.54296875" style="352" customWidth="1"/>
    <col min="13573" max="13573" width="14.1796875" style="352" customWidth="1"/>
    <col min="13574" max="13575" width="0" style="352" hidden="1" customWidth="1"/>
    <col min="13576" max="13576" width="11.453125" style="352" bestFit="1"/>
    <col min="13577" max="13824" width="11.453125" style="352"/>
    <col min="13825" max="13825" width="4.1796875" style="352" customWidth="1"/>
    <col min="13826" max="13826" width="33.26953125" style="352" customWidth="1"/>
    <col min="13827" max="13827" width="11.54296875" style="352" bestFit="1" customWidth="1"/>
    <col min="13828" max="13828" width="14.54296875" style="352" customWidth="1"/>
    <col min="13829" max="13829" width="14.1796875" style="352" customWidth="1"/>
    <col min="13830" max="13831" width="0" style="352" hidden="1" customWidth="1"/>
    <col min="13832" max="13832" width="11.453125" style="352" bestFit="1"/>
    <col min="13833" max="14080" width="11.453125" style="352"/>
    <col min="14081" max="14081" width="4.1796875" style="352" customWidth="1"/>
    <col min="14082" max="14082" width="33.26953125" style="352" customWidth="1"/>
    <col min="14083" max="14083" width="11.54296875" style="352" bestFit="1" customWidth="1"/>
    <col min="14084" max="14084" width="14.54296875" style="352" customWidth="1"/>
    <col min="14085" max="14085" width="14.1796875" style="352" customWidth="1"/>
    <col min="14086" max="14087" width="0" style="352" hidden="1" customWidth="1"/>
    <col min="14088" max="14088" width="11.453125" style="352" bestFit="1"/>
    <col min="14089" max="14336" width="11.453125" style="352"/>
    <col min="14337" max="14337" width="4.1796875" style="352" customWidth="1"/>
    <col min="14338" max="14338" width="33.26953125" style="352" customWidth="1"/>
    <col min="14339" max="14339" width="11.54296875" style="352" bestFit="1" customWidth="1"/>
    <col min="14340" max="14340" width="14.54296875" style="352" customWidth="1"/>
    <col min="14341" max="14341" width="14.1796875" style="352" customWidth="1"/>
    <col min="14342" max="14343" width="0" style="352" hidden="1" customWidth="1"/>
    <col min="14344" max="14344" width="11.453125" style="352" bestFit="1"/>
    <col min="14345" max="14592" width="11.453125" style="352"/>
    <col min="14593" max="14593" width="4.1796875" style="352" customWidth="1"/>
    <col min="14594" max="14594" width="33.26953125" style="352" customWidth="1"/>
    <col min="14595" max="14595" width="11.54296875" style="352" bestFit="1" customWidth="1"/>
    <col min="14596" max="14596" width="14.54296875" style="352" customWidth="1"/>
    <col min="14597" max="14597" width="14.1796875" style="352" customWidth="1"/>
    <col min="14598" max="14599" width="0" style="352" hidden="1" customWidth="1"/>
    <col min="14600" max="14600" width="11.453125" style="352" bestFit="1"/>
    <col min="14601" max="14848" width="11.453125" style="352"/>
    <col min="14849" max="14849" width="4.1796875" style="352" customWidth="1"/>
    <col min="14850" max="14850" width="33.26953125" style="352" customWidth="1"/>
    <col min="14851" max="14851" width="11.54296875" style="352" bestFit="1" customWidth="1"/>
    <col min="14852" max="14852" width="14.54296875" style="352" customWidth="1"/>
    <col min="14853" max="14853" width="14.1796875" style="352" customWidth="1"/>
    <col min="14854" max="14855" width="0" style="352" hidden="1" customWidth="1"/>
    <col min="14856" max="14856" width="11.453125" style="352" bestFit="1"/>
    <col min="14857" max="15104" width="11.453125" style="352"/>
    <col min="15105" max="15105" width="4.1796875" style="352" customWidth="1"/>
    <col min="15106" max="15106" width="33.26953125" style="352" customWidth="1"/>
    <col min="15107" max="15107" width="11.54296875" style="352" bestFit="1" customWidth="1"/>
    <col min="15108" max="15108" width="14.54296875" style="352" customWidth="1"/>
    <col min="15109" max="15109" width="14.1796875" style="352" customWidth="1"/>
    <col min="15110" max="15111" width="0" style="352" hidden="1" customWidth="1"/>
    <col min="15112" max="15112" width="11.453125" style="352" bestFit="1"/>
    <col min="15113" max="15360" width="11.453125" style="352"/>
    <col min="15361" max="15361" width="4.1796875" style="352" customWidth="1"/>
    <col min="15362" max="15362" width="33.26953125" style="352" customWidth="1"/>
    <col min="15363" max="15363" width="11.54296875" style="352" bestFit="1" customWidth="1"/>
    <col min="15364" max="15364" width="14.54296875" style="352" customWidth="1"/>
    <col min="15365" max="15365" width="14.1796875" style="352" customWidth="1"/>
    <col min="15366" max="15367" width="0" style="352" hidden="1" customWidth="1"/>
    <col min="15368" max="15368" width="11.453125" style="352" bestFit="1"/>
    <col min="15369" max="15616" width="11.453125" style="352"/>
    <col min="15617" max="15617" width="4.1796875" style="352" customWidth="1"/>
    <col min="15618" max="15618" width="33.26953125" style="352" customWidth="1"/>
    <col min="15619" max="15619" width="11.54296875" style="352" bestFit="1" customWidth="1"/>
    <col min="15620" max="15620" width="14.54296875" style="352" customWidth="1"/>
    <col min="15621" max="15621" width="14.1796875" style="352" customWidth="1"/>
    <col min="15622" max="15623" width="0" style="352" hidden="1" customWidth="1"/>
    <col min="15624" max="15624" width="11.453125" style="352" bestFit="1"/>
    <col min="15625" max="15872" width="11.453125" style="352"/>
    <col min="15873" max="15873" width="4.1796875" style="352" customWidth="1"/>
    <col min="15874" max="15874" width="33.26953125" style="352" customWidth="1"/>
    <col min="15875" max="15875" width="11.54296875" style="352" bestFit="1" customWidth="1"/>
    <col min="15876" max="15876" width="14.54296875" style="352" customWidth="1"/>
    <col min="15877" max="15877" width="14.1796875" style="352" customWidth="1"/>
    <col min="15878" max="15879" width="0" style="352" hidden="1" customWidth="1"/>
    <col min="15880" max="15880" width="11.453125" style="352" bestFit="1"/>
    <col min="15881" max="16128" width="11.453125" style="352"/>
    <col min="16129" max="16129" width="4.1796875" style="352" customWidth="1"/>
    <col min="16130" max="16130" width="33.26953125" style="352" customWidth="1"/>
    <col min="16131" max="16131" width="11.54296875" style="352" bestFit="1" customWidth="1"/>
    <col min="16132" max="16132" width="14.54296875" style="352" customWidth="1"/>
    <col min="16133" max="16133" width="14.1796875" style="352" customWidth="1"/>
    <col min="16134" max="16135" width="0" style="352" hidden="1" customWidth="1"/>
    <col min="16136" max="16136" width="11.453125" style="352" bestFit="1"/>
    <col min="16137" max="16384" width="11.453125" style="352"/>
  </cols>
  <sheetData>
    <row r="1" spans="2:14" x14ac:dyDescent="0.25">
      <c r="B1" s="458"/>
      <c r="C1" s="390"/>
      <c r="D1" s="390"/>
      <c r="E1" s="390"/>
      <c r="F1" s="390"/>
      <c r="G1" s="792"/>
      <c r="H1" s="793"/>
    </row>
    <row r="2" spans="2:14" x14ac:dyDescent="0.25">
      <c r="B2" s="1748" t="s">
        <v>218</v>
      </c>
      <c r="C2" s="1749"/>
      <c r="D2" s="1749"/>
      <c r="E2" s="1749"/>
      <c r="F2" s="1749"/>
      <c r="G2" s="1750"/>
      <c r="H2" s="794"/>
      <c r="I2" s="795"/>
      <c r="J2" s="795"/>
      <c r="K2" s="795"/>
      <c r="L2" s="795"/>
      <c r="M2" s="795"/>
      <c r="N2" s="795"/>
    </row>
    <row r="3" spans="2:14" ht="11.25" customHeight="1" x14ac:dyDescent="0.25">
      <c r="B3" s="796"/>
      <c r="C3" s="797"/>
      <c r="D3" s="797"/>
      <c r="E3" s="797"/>
      <c r="F3" s="797"/>
      <c r="G3" s="798"/>
      <c r="H3" s="799"/>
    </row>
    <row r="4" spans="2:14" ht="12" x14ac:dyDescent="0.3">
      <c r="B4" s="1751" t="s">
        <v>1485</v>
      </c>
      <c r="C4" s="1752"/>
      <c r="D4" s="1752"/>
      <c r="E4" s="1752"/>
      <c r="F4" s="1752"/>
      <c r="G4" s="1753"/>
      <c r="H4" s="799"/>
    </row>
    <row r="5" spans="2:14" ht="9" customHeight="1" x14ac:dyDescent="0.25">
      <c r="B5" s="800">
        <v>2</v>
      </c>
      <c r="C5" s="801"/>
      <c r="D5" s="801"/>
      <c r="E5" s="801"/>
      <c r="F5" s="801"/>
      <c r="G5" s="802"/>
      <c r="H5" s="802"/>
    </row>
    <row r="6" spans="2:14" ht="33.75" customHeight="1" x14ac:dyDescent="0.25">
      <c r="B6" s="803" t="s">
        <v>47</v>
      </c>
      <c r="C6" s="804" t="s">
        <v>56</v>
      </c>
      <c r="D6" s="805" t="s">
        <v>27</v>
      </c>
      <c r="E6" s="806" t="s">
        <v>1241</v>
      </c>
      <c r="F6" s="806" t="s">
        <v>28</v>
      </c>
      <c r="G6" s="807" t="s">
        <v>29</v>
      </c>
      <c r="H6" s="793" t="s">
        <v>1242</v>
      </c>
    </row>
    <row r="7" spans="2:14" x14ac:dyDescent="0.25">
      <c r="B7" s="808" t="s">
        <v>79</v>
      </c>
      <c r="C7" s="809">
        <f>+'[7]ESTADO DE RESULTADOS'!D11</f>
        <v>2766619.86</v>
      </c>
      <c r="D7" s="810">
        <f>+C7*12</f>
        <v>33199438.32</v>
      </c>
      <c r="E7" s="810">
        <f>+'[7]ESTADO DE RESULTADOS'!Q11</f>
        <v>16661084</v>
      </c>
      <c r="F7" s="810">
        <f>+D7-E7</f>
        <v>16538354.32</v>
      </c>
      <c r="G7" s="811">
        <f>+E7/D7</f>
        <v>0.50184836982507119</v>
      </c>
      <c r="H7" s="812">
        <f>+E7/D7</f>
        <v>0.50184836982507119</v>
      </c>
    </row>
    <row r="8" spans="2:14" x14ac:dyDescent="0.25">
      <c r="B8" s="808" t="s">
        <v>80</v>
      </c>
      <c r="C8" s="809">
        <f>+'[7]ESTADO DE RESULTADOS'!D12</f>
        <v>105000</v>
      </c>
      <c r="D8" s="810">
        <f t="shared" ref="D8:D51" si="0">+C8*12</f>
        <v>1260000</v>
      </c>
      <c r="E8" s="810">
        <f>+'[7]ESTADO DE RESULTADOS'!Q12</f>
        <v>990083</v>
      </c>
      <c r="F8" s="810">
        <f t="shared" ref="F8:F44" si="1">+D8-E8</f>
        <v>269917</v>
      </c>
      <c r="G8" s="811">
        <f t="shared" ref="G8:G41" si="2">+E8/D8</f>
        <v>0.78578015873015872</v>
      </c>
      <c r="H8" s="812">
        <f t="shared" ref="H8:H49" si="3">+E8/D8</f>
        <v>0.78578015873015872</v>
      </c>
    </row>
    <row r="9" spans="2:14" x14ac:dyDescent="0.25">
      <c r="B9" s="808" t="s">
        <v>81</v>
      </c>
      <c r="C9" s="809">
        <f>+'[7]ESTADO DE RESULTADOS'!D13</f>
        <v>875000</v>
      </c>
      <c r="D9" s="810">
        <f t="shared" si="0"/>
        <v>10500000</v>
      </c>
      <c r="E9" s="810">
        <f>+'[7]ESTADO DE RESULTADOS'!Q13</f>
        <v>3661946</v>
      </c>
      <c r="F9" s="810">
        <f t="shared" si="1"/>
        <v>6838054</v>
      </c>
      <c r="G9" s="811">
        <f t="shared" si="2"/>
        <v>0.3487567619047619</v>
      </c>
      <c r="H9" s="812">
        <f t="shared" si="3"/>
        <v>0.3487567619047619</v>
      </c>
    </row>
    <row r="10" spans="2:14" x14ac:dyDescent="0.25">
      <c r="B10" s="808" t="s">
        <v>82</v>
      </c>
      <c r="C10" s="809">
        <f>+'[7]ESTADO DE RESULTADOS'!D14</f>
        <v>150000</v>
      </c>
      <c r="D10" s="810">
        <f t="shared" si="0"/>
        <v>1800000</v>
      </c>
      <c r="E10" s="810">
        <f>+'[7]ESTADO DE RESULTADOS'!Q14</f>
        <v>828038</v>
      </c>
      <c r="F10" s="810">
        <f t="shared" si="1"/>
        <v>971962</v>
      </c>
      <c r="G10" s="811">
        <f t="shared" si="2"/>
        <v>0.4600211111111111</v>
      </c>
      <c r="H10" s="812">
        <f t="shared" si="3"/>
        <v>0.4600211111111111</v>
      </c>
    </row>
    <row r="11" spans="2:14" x14ac:dyDescent="0.25">
      <c r="B11" s="808" t="s">
        <v>83</v>
      </c>
      <c r="C11" s="809">
        <f>+'[7]ESTADO DE RESULTADOS'!D15</f>
        <v>991666.66666666663</v>
      </c>
      <c r="D11" s="810">
        <f t="shared" si="0"/>
        <v>11900000</v>
      </c>
      <c r="E11" s="810">
        <f>+'[7]ESTADO DE RESULTADOS'!Q15</f>
        <v>4127644</v>
      </c>
      <c r="F11" s="810">
        <f t="shared" si="1"/>
        <v>7772356</v>
      </c>
      <c r="G11" s="814">
        <f>+E11/D11</f>
        <v>0.34686084033613446</v>
      </c>
      <c r="H11" s="812">
        <f t="shared" si="3"/>
        <v>0.34686084033613446</v>
      </c>
    </row>
    <row r="12" spans="2:14" x14ac:dyDescent="0.25">
      <c r="B12" s="808" t="s">
        <v>84</v>
      </c>
      <c r="C12" s="809">
        <f>+'[7]ESTADO DE RESULTADOS'!D16</f>
        <v>49166.666666666664</v>
      </c>
      <c r="D12" s="810">
        <f t="shared" si="0"/>
        <v>590000</v>
      </c>
      <c r="E12" s="810">
        <f>+'[7]ESTADO DE RESULTADOS'!Q16</f>
        <v>140000</v>
      </c>
      <c r="F12" s="810">
        <f t="shared" si="1"/>
        <v>450000</v>
      </c>
      <c r="G12" s="811">
        <f>+E12/D12</f>
        <v>0.23728813559322035</v>
      </c>
      <c r="H12" s="812">
        <f t="shared" si="3"/>
        <v>0.23728813559322035</v>
      </c>
    </row>
    <row r="13" spans="2:14" x14ac:dyDescent="0.25">
      <c r="B13" s="808" t="s">
        <v>85</v>
      </c>
      <c r="C13" s="809">
        <f>+'[7]ESTADO DE RESULTADOS'!D17</f>
        <v>202498.33333333334</v>
      </c>
      <c r="D13" s="810">
        <f t="shared" si="0"/>
        <v>2429980</v>
      </c>
      <c r="E13" s="810">
        <f>+'[7]ESTADO DE RESULTADOS'!Q17</f>
        <v>1242360</v>
      </c>
      <c r="F13" s="810">
        <f t="shared" si="1"/>
        <v>1187620</v>
      </c>
      <c r="G13" s="814">
        <f>+E13/D13</f>
        <v>0.51126346718903037</v>
      </c>
      <c r="H13" s="812">
        <f t="shared" si="3"/>
        <v>0.51126346718903037</v>
      </c>
    </row>
    <row r="14" spans="2:14" x14ac:dyDescent="0.25">
      <c r="B14" s="808" t="s">
        <v>269</v>
      </c>
      <c r="C14" s="1024">
        <f>+'[7]ESTADO DE RESULTADOS'!D18</f>
        <v>0</v>
      </c>
      <c r="D14" s="1025">
        <f>+C14*12</f>
        <v>0</v>
      </c>
      <c r="E14" s="1025">
        <f>+'[7]ESTADO DE RESULTADOS'!Q18</f>
        <v>350000</v>
      </c>
      <c r="F14" s="1025"/>
      <c r="G14" s="1025"/>
      <c r="H14" s="1026" t="s">
        <v>62</v>
      </c>
    </row>
    <row r="15" spans="2:14" ht="13" x14ac:dyDescent="0.25">
      <c r="B15" s="63" t="s">
        <v>86</v>
      </c>
      <c r="C15" s="809">
        <f>+'[7]ESTADO DE RESULTADOS'!D19</f>
        <v>5139951.5266666664</v>
      </c>
      <c r="D15" s="810">
        <f>+C15*12</f>
        <v>61679418.319999993</v>
      </c>
      <c r="E15" s="810">
        <f>SUM(E7:E14)</f>
        <v>28001155</v>
      </c>
      <c r="F15" s="810">
        <f t="shared" si="1"/>
        <v>33678263.319999993</v>
      </c>
      <c r="G15" s="811">
        <f t="shared" si="2"/>
        <v>0.45397890840550331</v>
      </c>
      <c r="H15" s="812">
        <f t="shared" si="3"/>
        <v>0.45397890840550331</v>
      </c>
    </row>
    <row r="16" spans="2:14" x14ac:dyDescent="0.25">
      <c r="B16" s="815" t="s">
        <v>87</v>
      </c>
      <c r="C16" s="809">
        <f>+'[7]ESTADO DE RESULTADOS'!D20</f>
        <v>0</v>
      </c>
      <c r="D16" s="810">
        <f t="shared" si="0"/>
        <v>0</v>
      </c>
      <c r="E16" s="810">
        <f>+'[7]ESTADO DE RESULTADOS'!Q20</f>
        <v>0</v>
      </c>
      <c r="F16" s="810">
        <f t="shared" si="1"/>
        <v>0</v>
      </c>
      <c r="G16" s="811" t="e">
        <f t="shared" si="2"/>
        <v>#DIV/0!</v>
      </c>
      <c r="H16" s="812" t="s">
        <v>33</v>
      </c>
    </row>
    <row r="17" spans="2:8" x14ac:dyDescent="0.25">
      <c r="B17" s="56" t="s">
        <v>88</v>
      </c>
      <c r="C17" s="809">
        <f>+'[7]ESTADO DE RESULTADOS'!D21</f>
        <v>13235866.012500003</v>
      </c>
      <c r="D17" s="810">
        <f t="shared" si="0"/>
        <v>158830392.15000004</v>
      </c>
      <c r="E17" s="810">
        <f>+'[7]ESTADO DE RESULTADOS'!Q21</f>
        <v>78818961</v>
      </c>
      <c r="F17" s="810">
        <f t="shared" si="1"/>
        <v>80011431.150000036</v>
      </c>
      <c r="G17" s="814">
        <f>+E17/D17</f>
        <v>0.49624608951140198</v>
      </c>
      <c r="H17" s="812">
        <f t="shared" si="3"/>
        <v>0.49624608951140198</v>
      </c>
    </row>
    <row r="18" spans="2:8" x14ac:dyDescent="0.25">
      <c r="B18" s="56" t="s">
        <v>1224</v>
      </c>
      <c r="C18" s="809">
        <f>+'[7]ESTADO DE RESULTADOS'!D22</f>
        <v>331422.58333333331</v>
      </c>
      <c r="D18" s="810">
        <f t="shared" si="0"/>
        <v>3977071</v>
      </c>
      <c r="E18" s="810">
        <f>+'[7]ESTADO DE RESULTADOS'!Q22</f>
        <v>1751531</v>
      </c>
      <c r="F18" s="810">
        <f t="shared" si="1"/>
        <v>2225540</v>
      </c>
      <c r="G18" s="811">
        <f t="shared" si="2"/>
        <v>0.44040727459982487</v>
      </c>
      <c r="H18" s="812">
        <f t="shared" si="3"/>
        <v>0.44040727459982487</v>
      </c>
    </row>
    <row r="19" spans="2:8" x14ac:dyDescent="0.25">
      <c r="B19" s="56" t="s">
        <v>89</v>
      </c>
      <c r="C19" s="809">
        <f>+'[7]ESTADO DE RESULTADOS'!D23</f>
        <v>1464796.5</v>
      </c>
      <c r="D19" s="810">
        <f t="shared" si="0"/>
        <v>17577558</v>
      </c>
      <c r="E19" s="810">
        <f>+'[7]ESTADO DE RESULTADOS'!Q23</f>
        <v>8121508</v>
      </c>
      <c r="F19" s="810">
        <f t="shared" si="1"/>
        <v>9456050</v>
      </c>
      <c r="G19" s="811">
        <f t="shared" si="2"/>
        <v>0.46203846973510199</v>
      </c>
      <c r="H19" s="812">
        <f t="shared" si="3"/>
        <v>0.46203846973510199</v>
      </c>
    </row>
    <row r="20" spans="2:8" x14ac:dyDescent="0.25">
      <c r="B20" s="56" t="s">
        <v>90</v>
      </c>
      <c r="C20" s="809">
        <f>+'[7]ESTADO DE RESULTADOS'!D24</f>
        <v>111750.52</v>
      </c>
      <c r="D20" s="810">
        <f t="shared" si="0"/>
        <v>1341006.24</v>
      </c>
      <c r="E20" s="810">
        <f>+'[7]ESTADO DE RESULTADOS'!Q24</f>
        <v>1198860</v>
      </c>
      <c r="F20" s="810">
        <f t="shared" si="1"/>
        <v>142146.23999999999</v>
      </c>
      <c r="G20" s="811">
        <f t="shared" si="2"/>
        <v>0.89400031427146831</v>
      </c>
      <c r="H20" s="813">
        <f t="shared" si="3"/>
        <v>0.89400031427146831</v>
      </c>
    </row>
    <row r="21" spans="2:8" x14ac:dyDescent="0.25">
      <c r="B21" s="56" t="s">
        <v>1243</v>
      </c>
      <c r="C21" s="809">
        <f>+'[7]ESTADO DE RESULTADOS'!D25</f>
        <v>162500</v>
      </c>
      <c r="D21" s="810">
        <f t="shared" si="0"/>
        <v>1950000</v>
      </c>
      <c r="E21" s="810">
        <f>+'[7]ESTADO DE RESULTADOS'!Q25</f>
        <v>698530</v>
      </c>
      <c r="F21" s="810">
        <f t="shared" si="1"/>
        <v>1251470</v>
      </c>
      <c r="G21" s="811">
        <f t="shared" si="2"/>
        <v>0.35822051282051282</v>
      </c>
      <c r="H21" s="812">
        <f t="shared" si="3"/>
        <v>0.35822051282051282</v>
      </c>
    </row>
    <row r="22" spans="2:8" x14ac:dyDescent="0.25">
      <c r="B22" s="56" t="s">
        <v>91</v>
      </c>
      <c r="C22" s="809">
        <f>+'[7]ESTADO DE RESULTADOS'!D26</f>
        <v>159166.66666666666</v>
      </c>
      <c r="D22" s="810">
        <f t="shared" si="0"/>
        <v>1910000</v>
      </c>
      <c r="E22" s="810">
        <f>+'[7]ESTADO DE RESULTADOS'!Q26</f>
        <v>643387</v>
      </c>
      <c r="F22" s="810">
        <f t="shared" si="1"/>
        <v>1266613</v>
      </c>
      <c r="G22" s="811">
        <f>+E22/D22</f>
        <v>0.33685183246073297</v>
      </c>
      <c r="H22" s="812">
        <f t="shared" si="3"/>
        <v>0.33685183246073297</v>
      </c>
    </row>
    <row r="23" spans="2:8" x14ac:dyDescent="0.25">
      <c r="B23" s="56" t="s">
        <v>92</v>
      </c>
      <c r="C23" s="809">
        <f>+'[7]ESTADO DE RESULTADOS'!D27</f>
        <v>31000</v>
      </c>
      <c r="D23" s="810">
        <f t="shared" si="0"/>
        <v>372000</v>
      </c>
      <c r="E23" s="810">
        <f>+'[7]ESTADO DE RESULTADOS'!Q27</f>
        <v>0</v>
      </c>
      <c r="F23" s="810">
        <f t="shared" si="1"/>
        <v>372000</v>
      </c>
      <c r="G23" s="811">
        <f t="shared" si="2"/>
        <v>0</v>
      </c>
      <c r="H23" s="812">
        <f t="shared" si="3"/>
        <v>0</v>
      </c>
    </row>
    <row r="24" spans="2:8" x14ac:dyDescent="0.25">
      <c r="B24" s="56" t="s">
        <v>93</v>
      </c>
      <c r="C24" s="809">
        <f>+'[7]ESTADO DE RESULTADOS'!D28</f>
        <v>61666.666666666664</v>
      </c>
      <c r="D24" s="810">
        <f t="shared" si="0"/>
        <v>740000</v>
      </c>
      <c r="E24" s="810">
        <f>+'[7]ESTADO DE RESULTADOS'!Q28</f>
        <v>138500</v>
      </c>
      <c r="F24" s="810">
        <f t="shared" si="1"/>
        <v>601500</v>
      </c>
      <c r="G24" s="811" t="s">
        <v>1244</v>
      </c>
      <c r="H24" s="812">
        <f t="shared" si="3"/>
        <v>0.18716216216216217</v>
      </c>
    </row>
    <row r="25" spans="2:8" x14ac:dyDescent="0.25">
      <c r="B25" s="56" t="s">
        <v>126</v>
      </c>
      <c r="C25" s="809">
        <f>+'[7]ESTADO DE RESULTADOS'!D29</f>
        <v>294424</v>
      </c>
      <c r="D25" s="810">
        <f t="shared" si="0"/>
        <v>3533088</v>
      </c>
      <c r="E25" s="810">
        <f>+'[7]ESTADO DE RESULTADOS'!Q29</f>
        <v>1766544</v>
      </c>
      <c r="F25" s="810">
        <f t="shared" si="1"/>
        <v>1766544</v>
      </c>
      <c r="G25" s="814" t="s">
        <v>62</v>
      </c>
      <c r="H25" s="812">
        <f t="shared" si="3"/>
        <v>0.5</v>
      </c>
    </row>
    <row r="26" spans="2:8" ht="13" x14ac:dyDescent="0.25">
      <c r="B26" s="816" t="s">
        <v>94</v>
      </c>
      <c r="C26" s="809">
        <f>+'[7]ESTADO DE RESULTADOS'!D30</f>
        <v>15852592.94916667</v>
      </c>
      <c r="D26" s="810">
        <f t="shared" si="0"/>
        <v>190231115.39000005</v>
      </c>
      <c r="E26" s="810">
        <f>+'[7]ESTADO DE RESULTADOS'!Q30</f>
        <v>93137821</v>
      </c>
      <c r="F26" s="810">
        <f t="shared" si="1"/>
        <v>97093294.390000045</v>
      </c>
      <c r="G26" s="814" t="s">
        <v>62</v>
      </c>
      <c r="H26" s="812">
        <f t="shared" si="3"/>
        <v>0.48960350576221251</v>
      </c>
    </row>
    <row r="27" spans="2:8" ht="13.5" customHeight="1" x14ac:dyDescent="0.25">
      <c r="B27" s="65" t="s">
        <v>95</v>
      </c>
      <c r="C27" s="809">
        <f>+'[7]ESTADO DE RESULTADOS'!D31</f>
        <v>0</v>
      </c>
      <c r="D27" s="810">
        <f t="shared" si="0"/>
        <v>0</v>
      </c>
      <c r="E27" s="810" t="str">
        <f>+'[7]ESTADO DE RESULTADOS'!Q31</f>
        <v xml:space="preserve"> </v>
      </c>
      <c r="F27" s="810" t="e">
        <f t="shared" si="1"/>
        <v>#VALUE!</v>
      </c>
      <c r="G27" s="814" t="e">
        <f>+E27/D27</f>
        <v>#VALUE!</v>
      </c>
      <c r="H27" s="812" t="s">
        <v>33</v>
      </c>
    </row>
    <row r="28" spans="2:8" ht="13.5" customHeight="1" x14ac:dyDescent="0.25">
      <c r="B28" s="62" t="s">
        <v>759</v>
      </c>
      <c r="C28" s="809">
        <f>+'[7]ESTADO DE RESULTADOS'!D32</f>
        <v>0</v>
      </c>
      <c r="D28" s="810">
        <f t="shared" si="0"/>
        <v>0</v>
      </c>
      <c r="E28" s="810">
        <f>+'[7]ESTADO DE RESULTADOS'!Q32</f>
        <v>179214</v>
      </c>
      <c r="F28" s="810">
        <f t="shared" si="1"/>
        <v>-179214</v>
      </c>
      <c r="G28" s="811" t="e">
        <f t="shared" si="2"/>
        <v>#DIV/0!</v>
      </c>
      <c r="H28" s="812" t="s">
        <v>62</v>
      </c>
    </row>
    <row r="29" spans="2:8" ht="13.5" customHeight="1" x14ac:dyDescent="0.25">
      <c r="B29" s="62" t="s">
        <v>96</v>
      </c>
      <c r="C29" s="809">
        <f>+'[7]ESTADO DE RESULTADOS'!D33</f>
        <v>0</v>
      </c>
      <c r="D29" s="810">
        <f t="shared" si="0"/>
        <v>0</v>
      </c>
      <c r="E29" s="810">
        <f>+'[7]ESTADO DE RESULTADOS'!Q33</f>
        <v>515365</v>
      </c>
      <c r="F29" s="810">
        <f t="shared" si="1"/>
        <v>-515365</v>
      </c>
      <c r="G29" s="811" t="e">
        <f t="shared" si="2"/>
        <v>#DIV/0!</v>
      </c>
      <c r="H29" s="812" t="s">
        <v>62</v>
      </c>
    </row>
    <row r="30" spans="2:8" ht="13.5" customHeight="1" x14ac:dyDescent="0.25">
      <c r="B30" s="63" t="s">
        <v>97</v>
      </c>
      <c r="C30" s="809">
        <f>+'[7]ESTADO DE RESULTADOS'!D34</f>
        <v>0</v>
      </c>
      <c r="D30" s="810">
        <f t="shared" si="0"/>
        <v>0</v>
      </c>
      <c r="E30" s="810">
        <f>+'[7]ESTADO DE RESULTADOS'!Q34</f>
        <v>694579</v>
      </c>
      <c r="F30" s="810">
        <f t="shared" si="1"/>
        <v>-694579</v>
      </c>
      <c r="G30" s="814" t="e">
        <f t="shared" si="2"/>
        <v>#DIV/0!</v>
      </c>
      <c r="H30" s="812" t="s">
        <v>33</v>
      </c>
    </row>
    <row r="31" spans="2:8" ht="13.5" customHeight="1" x14ac:dyDescent="0.25">
      <c r="B31" s="57" t="s">
        <v>98</v>
      </c>
      <c r="C31" s="809">
        <f>+'[7]ESTADO DE RESULTADOS'!D35</f>
        <v>0</v>
      </c>
      <c r="D31" s="810">
        <f t="shared" si="0"/>
        <v>0</v>
      </c>
      <c r="E31" s="810" t="str">
        <f>+'[7]ESTADO DE RESULTADOS'!Q35</f>
        <v xml:space="preserve"> </v>
      </c>
      <c r="F31" s="810" t="e">
        <f t="shared" si="1"/>
        <v>#VALUE!</v>
      </c>
      <c r="G31" s="811" t="e">
        <f t="shared" si="2"/>
        <v>#VALUE!</v>
      </c>
      <c r="H31" s="812" t="s">
        <v>33</v>
      </c>
    </row>
    <row r="32" spans="2:8" ht="13.5" customHeight="1" x14ac:dyDescent="0.25">
      <c r="B32" s="58" t="s">
        <v>67</v>
      </c>
      <c r="C32" s="809">
        <f>+'[7]ESTADO DE RESULTADOS'!D36</f>
        <v>214000.125</v>
      </c>
      <c r="D32" s="810">
        <f t="shared" si="0"/>
        <v>2568001.5</v>
      </c>
      <c r="E32" s="810">
        <f>+'[7]ESTADO DE RESULTADOS'!Q36</f>
        <v>1377102</v>
      </c>
      <c r="F32" s="810">
        <f t="shared" si="1"/>
        <v>1190899.5</v>
      </c>
      <c r="G32" s="811">
        <f t="shared" si="2"/>
        <v>0.53625435966450952</v>
      </c>
      <c r="H32" s="812">
        <f t="shared" si="3"/>
        <v>0.53625435966450952</v>
      </c>
    </row>
    <row r="33" spans="1:8" ht="13.5" customHeight="1" x14ac:dyDescent="0.25">
      <c r="B33" s="57" t="s">
        <v>66</v>
      </c>
      <c r="C33" s="809">
        <f>+'[7]ESTADO DE RESULTADOS'!D37</f>
        <v>3186458.3333333335</v>
      </c>
      <c r="D33" s="810">
        <f t="shared" si="0"/>
        <v>38237500</v>
      </c>
      <c r="E33" s="810">
        <f>+'[7]ESTADO DE RESULTADOS'!Q37</f>
        <v>17021032.879999999</v>
      </c>
      <c r="F33" s="810">
        <f t="shared" si="1"/>
        <v>21216467.120000001</v>
      </c>
      <c r="G33" s="811">
        <f t="shared" si="2"/>
        <v>0.44513979418110489</v>
      </c>
      <c r="H33" s="812">
        <f t="shared" si="3"/>
        <v>0.44513979418110489</v>
      </c>
    </row>
    <row r="34" spans="1:8" ht="13.5" customHeight="1" x14ac:dyDescent="0.25">
      <c r="B34" s="58" t="s">
        <v>99</v>
      </c>
      <c r="C34" s="809">
        <f>+'[7]ESTADO DE RESULTADOS'!D38</f>
        <v>291666.66666666669</v>
      </c>
      <c r="D34" s="810">
        <f t="shared" si="0"/>
        <v>3500000</v>
      </c>
      <c r="E34" s="810">
        <f>+'[7]ESTADO DE RESULTADOS'!Q38</f>
        <v>1339572</v>
      </c>
      <c r="F34" s="810">
        <f t="shared" si="1"/>
        <v>2160428</v>
      </c>
      <c r="G34" s="811">
        <f t="shared" si="2"/>
        <v>0.38273485714285715</v>
      </c>
      <c r="H34" s="812">
        <f t="shared" si="3"/>
        <v>0.38273485714285715</v>
      </c>
    </row>
    <row r="35" spans="1:8" ht="13.5" customHeight="1" x14ac:dyDescent="0.25">
      <c r="B35" s="57" t="s">
        <v>100</v>
      </c>
      <c r="C35" s="809">
        <f>+'[7]ESTADO DE RESULTADOS'!D39</f>
        <v>50333.333333333336</v>
      </c>
      <c r="D35" s="810">
        <f t="shared" si="0"/>
        <v>604000</v>
      </c>
      <c r="E35" s="810">
        <f>+'[7]ESTADO DE RESULTADOS'!Q39</f>
        <v>324269</v>
      </c>
      <c r="F35" s="810">
        <f t="shared" si="1"/>
        <v>279731</v>
      </c>
      <c r="G35" s="811">
        <f t="shared" si="2"/>
        <v>0.5368692052980133</v>
      </c>
      <c r="H35" s="812">
        <f t="shared" si="3"/>
        <v>0.5368692052980133</v>
      </c>
    </row>
    <row r="36" spans="1:8" ht="13.5" customHeight="1" x14ac:dyDescent="0.25">
      <c r="B36" s="57" t="s">
        <v>1226</v>
      </c>
      <c r="C36" s="809">
        <f>+'[7]ESTADO DE RESULTADOS'!D40</f>
        <v>100988</v>
      </c>
      <c r="D36" s="810">
        <f t="shared" si="0"/>
        <v>1211856</v>
      </c>
      <c r="E36" s="810">
        <f>+'[7]ESTADO DE RESULTADOS'!Q40</f>
        <v>55250</v>
      </c>
      <c r="F36" s="810">
        <f t="shared" si="1"/>
        <v>1156606</v>
      </c>
      <c r="G36" s="811">
        <f t="shared" si="2"/>
        <v>4.5591225360108789E-2</v>
      </c>
      <c r="H36" s="812">
        <f t="shared" si="3"/>
        <v>4.5591225360108789E-2</v>
      </c>
    </row>
    <row r="37" spans="1:8" ht="13.5" customHeight="1" x14ac:dyDescent="0.25">
      <c r="B37" s="57" t="s">
        <v>101</v>
      </c>
      <c r="C37" s="809">
        <f>+'[7]ESTADO DE RESULTADOS'!D41</f>
        <v>66666.666666666672</v>
      </c>
      <c r="D37" s="810">
        <f t="shared" si="0"/>
        <v>800000</v>
      </c>
      <c r="E37" s="810">
        <f>+'[7]ESTADO DE RESULTADOS'!Q41</f>
        <v>592522</v>
      </c>
      <c r="F37" s="810">
        <f t="shared" si="1"/>
        <v>207478</v>
      </c>
      <c r="G37" s="814">
        <f t="shared" si="2"/>
        <v>0.74065250000000005</v>
      </c>
      <c r="H37" s="813">
        <f t="shared" si="3"/>
        <v>0.74065250000000005</v>
      </c>
    </row>
    <row r="38" spans="1:8" ht="13.5" customHeight="1" x14ac:dyDescent="0.25">
      <c r="B38" s="58" t="s">
        <v>102</v>
      </c>
      <c r="C38" s="809">
        <f>+'[7]ESTADO DE RESULTADOS'!D42</f>
        <v>1354200</v>
      </c>
      <c r="D38" s="810">
        <f t="shared" si="0"/>
        <v>16250400</v>
      </c>
      <c r="E38" s="810">
        <f>+'[7]ESTADO DE RESULTADOS'!Q42</f>
        <v>6771000</v>
      </c>
      <c r="F38" s="810">
        <f t="shared" si="1"/>
        <v>9479400</v>
      </c>
      <c r="G38" s="811">
        <f t="shared" si="2"/>
        <v>0.41666666666666669</v>
      </c>
      <c r="H38" s="812">
        <f t="shared" si="3"/>
        <v>0.41666666666666669</v>
      </c>
    </row>
    <row r="39" spans="1:8" ht="13.5" customHeight="1" x14ac:dyDescent="0.25">
      <c r="B39" s="58" t="s">
        <v>1409</v>
      </c>
      <c r="C39" s="809">
        <v>0</v>
      </c>
      <c r="D39" s="810">
        <v>0</v>
      </c>
      <c r="E39" s="810">
        <f>+'[7]ESTADO DE RESULTADOS'!Q43</f>
        <v>472500</v>
      </c>
      <c r="F39" s="810"/>
      <c r="G39" s="811"/>
      <c r="H39" s="812" t="s">
        <v>1244</v>
      </c>
    </row>
    <row r="40" spans="1:8" ht="13.5" customHeight="1" x14ac:dyDescent="0.25">
      <c r="B40" s="63" t="s">
        <v>103</v>
      </c>
      <c r="C40" s="809">
        <f>+'[7]ESTADO DE RESULTADOS'!D44</f>
        <v>5264313.125</v>
      </c>
      <c r="D40" s="810">
        <f t="shared" si="0"/>
        <v>63171757.5</v>
      </c>
      <c r="E40" s="810">
        <f>+'[7]ESTADO DE RESULTADOS'!Q44</f>
        <v>27953247.879999999</v>
      </c>
      <c r="F40" s="810">
        <f t="shared" si="1"/>
        <v>35218509.620000005</v>
      </c>
      <c r="G40" s="811">
        <f t="shared" si="2"/>
        <v>0.4424959663343227</v>
      </c>
      <c r="H40" s="812">
        <f t="shared" si="3"/>
        <v>0.4424959663343227</v>
      </c>
    </row>
    <row r="41" spans="1:8" ht="13.5" customHeight="1" x14ac:dyDescent="0.25">
      <c r="B41" s="66" t="s">
        <v>104</v>
      </c>
      <c r="C41" s="809" t="str">
        <f>+'[7]ESTADO DE RESULTADOS'!D45</f>
        <v xml:space="preserve"> </v>
      </c>
      <c r="D41" s="810"/>
      <c r="E41" s="810" t="s">
        <v>33</v>
      </c>
      <c r="F41" s="810" t="e">
        <f t="shared" si="1"/>
        <v>#VALUE!</v>
      </c>
      <c r="G41" s="811" t="e">
        <f t="shared" si="2"/>
        <v>#VALUE!</v>
      </c>
      <c r="H41" s="812" t="s">
        <v>33</v>
      </c>
    </row>
    <row r="42" spans="1:8" ht="13.5" customHeight="1" x14ac:dyDescent="0.25">
      <c r="B42" s="66" t="s">
        <v>105</v>
      </c>
      <c r="C42" s="809">
        <f>+'[7]ESTADO DE RESULTADOS'!D46</f>
        <v>2566487.25</v>
      </c>
      <c r="D42" s="810">
        <f t="shared" si="0"/>
        <v>30797847</v>
      </c>
      <c r="E42" s="810">
        <f>+'[7]ESTADO DE RESULTADOS'!Q46</f>
        <v>15399525</v>
      </c>
      <c r="F42" s="810">
        <v>680000</v>
      </c>
      <c r="G42" s="814" t="s">
        <v>62</v>
      </c>
      <c r="H42" s="812">
        <f t="shared" si="3"/>
        <v>0.50001953058601789</v>
      </c>
    </row>
    <row r="43" spans="1:8" ht="11.25" customHeight="1" x14ac:dyDescent="0.25">
      <c r="B43" s="66" t="s">
        <v>65</v>
      </c>
      <c r="C43" s="809">
        <f>+'[7]ESTADO DE RESULTADOS'!D47</f>
        <v>534451.75</v>
      </c>
      <c r="D43" s="810">
        <f t="shared" si="0"/>
        <v>6413421</v>
      </c>
      <c r="E43" s="810">
        <f>+'[7]ESTADO DE RESULTADOS'!Q47</f>
        <v>3206406</v>
      </c>
      <c r="F43" s="809">
        <v>0</v>
      </c>
      <c r="G43" s="811" t="s">
        <v>62</v>
      </c>
      <c r="H43" s="812">
        <f t="shared" si="3"/>
        <v>0.49995252143902608</v>
      </c>
    </row>
    <row r="44" spans="1:8" ht="13.5" customHeight="1" x14ac:dyDescent="0.25">
      <c r="B44" s="66" t="s">
        <v>106</v>
      </c>
      <c r="C44" s="809">
        <f>+'[7]ESTADO DE RESULTADOS'!D48</f>
        <v>44538.75</v>
      </c>
      <c r="D44" s="810">
        <f t="shared" si="0"/>
        <v>534465</v>
      </c>
      <c r="E44" s="810">
        <f>+'[7]ESTADO DE RESULTADOS'!Q48</f>
        <v>534565</v>
      </c>
      <c r="F44" s="810">
        <f t="shared" si="1"/>
        <v>-100</v>
      </c>
      <c r="G44" s="814" t="s">
        <v>62</v>
      </c>
      <c r="H44" s="812">
        <f t="shared" si="3"/>
        <v>1.0001871029908413</v>
      </c>
    </row>
    <row r="45" spans="1:8" ht="13.5" customHeight="1" x14ac:dyDescent="0.25">
      <c r="B45" s="66" t="s">
        <v>107</v>
      </c>
      <c r="C45" s="809">
        <f>+'[7]ESTADO DE RESULTADOS'!D49</f>
        <v>50325.25</v>
      </c>
      <c r="D45" s="810">
        <f t="shared" si="0"/>
        <v>603903</v>
      </c>
      <c r="E45" s="810">
        <f>+'[7]ESTADO DE RESULTADOS'!Q49</f>
        <v>302064</v>
      </c>
      <c r="F45" s="817" t="e">
        <f>SUM(F7:F44)</f>
        <v>#VALUE!</v>
      </c>
      <c r="G45" s="818">
        <f>+E45/D45</f>
        <v>0.50018628819528965</v>
      </c>
      <c r="H45" s="812">
        <f t="shared" si="3"/>
        <v>0.50018628819528965</v>
      </c>
    </row>
    <row r="46" spans="1:8" x14ac:dyDescent="0.25">
      <c r="A46" s="810"/>
      <c r="B46" s="66" t="s">
        <v>108</v>
      </c>
      <c r="C46" s="809">
        <f>+'[7]ESTADO DE RESULTADOS'!D50</f>
        <v>16666.666666666668</v>
      </c>
      <c r="D46" s="810">
        <f t="shared" si="0"/>
        <v>200000</v>
      </c>
      <c r="E46" s="810">
        <f>+'[7]ESTADO DE RESULTADOS'!Q50</f>
        <v>20000</v>
      </c>
      <c r="F46" s="810"/>
      <c r="G46" s="810"/>
      <c r="H46" s="812">
        <f t="shared" si="3"/>
        <v>0.1</v>
      </c>
    </row>
    <row r="47" spans="1:8" x14ac:dyDescent="0.25">
      <c r="A47" s="810"/>
      <c r="B47" s="66" t="s">
        <v>109</v>
      </c>
      <c r="C47" s="809">
        <f>+'[7]ESTADO DE RESULTADOS'!D51</f>
        <v>30000</v>
      </c>
      <c r="D47" s="810">
        <f t="shared" si="0"/>
        <v>360000</v>
      </c>
      <c r="E47" s="810">
        <f>+'[7]ESTADO DE RESULTADOS'!Q51</f>
        <v>58060</v>
      </c>
      <c r="F47" s="810"/>
      <c r="G47" s="810"/>
      <c r="H47" s="812">
        <f t="shared" si="3"/>
        <v>0.16127777777777777</v>
      </c>
    </row>
    <row r="48" spans="1:8" x14ac:dyDescent="0.25">
      <c r="A48" s="810"/>
      <c r="B48" s="66" t="s">
        <v>110</v>
      </c>
      <c r="C48" s="809">
        <f>+'[7]ESTADO DE RESULTADOS'!D52</f>
        <v>12500</v>
      </c>
      <c r="D48" s="810">
        <f t="shared" si="0"/>
        <v>150000</v>
      </c>
      <c r="E48" s="810">
        <f>+'[7]ESTADO DE RESULTADOS'!Q52</f>
        <v>4500</v>
      </c>
      <c r="F48" s="810"/>
      <c r="G48" s="810"/>
      <c r="H48" s="812">
        <f t="shared" si="3"/>
        <v>0.03</v>
      </c>
    </row>
    <row r="49" spans="1:13" x14ac:dyDescent="0.25">
      <c r="A49" s="810"/>
      <c r="B49" s="66" t="s">
        <v>111</v>
      </c>
      <c r="C49" s="809">
        <f>+'[7]ESTADO DE RESULTADOS'!D53</f>
        <v>225000</v>
      </c>
      <c r="D49" s="810">
        <f t="shared" si="0"/>
        <v>2700000</v>
      </c>
      <c r="E49" s="810">
        <f>+'[7]ESTADO DE RESULTADOS'!Q53</f>
        <v>1083824.72</v>
      </c>
      <c r="F49" s="810"/>
      <c r="G49" s="810"/>
      <c r="H49" s="812">
        <f t="shared" si="3"/>
        <v>0.40141656296296296</v>
      </c>
    </row>
    <row r="50" spans="1:13" x14ac:dyDescent="0.25">
      <c r="A50" s="810"/>
      <c r="B50" s="66" t="s">
        <v>68</v>
      </c>
      <c r="C50" s="809">
        <f>+'[7]ESTADO DE RESULTADOS'!D54</f>
        <v>0</v>
      </c>
      <c r="D50" s="810">
        <f t="shared" si="0"/>
        <v>0</v>
      </c>
      <c r="E50" s="810">
        <f>+'[7]ESTADO DE RESULTADOS'!Q54</f>
        <v>-655</v>
      </c>
      <c r="F50" s="810"/>
      <c r="G50" s="810"/>
      <c r="H50" s="812" t="s">
        <v>62</v>
      </c>
    </row>
    <row r="51" spans="1:13" x14ac:dyDescent="0.25">
      <c r="A51" s="810"/>
      <c r="B51" s="66" t="s">
        <v>112</v>
      </c>
      <c r="C51" s="809">
        <f>+'[7]ESTADO DE RESULTADOS'!D55</f>
        <v>0</v>
      </c>
      <c r="D51" s="810">
        <f t="shared" si="0"/>
        <v>0</v>
      </c>
      <c r="E51" s="810">
        <f>+'[7]ESTADO DE RESULTADOS'!Q55</f>
        <v>0</v>
      </c>
      <c r="F51" s="810"/>
      <c r="G51" s="810"/>
      <c r="H51" s="812" t="s">
        <v>62</v>
      </c>
    </row>
    <row r="52" spans="1:13" ht="13" x14ac:dyDescent="0.25">
      <c r="A52" s="810"/>
      <c r="B52" s="67" t="s">
        <v>113</v>
      </c>
      <c r="C52" s="810">
        <f>SUM(C42:C51)</f>
        <v>3479969.6666666665</v>
      </c>
      <c r="D52" s="810">
        <f>+C52*12</f>
        <v>41759636</v>
      </c>
      <c r="E52" s="810">
        <f>+'[7]ESTADO DE RESULTADOS'!Q56</f>
        <v>20608289.719999999</v>
      </c>
      <c r="F52" s="810"/>
      <c r="G52" s="810"/>
      <c r="H52" s="812">
        <f>+E52/D52</f>
        <v>0.49349782933931702</v>
      </c>
    </row>
    <row r="53" spans="1:13" x14ac:dyDescent="0.25">
      <c r="A53" s="810"/>
      <c r="B53" s="68" t="s">
        <v>118</v>
      </c>
      <c r="C53" s="819">
        <f>+C52+C40+C26+C15</f>
        <v>29736827.267500002</v>
      </c>
      <c r="D53" s="819">
        <f>+D52+D40+D26+D15</f>
        <v>356841927.21000004</v>
      </c>
      <c r="E53" s="819">
        <f>+E52+E40+E26+E15+E30</f>
        <v>170395092.59999999</v>
      </c>
      <c r="F53" s="819">
        <f>+F52+F40+F26+F15</f>
        <v>165990067.33000004</v>
      </c>
      <c r="G53" s="819" t="e">
        <f>+G52+G40+G26+G15</f>
        <v>#VALUE!</v>
      </c>
      <c r="H53" s="820">
        <f>+E53/D53</f>
        <v>0.47750860985492649</v>
      </c>
    </row>
    <row r="54" spans="1:13" x14ac:dyDescent="0.25">
      <c r="A54" s="810"/>
      <c r="B54" s="810"/>
      <c r="C54" s="810"/>
      <c r="D54" s="810"/>
      <c r="E54" s="810"/>
      <c r="F54" s="810"/>
      <c r="G54" s="810"/>
    </row>
    <row r="55" spans="1:13" x14ac:dyDescent="0.25">
      <c r="A55" s="810"/>
      <c r="B55" s="810"/>
      <c r="C55" s="810"/>
      <c r="D55" s="810"/>
      <c r="E55" s="810">
        <f>-'[7]ESTADO DE RESULTADOS'!Q57</f>
        <v>-170395092.59999999</v>
      </c>
      <c r="F55" s="810"/>
      <c r="G55" s="810"/>
    </row>
    <row r="56" spans="1:13" x14ac:dyDescent="0.25">
      <c r="A56" s="810"/>
      <c r="B56" s="821" t="s">
        <v>1486</v>
      </c>
      <c r="C56" s="810"/>
      <c r="D56" s="810"/>
      <c r="E56" s="810"/>
      <c r="F56" s="810"/>
      <c r="G56" s="810"/>
    </row>
    <row r="57" spans="1:13" x14ac:dyDescent="0.25">
      <c r="B57" s="1754" t="s">
        <v>30</v>
      </c>
      <c r="C57" s="1754"/>
      <c r="D57" s="1754"/>
      <c r="E57" s="1754"/>
      <c r="F57" s="810"/>
      <c r="G57" s="810"/>
    </row>
    <row r="58" spans="1:13" x14ac:dyDescent="0.25">
      <c r="B58" s="822"/>
      <c r="C58" s="822"/>
      <c r="D58" s="822"/>
      <c r="E58" s="822" t="s">
        <v>33</v>
      </c>
      <c r="F58" s="810"/>
      <c r="G58" s="810"/>
    </row>
    <row r="59" spans="1:13" x14ac:dyDescent="0.25">
      <c r="D59" s="810"/>
      <c r="E59" s="810"/>
      <c r="F59" s="810"/>
      <c r="G59" s="810"/>
    </row>
    <row r="60" spans="1:13" x14ac:dyDescent="0.25">
      <c r="A60" s="810"/>
      <c r="B60" s="810"/>
      <c r="C60" s="810"/>
      <c r="D60" s="810"/>
      <c r="E60" s="810"/>
      <c r="F60" s="810"/>
      <c r="G60" s="810"/>
    </row>
    <row r="61" spans="1:13" x14ac:dyDescent="0.25">
      <c r="B61" s="352" t="s">
        <v>456</v>
      </c>
      <c r="D61" s="395"/>
      <c r="E61" s="391" t="s">
        <v>40</v>
      </c>
      <c r="F61" s="391"/>
      <c r="G61" s="823"/>
      <c r="H61" s="824"/>
      <c r="K61" s="381"/>
      <c r="M61" s="391"/>
    </row>
    <row r="62" spans="1:13" x14ac:dyDescent="0.25">
      <c r="B62" s="352" t="s">
        <v>119</v>
      </c>
      <c r="D62" s="396"/>
      <c r="E62" s="352" t="s">
        <v>48</v>
      </c>
      <c r="H62" s="824"/>
    </row>
  </sheetData>
  <mergeCells count="3">
    <mergeCell ref="B2:G2"/>
    <mergeCell ref="B4:G4"/>
    <mergeCell ref="B57:E57"/>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CAF8E-2539-4D3B-8714-EAC6A7B8B7DF}">
  <dimension ref="A1"/>
  <sheetViews>
    <sheetView workbookViewId="0">
      <selection activeCell="K12" sqref="K12"/>
    </sheetView>
  </sheetViews>
  <sheetFormatPr baseColWidth="10" defaultRowHeight="12.5" x14ac:dyDescent="0.2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33E54-4C6D-41C4-979A-23D2B7A5D4BE}">
  <sheetPr>
    <tabColor rgb="FFFFFF00"/>
  </sheetPr>
  <dimension ref="B1:I84"/>
  <sheetViews>
    <sheetView topLeftCell="A46" workbookViewId="0">
      <selection activeCell="B57" sqref="B57"/>
    </sheetView>
  </sheetViews>
  <sheetFormatPr baseColWidth="10" defaultRowHeight="12.5" x14ac:dyDescent="0.25"/>
  <cols>
    <col min="1" max="1" width="4.453125" customWidth="1"/>
    <col min="2" max="2" width="30.453125" bestFit="1" customWidth="1"/>
    <col min="3" max="3" width="13.1796875" customWidth="1"/>
    <col min="4" max="4" width="2.7265625" customWidth="1"/>
    <col min="5" max="5" width="37" bestFit="1" customWidth="1"/>
    <col min="6" max="6" width="14.81640625" bestFit="1" customWidth="1"/>
    <col min="7" max="7" width="12.54296875" customWidth="1"/>
    <col min="8" max="8" width="10.81640625" style="16" customWidth="1"/>
  </cols>
  <sheetData>
    <row r="1" spans="2:9" ht="6.75" customHeight="1" x14ac:dyDescent="0.25"/>
    <row r="2" spans="2:9" x14ac:dyDescent="0.25">
      <c r="B2" s="1627" t="s">
        <v>218</v>
      </c>
      <c r="C2" s="1627"/>
      <c r="D2" s="1627"/>
      <c r="E2" s="1627"/>
      <c r="F2" s="1627"/>
      <c r="G2" s="1627"/>
      <c r="H2" s="1627"/>
      <c r="I2" s="3"/>
    </row>
    <row r="3" spans="2:9" ht="6" customHeight="1" x14ac:dyDescent="0.25">
      <c r="B3" s="4"/>
      <c r="C3" s="5"/>
      <c r="D3" s="5"/>
      <c r="E3" s="5"/>
      <c r="F3" s="3"/>
      <c r="G3" s="3"/>
      <c r="H3" s="10"/>
      <c r="I3" s="3"/>
    </row>
    <row r="4" spans="2:9" x14ac:dyDescent="0.25">
      <c r="B4" s="1628" t="s">
        <v>957</v>
      </c>
      <c r="C4" s="1627"/>
      <c r="D4" s="1627"/>
      <c r="E4" s="1627"/>
      <c r="F4" s="1627"/>
      <c r="G4" s="1627"/>
      <c r="H4" s="1627"/>
      <c r="I4" s="3"/>
    </row>
    <row r="5" spans="2:9" ht="9" customHeight="1" x14ac:dyDescent="0.25">
      <c r="B5" s="6"/>
      <c r="C5" s="6"/>
      <c r="D5" s="6"/>
      <c r="E5" s="6"/>
      <c r="F5" s="3"/>
      <c r="G5" s="3"/>
      <c r="H5" s="10"/>
      <c r="I5" s="3"/>
    </row>
    <row r="6" spans="2:9" ht="12.75" customHeight="1" x14ac:dyDescent="0.35">
      <c r="B6" s="7" t="s">
        <v>0</v>
      </c>
      <c r="C6" s="11" t="s">
        <v>1398</v>
      </c>
      <c r="D6" s="11"/>
      <c r="E6" s="11" t="s">
        <v>958</v>
      </c>
      <c r="F6" s="3"/>
      <c r="G6" s="9" t="s">
        <v>9</v>
      </c>
      <c r="H6" s="15" t="s">
        <v>10</v>
      </c>
      <c r="I6" s="3"/>
    </row>
    <row r="7" spans="2:9" ht="7.5" customHeight="1" x14ac:dyDescent="0.25">
      <c r="B7" s="2"/>
      <c r="C7" s="3"/>
      <c r="D7" s="3"/>
      <c r="E7" s="3"/>
      <c r="F7" s="3"/>
      <c r="G7" s="3"/>
      <c r="H7" s="10"/>
      <c r="I7" s="3"/>
    </row>
    <row r="8" spans="2:9" ht="9.75" customHeight="1" x14ac:dyDescent="0.25">
      <c r="B8" s="8" t="s">
        <v>35</v>
      </c>
      <c r="C8" s="3"/>
      <c r="D8" s="3"/>
      <c r="E8" s="3"/>
      <c r="F8" s="3"/>
      <c r="G8" s="3"/>
      <c r="H8" s="10"/>
      <c r="I8" s="3"/>
    </row>
    <row r="9" spans="2:9" ht="11.25" customHeight="1" x14ac:dyDescent="0.25">
      <c r="B9" s="2" t="s">
        <v>13</v>
      </c>
      <c r="C9" s="3">
        <v>200000</v>
      </c>
      <c r="D9" s="3"/>
      <c r="E9" s="3">
        <v>200000</v>
      </c>
      <c r="F9" s="3"/>
      <c r="G9" s="3">
        <f>-C9+E9</f>
        <v>0</v>
      </c>
      <c r="H9" s="10">
        <f>+G9/C9</f>
        <v>0</v>
      </c>
      <c r="I9" s="3"/>
    </row>
    <row r="10" spans="2:9" ht="11.25" customHeight="1" x14ac:dyDescent="0.25">
      <c r="B10" s="2" t="s">
        <v>60</v>
      </c>
      <c r="C10" s="3">
        <v>52672060.759999998</v>
      </c>
      <c r="D10" s="3"/>
      <c r="E10" s="3">
        <v>16236253.85</v>
      </c>
      <c r="F10" s="3"/>
      <c r="G10" s="3">
        <f>-C10+E10</f>
        <v>-36435806.909999996</v>
      </c>
      <c r="H10" s="10">
        <f>+G10/C10</f>
        <v>-0.69174827003673889</v>
      </c>
      <c r="I10" s="3"/>
    </row>
    <row r="11" spans="2:9" ht="12.25" customHeight="1" x14ac:dyDescent="0.25">
      <c r="B11" s="2"/>
      <c r="C11" s="31">
        <f>SUM(C9:C10)</f>
        <v>52872060.759999998</v>
      </c>
      <c r="D11" s="32"/>
      <c r="E11" s="31">
        <f>SUM(E9:E10)</f>
        <v>16436253.85</v>
      </c>
      <c r="F11" s="32"/>
      <c r="G11" s="31">
        <f>SUM(G9:G10)</f>
        <v>-36435806.909999996</v>
      </c>
      <c r="H11" s="33">
        <f>+G11/C11</f>
        <v>-0.68913158265934782</v>
      </c>
      <c r="I11" s="3"/>
    </row>
    <row r="12" spans="2:9" ht="12.25" customHeight="1" x14ac:dyDescent="0.25">
      <c r="B12" s="8" t="s">
        <v>36</v>
      </c>
      <c r="C12" s="3"/>
      <c r="D12" s="3"/>
      <c r="E12" s="3"/>
      <c r="F12" s="3"/>
      <c r="G12" s="3"/>
      <c r="H12" s="10"/>
      <c r="I12" s="3"/>
    </row>
    <row r="13" spans="2:9" ht="12.25" customHeight="1" x14ac:dyDescent="0.25">
      <c r="B13" s="17" t="s">
        <v>32</v>
      </c>
      <c r="C13" s="3"/>
      <c r="D13" s="3"/>
      <c r="E13" s="3"/>
      <c r="F13" s="3"/>
      <c r="G13" s="3"/>
      <c r="H13" s="10"/>
      <c r="I13" s="3"/>
    </row>
    <row r="14" spans="2:9" ht="12.25" customHeight="1" x14ac:dyDescent="0.25">
      <c r="B14" s="17" t="s">
        <v>771</v>
      </c>
      <c r="C14" s="3">
        <v>0</v>
      </c>
      <c r="D14" s="3"/>
      <c r="E14" s="3">
        <v>0</v>
      </c>
      <c r="F14" s="3"/>
      <c r="G14" s="3"/>
      <c r="H14" s="10"/>
      <c r="I14" s="3"/>
    </row>
    <row r="15" spans="2:9" ht="12.25" customHeight="1" x14ac:dyDescent="0.25">
      <c r="B15" s="2" t="s">
        <v>222</v>
      </c>
      <c r="C15" s="3">
        <v>8658779.9299999997</v>
      </c>
      <c r="D15" s="3"/>
      <c r="E15" s="3">
        <v>8594287.8300000001</v>
      </c>
      <c r="F15" s="3"/>
      <c r="G15" s="3">
        <f>-C15+E15</f>
        <v>-64492.099999999627</v>
      </c>
      <c r="H15" s="10">
        <f>+G15/C15</f>
        <v>-7.4481740523921168E-3</v>
      </c>
      <c r="I15" s="3"/>
    </row>
    <row r="16" spans="2:9" ht="12.25" customHeight="1" x14ac:dyDescent="0.25">
      <c r="B16" s="2"/>
      <c r="C16" s="34">
        <f>SUM(C14:C15)</f>
        <v>8658779.9299999997</v>
      </c>
      <c r="D16" s="32"/>
      <c r="E16" s="34">
        <f>SUM(E14:E15)</f>
        <v>8594287.8300000001</v>
      </c>
      <c r="F16" s="32"/>
      <c r="G16" s="31">
        <f>-C16+E16</f>
        <v>-64492.099999999627</v>
      </c>
      <c r="H16" s="33">
        <f>+G16/C16</f>
        <v>-7.4481740523921168E-3</v>
      </c>
      <c r="I16" s="3"/>
    </row>
    <row r="17" spans="2:9" ht="6" customHeight="1" x14ac:dyDescent="0.25">
      <c r="B17" s="2"/>
      <c r="C17" s="3"/>
      <c r="D17" s="3"/>
      <c r="E17" s="3"/>
      <c r="F17" s="3"/>
      <c r="G17" s="3"/>
      <c r="H17" s="10"/>
      <c r="I17" s="3"/>
    </row>
    <row r="18" spans="2:9" ht="10.5" customHeight="1" x14ac:dyDescent="0.25">
      <c r="B18" s="8" t="s">
        <v>1</v>
      </c>
      <c r="C18" s="3"/>
      <c r="D18" s="3"/>
      <c r="E18" s="3"/>
      <c r="F18" s="3"/>
      <c r="G18" s="3"/>
      <c r="H18" s="10"/>
      <c r="I18" s="3"/>
    </row>
    <row r="19" spans="2:9" ht="7.5" customHeight="1" x14ac:dyDescent="0.25">
      <c r="B19" s="8"/>
      <c r="C19" s="3"/>
      <c r="D19" s="3"/>
      <c r="E19" s="3"/>
      <c r="F19" s="3"/>
      <c r="G19" s="3"/>
      <c r="H19" s="10"/>
      <c r="I19" s="3"/>
    </row>
    <row r="20" spans="2:9" ht="10.5" customHeight="1" x14ac:dyDescent="0.25">
      <c r="B20" s="17" t="s">
        <v>37</v>
      </c>
      <c r="C20" s="3"/>
      <c r="D20" s="3"/>
      <c r="E20" s="3"/>
      <c r="F20" s="3"/>
      <c r="G20" s="3"/>
      <c r="H20" s="10"/>
      <c r="I20" s="3"/>
    </row>
    <row r="21" spans="2:9" ht="12.25" customHeight="1" x14ac:dyDescent="0.25">
      <c r="B21" s="2" t="s">
        <v>2</v>
      </c>
      <c r="C21" s="3">
        <v>3942142</v>
      </c>
      <c r="D21" s="3"/>
      <c r="E21" s="3">
        <v>4269712</v>
      </c>
      <c r="F21" s="3"/>
      <c r="G21" s="3">
        <f>+E21-C21</f>
        <v>327570</v>
      </c>
      <c r="H21" s="10">
        <f>+G21/C21</f>
        <v>8.3094419226907607E-2</v>
      </c>
      <c r="I21" s="3"/>
    </row>
    <row r="22" spans="2:9" ht="12.25" customHeight="1" x14ac:dyDescent="0.25">
      <c r="B22" s="2" t="s">
        <v>61</v>
      </c>
      <c r="C22" s="3">
        <v>0</v>
      </c>
      <c r="D22" s="3"/>
      <c r="E22" s="3">
        <v>0</v>
      </c>
      <c r="F22" s="3"/>
      <c r="G22" s="3">
        <f>+E22-C22</f>
        <v>0</v>
      </c>
      <c r="H22" s="10">
        <v>0</v>
      </c>
      <c r="I22" s="3"/>
    </row>
    <row r="23" spans="2:9" ht="12.25" customHeight="1" x14ac:dyDescent="0.25">
      <c r="B23" s="2"/>
      <c r="C23" s="31">
        <f>SUM(C21:C22)</f>
        <v>3942142</v>
      </c>
      <c r="D23" s="32"/>
      <c r="E23" s="31">
        <f>SUM(E21:E22)</f>
        <v>4269712</v>
      </c>
      <c r="F23" s="32"/>
      <c r="G23" s="31">
        <f>SUM(G21:G22)</f>
        <v>327570</v>
      </c>
      <c r="H23" s="33">
        <f>+G23/C23</f>
        <v>8.3094419226907607E-2</v>
      </c>
      <c r="I23" s="3"/>
    </row>
    <row r="24" spans="2:9" ht="9" customHeight="1" x14ac:dyDescent="0.25">
      <c r="B24" s="2"/>
      <c r="C24" s="3"/>
      <c r="D24" s="3"/>
      <c r="E24" s="3"/>
      <c r="F24" s="3"/>
      <c r="G24" s="3"/>
      <c r="H24" s="10"/>
      <c r="I24" s="3"/>
    </row>
    <row r="25" spans="2:9" ht="10.5" hidden="1" customHeight="1" x14ac:dyDescent="0.25">
      <c r="B25" s="2" t="s">
        <v>44</v>
      </c>
      <c r="C25" s="3">
        <v>0</v>
      </c>
      <c r="D25" s="19"/>
      <c r="E25" s="3">
        <v>0</v>
      </c>
      <c r="F25" s="19"/>
      <c r="G25" s="19">
        <f>+E25-C25</f>
        <v>0</v>
      </c>
      <c r="H25" s="10">
        <v>0</v>
      </c>
      <c r="I25" s="3"/>
    </row>
    <row r="26" spans="2:9" ht="10.5" hidden="1" customHeight="1" x14ac:dyDescent="0.25">
      <c r="B26" s="2" t="s">
        <v>348</v>
      </c>
      <c r="C26" s="3">
        <v>0</v>
      </c>
      <c r="D26" s="19"/>
      <c r="E26" s="3">
        <v>0</v>
      </c>
      <c r="F26" s="19"/>
      <c r="G26" s="19">
        <f>+E26-C26</f>
        <v>0</v>
      </c>
      <c r="H26" s="10" t="s">
        <v>33</v>
      </c>
      <c r="I26" s="3"/>
    </row>
    <row r="27" spans="2:9" ht="10.5" customHeight="1" x14ac:dyDescent="0.25">
      <c r="B27" s="2" t="s">
        <v>500</v>
      </c>
      <c r="C27" s="3">
        <v>0</v>
      </c>
      <c r="D27" s="19"/>
      <c r="E27" s="3">
        <v>440118</v>
      </c>
      <c r="F27" s="19"/>
      <c r="G27" s="19"/>
      <c r="H27" s="10" t="s">
        <v>33</v>
      </c>
      <c r="I27" s="3"/>
    </row>
    <row r="28" spans="2:9" ht="10.5" customHeight="1" x14ac:dyDescent="0.25">
      <c r="C28" s="3"/>
      <c r="D28" s="19"/>
      <c r="E28" s="3"/>
      <c r="F28" s="19"/>
      <c r="G28" s="19">
        <f>+E28-C28</f>
        <v>0</v>
      </c>
      <c r="H28" s="10" t="s">
        <v>33</v>
      </c>
      <c r="I28" s="3"/>
    </row>
    <row r="29" spans="2:9" s="54" customFormat="1" ht="10.5" customHeight="1" x14ac:dyDescent="0.3">
      <c r="B29" s="8" t="s">
        <v>223</v>
      </c>
      <c r="C29" s="19"/>
      <c r="D29" s="19"/>
      <c r="E29" s="19"/>
      <c r="F29" s="19"/>
      <c r="G29" s="19"/>
      <c r="H29" s="10" t="s">
        <v>33</v>
      </c>
      <c r="I29" s="19"/>
    </row>
    <row r="30" spans="2:9" ht="10.5" customHeight="1" x14ac:dyDescent="0.25">
      <c r="B30" s="8" t="s">
        <v>76</v>
      </c>
      <c r="C30" s="3">
        <v>13871914</v>
      </c>
      <c r="D30" s="19"/>
      <c r="E30" s="3">
        <v>15358191</v>
      </c>
      <c r="F30" s="19"/>
      <c r="G30" s="3">
        <f>+E30-C30</f>
        <v>1486277</v>
      </c>
      <c r="H30" s="10">
        <f>+G30/C30</f>
        <v>0.10714289318690989</v>
      </c>
      <c r="I30" s="3"/>
    </row>
    <row r="31" spans="2:9" ht="10.5" customHeight="1" x14ac:dyDescent="0.25">
      <c r="B31" s="2"/>
      <c r="C31" s="3"/>
      <c r="D31" s="3"/>
      <c r="E31" s="3"/>
      <c r="F31" s="3"/>
      <c r="G31" s="3"/>
      <c r="H31" s="10"/>
      <c r="I31" s="3"/>
    </row>
    <row r="32" spans="2:9" ht="13" thickBot="1" x14ac:dyDescent="0.3">
      <c r="B32" s="26" t="s">
        <v>3</v>
      </c>
      <c r="C32" s="34">
        <f>+C11+C16+C23+C25+C30+C26+C27</f>
        <v>79344896.689999998</v>
      </c>
      <c r="D32" s="34" t="s">
        <v>33</v>
      </c>
      <c r="E32" s="34">
        <f>+E11+E16+E23+E25+E30+E26+E27</f>
        <v>45098562.68</v>
      </c>
      <c r="F32" s="34" t="s">
        <v>33</v>
      </c>
      <c r="G32" s="35">
        <f>-C32+E32</f>
        <v>-34246334.009999998</v>
      </c>
      <c r="H32" s="36">
        <f>+G32/C32</f>
        <v>-0.4316135685928259</v>
      </c>
      <c r="I32" s="3"/>
    </row>
    <row r="33" spans="2:9" ht="9.75" customHeight="1" thickTop="1" x14ac:dyDescent="0.25">
      <c r="B33" s="2"/>
      <c r="C33" s="3"/>
      <c r="D33" s="3"/>
      <c r="E33" s="3"/>
      <c r="F33" s="3"/>
      <c r="G33" s="3"/>
      <c r="H33" s="10"/>
      <c r="I33" s="3"/>
    </row>
    <row r="34" spans="2:9" ht="10.5" customHeight="1" x14ac:dyDescent="0.25">
      <c r="B34" s="7" t="s">
        <v>4</v>
      </c>
      <c r="C34" s="3"/>
      <c r="D34" s="3"/>
      <c r="E34" s="3"/>
      <c r="F34" s="3"/>
      <c r="G34" s="3"/>
      <c r="H34" s="10"/>
      <c r="I34" s="3"/>
    </row>
    <row r="35" spans="2:9" ht="8.5" customHeight="1" x14ac:dyDescent="0.25">
      <c r="B35" s="2"/>
      <c r="C35" s="3"/>
      <c r="D35" s="3"/>
      <c r="E35" s="3"/>
      <c r="F35" s="3"/>
      <c r="G35" s="3"/>
      <c r="H35" s="10"/>
      <c r="I35" s="3"/>
    </row>
    <row r="36" spans="2:9" ht="11.25" customHeight="1" x14ac:dyDescent="0.25">
      <c r="B36" s="8" t="s">
        <v>5</v>
      </c>
      <c r="C36" s="3"/>
      <c r="D36" s="3"/>
      <c r="E36" s="3"/>
      <c r="F36" s="3"/>
      <c r="G36" s="3"/>
      <c r="H36" s="10"/>
      <c r="I36" s="3"/>
    </row>
    <row r="37" spans="2:9" ht="12.25" customHeight="1" x14ac:dyDescent="0.25">
      <c r="B37" s="2" t="s">
        <v>34</v>
      </c>
      <c r="C37" s="3">
        <v>534252</v>
      </c>
      <c r="D37" s="3"/>
      <c r="E37" s="3">
        <f>-1359+6715424</f>
        <v>6714065</v>
      </c>
      <c r="F37" s="3"/>
      <c r="G37" s="3">
        <f>+E37-C37</f>
        <v>6179813</v>
      </c>
      <c r="H37" s="10">
        <f>+G37/C37</f>
        <v>11.567224830229929</v>
      </c>
      <c r="I37" s="3"/>
    </row>
    <row r="38" spans="2:9" ht="12.25" customHeight="1" x14ac:dyDescent="0.25">
      <c r="B38" s="2" t="s">
        <v>11</v>
      </c>
      <c r="C38" s="3">
        <v>102902.06</v>
      </c>
      <c r="D38" s="3"/>
      <c r="E38" s="3">
        <v>63720.06</v>
      </c>
      <c r="F38" s="3"/>
      <c r="G38" s="3">
        <f>-C38+E38</f>
        <v>-39182</v>
      </c>
      <c r="H38" s="10">
        <f>+G38/C38</f>
        <v>-0.38076983104128337</v>
      </c>
      <c r="I38" s="3"/>
    </row>
    <row r="39" spans="2:9" ht="12.25" customHeight="1" x14ac:dyDescent="0.25">
      <c r="B39" s="2" t="s">
        <v>73</v>
      </c>
      <c r="C39" s="3">
        <v>0</v>
      </c>
      <c r="D39" s="3"/>
      <c r="E39" s="3">
        <v>103730.82</v>
      </c>
      <c r="F39" s="3"/>
      <c r="G39" s="3"/>
      <c r="H39" s="10"/>
      <c r="I39" s="3"/>
    </row>
    <row r="40" spans="2:9" ht="12.25" customHeight="1" x14ac:dyDescent="0.25">
      <c r="B40" s="2"/>
      <c r="C40" s="31">
        <f>SUM(C37:C39)</f>
        <v>637154.06000000006</v>
      </c>
      <c r="D40" s="32"/>
      <c r="E40" s="31">
        <f>SUM(E37:E39)</f>
        <v>6881515.8799999999</v>
      </c>
      <c r="F40" s="32"/>
      <c r="G40" s="31">
        <f>SUM(G37:G38)</f>
        <v>6140631</v>
      </c>
      <c r="H40" s="33">
        <f>+G40/C40</f>
        <v>9.6375922017981015</v>
      </c>
      <c r="I40" s="3"/>
    </row>
    <row r="41" spans="2:9" ht="12" customHeight="1" x14ac:dyDescent="0.25">
      <c r="B41" s="8" t="s">
        <v>568</v>
      </c>
      <c r="C41" s="3"/>
      <c r="D41" s="3"/>
      <c r="E41" s="3"/>
      <c r="F41" s="3"/>
      <c r="G41" s="3"/>
      <c r="H41" s="10"/>
      <c r="I41" s="3"/>
    </row>
    <row r="42" spans="2:9" ht="11.25" customHeight="1" x14ac:dyDescent="0.25">
      <c r="B42" s="8" t="s">
        <v>74</v>
      </c>
      <c r="C42" s="3"/>
      <c r="D42" s="3"/>
      <c r="E42" s="3"/>
      <c r="F42" s="3"/>
      <c r="G42" s="3"/>
      <c r="H42" s="10"/>
      <c r="I42" s="3"/>
    </row>
    <row r="43" spans="2:9" s="145" customFormat="1" ht="11.25" customHeight="1" x14ac:dyDescent="0.25">
      <c r="B43" s="289" t="s">
        <v>75</v>
      </c>
      <c r="C43" s="3">
        <v>0</v>
      </c>
      <c r="D43" s="3"/>
      <c r="E43" s="3">
        <v>0</v>
      </c>
      <c r="F43" s="3"/>
      <c r="G43" s="3"/>
      <c r="H43" s="10"/>
      <c r="I43" s="404"/>
    </row>
    <row r="44" spans="2:9" s="145" customFormat="1" ht="11.25" customHeight="1" x14ac:dyDescent="0.25">
      <c r="B44" s="289" t="s">
        <v>58</v>
      </c>
      <c r="C44" s="3">
        <v>8550122</v>
      </c>
      <c r="D44" s="3"/>
      <c r="E44" s="3">
        <v>0</v>
      </c>
      <c r="F44" s="3"/>
      <c r="G44" s="3">
        <f>-C44+E44</f>
        <v>-8550122</v>
      </c>
      <c r="H44" s="10" t="s">
        <v>960</v>
      </c>
      <c r="I44" s="404"/>
    </row>
    <row r="45" spans="2:9" s="145" customFormat="1" ht="11.25" customHeight="1" x14ac:dyDescent="0.25">
      <c r="B45" s="289" t="s">
        <v>220</v>
      </c>
      <c r="C45" s="3">
        <v>0</v>
      </c>
      <c r="D45" s="3"/>
      <c r="E45" s="3">
        <v>0</v>
      </c>
      <c r="F45" s="3"/>
      <c r="G45" s="3">
        <f>-C45+E45</f>
        <v>0</v>
      </c>
      <c r="H45" s="10" t="s">
        <v>961</v>
      </c>
      <c r="I45" s="404"/>
    </row>
    <row r="46" spans="2:9" s="145" customFormat="1" ht="11.25" customHeight="1" x14ac:dyDescent="0.25">
      <c r="B46" s="289" t="s">
        <v>224</v>
      </c>
      <c r="C46" s="3">
        <v>45463372.880000003</v>
      </c>
      <c r="D46" s="3"/>
      <c r="E46" s="3">
        <v>21864369.5</v>
      </c>
      <c r="F46" s="3"/>
      <c r="G46" s="3">
        <f>-C46+E46</f>
        <v>-23599003.380000003</v>
      </c>
      <c r="H46" s="10"/>
      <c r="I46" s="404"/>
    </row>
    <row r="47" spans="2:9" s="145" customFormat="1" ht="11.25" customHeight="1" x14ac:dyDescent="0.25">
      <c r="B47" s="289" t="s">
        <v>1399</v>
      </c>
      <c r="C47" s="3">
        <v>7500003</v>
      </c>
      <c r="D47" s="3"/>
      <c r="E47" s="3"/>
      <c r="F47" s="3"/>
      <c r="G47" s="3">
        <f>-C47+E47</f>
        <v>-7500003</v>
      </c>
      <c r="H47" s="10"/>
      <c r="I47" s="404"/>
    </row>
    <row r="48" spans="2:9" ht="11.25" customHeight="1" x14ac:dyDescent="0.25">
      <c r="B48" s="8" t="s">
        <v>569</v>
      </c>
      <c r="C48" s="31">
        <f>SUM(C43:C47)</f>
        <v>61513497.880000003</v>
      </c>
      <c r="D48" s="32"/>
      <c r="E48" s="31">
        <f>SUM(E43:E46)</f>
        <v>21864369.5</v>
      </c>
      <c r="F48" s="32"/>
      <c r="G48" s="31">
        <f>SUM(G44:G45)</f>
        <v>-8550122</v>
      </c>
      <c r="H48" s="33">
        <f>+G48/C48</f>
        <v>-0.13899586748715712</v>
      </c>
      <c r="I48" s="3"/>
    </row>
    <row r="49" spans="2:9" ht="9" customHeight="1" x14ac:dyDescent="0.25">
      <c r="B49" s="2"/>
      <c r="C49" s="3"/>
      <c r="D49" s="3"/>
      <c r="E49" s="3"/>
      <c r="F49" s="3"/>
      <c r="G49" s="3"/>
      <c r="H49" s="10"/>
      <c r="I49" s="3"/>
    </row>
    <row r="50" spans="2:9" ht="11.25" customHeight="1" x14ac:dyDescent="0.25">
      <c r="B50" s="8" t="s">
        <v>57</v>
      </c>
      <c r="C50" s="3"/>
      <c r="D50" s="3"/>
      <c r="E50" s="3"/>
      <c r="F50" s="3"/>
      <c r="G50" s="3"/>
      <c r="H50" s="10"/>
      <c r="I50" s="3"/>
    </row>
    <row r="51" spans="2:9" ht="11.25" customHeight="1" x14ac:dyDescent="0.25">
      <c r="B51" s="2" t="s">
        <v>221</v>
      </c>
      <c r="C51" s="3">
        <v>0</v>
      </c>
      <c r="D51" s="3"/>
      <c r="E51" s="3">
        <v>0</v>
      </c>
      <c r="F51" s="3"/>
      <c r="G51" s="3">
        <f>+E51-C51</f>
        <v>0</v>
      </c>
      <c r="H51" s="10">
        <v>0</v>
      </c>
      <c r="I51" s="3"/>
    </row>
    <row r="52" spans="2:9" ht="11.25" customHeight="1" x14ac:dyDescent="0.25">
      <c r="B52" s="38" t="s">
        <v>59</v>
      </c>
      <c r="C52" s="40">
        <f>SUM(C51:C51)</f>
        <v>0</v>
      </c>
      <c r="D52" s="40" t="s">
        <v>33</v>
      </c>
      <c r="E52" s="40">
        <f>SUM(E51:E51)</f>
        <v>0</v>
      </c>
      <c r="F52" s="19"/>
      <c r="G52" s="20">
        <f>SUM(G51:G51)</f>
        <v>0</v>
      </c>
      <c r="H52" s="21">
        <v>0</v>
      </c>
      <c r="I52" s="3"/>
    </row>
    <row r="53" spans="2:9" ht="12" customHeight="1" thickBot="1" x14ac:dyDescent="0.3">
      <c r="B53" s="26" t="s">
        <v>6</v>
      </c>
      <c r="C53" s="35">
        <f>+C40+C48+C52</f>
        <v>62150651.940000005</v>
      </c>
      <c r="D53" s="32"/>
      <c r="E53" s="35">
        <f>+E40+E48+E52</f>
        <v>28745885.379999999</v>
      </c>
      <c r="F53" s="32"/>
      <c r="G53" s="35">
        <f>+E53-C53</f>
        <v>-33404766.560000006</v>
      </c>
      <c r="H53" s="37">
        <f>+G53/C53</f>
        <v>-0.53748054955640423</v>
      </c>
      <c r="I53" s="3"/>
    </row>
    <row r="54" spans="2:9" ht="8.5" customHeight="1" thickTop="1" x14ac:dyDescent="0.25">
      <c r="B54" s="2"/>
      <c r="C54" s="3"/>
      <c r="D54" s="3"/>
      <c r="E54" s="3"/>
      <c r="F54" s="3"/>
      <c r="G54" s="3"/>
      <c r="H54" s="10"/>
      <c r="I54" s="3"/>
    </row>
    <row r="55" spans="2:9" ht="11.25" customHeight="1" x14ac:dyDescent="0.25">
      <c r="B55" s="7" t="s">
        <v>7</v>
      </c>
      <c r="C55" s="3"/>
      <c r="D55" s="3"/>
      <c r="E55" s="3"/>
      <c r="F55" s="3"/>
      <c r="G55" s="3"/>
      <c r="H55" s="10"/>
      <c r="I55" s="3"/>
    </row>
    <row r="56" spans="2:9" ht="11.25" customHeight="1" x14ac:dyDescent="0.25">
      <c r="B56" s="2" t="s">
        <v>12</v>
      </c>
      <c r="C56" s="3">
        <v>9773964.8800000008</v>
      </c>
      <c r="D56" s="3"/>
      <c r="E56" s="3">
        <v>9476606.8800000008</v>
      </c>
      <c r="F56" s="3"/>
      <c r="G56" s="3">
        <f>+E56-C56</f>
        <v>-297358</v>
      </c>
      <c r="H56" s="10">
        <f>+G56/C56</f>
        <v>-3.0423477437336564E-2</v>
      </c>
      <c r="I56" s="3"/>
    </row>
    <row r="57" spans="2:9" ht="11.25" customHeight="1" x14ac:dyDescent="0.25">
      <c r="B57" s="2" t="s">
        <v>38</v>
      </c>
      <c r="C57" s="3">
        <v>0</v>
      </c>
      <c r="D57" s="3"/>
      <c r="E57" s="3">
        <v>0</v>
      </c>
      <c r="F57" s="3"/>
      <c r="G57" s="3">
        <f>+E57-C57</f>
        <v>0</v>
      </c>
      <c r="H57" s="10" t="s">
        <v>961</v>
      </c>
      <c r="I57" s="3"/>
    </row>
    <row r="58" spans="2:9" x14ac:dyDescent="0.25">
      <c r="B58" s="441" t="s">
        <v>772</v>
      </c>
      <c r="C58" s="637">
        <f>+'[11]ESTADO DE RESULTADOS'!R65</f>
        <v>7171827.1300000064</v>
      </c>
      <c r="D58" s="3"/>
      <c r="E58" s="637">
        <v>6876070.4199999999</v>
      </c>
      <c r="F58" s="3"/>
      <c r="G58" s="3">
        <f>+E58-C58</f>
        <v>-295756.71000000648</v>
      </c>
      <c r="H58" s="10">
        <f>+G58/C58</f>
        <v>-4.1238683621199639E-2</v>
      </c>
      <c r="I58" s="3"/>
    </row>
    <row r="59" spans="2:9" x14ac:dyDescent="0.25">
      <c r="B59" s="441" t="s">
        <v>1400</v>
      </c>
      <c r="C59" s="637">
        <v>248452.74</v>
      </c>
      <c r="D59" s="3"/>
      <c r="E59" s="637">
        <v>0</v>
      </c>
      <c r="F59" s="3"/>
      <c r="G59" s="3"/>
      <c r="H59" s="10" t="s">
        <v>961</v>
      </c>
      <c r="I59" s="3"/>
    </row>
    <row r="60" spans="2:9" ht="11.25" customHeight="1" x14ac:dyDescent="0.25">
      <c r="B60" s="38" t="s">
        <v>39</v>
      </c>
      <c r="C60" s="31">
        <f>SUM(C56:C59)</f>
        <v>17194244.750000004</v>
      </c>
      <c r="D60" s="31">
        <f>SUM(D56:D59)</f>
        <v>0</v>
      </c>
      <c r="E60" s="31">
        <f>SUM(E56:E59)</f>
        <v>16352677.300000001</v>
      </c>
      <c r="F60" s="32"/>
      <c r="G60" s="31">
        <f>+E60-C60</f>
        <v>-841567.45000000298</v>
      </c>
      <c r="H60" s="33">
        <f>+G60/C60</f>
        <v>-4.894471738864848E-2</v>
      </c>
      <c r="I60" s="3"/>
    </row>
    <row r="61" spans="2:9" ht="8.25" customHeight="1" x14ac:dyDescent="0.25">
      <c r="B61" s="2"/>
      <c r="C61" s="3"/>
      <c r="D61" s="3"/>
      <c r="E61" s="3"/>
      <c r="F61" s="3"/>
      <c r="G61" s="3"/>
      <c r="H61" s="10"/>
      <c r="I61" s="3"/>
    </row>
    <row r="62" spans="2:9" ht="13.5" customHeight="1" thickBot="1" x14ac:dyDescent="0.3">
      <c r="B62" s="38" t="s">
        <v>8</v>
      </c>
      <c r="C62" s="35">
        <f>+C53+C60</f>
        <v>79344896.690000013</v>
      </c>
      <c r="D62" s="35">
        <f>+D53+D60</f>
        <v>0</v>
      </c>
      <c r="E62" s="35">
        <f>+E53+E60</f>
        <v>45098562.68</v>
      </c>
      <c r="F62" s="32"/>
      <c r="G62" s="35">
        <f>+E62-C62</f>
        <v>-34246334.010000013</v>
      </c>
      <c r="H62" s="36">
        <f>+G62/C62</f>
        <v>-0.43161356859282601</v>
      </c>
      <c r="I62" s="3"/>
    </row>
    <row r="63" spans="2:9" ht="9" customHeight="1" thickTop="1" x14ac:dyDescent="0.25">
      <c r="B63" s="2"/>
      <c r="C63" s="3"/>
      <c r="D63" s="3"/>
      <c r="E63" s="3"/>
      <c r="F63" s="3"/>
      <c r="G63" s="3"/>
      <c r="H63" s="10"/>
      <c r="I63" s="3"/>
    </row>
    <row r="64" spans="2:9" ht="9.75" customHeight="1" x14ac:dyDescent="0.25">
      <c r="B64" s="7"/>
      <c r="C64" s="3">
        <f>+C32-C62</f>
        <v>0</v>
      </c>
      <c r="D64" s="3"/>
      <c r="E64" s="3">
        <f>+E32-E62</f>
        <v>0</v>
      </c>
      <c r="F64" s="3"/>
      <c r="G64" s="3"/>
      <c r="H64" s="10"/>
      <c r="I64" s="3"/>
    </row>
    <row r="65" spans="2:9" ht="9.75" customHeight="1" x14ac:dyDescent="0.25">
      <c r="B65" s="7"/>
      <c r="C65" s="3"/>
      <c r="D65" s="3"/>
      <c r="E65" s="3"/>
      <c r="F65" s="3"/>
      <c r="G65" s="3"/>
      <c r="H65" s="10"/>
      <c r="I65" s="3"/>
    </row>
    <row r="66" spans="2:9" ht="9.75" customHeight="1" x14ac:dyDescent="0.25">
      <c r="B66" s="7"/>
      <c r="C66" s="3"/>
      <c r="D66" s="3"/>
      <c r="E66" s="3"/>
      <c r="F66" s="3"/>
      <c r="G66" s="3"/>
      <c r="H66" s="10"/>
      <c r="I66" s="3"/>
    </row>
    <row r="67" spans="2:9" ht="11.25" customHeight="1" x14ac:dyDescent="0.25">
      <c r="B67" s="2" t="s">
        <v>456</v>
      </c>
      <c r="C67" s="3"/>
      <c r="D67" s="3"/>
      <c r="E67" s="3"/>
      <c r="F67" s="3"/>
      <c r="G67" s="3" t="s">
        <v>40</v>
      </c>
      <c r="H67" s="10"/>
      <c r="I67" s="3"/>
    </row>
    <row r="68" spans="2:9" x14ac:dyDescent="0.25">
      <c r="B68" s="2" t="s">
        <v>119</v>
      </c>
      <c r="C68" s="2"/>
      <c r="D68" s="2"/>
      <c r="E68" s="2"/>
      <c r="F68" s="2"/>
      <c r="G68" s="1" t="s">
        <v>48</v>
      </c>
      <c r="H68" s="10"/>
    </row>
    <row r="69" spans="2:9" x14ac:dyDescent="0.25">
      <c r="C69" s="42"/>
    </row>
    <row r="70" spans="2:9" x14ac:dyDescent="0.25">
      <c r="F70" s="98"/>
    </row>
    <row r="71" spans="2:9" x14ac:dyDescent="0.25">
      <c r="B71" s="1633" t="s">
        <v>962</v>
      </c>
      <c r="C71" s="1634"/>
      <c r="E71" s="1633" t="s">
        <v>1401</v>
      </c>
      <c r="F71" s="1634"/>
    </row>
    <row r="72" spans="2:9" x14ac:dyDescent="0.25">
      <c r="B72" s="302" t="s">
        <v>773</v>
      </c>
      <c r="C72" s="638">
        <f>-49920464</f>
        <v>-49920464</v>
      </c>
      <c r="E72" s="302" t="s">
        <v>773</v>
      </c>
      <c r="F72" s="638">
        <f>-49920464</f>
        <v>-49920464</v>
      </c>
    </row>
    <row r="73" spans="2:9" x14ac:dyDescent="0.25">
      <c r="B73" s="639" t="s">
        <v>963</v>
      </c>
      <c r="C73" s="640">
        <v>-893269.33</v>
      </c>
      <c r="E73" s="639" t="s">
        <v>963</v>
      </c>
      <c r="F73" s="640">
        <v>-893269.33</v>
      </c>
    </row>
    <row r="74" spans="2:9" x14ac:dyDescent="0.25">
      <c r="B74" s="641" t="s">
        <v>964</v>
      </c>
      <c r="C74" s="642">
        <f>SUM(C72:C73)</f>
        <v>-50813733.329999998</v>
      </c>
      <c r="E74" s="641" t="s">
        <v>964</v>
      </c>
      <c r="F74" s="642">
        <f>SUM(F72:F73)</f>
        <v>-50813733.329999998</v>
      </c>
    </row>
    <row r="75" spans="2:9" x14ac:dyDescent="0.25">
      <c r="B75" s="639" t="s">
        <v>965</v>
      </c>
      <c r="C75" s="643"/>
      <c r="E75" s="639" t="s">
        <v>965</v>
      </c>
      <c r="F75" s="643"/>
    </row>
    <row r="76" spans="2:9" x14ac:dyDescent="0.25">
      <c r="B76" s="302" t="s">
        <v>75</v>
      </c>
      <c r="C76" s="640">
        <v>7425682</v>
      </c>
      <c r="E76" s="302" t="s">
        <v>75</v>
      </c>
      <c r="F76" s="640">
        <v>7425682</v>
      </c>
    </row>
    <row r="77" spans="2:9" x14ac:dyDescent="0.25">
      <c r="B77" s="302" t="s">
        <v>58</v>
      </c>
      <c r="C77" s="640">
        <v>8550122</v>
      </c>
      <c r="E77" s="302" t="s">
        <v>58</v>
      </c>
      <c r="F77" s="640">
        <v>0</v>
      </c>
    </row>
    <row r="78" spans="2:9" x14ac:dyDescent="0.25">
      <c r="B78" s="302" t="s">
        <v>220</v>
      </c>
      <c r="C78" s="640">
        <v>3837291</v>
      </c>
      <c r="E78" s="302" t="s">
        <v>220</v>
      </c>
      <c r="F78" s="640">
        <v>3837291</v>
      </c>
    </row>
    <row r="79" spans="2:9" x14ac:dyDescent="0.25">
      <c r="B79" s="302" t="s">
        <v>224</v>
      </c>
      <c r="C79" s="640">
        <v>23006463.5</v>
      </c>
      <c r="E79" s="302" t="s">
        <v>224</v>
      </c>
      <c r="F79" s="640">
        <v>0</v>
      </c>
    </row>
    <row r="80" spans="2:9" x14ac:dyDescent="0.25">
      <c r="B80" s="302" t="s">
        <v>966</v>
      </c>
      <c r="C80" s="640">
        <v>7994163.0700000003</v>
      </c>
      <c r="E80" s="302" t="s">
        <v>966</v>
      </c>
      <c r="F80" s="640">
        <v>7994163.0700000003</v>
      </c>
    </row>
    <row r="81" spans="2:6" x14ac:dyDescent="0.25">
      <c r="B81" s="644" t="s">
        <v>967</v>
      </c>
      <c r="C81" s="645">
        <f>SUM(C76:C80)</f>
        <v>50813721.57</v>
      </c>
      <c r="E81" s="644" t="s">
        <v>967</v>
      </c>
      <c r="F81" s="645">
        <f>SUM(F76:F80)</f>
        <v>19257136.07</v>
      </c>
    </row>
    <row r="82" spans="2:6" x14ac:dyDescent="0.25">
      <c r="C82" s="325"/>
      <c r="E82" s="302" t="s">
        <v>1402</v>
      </c>
      <c r="F82" s="860">
        <v>31805050</v>
      </c>
    </row>
    <row r="83" spans="2:6" x14ac:dyDescent="0.25">
      <c r="C83" s="325"/>
      <c r="E83" s="302" t="s">
        <v>1403</v>
      </c>
      <c r="F83" s="860">
        <f>+F81+F82</f>
        <v>51062186.07</v>
      </c>
    </row>
    <row r="84" spans="2:6" x14ac:dyDescent="0.25">
      <c r="E84" s="861" t="s">
        <v>1404</v>
      </c>
      <c r="F84" s="862">
        <f>+F74+F83</f>
        <v>248452.74000000209</v>
      </c>
    </row>
  </sheetData>
  <mergeCells count="4">
    <mergeCell ref="B2:H2"/>
    <mergeCell ref="B4:H4"/>
    <mergeCell ref="B71:C71"/>
    <mergeCell ref="E71:F7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70550-3CBF-45C7-9BF2-A2462B36EB40}">
  <sheetPr>
    <tabColor rgb="FFFFFF00"/>
  </sheetPr>
  <dimension ref="A1:P53"/>
  <sheetViews>
    <sheetView topLeftCell="A20" workbookViewId="0">
      <selection sqref="A1:XFD1048576"/>
    </sheetView>
  </sheetViews>
  <sheetFormatPr baseColWidth="10" defaultRowHeight="12.5" x14ac:dyDescent="0.25"/>
  <cols>
    <col min="1" max="1" width="34.54296875" customWidth="1"/>
    <col min="2" max="2" width="11" hidden="1" customWidth="1"/>
    <col min="3" max="3" width="12.1796875" hidden="1" customWidth="1"/>
    <col min="4" max="4" width="12.08984375" hidden="1" customWidth="1"/>
    <col min="5" max="5" width="11.1796875" bestFit="1" customWidth="1"/>
    <col min="7" max="7" width="12.1796875" customWidth="1"/>
    <col min="8" max="9" width="10.90625" hidden="1" customWidth="1"/>
    <col min="10" max="10" width="11.453125" hidden="1" customWidth="1"/>
    <col min="11" max="12" width="10.90625" customWidth="1"/>
    <col min="14" max="15" width="10.90625" hidden="1" customWidth="1"/>
    <col min="16" max="16" width="0" hidden="1" customWidth="1"/>
  </cols>
  <sheetData>
    <row r="1" spans="1:10" ht="13" thickTop="1" x14ac:dyDescent="0.25">
      <c r="A1" s="1643" t="s">
        <v>498</v>
      </c>
      <c r="B1" s="1644"/>
      <c r="C1" s="1644"/>
      <c r="D1" s="1644"/>
      <c r="E1" s="1644"/>
      <c r="F1" s="1644"/>
      <c r="G1" s="1644"/>
      <c r="H1" s="1644"/>
      <c r="I1" s="1644"/>
      <c r="J1" s="1645"/>
    </row>
    <row r="2" spans="1:10" ht="13" x14ac:dyDescent="0.3">
      <c r="A2" s="1646" t="s">
        <v>956</v>
      </c>
      <c r="B2" s="1647"/>
      <c r="C2" s="1647"/>
      <c r="D2" s="1647"/>
      <c r="E2" s="1647"/>
      <c r="F2" s="1647"/>
      <c r="G2" s="1647"/>
      <c r="H2" s="1647"/>
      <c r="I2" s="1647"/>
      <c r="J2" s="1648"/>
    </row>
    <row r="3" spans="1:10" ht="13" x14ac:dyDescent="0.3">
      <c r="A3" s="535" t="s">
        <v>899</v>
      </c>
      <c r="B3" s="536"/>
      <c r="J3" s="537"/>
    </row>
    <row r="4" spans="1:10" ht="13" x14ac:dyDescent="0.3">
      <c r="A4" s="538"/>
      <c r="B4" s="539" t="s">
        <v>900</v>
      </c>
      <c r="C4" s="539" t="s">
        <v>901</v>
      </c>
      <c r="D4" s="539" t="s">
        <v>902</v>
      </c>
      <c r="E4" s="540" t="s">
        <v>903</v>
      </c>
      <c r="F4" s="541"/>
      <c r="G4" s="541" t="s">
        <v>904</v>
      </c>
      <c r="H4" s="541" t="s">
        <v>905</v>
      </c>
      <c r="I4" s="541" t="s">
        <v>906</v>
      </c>
      <c r="J4" s="541" t="s">
        <v>907</v>
      </c>
    </row>
    <row r="5" spans="1:10" ht="13" x14ac:dyDescent="0.3">
      <c r="A5" s="542" t="s">
        <v>908</v>
      </c>
      <c r="B5" s="543">
        <f>'ESFA feb 2025'!E11</f>
        <v>19036449.449999999</v>
      </c>
      <c r="C5" s="543">
        <f>'ESFA feb 2025'!C11</f>
        <v>18027328.149999999</v>
      </c>
      <c r="D5" s="543">
        <f>'ESFA abril 2025'!E11</f>
        <v>16632365.949999999</v>
      </c>
      <c r="E5" s="544">
        <f>'ESFA abril 2025'!C11</f>
        <v>16436253.85</v>
      </c>
      <c r="F5" s="544"/>
      <c r="G5" s="544">
        <f>'ESFA MAY 2025'!C11</f>
        <v>52872060.759999998</v>
      </c>
      <c r="H5" s="544"/>
      <c r="I5" s="544"/>
      <c r="J5" s="544"/>
    </row>
    <row r="6" spans="1:10" ht="13" hidden="1" x14ac:dyDescent="0.3">
      <c r="A6" s="545"/>
      <c r="B6" s="546"/>
      <c r="C6" s="547"/>
      <c r="D6" s="546"/>
      <c r="E6" s="548"/>
      <c r="F6" s="548"/>
      <c r="G6" s="548"/>
      <c r="H6" s="548"/>
      <c r="I6" s="548"/>
      <c r="J6" s="548"/>
    </row>
    <row r="7" spans="1:10" ht="13" x14ac:dyDescent="0.3">
      <c r="A7" s="549" t="s">
        <v>909</v>
      </c>
      <c r="B7" s="550">
        <f>'ESFA feb 2025'!E16</f>
        <v>8425444.3000000007</v>
      </c>
      <c r="C7" s="551">
        <f>'ESFA feb 2025'!C17</f>
        <v>8477538.3399999999</v>
      </c>
      <c r="D7" s="550">
        <f>'ESFA abril 2025'!E16</f>
        <v>8534559.6999999993</v>
      </c>
      <c r="E7" s="552">
        <f>'ESFA abril 2025'!C15</f>
        <v>8594287.8300000001</v>
      </c>
      <c r="F7" s="552"/>
      <c r="G7" s="552">
        <f>'ESFA MAY 2025'!C15</f>
        <v>8658779.9299999997</v>
      </c>
      <c r="H7" s="552"/>
      <c r="I7" s="552"/>
      <c r="J7" s="552"/>
    </row>
    <row r="8" spans="1:10" ht="13" hidden="1" x14ac:dyDescent="0.3">
      <c r="A8" s="545"/>
      <c r="B8" s="546"/>
      <c r="C8" s="547"/>
      <c r="D8" s="546"/>
      <c r="E8" s="548"/>
      <c r="F8" s="548"/>
      <c r="G8" s="548"/>
      <c r="H8" s="548"/>
      <c r="I8" s="548"/>
      <c r="J8" s="548"/>
    </row>
    <row r="9" spans="1:10" ht="13" x14ac:dyDescent="0.3">
      <c r="A9" s="553" t="s">
        <v>910</v>
      </c>
      <c r="B9" s="550">
        <f>'ESFA feb 2025'!E22</f>
        <v>4645234</v>
      </c>
      <c r="C9" s="551">
        <f>'ESFA feb 2025'!C22</f>
        <v>5984340</v>
      </c>
      <c r="D9" s="550">
        <f>'ESFA abril 2025'!E23</f>
        <v>4129452</v>
      </c>
      <c r="E9" s="552">
        <f>'ESFA abril 2025'!C21</f>
        <v>4269712</v>
      </c>
      <c r="F9" s="552"/>
      <c r="G9" s="552">
        <f>'ESFA MAY 2025'!C21</f>
        <v>3942142</v>
      </c>
      <c r="H9" s="552"/>
      <c r="I9" s="552"/>
      <c r="J9" s="552"/>
    </row>
    <row r="10" spans="1:10" ht="13" hidden="1" x14ac:dyDescent="0.3">
      <c r="A10" s="545"/>
      <c r="B10" s="554"/>
      <c r="C10" s="555"/>
      <c r="D10" s="554"/>
      <c r="E10" s="556"/>
      <c r="F10" s="556"/>
      <c r="G10" s="556"/>
      <c r="H10" s="556"/>
      <c r="I10" s="556"/>
      <c r="J10" s="556"/>
    </row>
    <row r="11" spans="1:10" ht="13" hidden="1" x14ac:dyDescent="0.3">
      <c r="A11" s="557" t="s">
        <v>911</v>
      </c>
      <c r="B11" s="550">
        <v>-503652</v>
      </c>
      <c r="C11" s="551">
        <f>[4]ESFA!E22</f>
        <v>-503652</v>
      </c>
      <c r="D11" s="550">
        <v>0</v>
      </c>
      <c r="E11" s="552">
        <v>0</v>
      </c>
      <c r="F11" s="552"/>
      <c r="G11" s="552"/>
      <c r="H11" s="552"/>
      <c r="I11" s="552"/>
      <c r="J11" s="552"/>
    </row>
    <row r="12" spans="1:10" ht="13" hidden="1" x14ac:dyDescent="0.3">
      <c r="A12" s="557"/>
      <c r="B12" s="550"/>
      <c r="C12" s="551"/>
      <c r="D12" s="550"/>
      <c r="E12" s="552"/>
      <c r="F12" s="552"/>
      <c r="G12" s="552"/>
      <c r="H12" s="552"/>
      <c r="I12" s="552"/>
      <c r="J12" s="552"/>
    </row>
    <row r="13" spans="1:10" ht="13" x14ac:dyDescent="0.3">
      <c r="A13" s="549" t="s">
        <v>912</v>
      </c>
      <c r="B13" s="550">
        <f>'ESFA feb 2025'!E28</f>
        <v>33310</v>
      </c>
      <c r="C13" s="551">
        <f>'ESFA feb 2025'!C28</f>
        <v>50146</v>
      </c>
      <c r="D13" s="550">
        <f>'ESFA abril 2025'!E27</f>
        <v>38070</v>
      </c>
      <c r="E13" s="552">
        <f>'ESFA abril 2025'!C27</f>
        <v>440118</v>
      </c>
      <c r="F13" s="552"/>
      <c r="G13" s="552">
        <f>'ESFA MAY 2025'!C27</f>
        <v>0</v>
      </c>
      <c r="H13" s="552"/>
      <c r="I13" s="552"/>
      <c r="J13" s="552"/>
    </row>
    <row r="14" spans="1:10" ht="13" hidden="1" x14ac:dyDescent="0.3">
      <c r="A14" s="549"/>
      <c r="B14" s="550"/>
      <c r="C14" s="551"/>
      <c r="D14" s="550"/>
      <c r="E14" s="552"/>
      <c r="F14" s="552"/>
      <c r="G14" s="552"/>
      <c r="H14" s="552"/>
      <c r="I14" s="552"/>
      <c r="J14" s="552"/>
    </row>
    <row r="15" spans="1:10" ht="13" x14ac:dyDescent="0.3">
      <c r="A15" s="549" t="s">
        <v>913</v>
      </c>
      <c r="B15" s="550">
        <f>'ESFA feb 2025'!E31</f>
        <v>1357394</v>
      </c>
      <c r="C15" s="551">
        <f>'ESFA feb 2025'!C31</f>
        <v>452464</v>
      </c>
      <c r="D15" s="550">
        <f>'ESFA abril 2025'!E30</f>
        <v>16844468</v>
      </c>
      <c r="E15" s="552">
        <f>'ESFA abril 2025'!C30</f>
        <v>15358191</v>
      </c>
      <c r="F15" s="552"/>
      <c r="G15" s="552">
        <f>'ESFA MAY 2025'!C30</f>
        <v>13871914</v>
      </c>
      <c r="H15" s="552"/>
      <c r="I15" s="552"/>
      <c r="J15" s="552"/>
    </row>
    <row r="16" spans="1:10" ht="13" x14ac:dyDescent="0.3">
      <c r="A16" s="549"/>
      <c r="B16" s="550"/>
      <c r="C16" s="551"/>
      <c r="D16" s="550"/>
      <c r="E16" s="552">
        <f ca="1">SUM(E5:E16)</f>
        <v>0</v>
      </c>
      <c r="F16" s="552"/>
      <c r="G16" s="552"/>
      <c r="H16" s="552"/>
      <c r="I16" s="552"/>
      <c r="J16" s="552"/>
    </row>
    <row r="17" spans="1:16" ht="13" x14ac:dyDescent="0.3">
      <c r="A17" s="542" t="s">
        <v>3</v>
      </c>
      <c r="B17" s="558">
        <f>SUM(B5:B15)</f>
        <v>32994179.75</v>
      </c>
      <c r="C17" s="559">
        <f>SUM(C5:C16)</f>
        <v>32488164.489999998</v>
      </c>
      <c r="D17" s="558">
        <f>SUM(D5:D16)</f>
        <v>46178915.649999999</v>
      </c>
      <c r="E17" s="560">
        <f>E5+E7+E9+E13+E15</f>
        <v>45098562.68</v>
      </c>
      <c r="F17" s="560"/>
      <c r="G17" s="560">
        <f>G5+G7+G9+G13+G15</f>
        <v>79344896.689999998</v>
      </c>
      <c r="H17" s="560"/>
      <c r="I17" s="560"/>
      <c r="J17" s="560">
        <f>++J5+J7+J9+J11</f>
        <v>0</v>
      </c>
    </row>
    <row r="18" spans="1:16" ht="13" x14ac:dyDescent="0.3">
      <c r="A18" s="542"/>
      <c r="B18" s="558"/>
      <c r="C18" s="559"/>
      <c r="D18" s="558"/>
      <c r="E18" s="560"/>
      <c r="F18" s="560"/>
      <c r="G18" s="560"/>
      <c r="H18" s="560"/>
      <c r="I18" s="560"/>
      <c r="J18" s="560"/>
    </row>
    <row r="19" spans="1:16" ht="13" x14ac:dyDescent="0.3">
      <c r="A19" s="542"/>
      <c r="B19" s="558"/>
      <c r="C19" s="559"/>
      <c r="D19" s="558"/>
      <c r="E19" s="560"/>
      <c r="F19" s="560"/>
      <c r="G19" s="560"/>
      <c r="H19" s="560"/>
      <c r="I19" s="560"/>
      <c r="J19" s="560"/>
    </row>
    <row r="20" spans="1:16" ht="13" x14ac:dyDescent="0.3">
      <c r="A20" s="542"/>
      <c r="B20" s="558"/>
      <c r="C20" s="559"/>
      <c r="D20" s="558"/>
      <c r="E20" s="560"/>
      <c r="F20" s="560"/>
      <c r="G20" s="560"/>
      <c r="H20" s="560"/>
      <c r="I20" s="560"/>
      <c r="J20" s="560"/>
    </row>
    <row r="21" spans="1:16" ht="13" x14ac:dyDescent="0.3">
      <c r="A21" s="535" t="s">
        <v>914</v>
      </c>
      <c r="B21" s="546"/>
      <c r="C21" s="547"/>
      <c r="D21" s="546"/>
      <c r="E21" s="548"/>
      <c r="F21" s="548"/>
      <c r="G21" s="548"/>
      <c r="H21" s="548"/>
      <c r="I21" s="548"/>
      <c r="J21" s="548"/>
      <c r="K21" s="561"/>
      <c r="P21" s="561"/>
    </row>
    <row r="22" spans="1:16" ht="13" x14ac:dyDescent="0.3">
      <c r="A22" s="562"/>
      <c r="B22" s="539" t="s">
        <v>900</v>
      </c>
      <c r="C22" s="539" t="s">
        <v>901</v>
      </c>
      <c r="D22" s="539" t="s">
        <v>902</v>
      </c>
      <c r="E22" s="540" t="s">
        <v>903</v>
      </c>
      <c r="F22" s="541"/>
      <c r="G22" s="541" t="s">
        <v>904</v>
      </c>
      <c r="H22" s="541" t="s">
        <v>905</v>
      </c>
      <c r="I22" s="541" t="s">
        <v>906</v>
      </c>
      <c r="J22" s="541" t="s">
        <v>907</v>
      </c>
    </row>
    <row r="23" spans="1:16" ht="13" x14ac:dyDescent="0.3">
      <c r="A23" s="563" t="s">
        <v>915</v>
      </c>
      <c r="B23" s="550">
        <f>'ESFA feb 2025'!E39</f>
        <v>1029590</v>
      </c>
      <c r="C23" s="551">
        <f>'ESFA feb 2025'!C39</f>
        <v>1444936</v>
      </c>
      <c r="D23" s="550">
        <f>'ESFA abril 2025'!E37</f>
        <v>14432437</v>
      </c>
      <c r="E23" s="552">
        <f>'ESFA abril 2025'!C37</f>
        <v>6714065</v>
      </c>
      <c r="F23" s="552"/>
      <c r="G23" s="552">
        <f>'ESFA MAY 2025'!C37</f>
        <v>534252</v>
      </c>
      <c r="H23" s="552"/>
      <c r="I23" s="552"/>
      <c r="J23" s="552"/>
    </row>
    <row r="24" spans="1:16" ht="13" hidden="1" x14ac:dyDescent="0.3">
      <c r="A24" s="545"/>
      <c r="B24" s="546"/>
      <c r="C24" s="547"/>
      <c r="D24" s="546"/>
      <c r="E24" s="548"/>
      <c r="F24" s="548"/>
      <c r="G24" s="548"/>
      <c r="H24" s="548"/>
      <c r="I24" s="548"/>
      <c r="J24" s="548"/>
    </row>
    <row r="25" spans="1:16" ht="13" hidden="1" x14ac:dyDescent="0.3">
      <c r="A25" s="545" t="s">
        <v>916</v>
      </c>
      <c r="B25" s="546"/>
      <c r="C25" s="547">
        <v>0</v>
      </c>
      <c r="D25" s="546">
        <v>0</v>
      </c>
      <c r="E25" s="548"/>
      <c r="F25" s="548"/>
      <c r="G25" s="548"/>
      <c r="H25" s="548"/>
      <c r="I25" s="548"/>
      <c r="J25" s="548"/>
    </row>
    <row r="26" spans="1:16" ht="13" hidden="1" x14ac:dyDescent="0.3">
      <c r="A26" s="545"/>
      <c r="B26" s="546"/>
      <c r="C26" s="547"/>
      <c r="D26" s="546"/>
      <c r="E26" s="548"/>
      <c r="F26" s="548"/>
      <c r="G26" s="548"/>
      <c r="H26" s="548"/>
      <c r="I26" s="548"/>
      <c r="J26" s="548"/>
    </row>
    <row r="27" spans="1:16" ht="13" x14ac:dyDescent="0.3">
      <c r="A27" s="545" t="s">
        <v>917</v>
      </c>
      <c r="B27" s="546">
        <f>'ESFA feb 2025'!E40+'ESFA feb 2025'!E41</f>
        <v>374093</v>
      </c>
      <c r="C27" s="546">
        <f>'ESFA feb 2025'!C40+'ESFA feb 2025'!C41</f>
        <v>257751.88</v>
      </c>
      <c r="D27" s="546">
        <f>'ESFA abril 2025'!E38+'ESFA abril 2025'!E39</f>
        <v>138041.38</v>
      </c>
      <c r="E27" s="548">
        <f>'ESFA abril 2025'!C38+'ESFA abril 2025'!C39</f>
        <v>167450.88</v>
      </c>
      <c r="F27" s="548"/>
      <c r="G27" s="548">
        <f>'ESFA MAY 2025'!C38</f>
        <v>102902.06</v>
      </c>
      <c r="H27" s="548"/>
      <c r="I27" s="548"/>
      <c r="J27" s="548"/>
    </row>
    <row r="28" spans="1:16" ht="13" hidden="1" x14ac:dyDescent="0.3">
      <c r="A28" s="545"/>
      <c r="B28" s="546"/>
      <c r="C28" s="547"/>
      <c r="D28" s="546"/>
      <c r="E28" s="548"/>
      <c r="F28" s="548"/>
      <c r="G28" s="548"/>
      <c r="H28" s="548"/>
      <c r="I28" s="548"/>
      <c r="J28" s="548"/>
    </row>
    <row r="29" spans="1:16" ht="13" hidden="1" x14ac:dyDescent="0.3">
      <c r="A29" s="545" t="s">
        <v>918</v>
      </c>
      <c r="B29" s="546">
        <v>7425682</v>
      </c>
      <c r="C29" s="546">
        <v>7425682</v>
      </c>
      <c r="D29" s="546"/>
      <c r="E29" s="548">
        <f>'ESFA abril 2025'!C43</f>
        <v>0</v>
      </c>
      <c r="F29" s="548"/>
      <c r="G29" s="548"/>
      <c r="H29" s="548"/>
      <c r="I29" s="548"/>
      <c r="J29" s="548"/>
    </row>
    <row r="30" spans="1:16" ht="13" hidden="1" x14ac:dyDescent="0.3">
      <c r="A30" s="545"/>
      <c r="B30" s="546"/>
      <c r="C30" s="547"/>
      <c r="D30" s="546"/>
      <c r="E30" s="548"/>
      <c r="F30" s="548"/>
      <c r="G30" s="548"/>
      <c r="H30" s="548"/>
      <c r="I30" s="548"/>
      <c r="J30" s="548"/>
    </row>
    <row r="31" spans="1:16" ht="13" hidden="1" x14ac:dyDescent="0.3">
      <c r="A31" s="545" t="s">
        <v>919</v>
      </c>
      <c r="B31" s="546">
        <v>8549190</v>
      </c>
      <c r="C31" s="547">
        <v>9715856</v>
      </c>
      <c r="D31" s="546">
        <f>'ESFA abril 2025'!E44</f>
        <v>8550122</v>
      </c>
      <c r="E31" s="548">
        <f>'ESFA abril 2025'!C44</f>
        <v>0</v>
      </c>
      <c r="F31" s="548"/>
      <c r="G31" s="548"/>
      <c r="H31" s="548"/>
      <c r="I31" s="548"/>
      <c r="J31" s="548"/>
    </row>
    <row r="32" spans="1:16" ht="13" hidden="1" x14ac:dyDescent="0.3">
      <c r="A32" s="545"/>
      <c r="B32" s="546"/>
      <c r="C32" s="547"/>
      <c r="D32" s="546"/>
      <c r="E32" s="548"/>
      <c r="F32" s="548"/>
      <c r="G32" s="548"/>
      <c r="H32" s="548"/>
      <c r="I32" s="548"/>
      <c r="J32" s="548"/>
    </row>
    <row r="33" spans="1:10" ht="13" hidden="1" x14ac:dyDescent="0.3">
      <c r="A33" s="545" t="s">
        <v>920</v>
      </c>
      <c r="B33" s="546">
        <v>3837291</v>
      </c>
      <c r="C33" s="547">
        <v>3837291</v>
      </c>
      <c r="D33" s="546">
        <v>3837291</v>
      </c>
      <c r="E33" s="548">
        <v>0</v>
      </c>
      <c r="F33" s="548"/>
      <c r="G33" s="548"/>
      <c r="H33" s="548"/>
      <c r="I33" s="548"/>
      <c r="J33" s="548"/>
    </row>
    <row r="34" spans="1:10" ht="13" hidden="1" x14ac:dyDescent="0.3">
      <c r="A34" s="545"/>
      <c r="B34" s="546"/>
      <c r="C34" s="547"/>
      <c r="D34" s="546"/>
      <c r="E34" s="548"/>
      <c r="F34" s="548"/>
      <c r="G34" s="548"/>
      <c r="H34" s="548"/>
      <c r="I34" s="548"/>
      <c r="J34" s="548"/>
    </row>
    <row r="35" spans="1:10" ht="13" x14ac:dyDescent="0.3">
      <c r="A35" s="545" t="s">
        <v>921</v>
      </c>
      <c r="B35" s="564">
        <f>'ESFA feb 2025'!E48</f>
        <v>44870833</v>
      </c>
      <c r="C35" s="565">
        <f>'ESFA feb 2025'!C48</f>
        <v>44870833</v>
      </c>
      <c r="D35" s="564">
        <f>'ESFA abril 2025'!C46</f>
        <v>21864369.5</v>
      </c>
      <c r="E35" s="566">
        <f>'ESFA abril 2025'!E46</f>
        <v>44870833</v>
      </c>
      <c r="F35" s="566"/>
      <c r="G35" s="566">
        <f>'ESFA MAY 2025'!C46</f>
        <v>45463372.880000003</v>
      </c>
      <c r="H35" s="566"/>
      <c r="I35" s="566"/>
      <c r="J35" s="566"/>
    </row>
    <row r="36" spans="1:10" ht="13" x14ac:dyDescent="0.3">
      <c r="A36" s="545" t="s">
        <v>1405</v>
      </c>
      <c r="B36" s="564"/>
      <c r="C36" s="565"/>
      <c r="D36" s="564"/>
      <c r="E36" s="566"/>
      <c r="F36" s="566"/>
      <c r="G36" s="566">
        <f>'ESFA MAY 2025'!C47</f>
        <v>7500003</v>
      </c>
      <c r="H36" s="566"/>
      <c r="I36" s="566"/>
      <c r="J36" s="566"/>
    </row>
    <row r="37" spans="1:10" ht="13" x14ac:dyDescent="0.3">
      <c r="A37" s="542"/>
      <c r="B37" s="567">
        <f>SUM(B23:B36)</f>
        <v>66086679</v>
      </c>
      <c r="C37" s="568">
        <f>SUM(C23:C36)</f>
        <v>67552349.879999995</v>
      </c>
      <c r="D37" s="567">
        <f>[5]ESFA!E51</f>
        <v>29813541.060000002</v>
      </c>
      <c r="E37" s="569">
        <f>[5]ESFA!C51</f>
        <v>25473876.879999999</v>
      </c>
      <c r="F37" s="569"/>
      <c r="G37" s="569">
        <f>[5]ESFA!E51</f>
        <v>29813541.060000002</v>
      </c>
      <c r="H37" s="569"/>
      <c r="I37" s="569"/>
      <c r="J37" s="569"/>
    </row>
    <row r="39" spans="1:10" ht="13" x14ac:dyDescent="0.3">
      <c r="A39" s="570" t="s">
        <v>922</v>
      </c>
      <c r="B39" s="546"/>
      <c r="C39" s="547"/>
      <c r="D39" s="546"/>
      <c r="E39" s="548"/>
      <c r="F39" s="548"/>
      <c r="G39" s="548"/>
      <c r="H39" s="548"/>
      <c r="I39" s="548"/>
      <c r="J39" s="548"/>
    </row>
    <row r="40" spans="1:10" ht="13" x14ac:dyDescent="0.3">
      <c r="A40" s="571" t="s">
        <v>923</v>
      </c>
      <c r="B40" s="539" t="s">
        <v>900</v>
      </c>
      <c r="C40" s="539" t="s">
        <v>901</v>
      </c>
      <c r="D40" s="539" t="s">
        <v>902</v>
      </c>
      <c r="E40" s="540" t="s">
        <v>903</v>
      </c>
      <c r="F40" s="541"/>
      <c r="G40" s="541" t="s">
        <v>904</v>
      </c>
      <c r="H40" s="541" t="s">
        <v>905</v>
      </c>
      <c r="I40" s="541" t="s">
        <v>906</v>
      </c>
      <c r="J40" s="541" t="s">
        <v>907</v>
      </c>
    </row>
    <row r="41" spans="1:10" ht="13" x14ac:dyDescent="0.3">
      <c r="A41" s="545" t="s">
        <v>924</v>
      </c>
      <c r="B41" s="564">
        <f>'ESFA feb 2025'!C57</f>
        <v>8861215.8800000008</v>
      </c>
      <c r="C41" s="565">
        <f>'ESFA feb 2025'!E57</f>
        <v>8574200.8800000008</v>
      </c>
      <c r="D41" s="564">
        <f>'ESFA abril 2025'!E55</f>
        <v>9148230.0800000001</v>
      </c>
      <c r="E41" s="566">
        <f>'ESFA abril 2025'!C55</f>
        <v>9476606.8800000008</v>
      </c>
      <c r="F41" s="566"/>
      <c r="G41" s="566">
        <f>'ESFA MAY 2025'!C56</f>
        <v>9773964.8800000008</v>
      </c>
      <c r="H41" s="566"/>
      <c r="I41" s="566"/>
      <c r="J41" s="566"/>
    </row>
    <row r="42" spans="1:10" ht="13" hidden="1" x14ac:dyDescent="0.3">
      <c r="A42" s="545"/>
      <c r="B42" s="564"/>
      <c r="C42" s="565"/>
      <c r="D42" s="564"/>
      <c r="E42" s="566"/>
      <c r="F42" s="566"/>
      <c r="G42" s="566"/>
      <c r="H42" s="566"/>
      <c r="I42" s="566"/>
      <c r="J42" s="566"/>
    </row>
    <row r="43" spans="1:10" ht="13" x14ac:dyDescent="0.3">
      <c r="A43" s="572" t="s">
        <v>925</v>
      </c>
      <c r="B43" s="546">
        <f>'ESFA feb 2025'!C59</f>
        <v>563544.10999999824</v>
      </c>
      <c r="C43" s="547">
        <f>'ESFA feb 2025'!E59</f>
        <v>56589.37</v>
      </c>
      <c r="D43" s="546">
        <f>'ESFA abril 2025'!E57</f>
        <v>595837.68999999994</v>
      </c>
      <c r="E43" s="548">
        <f>'ESFA abril 2025'!C57</f>
        <v>6876070.4199999999</v>
      </c>
      <c r="F43" s="548"/>
      <c r="G43" s="548">
        <f>'ESFA MAY 2025'!C58</f>
        <v>7171827.1300000064</v>
      </c>
      <c r="H43" s="548"/>
      <c r="I43" s="548"/>
      <c r="J43" s="548"/>
    </row>
    <row r="44" spans="1:10" ht="13" hidden="1" x14ac:dyDescent="0.3">
      <c r="A44" s="572"/>
      <c r="B44" s="546"/>
      <c r="C44" s="547"/>
      <c r="D44" s="546"/>
      <c r="E44" s="548"/>
      <c r="F44" s="548"/>
      <c r="G44" s="548"/>
      <c r="H44" s="548"/>
      <c r="I44" s="548"/>
      <c r="J44" s="548"/>
    </row>
    <row r="45" spans="1:10" ht="13" x14ac:dyDescent="0.3">
      <c r="A45" s="572" t="s">
        <v>1406</v>
      </c>
      <c r="B45" s="573">
        <f>'ESFA feb 2025'!E58</f>
        <v>7100905.5</v>
      </c>
      <c r="C45" s="573">
        <f>'ESFA feb 2025'!C58</f>
        <v>7100905.5</v>
      </c>
      <c r="D45" s="573">
        <f>'ESFA abril 2025'!E58</f>
        <v>-49920464</v>
      </c>
      <c r="E45" s="574">
        <f>'ESFA abril 2025'!C56</f>
        <v>0</v>
      </c>
      <c r="F45" s="574"/>
      <c r="G45" s="574">
        <f>'ESFA MAY 2025'!C59</f>
        <v>248452.74</v>
      </c>
      <c r="H45" s="574"/>
      <c r="I45" s="574"/>
      <c r="J45" s="574"/>
    </row>
    <row r="46" spans="1:10" x14ac:dyDescent="0.25">
      <c r="E46" s="561">
        <f>E41+E43+E45</f>
        <v>16352677.300000001</v>
      </c>
      <c r="F46" s="561"/>
      <c r="G46" s="561">
        <f>G41+G43+G45</f>
        <v>17194244.750000004</v>
      </c>
    </row>
    <row r="47" spans="1:10" x14ac:dyDescent="0.25">
      <c r="A47" s="575"/>
      <c r="B47" s="576">
        <f>SUM(B41:B45)</f>
        <v>16525665.489999998</v>
      </c>
      <c r="C47" s="576">
        <f>SUM(C41:C45)</f>
        <v>15731695.75</v>
      </c>
      <c r="D47" s="576">
        <f>SUM(D41:D45)</f>
        <v>-40176396.230000004</v>
      </c>
      <c r="E47" s="575"/>
      <c r="F47" s="575"/>
      <c r="G47" s="575"/>
      <c r="H47" s="575"/>
      <c r="I47" s="575"/>
      <c r="J47" s="575"/>
    </row>
    <row r="50" spans="1:7" x14ac:dyDescent="0.25">
      <c r="E50" s="926">
        <v>45748</v>
      </c>
      <c r="G50" s="926">
        <v>45778</v>
      </c>
    </row>
    <row r="51" spans="1:7" x14ac:dyDescent="0.25">
      <c r="A51" s="1" t="s">
        <v>0</v>
      </c>
      <c r="E51" s="561">
        <f>E17</f>
        <v>45098562.68</v>
      </c>
      <c r="G51" s="561">
        <f>G17</f>
        <v>79344896.689999998</v>
      </c>
    </row>
    <row r="52" spans="1:7" x14ac:dyDescent="0.25">
      <c r="A52" s="1" t="s">
        <v>4</v>
      </c>
      <c r="E52" s="561">
        <f>E37</f>
        <v>25473876.879999999</v>
      </c>
      <c r="G52" s="561">
        <f>G37</f>
        <v>29813541.060000002</v>
      </c>
    </row>
    <row r="53" spans="1:7" x14ac:dyDescent="0.25">
      <c r="A53" s="1" t="s">
        <v>7</v>
      </c>
      <c r="E53" s="561">
        <f>E46</f>
        <v>16352677.300000001</v>
      </c>
      <c r="G53" s="561">
        <f>G46</f>
        <v>17194244.750000004</v>
      </c>
    </row>
  </sheetData>
  <mergeCells count="2">
    <mergeCell ref="A1:J1"/>
    <mergeCell ref="A2:J2"/>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86BF4-04D6-4C0C-92AD-B5D42781E1A4}">
  <sheetPr>
    <tabColor rgb="FFFFFF00"/>
  </sheetPr>
  <dimension ref="A1:V101"/>
  <sheetViews>
    <sheetView topLeftCell="O1" workbookViewId="0">
      <selection activeCell="G8" sqref="G8"/>
    </sheetView>
  </sheetViews>
  <sheetFormatPr baseColWidth="10" defaultRowHeight="12.5" x14ac:dyDescent="0.25"/>
  <cols>
    <col min="1" max="1" width="3.54296875" customWidth="1"/>
    <col min="2" max="2" width="37.453125" customWidth="1"/>
    <col min="3" max="3" width="19.54296875" style="352" customWidth="1"/>
    <col min="4" max="4" width="12" style="352" customWidth="1"/>
    <col min="5" max="5" width="10" style="352" customWidth="1"/>
    <col min="6" max="6" width="12.54296875" style="352" customWidth="1"/>
    <col min="7" max="7" width="13.453125" style="352" customWidth="1"/>
    <col min="8" max="8" width="12" style="352" customWidth="1"/>
    <col min="9" max="9" width="12.1796875" style="352" customWidth="1"/>
    <col min="10" max="10" width="11.7265625" style="352" customWidth="1"/>
    <col min="11" max="13" width="15.7265625" style="352" customWidth="1"/>
    <col min="14" max="14" width="15.7265625" style="388" customWidth="1"/>
    <col min="15" max="16" width="15.7265625" style="352" customWidth="1"/>
    <col min="17" max="17" width="12.54296875" style="352" customWidth="1"/>
    <col min="18" max="18" width="15.54296875" style="353" customWidth="1"/>
    <col min="19" max="19" width="15.453125" style="389" hidden="1" customWidth="1"/>
    <col min="20" max="20" width="12.81640625" customWidth="1"/>
  </cols>
  <sheetData>
    <row r="1" spans="1:20" x14ac:dyDescent="0.25">
      <c r="B1" s="1649" t="s">
        <v>218</v>
      </c>
      <c r="C1" s="1650"/>
      <c r="D1" s="1650"/>
      <c r="E1" s="1650"/>
      <c r="F1" s="1650"/>
      <c r="G1" s="1650"/>
      <c r="H1" s="1650"/>
      <c r="I1" s="1650"/>
      <c r="J1" s="1650"/>
      <c r="K1" s="1650"/>
      <c r="L1" s="1650"/>
      <c r="M1" s="1650"/>
      <c r="N1" s="1650"/>
      <c r="O1" s="1650"/>
      <c r="P1" s="1650"/>
      <c r="Q1" s="1650"/>
      <c r="R1" s="1650"/>
      <c r="S1" s="1651"/>
    </row>
    <row r="2" spans="1:20" ht="9" customHeight="1" x14ac:dyDescent="0.25">
      <c r="B2" s="104"/>
      <c r="S2" s="354"/>
    </row>
    <row r="3" spans="1:20" x14ac:dyDescent="0.25">
      <c r="B3" s="1652" t="s">
        <v>1407</v>
      </c>
      <c r="C3" s="1653"/>
      <c r="D3" s="1653"/>
      <c r="E3" s="1653"/>
      <c r="F3" s="1653"/>
      <c r="G3" s="1653"/>
      <c r="H3" s="1653"/>
      <c r="I3" s="1653"/>
      <c r="J3" s="1653"/>
      <c r="K3" s="1653"/>
      <c r="L3" s="1653"/>
      <c r="M3" s="1653"/>
      <c r="N3" s="1653"/>
      <c r="O3" s="1653"/>
      <c r="P3" s="1653"/>
      <c r="Q3" s="1653"/>
      <c r="R3" s="1653"/>
      <c r="S3" s="1654"/>
    </row>
    <row r="4" spans="1:20" x14ac:dyDescent="0.25">
      <c r="B4" s="105"/>
      <c r="C4" s="650"/>
      <c r="D4" s="650"/>
      <c r="E4" s="650"/>
      <c r="F4" s="650"/>
      <c r="G4" s="650"/>
      <c r="H4" s="650"/>
      <c r="I4" s="650"/>
      <c r="J4" s="650"/>
      <c r="K4" s="650"/>
      <c r="L4" s="650"/>
      <c r="M4" s="650"/>
      <c r="N4" s="651"/>
      <c r="O4" s="650"/>
      <c r="P4" s="650"/>
      <c r="Q4" s="650"/>
      <c r="R4" s="652"/>
      <c r="S4" s="355"/>
    </row>
    <row r="5" spans="1:20" ht="23.25" customHeight="1" x14ac:dyDescent="0.3">
      <c r="A5">
        <v>1</v>
      </c>
      <c r="B5" s="13">
        <v>5</v>
      </c>
      <c r="C5" s="357" t="s">
        <v>1408</v>
      </c>
      <c r="D5" s="357" t="s">
        <v>1221</v>
      </c>
      <c r="E5" s="357" t="s">
        <v>14</v>
      </c>
      <c r="F5" s="357" t="s">
        <v>15</v>
      </c>
      <c r="G5" s="357" t="s">
        <v>1222</v>
      </c>
      <c r="H5" s="357" t="s">
        <v>16</v>
      </c>
      <c r="I5" s="357" t="s">
        <v>17</v>
      </c>
      <c r="J5" s="357" t="s">
        <v>18</v>
      </c>
      <c r="K5" s="357" t="s">
        <v>19</v>
      </c>
      <c r="L5" s="357" t="s">
        <v>20</v>
      </c>
      <c r="M5" s="357" t="s">
        <v>21</v>
      </c>
      <c r="N5" s="358" t="s">
        <v>22</v>
      </c>
      <c r="O5" s="357" t="s">
        <v>23</v>
      </c>
      <c r="P5" s="357" t="s">
        <v>24</v>
      </c>
      <c r="Q5" s="359" t="s">
        <v>25</v>
      </c>
      <c r="R5" s="360" t="s">
        <v>26</v>
      </c>
      <c r="S5" s="653" t="s">
        <v>46</v>
      </c>
      <c r="T5" s="654" t="s">
        <v>1223</v>
      </c>
    </row>
    <row r="6" spans="1:20" x14ac:dyDescent="0.25">
      <c r="B6" s="53" t="s">
        <v>45</v>
      </c>
      <c r="C6" s="362">
        <v>353308839</v>
      </c>
      <c r="D6" s="362">
        <f>+C6/12</f>
        <v>29442403.25</v>
      </c>
      <c r="E6" s="362">
        <f>-287015+28701567</f>
        <v>28414552</v>
      </c>
      <c r="F6" s="362">
        <v>28414552</v>
      </c>
      <c r="G6" s="362">
        <v>28414552</v>
      </c>
      <c r="H6" s="362">
        <f>+H8-H7</f>
        <v>32509259</v>
      </c>
      <c r="I6" s="362">
        <f>29735584-I7</f>
        <v>29438226</v>
      </c>
      <c r="J6" s="362"/>
      <c r="K6" s="362"/>
      <c r="L6" s="362"/>
      <c r="M6" s="362"/>
      <c r="N6" s="363"/>
      <c r="O6" s="363"/>
      <c r="P6" s="363"/>
      <c r="Q6" s="364">
        <f>+D6*$B$5</f>
        <v>147212016.25</v>
      </c>
      <c r="R6" s="364">
        <f>SUM(E6:P6)</f>
        <v>147191141</v>
      </c>
      <c r="S6" s="655">
        <f>+Q6-R6</f>
        <v>20875.25</v>
      </c>
      <c r="T6" s="656">
        <f>+Q6-R6</f>
        <v>20875.25</v>
      </c>
    </row>
    <row r="7" spans="1:20" x14ac:dyDescent="0.25">
      <c r="B7" s="13" t="s">
        <v>120</v>
      </c>
      <c r="C7" s="364">
        <v>3533088</v>
      </c>
      <c r="D7" s="362">
        <f>+C7/12</f>
        <v>294424</v>
      </c>
      <c r="E7" s="364">
        <v>287015</v>
      </c>
      <c r="F7" s="364">
        <v>287015</v>
      </c>
      <c r="G7" s="364">
        <v>287015</v>
      </c>
      <c r="H7" s="364">
        <v>328376</v>
      </c>
      <c r="I7" s="364">
        <v>297358</v>
      </c>
      <c r="J7" s="364"/>
      <c r="K7" s="364"/>
      <c r="L7" s="364"/>
      <c r="M7" s="364"/>
      <c r="N7" s="365"/>
      <c r="O7" s="365"/>
      <c r="P7" s="365"/>
      <c r="Q7" s="364">
        <f>+D7*$B$5</f>
        <v>1472120</v>
      </c>
      <c r="R7" s="364">
        <f>SUM(E7:P7)</f>
        <v>1486779</v>
      </c>
      <c r="S7" s="655">
        <f>+Q7-R7</f>
        <v>-14659</v>
      </c>
      <c r="T7" s="656">
        <f>+Q7-R7</f>
        <v>-14659</v>
      </c>
    </row>
    <row r="8" spans="1:20" ht="14" x14ac:dyDescent="0.3">
      <c r="B8" s="864" t="s">
        <v>125</v>
      </c>
      <c r="C8" s="865">
        <f>+C6+C7</f>
        <v>356841927</v>
      </c>
      <c r="D8" s="865">
        <f t="shared" ref="D8:K8" si="0">SUM(D6:D7)</f>
        <v>29736827.25</v>
      </c>
      <c r="E8" s="865">
        <f t="shared" si="0"/>
        <v>28701567</v>
      </c>
      <c r="F8" s="865">
        <f t="shared" si="0"/>
        <v>28701567</v>
      </c>
      <c r="G8" s="865">
        <f t="shared" si="0"/>
        <v>28701567</v>
      </c>
      <c r="H8" s="865">
        <v>32837635</v>
      </c>
      <c r="I8" s="865">
        <f>+I6+I7</f>
        <v>29735584</v>
      </c>
      <c r="J8" s="865">
        <f t="shared" si="0"/>
        <v>0</v>
      </c>
      <c r="K8" s="865">
        <f t="shared" si="0"/>
        <v>0</v>
      </c>
      <c r="L8" s="865">
        <v>0</v>
      </c>
      <c r="M8" s="865">
        <f>SUM(M6:M7)</f>
        <v>0</v>
      </c>
      <c r="N8" s="866">
        <f>SUM(N6:N7)</f>
        <v>0</v>
      </c>
      <c r="O8" s="866">
        <f>SUM(O6:O7)</f>
        <v>0</v>
      </c>
      <c r="P8" s="866">
        <f>SUM(P6:P7)</f>
        <v>0</v>
      </c>
      <c r="Q8" s="364">
        <f t="shared" ref="Q8:Q55" si="1">+D8*$B$5</f>
        <v>148684136.25</v>
      </c>
      <c r="R8" s="867">
        <f>SUM(R6:R7)</f>
        <v>148677920</v>
      </c>
      <c r="S8" s="868">
        <f>+Q8-R8</f>
        <v>6216.25</v>
      </c>
      <c r="T8" s="504">
        <f>+Q8-R8</f>
        <v>6216.25</v>
      </c>
    </row>
    <row r="9" spans="1:20" ht="15.5" x14ac:dyDescent="0.25">
      <c r="B9" s="59" t="s">
        <v>77</v>
      </c>
      <c r="C9" s="366"/>
      <c r="D9" s="431" t="s">
        <v>33</v>
      </c>
      <c r="E9" s="431" t="s">
        <v>33</v>
      </c>
      <c r="F9" s="367"/>
      <c r="G9" s="367"/>
      <c r="H9" s="367"/>
      <c r="I9" s="367"/>
      <c r="J9" s="367"/>
      <c r="K9" s="367"/>
      <c r="L9" s="367"/>
      <c r="M9" s="367"/>
      <c r="N9" s="365"/>
      <c r="O9" s="365"/>
      <c r="P9" s="365"/>
      <c r="Q9" s="364" t="s">
        <v>33</v>
      </c>
      <c r="R9" s="364"/>
      <c r="S9" s="655"/>
      <c r="T9" s="657" t="s">
        <v>33</v>
      </c>
    </row>
    <row r="10" spans="1:20" ht="16.5" customHeight="1" x14ac:dyDescent="0.25">
      <c r="B10" s="60" t="s">
        <v>78</v>
      </c>
      <c r="C10" s="368"/>
      <c r="D10" s="369"/>
      <c r="E10" s="369"/>
      <c r="F10" s="371"/>
      <c r="G10" s="371"/>
      <c r="H10" s="371"/>
      <c r="I10" s="371"/>
      <c r="J10" s="371"/>
      <c r="K10" s="371"/>
      <c r="L10" s="371"/>
      <c r="M10" s="371"/>
      <c r="N10" s="372"/>
      <c r="O10" s="372"/>
      <c r="P10" s="372"/>
      <c r="Q10" s="364" t="s">
        <v>33</v>
      </c>
      <c r="R10" s="370"/>
      <c r="S10" s="658"/>
      <c r="T10" s="657" t="s">
        <v>33</v>
      </c>
    </row>
    <row r="11" spans="1:20" x14ac:dyDescent="0.25">
      <c r="B11" s="61" t="s">
        <v>79</v>
      </c>
      <c r="C11" s="659">
        <v>33199438.319999997</v>
      </c>
      <c r="D11" s="432">
        <f>+C11/12</f>
        <v>2766619.86</v>
      </c>
      <c r="E11" s="432">
        <v>2766619</v>
      </c>
      <c r="F11" s="374">
        <v>2766619</v>
      </c>
      <c r="G11" s="374">
        <v>2766619</v>
      </c>
      <c r="H11" s="374">
        <v>2766619</v>
      </c>
      <c r="I11" s="374">
        <v>2827988</v>
      </c>
      <c r="J11" s="374"/>
      <c r="K11" s="374"/>
      <c r="L11" s="374"/>
      <c r="M11" s="374"/>
      <c r="N11" s="375"/>
      <c r="O11" s="375"/>
      <c r="P11" s="375"/>
      <c r="Q11" s="364">
        <f t="shared" si="1"/>
        <v>13833099.299999999</v>
      </c>
      <c r="R11" s="364">
        <f t="shared" ref="R11:R17" si="2">SUM(E11:P11)</f>
        <v>13894464</v>
      </c>
      <c r="S11" s="655">
        <f t="shared" ref="S11:S18" si="3">+Q11-R11</f>
        <v>-61364.700000001118</v>
      </c>
      <c r="T11" s="656">
        <f>+Q11-R11</f>
        <v>-61364.700000001118</v>
      </c>
    </row>
    <row r="12" spans="1:20" x14ac:dyDescent="0.25">
      <c r="B12" s="62" t="s">
        <v>80</v>
      </c>
      <c r="C12" s="660">
        <v>1260000</v>
      </c>
      <c r="D12" s="433">
        <f t="shared" ref="D12:D35" si="4">+C12/12</f>
        <v>105000</v>
      </c>
      <c r="E12" s="433">
        <v>143550</v>
      </c>
      <c r="F12" s="364">
        <v>235199</v>
      </c>
      <c r="G12" s="364">
        <v>220474</v>
      </c>
      <c r="H12" s="364">
        <v>175110</v>
      </c>
      <c r="I12" s="364">
        <v>120400</v>
      </c>
      <c r="J12" s="364"/>
      <c r="K12" s="364"/>
      <c r="L12" s="364"/>
      <c r="M12" s="364"/>
      <c r="N12" s="365"/>
      <c r="O12" s="365"/>
      <c r="P12" s="365"/>
      <c r="Q12" s="364">
        <f t="shared" si="1"/>
        <v>525000</v>
      </c>
      <c r="R12" s="364">
        <f t="shared" si="2"/>
        <v>894733</v>
      </c>
      <c r="S12" s="655">
        <f t="shared" si="3"/>
        <v>-369733</v>
      </c>
      <c r="T12" s="656">
        <f t="shared" ref="T12:T55" si="5">+Q12-R12</f>
        <v>-369733</v>
      </c>
    </row>
    <row r="13" spans="1:20" x14ac:dyDescent="0.25">
      <c r="B13" s="61" t="s">
        <v>81</v>
      </c>
      <c r="C13" s="659">
        <v>10500000</v>
      </c>
      <c r="D13" s="432">
        <f t="shared" si="4"/>
        <v>875000</v>
      </c>
      <c r="E13" s="432">
        <v>1581421</v>
      </c>
      <c r="F13" s="374">
        <v>0</v>
      </c>
      <c r="G13" s="374">
        <f>196100+277737+50000</f>
        <v>523837</v>
      </c>
      <c r="H13" s="374">
        <v>338825</v>
      </c>
      <c r="I13" s="374">
        <f>-111750+278850</f>
        <v>167100</v>
      </c>
      <c r="J13" s="374"/>
      <c r="K13" s="374"/>
      <c r="L13" s="374"/>
      <c r="M13" s="374"/>
      <c r="N13" s="377"/>
      <c r="O13" s="377"/>
      <c r="P13" s="377"/>
      <c r="Q13" s="364">
        <f t="shared" si="1"/>
        <v>4375000</v>
      </c>
      <c r="R13" s="364">
        <f t="shared" si="2"/>
        <v>2611183</v>
      </c>
      <c r="S13" s="655">
        <f t="shared" si="3"/>
        <v>1763817</v>
      </c>
      <c r="T13" s="656">
        <f t="shared" si="5"/>
        <v>1763817</v>
      </c>
    </row>
    <row r="14" spans="1:20" x14ac:dyDescent="0.25">
      <c r="B14" s="62" t="s">
        <v>82</v>
      </c>
      <c r="C14" s="660">
        <v>1800000</v>
      </c>
      <c r="D14" s="433">
        <f t="shared" si="4"/>
        <v>150000</v>
      </c>
      <c r="E14" s="433">
        <v>229300</v>
      </c>
      <c r="F14" s="364">
        <v>104000</v>
      </c>
      <c r="G14" s="364">
        <v>366738</v>
      </c>
      <c r="H14" s="364"/>
      <c r="I14" s="364">
        <v>6000</v>
      </c>
      <c r="J14" s="364"/>
      <c r="K14" s="364"/>
      <c r="L14" s="364"/>
      <c r="M14" s="364"/>
      <c r="N14" s="365"/>
      <c r="O14" s="365"/>
      <c r="P14" s="365"/>
      <c r="Q14" s="364">
        <f t="shared" si="1"/>
        <v>750000</v>
      </c>
      <c r="R14" s="364">
        <f t="shared" si="2"/>
        <v>706038</v>
      </c>
      <c r="S14" s="655">
        <f t="shared" si="3"/>
        <v>43962</v>
      </c>
      <c r="T14" s="656">
        <f t="shared" si="5"/>
        <v>43962</v>
      </c>
    </row>
    <row r="15" spans="1:20" x14ac:dyDescent="0.25">
      <c r="B15" s="61" t="s">
        <v>83</v>
      </c>
      <c r="C15" s="659">
        <v>11900000</v>
      </c>
      <c r="D15" s="432">
        <f t="shared" si="4"/>
        <v>991666.66666666663</v>
      </c>
      <c r="E15" s="432">
        <v>823302</v>
      </c>
      <c r="F15" s="374">
        <v>1301779</v>
      </c>
      <c r="G15" s="374">
        <v>611281</v>
      </c>
      <c r="H15" s="374">
        <v>203409</v>
      </c>
      <c r="I15" s="374">
        <v>984464</v>
      </c>
      <c r="J15" s="374"/>
      <c r="K15" s="374"/>
      <c r="L15" s="374"/>
      <c r="M15" s="374"/>
      <c r="N15" s="377"/>
      <c r="O15" s="377"/>
      <c r="P15" s="377"/>
      <c r="Q15" s="364">
        <f t="shared" si="1"/>
        <v>4958333.333333333</v>
      </c>
      <c r="R15" s="364">
        <f t="shared" si="2"/>
        <v>3924235</v>
      </c>
      <c r="S15" s="655">
        <f t="shared" si="3"/>
        <v>1034098.333333333</v>
      </c>
      <c r="T15" s="656">
        <f t="shared" si="5"/>
        <v>1034098.333333333</v>
      </c>
    </row>
    <row r="16" spans="1:20" x14ac:dyDescent="0.25">
      <c r="B16" s="62" t="s">
        <v>84</v>
      </c>
      <c r="C16" s="660">
        <v>590000</v>
      </c>
      <c r="D16" s="433">
        <f t="shared" si="4"/>
        <v>49166.666666666664</v>
      </c>
      <c r="E16" s="433">
        <v>0</v>
      </c>
      <c r="F16" s="364">
        <v>140000</v>
      </c>
      <c r="G16" s="364">
        <v>0</v>
      </c>
      <c r="H16" s="364"/>
      <c r="I16" s="364"/>
      <c r="J16" s="364"/>
      <c r="K16" s="364"/>
      <c r="L16" s="364"/>
      <c r="M16" s="364"/>
      <c r="N16" s="365"/>
      <c r="O16" s="365"/>
      <c r="P16" s="365"/>
      <c r="Q16" s="364">
        <f t="shared" si="1"/>
        <v>245833.33333333331</v>
      </c>
      <c r="R16" s="364">
        <f t="shared" si="2"/>
        <v>140000</v>
      </c>
      <c r="S16" s="655">
        <f t="shared" si="3"/>
        <v>105833.33333333331</v>
      </c>
      <c r="T16" s="656">
        <f t="shared" si="5"/>
        <v>105833.33333333331</v>
      </c>
    </row>
    <row r="17" spans="1:20" x14ac:dyDescent="0.25">
      <c r="B17" s="61" t="s">
        <v>85</v>
      </c>
      <c r="C17" s="659">
        <v>2429980</v>
      </c>
      <c r="D17" s="432">
        <f t="shared" si="4"/>
        <v>202498.33333333334</v>
      </c>
      <c r="E17" s="432">
        <v>246330</v>
      </c>
      <c r="F17" s="374">
        <v>0</v>
      </c>
      <c r="G17" s="374">
        <v>749700</v>
      </c>
      <c r="H17" s="374"/>
      <c r="I17" s="374">
        <v>246330</v>
      </c>
      <c r="J17" s="374"/>
      <c r="K17" s="374"/>
      <c r="L17" s="374"/>
      <c r="M17" s="374"/>
      <c r="N17" s="377"/>
      <c r="O17" s="377"/>
      <c r="P17" s="377"/>
      <c r="Q17" s="364">
        <f t="shared" si="1"/>
        <v>1012491.6666666667</v>
      </c>
      <c r="R17" s="364">
        <f t="shared" si="2"/>
        <v>1242360</v>
      </c>
      <c r="S17" s="655">
        <f t="shared" si="3"/>
        <v>-229868.33333333326</v>
      </c>
      <c r="T17" s="656">
        <f t="shared" si="5"/>
        <v>-229868.33333333326</v>
      </c>
    </row>
    <row r="18" spans="1:20" x14ac:dyDescent="0.25">
      <c r="A18" s="145"/>
      <c r="B18" s="869" t="s">
        <v>269</v>
      </c>
      <c r="C18" s="370">
        <v>0</v>
      </c>
      <c r="D18" s="870">
        <f>+C18/12</f>
        <v>0</v>
      </c>
      <c r="E18" s="369">
        <v>0</v>
      </c>
      <c r="F18" s="370">
        <v>350000</v>
      </c>
      <c r="G18" s="370"/>
      <c r="H18" s="370"/>
      <c r="I18" s="370"/>
      <c r="J18" s="370"/>
      <c r="K18" s="370"/>
      <c r="L18" s="370"/>
      <c r="M18" s="370"/>
      <c r="N18" s="380"/>
      <c r="O18" s="380"/>
      <c r="P18" s="380"/>
      <c r="Q18" s="364">
        <f t="shared" si="1"/>
        <v>0</v>
      </c>
      <c r="R18" s="370">
        <f>SUM(E18:P18)</f>
        <v>350000</v>
      </c>
      <c r="S18" s="658">
        <f t="shared" si="3"/>
        <v>-350000</v>
      </c>
      <c r="T18" s="871">
        <f>+Q18-R18</f>
        <v>-350000</v>
      </c>
    </row>
    <row r="19" spans="1:20" s="54" customFormat="1" ht="13" x14ac:dyDescent="0.3">
      <c r="B19" s="63" t="s">
        <v>86</v>
      </c>
      <c r="C19" s="378">
        <f>SUM(C11:C18)</f>
        <v>61679418.319999993</v>
      </c>
      <c r="D19" s="378">
        <f t="shared" ref="D19:I19" si="6">SUM(D11:D18)</f>
        <v>5139951.5266666664</v>
      </c>
      <c r="E19" s="378">
        <f t="shared" si="6"/>
        <v>5790522</v>
      </c>
      <c r="F19" s="378">
        <f t="shared" si="6"/>
        <v>4897597</v>
      </c>
      <c r="G19" s="378">
        <f t="shared" si="6"/>
        <v>5238649</v>
      </c>
      <c r="H19" s="378">
        <f t="shared" si="6"/>
        <v>3483963</v>
      </c>
      <c r="I19" s="378">
        <f t="shared" si="6"/>
        <v>4352282</v>
      </c>
      <c r="J19" s="373">
        <f t="shared" ref="J19:P19" si="7">SUM(J11:J17)</f>
        <v>0</v>
      </c>
      <c r="K19" s="373">
        <f t="shared" si="7"/>
        <v>0</v>
      </c>
      <c r="L19" s="373">
        <f t="shared" si="7"/>
        <v>0</v>
      </c>
      <c r="M19" s="373">
        <f t="shared" si="7"/>
        <v>0</v>
      </c>
      <c r="N19" s="379">
        <f t="shared" si="7"/>
        <v>0</v>
      </c>
      <c r="O19" s="379">
        <f t="shared" si="7"/>
        <v>0</v>
      </c>
      <c r="P19" s="379">
        <f t="shared" si="7"/>
        <v>0</v>
      </c>
      <c r="Q19" s="364">
        <f>+D19*$B$5</f>
        <v>25699757.633333333</v>
      </c>
      <c r="R19" s="362">
        <f>SUM(R11:R18)</f>
        <v>23763013</v>
      </c>
      <c r="S19" s="406">
        <f>SUM(S11:S17)</f>
        <v>2286744.6333333319</v>
      </c>
      <c r="T19" s="661">
        <f>+Q19-R19</f>
        <v>1936744.6333333328</v>
      </c>
    </row>
    <row r="20" spans="1:20" x14ac:dyDescent="0.25">
      <c r="B20" s="872" t="s">
        <v>87</v>
      </c>
      <c r="C20" s="370"/>
      <c r="D20" s="369">
        <f t="shared" si="4"/>
        <v>0</v>
      </c>
      <c r="E20" s="369"/>
      <c r="F20" s="370"/>
      <c r="G20" s="370"/>
      <c r="H20" s="370"/>
      <c r="I20" s="370"/>
      <c r="J20" s="370"/>
      <c r="K20" s="370"/>
      <c r="L20" s="370"/>
      <c r="M20" s="370"/>
      <c r="N20" s="380"/>
      <c r="O20" s="380"/>
      <c r="P20" s="380"/>
      <c r="Q20" s="364" t="s">
        <v>33</v>
      </c>
      <c r="R20" s="364"/>
      <c r="S20" s="655"/>
      <c r="T20" s="657" t="s">
        <v>33</v>
      </c>
    </row>
    <row r="21" spans="1:20" x14ac:dyDescent="0.25">
      <c r="B21" s="64" t="s">
        <v>88</v>
      </c>
      <c r="C21" s="369">
        <v>158830392.15000004</v>
      </c>
      <c r="D21" s="369">
        <f t="shared" si="4"/>
        <v>13235866.012500003</v>
      </c>
      <c r="E21" s="369">
        <v>13136493</v>
      </c>
      <c r="F21" s="370">
        <v>13136493</v>
      </c>
      <c r="G21" s="370">
        <v>13136494</v>
      </c>
      <c r="H21" s="370">
        <v>13136494</v>
      </c>
      <c r="I21" s="370">
        <v>13136494</v>
      </c>
      <c r="J21" s="370"/>
      <c r="K21" s="370"/>
      <c r="L21" s="370"/>
      <c r="M21" s="370"/>
      <c r="N21" s="380"/>
      <c r="O21" s="380"/>
      <c r="P21" s="380"/>
      <c r="Q21" s="364">
        <f t="shared" si="1"/>
        <v>66179330.062500015</v>
      </c>
      <c r="R21" s="364">
        <f t="shared" ref="R21:R28" si="8">SUM(E21:P21)</f>
        <v>65682468</v>
      </c>
      <c r="S21" s="655">
        <f>+Q21-R21</f>
        <v>496862.0625000149</v>
      </c>
      <c r="T21" s="656">
        <f t="shared" si="5"/>
        <v>496862.0625000149</v>
      </c>
    </row>
    <row r="22" spans="1:20" x14ac:dyDescent="0.25">
      <c r="B22" s="873" t="s">
        <v>1224</v>
      </c>
      <c r="C22" s="874">
        <f>1751531+2225540</f>
        <v>3977071</v>
      </c>
      <c r="D22" s="874">
        <f t="shared" si="4"/>
        <v>331422.58333333331</v>
      </c>
      <c r="E22" s="874"/>
      <c r="F22" s="875">
        <v>1751531</v>
      </c>
      <c r="G22" s="875"/>
      <c r="H22" s="874"/>
      <c r="I22" s="874"/>
      <c r="J22" s="370"/>
      <c r="K22" s="370"/>
      <c r="L22" s="370"/>
      <c r="M22" s="370"/>
      <c r="N22" s="380"/>
      <c r="O22" s="380"/>
      <c r="P22" s="380"/>
      <c r="Q22" s="364">
        <f t="shared" si="1"/>
        <v>1657112.9166666665</v>
      </c>
      <c r="R22" s="364">
        <f t="shared" si="8"/>
        <v>1751531</v>
      </c>
      <c r="S22" s="655"/>
      <c r="T22" s="656">
        <f t="shared" si="5"/>
        <v>-94418.083333333489</v>
      </c>
    </row>
    <row r="23" spans="1:20" x14ac:dyDescent="0.25">
      <c r="A23" s="442"/>
      <c r="B23" s="64" t="s">
        <v>89</v>
      </c>
      <c r="C23" s="369">
        <v>17577558</v>
      </c>
      <c r="D23" s="369">
        <f t="shared" si="4"/>
        <v>1464796.5</v>
      </c>
      <c r="E23" s="369">
        <v>1357394</v>
      </c>
      <c r="F23" s="370">
        <v>904930</v>
      </c>
      <c r="G23" s="370">
        <v>1443315</v>
      </c>
      <c r="H23" s="369">
        <v>1486277</v>
      </c>
      <c r="I23" s="369">
        <v>1486277</v>
      </c>
      <c r="J23" s="875"/>
      <c r="K23" s="875"/>
      <c r="L23" s="875"/>
      <c r="M23" s="875"/>
      <c r="N23" s="375"/>
      <c r="O23" s="375"/>
      <c r="P23" s="375"/>
      <c r="Q23" s="364">
        <f t="shared" si="1"/>
        <v>7323982.5</v>
      </c>
      <c r="R23" s="364">
        <f t="shared" si="8"/>
        <v>6678193</v>
      </c>
      <c r="S23" s="655">
        <f>+Q23-R23</f>
        <v>645789.5</v>
      </c>
      <c r="T23" s="656">
        <f t="shared" si="5"/>
        <v>645789.5</v>
      </c>
    </row>
    <row r="24" spans="1:20" x14ac:dyDescent="0.25">
      <c r="B24" s="876" t="s">
        <v>90</v>
      </c>
      <c r="C24" s="874">
        <v>1341006.24</v>
      </c>
      <c r="D24" s="874">
        <f t="shared" si="4"/>
        <v>111750.52</v>
      </c>
      <c r="E24" s="874">
        <v>640110</v>
      </c>
      <c r="F24" s="875">
        <v>111750</v>
      </c>
      <c r="G24" s="875">
        <v>111750</v>
      </c>
      <c r="H24" s="874">
        <v>111750</v>
      </c>
      <c r="I24" s="874">
        <v>111750</v>
      </c>
      <c r="J24" s="370"/>
      <c r="K24" s="370"/>
      <c r="L24" s="370"/>
      <c r="M24" s="370"/>
      <c r="N24" s="380"/>
      <c r="O24" s="380"/>
      <c r="P24" s="380"/>
      <c r="Q24" s="364">
        <f t="shared" si="1"/>
        <v>558752.6</v>
      </c>
      <c r="R24" s="364">
        <f t="shared" si="8"/>
        <v>1087110</v>
      </c>
      <c r="S24" s="655">
        <f>+Q24-R24</f>
        <v>-528357.4</v>
      </c>
      <c r="T24" s="656">
        <f t="shared" si="5"/>
        <v>-528357.4</v>
      </c>
    </row>
    <row r="25" spans="1:20" s="145" customFormat="1" x14ac:dyDescent="0.25">
      <c r="B25" s="869" t="s">
        <v>1225</v>
      </c>
      <c r="C25" s="369">
        <v>1950000</v>
      </c>
      <c r="D25" s="369">
        <f t="shared" si="4"/>
        <v>162500</v>
      </c>
      <c r="E25" s="369">
        <v>0</v>
      </c>
      <c r="F25" s="370">
        <v>0</v>
      </c>
      <c r="G25" s="370">
        <v>0</v>
      </c>
      <c r="H25" s="369"/>
      <c r="I25" s="369">
        <v>555730</v>
      </c>
      <c r="J25" s="370"/>
      <c r="K25" s="370"/>
      <c r="L25" s="370"/>
      <c r="M25" s="370"/>
      <c r="N25" s="380"/>
      <c r="O25" s="380"/>
      <c r="P25" s="380"/>
      <c r="Q25" s="364">
        <f t="shared" si="1"/>
        <v>812500</v>
      </c>
      <c r="R25" s="370">
        <f t="shared" si="8"/>
        <v>555730</v>
      </c>
      <c r="S25" s="658"/>
      <c r="T25" s="656">
        <f t="shared" si="5"/>
        <v>256770</v>
      </c>
    </row>
    <row r="26" spans="1:20" x14ac:dyDescent="0.25">
      <c r="B26" s="876" t="s">
        <v>91</v>
      </c>
      <c r="C26" s="874">
        <v>1910000</v>
      </c>
      <c r="D26" s="874">
        <f t="shared" si="4"/>
        <v>159166.66666666666</v>
      </c>
      <c r="E26" s="874">
        <v>0</v>
      </c>
      <c r="F26" s="875">
        <v>0</v>
      </c>
      <c r="G26" s="875">
        <v>288000</v>
      </c>
      <c r="H26" s="875">
        <v>50000</v>
      </c>
      <c r="I26" s="875">
        <v>305387</v>
      </c>
      <c r="J26" s="875"/>
      <c r="K26" s="877"/>
      <c r="L26" s="875"/>
      <c r="M26" s="875"/>
      <c r="N26" s="375"/>
      <c r="O26" s="375"/>
      <c r="P26" s="375"/>
      <c r="Q26" s="364">
        <f t="shared" si="1"/>
        <v>795833.33333333326</v>
      </c>
      <c r="R26" s="364">
        <f t="shared" si="8"/>
        <v>643387</v>
      </c>
      <c r="S26" s="655">
        <f>+Q26-R26</f>
        <v>152446.33333333326</v>
      </c>
      <c r="T26" s="656">
        <f t="shared" si="5"/>
        <v>152446.33333333326</v>
      </c>
    </row>
    <row r="27" spans="1:20" x14ac:dyDescent="0.25">
      <c r="B27" s="64" t="s">
        <v>92</v>
      </c>
      <c r="C27" s="369">
        <v>372000</v>
      </c>
      <c r="D27" s="369">
        <f t="shared" si="4"/>
        <v>31000</v>
      </c>
      <c r="E27" s="369">
        <v>0</v>
      </c>
      <c r="F27" s="370">
        <v>0</v>
      </c>
      <c r="G27" s="370">
        <v>0</v>
      </c>
      <c r="H27" s="370"/>
      <c r="I27" s="370"/>
      <c r="J27" s="370"/>
      <c r="K27" s="370"/>
      <c r="L27" s="370"/>
      <c r="M27" s="370"/>
      <c r="N27" s="370"/>
      <c r="O27" s="370"/>
      <c r="P27" s="380"/>
      <c r="Q27" s="364">
        <f t="shared" si="1"/>
        <v>155000</v>
      </c>
      <c r="R27" s="364">
        <f t="shared" si="8"/>
        <v>0</v>
      </c>
      <c r="S27" s="655" t="e">
        <f>+#REF!-#REF!</f>
        <v>#REF!</v>
      </c>
      <c r="T27" s="656">
        <f t="shared" si="5"/>
        <v>155000</v>
      </c>
    </row>
    <row r="28" spans="1:20" x14ac:dyDescent="0.25">
      <c r="B28" s="876" t="s">
        <v>93</v>
      </c>
      <c r="C28" s="874">
        <v>740000</v>
      </c>
      <c r="D28" s="874">
        <f t="shared" si="4"/>
        <v>61666.666666666664</v>
      </c>
      <c r="E28" s="874"/>
      <c r="F28" s="875">
        <v>138500</v>
      </c>
      <c r="G28" s="875">
        <v>0</v>
      </c>
      <c r="H28" s="875"/>
      <c r="I28" s="875"/>
      <c r="J28" s="875"/>
      <c r="K28" s="875"/>
      <c r="L28" s="875"/>
      <c r="M28" s="875"/>
      <c r="N28" s="375"/>
      <c r="O28" s="375"/>
      <c r="P28" s="375"/>
      <c r="Q28" s="364">
        <f t="shared" si="1"/>
        <v>308333.33333333331</v>
      </c>
      <c r="R28" s="364">
        <f t="shared" si="8"/>
        <v>138500</v>
      </c>
      <c r="S28" s="655">
        <f>+Q28-R28</f>
        <v>169833.33333333331</v>
      </c>
      <c r="T28" s="656">
        <f t="shared" si="5"/>
        <v>169833.33333333331</v>
      </c>
    </row>
    <row r="29" spans="1:20" x14ac:dyDescent="0.25">
      <c r="A29" s="442"/>
      <c r="B29" s="64" t="s">
        <v>126</v>
      </c>
      <c r="C29" s="369">
        <v>3533088</v>
      </c>
      <c r="D29" s="369">
        <f t="shared" si="4"/>
        <v>294424</v>
      </c>
      <c r="E29" s="369">
        <f>+E7</f>
        <v>287015</v>
      </c>
      <c r="F29" s="370">
        <v>287015</v>
      </c>
      <c r="G29" s="370">
        <v>287015</v>
      </c>
      <c r="H29" s="370">
        <v>328376</v>
      </c>
      <c r="I29" s="370">
        <f>-14659+297358</f>
        <v>282699</v>
      </c>
      <c r="J29" s="370"/>
      <c r="K29" s="370"/>
      <c r="L29" s="370"/>
      <c r="M29" s="370"/>
      <c r="N29" s="380"/>
      <c r="O29" s="380"/>
      <c r="P29" s="380"/>
      <c r="Q29" s="364">
        <f t="shared" si="1"/>
        <v>1472120</v>
      </c>
      <c r="R29" s="364">
        <f>SUM(E29:P29)</f>
        <v>1472120</v>
      </c>
      <c r="S29" s="655">
        <f>+Q29-R29</f>
        <v>0</v>
      </c>
      <c r="T29" s="656">
        <f t="shared" si="5"/>
        <v>0</v>
      </c>
    </row>
    <row r="30" spans="1:20" ht="13" x14ac:dyDescent="0.3">
      <c r="B30" s="878" t="s">
        <v>94</v>
      </c>
      <c r="C30" s="879">
        <f>SUM(C21:C29)</f>
        <v>190231115.39000005</v>
      </c>
      <c r="D30" s="879">
        <f t="shared" si="4"/>
        <v>15852592.94916667</v>
      </c>
      <c r="E30" s="879">
        <f t="shared" ref="E30:P30" si="9">SUM(E21:E29)</f>
        <v>15421012</v>
      </c>
      <c r="F30" s="879">
        <f t="shared" si="9"/>
        <v>16330219</v>
      </c>
      <c r="G30" s="879">
        <f t="shared" si="9"/>
        <v>15266574</v>
      </c>
      <c r="H30" s="879">
        <f>SUM(H21:H29)</f>
        <v>15112897</v>
      </c>
      <c r="I30" s="879">
        <f>SUM(I21:I29)</f>
        <v>15878337</v>
      </c>
      <c r="J30" s="879">
        <f t="shared" si="9"/>
        <v>0</v>
      </c>
      <c r="K30" s="879">
        <f t="shared" si="9"/>
        <v>0</v>
      </c>
      <c r="L30" s="879">
        <f t="shared" si="9"/>
        <v>0</v>
      </c>
      <c r="M30" s="879">
        <f t="shared" si="9"/>
        <v>0</v>
      </c>
      <c r="N30" s="880">
        <f t="shared" si="9"/>
        <v>0</v>
      </c>
      <c r="O30" s="880">
        <f t="shared" si="9"/>
        <v>0</v>
      </c>
      <c r="P30" s="880">
        <f t="shared" si="9"/>
        <v>0</v>
      </c>
      <c r="Q30" s="364">
        <f t="shared" si="1"/>
        <v>79262964.745833352</v>
      </c>
      <c r="R30" s="881">
        <f>SUM(R21:R29)</f>
        <v>78009039</v>
      </c>
      <c r="S30" s="882" t="e">
        <f>SUM(S21:S29)</f>
        <v>#REF!</v>
      </c>
      <c r="T30" s="661">
        <f>+Q30-R30</f>
        <v>1253925.7458333522</v>
      </c>
    </row>
    <row r="31" spans="1:20" x14ac:dyDescent="0.25">
      <c r="B31" s="65" t="s">
        <v>95</v>
      </c>
      <c r="C31" s="370"/>
      <c r="D31" s="369">
        <f t="shared" si="4"/>
        <v>0</v>
      </c>
      <c r="E31" s="369"/>
      <c r="F31" s="370" t="s">
        <v>33</v>
      </c>
      <c r="G31" s="370"/>
      <c r="H31" s="370"/>
      <c r="I31" s="370"/>
      <c r="J31" s="370"/>
      <c r="K31" s="370"/>
      <c r="L31" s="370"/>
      <c r="M31" s="370"/>
      <c r="N31" s="380"/>
      <c r="O31" s="380"/>
      <c r="P31" s="380"/>
      <c r="Q31" s="364" t="s">
        <v>33</v>
      </c>
      <c r="R31" s="370" t="s">
        <v>33</v>
      </c>
      <c r="S31" s="658" t="s">
        <v>33</v>
      </c>
      <c r="T31" s="657" t="s">
        <v>33</v>
      </c>
    </row>
    <row r="32" spans="1:20" x14ac:dyDescent="0.25">
      <c r="B32" s="62" t="s">
        <v>759</v>
      </c>
      <c r="C32" s="376">
        <v>0</v>
      </c>
      <c r="D32" s="433">
        <f t="shared" si="4"/>
        <v>0</v>
      </c>
      <c r="E32" s="433">
        <f>+D32/12</f>
        <v>0</v>
      </c>
      <c r="F32" s="364">
        <v>0</v>
      </c>
      <c r="G32" s="364">
        <v>0</v>
      </c>
      <c r="H32" s="364">
        <v>0</v>
      </c>
      <c r="I32" s="364">
        <v>0</v>
      </c>
      <c r="J32" s="364">
        <v>0</v>
      </c>
      <c r="K32" s="364">
        <v>0</v>
      </c>
      <c r="L32" s="364"/>
      <c r="M32" s="364"/>
      <c r="N32" s="365"/>
      <c r="O32" s="365"/>
      <c r="P32" s="365"/>
      <c r="Q32" s="364">
        <f t="shared" si="1"/>
        <v>0</v>
      </c>
      <c r="R32" s="370">
        <f>SUM(E32:P32)</f>
        <v>0</v>
      </c>
      <c r="S32" s="658">
        <f>+Q32-R32</f>
        <v>0</v>
      </c>
      <c r="T32" s="656">
        <f t="shared" si="5"/>
        <v>0</v>
      </c>
    </row>
    <row r="33" spans="2:22" x14ac:dyDescent="0.25">
      <c r="B33" s="62" t="s">
        <v>96</v>
      </c>
      <c r="C33" s="376">
        <v>0</v>
      </c>
      <c r="D33" s="433">
        <f t="shared" si="4"/>
        <v>0</v>
      </c>
      <c r="E33" s="433">
        <f>+D33/12</f>
        <v>0</v>
      </c>
      <c r="F33" s="364">
        <v>0</v>
      </c>
      <c r="G33" s="364">
        <f>46000+17700+274950</f>
        <v>338650</v>
      </c>
      <c r="H33" s="364">
        <v>0</v>
      </c>
      <c r="I33" s="364">
        <v>176715</v>
      </c>
      <c r="J33" s="364">
        <v>0</v>
      </c>
      <c r="K33" s="364">
        <v>0</v>
      </c>
      <c r="L33" s="364">
        <v>0</v>
      </c>
      <c r="M33" s="364">
        <v>0</v>
      </c>
      <c r="N33" s="364">
        <v>0</v>
      </c>
      <c r="O33" s="364">
        <v>0</v>
      </c>
      <c r="P33" s="364">
        <v>0</v>
      </c>
      <c r="Q33" s="364">
        <f t="shared" si="1"/>
        <v>0</v>
      </c>
      <c r="R33" s="370">
        <f>SUM(E33:P33)</f>
        <v>515365</v>
      </c>
      <c r="S33" s="658">
        <f>+Q33-R33</f>
        <v>-515365</v>
      </c>
      <c r="T33" s="656">
        <f t="shared" si="5"/>
        <v>-515365</v>
      </c>
    </row>
    <row r="34" spans="2:22" ht="13" x14ac:dyDescent="0.3">
      <c r="B34" s="883" t="s">
        <v>97</v>
      </c>
      <c r="C34" s="884">
        <f>SUM(C32:C33)</f>
        <v>0</v>
      </c>
      <c r="D34" s="885">
        <f>+C34/12</f>
        <v>0</v>
      </c>
      <c r="E34" s="885">
        <f t="shared" ref="E34:S34" si="10">SUM(E32:E33)</f>
        <v>0</v>
      </c>
      <c r="F34" s="886">
        <f t="shared" si="10"/>
        <v>0</v>
      </c>
      <c r="G34" s="886">
        <f t="shared" si="10"/>
        <v>338650</v>
      </c>
      <c r="H34" s="886">
        <f>SUM(H32:H33)</f>
        <v>0</v>
      </c>
      <c r="I34" s="886">
        <f>SUM(I32:I33)</f>
        <v>176715</v>
      </c>
      <c r="J34" s="886">
        <f t="shared" si="10"/>
        <v>0</v>
      </c>
      <c r="K34" s="886">
        <f t="shared" si="10"/>
        <v>0</v>
      </c>
      <c r="L34" s="886">
        <f t="shared" si="10"/>
        <v>0</v>
      </c>
      <c r="M34" s="886">
        <f t="shared" si="10"/>
        <v>0</v>
      </c>
      <c r="N34" s="886">
        <f t="shared" si="10"/>
        <v>0</v>
      </c>
      <c r="O34" s="886">
        <f t="shared" si="10"/>
        <v>0</v>
      </c>
      <c r="P34" s="886">
        <f t="shared" si="10"/>
        <v>0</v>
      </c>
      <c r="Q34" s="364">
        <f t="shared" si="10"/>
        <v>0</v>
      </c>
      <c r="R34" s="370">
        <f>SUM(E34:P34)</f>
        <v>515365</v>
      </c>
      <c r="S34" s="662">
        <f t="shared" si="10"/>
        <v>-515365</v>
      </c>
      <c r="T34" s="656">
        <f t="shared" si="5"/>
        <v>-515365</v>
      </c>
    </row>
    <row r="35" spans="2:22" s="1" customFormat="1" x14ac:dyDescent="0.25">
      <c r="B35" s="887" t="s">
        <v>98</v>
      </c>
      <c r="C35" s="370"/>
      <c r="D35" s="369">
        <f t="shared" si="4"/>
        <v>0</v>
      </c>
      <c r="E35" s="369"/>
      <c r="F35" s="370"/>
      <c r="G35" s="370"/>
      <c r="H35" s="370"/>
      <c r="I35" s="370"/>
      <c r="J35" s="370"/>
      <c r="K35" s="370"/>
      <c r="L35" s="370"/>
      <c r="M35" s="370"/>
      <c r="N35" s="380"/>
      <c r="O35" s="380"/>
      <c r="P35" s="380"/>
      <c r="Q35" s="364" t="s">
        <v>33</v>
      </c>
      <c r="R35" s="370" t="s">
        <v>33</v>
      </c>
      <c r="S35" s="658" t="s">
        <v>33</v>
      </c>
      <c r="T35" s="657" t="s">
        <v>33</v>
      </c>
    </row>
    <row r="36" spans="2:22" x14ac:dyDescent="0.25">
      <c r="B36" s="62" t="s">
        <v>67</v>
      </c>
      <c r="C36" s="433">
        <v>2568001.5</v>
      </c>
      <c r="D36" s="433">
        <f>+C36/12</f>
        <v>214000.125</v>
      </c>
      <c r="E36" s="433">
        <v>0</v>
      </c>
      <c r="F36" s="364">
        <v>0</v>
      </c>
      <c r="G36" s="364">
        <v>595450</v>
      </c>
      <c r="H36" s="364">
        <v>0</v>
      </c>
      <c r="I36" s="364">
        <v>781652</v>
      </c>
      <c r="J36" s="364"/>
      <c r="K36" s="364"/>
      <c r="L36" s="364"/>
      <c r="M36" s="364"/>
      <c r="N36" s="365"/>
      <c r="O36" s="365"/>
      <c r="P36" s="365"/>
      <c r="Q36" s="364">
        <f t="shared" si="1"/>
        <v>1070000.625</v>
      </c>
      <c r="R36" s="370">
        <f>SUM(E36:P36)</f>
        <v>1377102</v>
      </c>
      <c r="S36" s="658">
        <f>+Q36-R36</f>
        <v>-307101.375</v>
      </c>
      <c r="T36" s="656">
        <f t="shared" si="5"/>
        <v>-307101.375</v>
      </c>
    </row>
    <row r="37" spans="2:22" x14ac:dyDescent="0.25">
      <c r="B37" s="887" t="s">
        <v>66</v>
      </c>
      <c r="C37" s="888">
        <f>33250000*1.15</f>
        <v>38237500</v>
      </c>
      <c r="D37" s="888">
        <f t="shared" ref="D37:D42" si="11">+C37/12</f>
        <v>3186458.3333333335</v>
      </c>
      <c r="E37" s="888">
        <v>3189683.88</v>
      </c>
      <c r="F37" s="889">
        <v>2628727</v>
      </c>
      <c r="G37" s="889">
        <v>2554892</v>
      </c>
      <c r="H37" s="889">
        <v>2640861</v>
      </c>
      <c r="I37" s="889">
        <v>3098024</v>
      </c>
      <c r="J37" s="889"/>
      <c r="K37" s="889"/>
      <c r="L37" s="889"/>
      <c r="M37" s="889"/>
      <c r="N37" s="890"/>
      <c r="O37" s="890"/>
      <c r="P37" s="890"/>
      <c r="Q37" s="364">
        <f t="shared" si="1"/>
        <v>15932291.666666668</v>
      </c>
      <c r="R37" s="370">
        <f t="shared" ref="R37:R43" si="12">SUM(E37:P37)</f>
        <v>14112187.879999999</v>
      </c>
      <c r="S37" s="658">
        <f>+Q37-R37</f>
        <v>1820103.786666669</v>
      </c>
      <c r="T37" s="656">
        <f t="shared" si="5"/>
        <v>1820103.786666669</v>
      </c>
      <c r="V37" s="42"/>
    </row>
    <row r="38" spans="2:22" x14ac:dyDescent="0.25">
      <c r="B38" s="62" t="s">
        <v>99</v>
      </c>
      <c r="C38" s="433">
        <v>3500000</v>
      </c>
      <c r="D38" s="433">
        <f t="shared" si="11"/>
        <v>291666.66666666669</v>
      </c>
      <c r="E38" s="433">
        <v>129706</v>
      </c>
      <c r="F38" s="364">
        <v>233099</v>
      </c>
      <c r="G38" s="364">
        <v>303870</v>
      </c>
      <c r="H38" s="364">
        <v>205744</v>
      </c>
      <c r="I38" s="364">
        <v>217588</v>
      </c>
      <c r="J38" s="364"/>
      <c r="K38" s="364"/>
      <c r="L38" s="364"/>
      <c r="M38" s="364"/>
      <c r="N38" s="365"/>
      <c r="O38" s="365"/>
      <c r="P38" s="365"/>
      <c r="Q38" s="364">
        <f t="shared" si="1"/>
        <v>1458333.3333333335</v>
      </c>
      <c r="R38" s="370">
        <f t="shared" si="12"/>
        <v>1090007</v>
      </c>
      <c r="S38" s="658">
        <f>+Q38-R38</f>
        <v>368326.33333333349</v>
      </c>
      <c r="T38" s="656">
        <f t="shared" si="5"/>
        <v>368326.33333333349</v>
      </c>
    </row>
    <row r="39" spans="2:22" x14ac:dyDescent="0.25">
      <c r="B39" s="887" t="s">
        <v>100</v>
      </c>
      <c r="C39" s="888">
        <v>604000</v>
      </c>
      <c r="D39" s="888">
        <f t="shared" si="11"/>
        <v>50333.333333333336</v>
      </c>
      <c r="E39" s="888">
        <v>50100</v>
      </c>
      <c r="F39" s="889">
        <v>50115</v>
      </c>
      <c r="G39" s="889">
        <v>56102</v>
      </c>
      <c r="H39" s="889">
        <v>56070</v>
      </c>
      <c r="I39" s="889">
        <v>56076</v>
      </c>
      <c r="J39" s="889"/>
      <c r="K39" s="889"/>
      <c r="L39" s="889"/>
      <c r="M39" s="889"/>
      <c r="N39" s="890"/>
      <c r="O39" s="890"/>
      <c r="P39" s="890"/>
      <c r="Q39" s="364">
        <f t="shared" si="1"/>
        <v>251666.66666666669</v>
      </c>
      <c r="R39" s="370">
        <f t="shared" si="12"/>
        <v>268463</v>
      </c>
      <c r="S39" s="658">
        <f>+Q39-R39</f>
        <v>-16796.333333333314</v>
      </c>
      <c r="T39" s="656">
        <f t="shared" si="5"/>
        <v>-16796.333333333314</v>
      </c>
      <c r="V39" s="42"/>
    </row>
    <row r="40" spans="2:22" x14ac:dyDescent="0.25">
      <c r="B40" s="60" t="s">
        <v>1226</v>
      </c>
      <c r="C40" s="369">
        <f>100988*12</f>
        <v>1211856</v>
      </c>
      <c r="D40" s="369">
        <f t="shared" si="11"/>
        <v>100988</v>
      </c>
      <c r="E40" s="369">
        <v>0</v>
      </c>
      <c r="F40" s="370">
        <v>0</v>
      </c>
      <c r="G40" s="370">
        <v>55250</v>
      </c>
      <c r="H40" s="370">
        <v>0</v>
      </c>
      <c r="I40" s="370">
        <v>0</v>
      </c>
      <c r="J40" s="370"/>
      <c r="K40" s="370"/>
      <c r="L40" s="370"/>
      <c r="M40" s="370"/>
      <c r="N40" s="380"/>
      <c r="O40" s="380"/>
      <c r="P40" s="380"/>
      <c r="Q40" s="364">
        <f t="shared" si="1"/>
        <v>504940</v>
      </c>
      <c r="R40" s="370">
        <f t="shared" si="12"/>
        <v>55250</v>
      </c>
      <c r="S40" s="658"/>
      <c r="T40" s="656">
        <f t="shared" si="5"/>
        <v>449690</v>
      </c>
      <c r="V40" s="42"/>
    </row>
    <row r="41" spans="2:22" x14ac:dyDescent="0.25">
      <c r="B41" s="887" t="s">
        <v>101</v>
      </c>
      <c r="C41" s="888">
        <v>800000</v>
      </c>
      <c r="D41" s="888">
        <f t="shared" si="11"/>
        <v>66666.666666666672</v>
      </c>
      <c r="E41" s="888">
        <v>87582</v>
      </c>
      <c r="F41" s="889">
        <v>100988</v>
      </c>
      <c r="G41" s="889">
        <v>100988</v>
      </c>
      <c r="H41" s="889">
        <v>100988</v>
      </c>
      <c r="I41" s="889">
        <v>100988</v>
      </c>
      <c r="J41" s="364"/>
      <c r="K41" s="364"/>
      <c r="L41" s="364"/>
      <c r="M41" s="364"/>
      <c r="N41" s="365"/>
      <c r="O41" s="365"/>
      <c r="P41" s="365"/>
      <c r="Q41" s="364">
        <f t="shared" si="1"/>
        <v>333333.33333333337</v>
      </c>
      <c r="R41" s="370">
        <f t="shared" si="12"/>
        <v>491534</v>
      </c>
      <c r="S41" s="658">
        <f>+Q41-R41</f>
        <v>-158200.66666666663</v>
      </c>
      <c r="T41" s="656">
        <f t="shared" si="5"/>
        <v>-158200.66666666663</v>
      </c>
    </row>
    <row r="42" spans="2:22" x14ac:dyDescent="0.25">
      <c r="B42" s="62" t="s">
        <v>102</v>
      </c>
      <c r="C42" s="433">
        <f>(1187000+167200)*12</f>
        <v>16250400</v>
      </c>
      <c r="D42" s="433">
        <f t="shared" si="11"/>
        <v>1354200</v>
      </c>
      <c r="E42" s="433">
        <v>1354200</v>
      </c>
      <c r="F42" s="364">
        <v>1354200</v>
      </c>
      <c r="G42" s="364">
        <v>1354200</v>
      </c>
      <c r="H42" s="364">
        <v>1354200</v>
      </c>
      <c r="I42" s="364">
        <v>1354200</v>
      </c>
      <c r="J42" s="364"/>
      <c r="K42" s="364"/>
      <c r="L42" s="364"/>
      <c r="M42" s="364"/>
      <c r="N42" s="365"/>
      <c r="O42" s="365"/>
      <c r="P42" s="365"/>
      <c r="Q42" s="364">
        <f t="shared" si="1"/>
        <v>6771000</v>
      </c>
      <c r="R42" s="370">
        <f t="shared" si="12"/>
        <v>6771000</v>
      </c>
      <c r="S42" s="658">
        <f>+Q42-R42</f>
        <v>0</v>
      </c>
      <c r="T42" s="656">
        <f t="shared" si="5"/>
        <v>0</v>
      </c>
    </row>
    <row r="43" spans="2:22" x14ac:dyDescent="0.25">
      <c r="B43" s="62" t="s">
        <v>1409</v>
      </c>
      <c r="C43" s="433"/>
      <c r="D43" s="433"/>
      <c r="E43" s="433"/>
      <c r="F43" s="364"/>
      <c r="G43" s="433"/>
      <c r="H43" s="433"/>
      <c r="I43" s="433">
        <v>472500</v>
      </c>
      <c r="J43" s="433"/>
      <c r="K43" s="433"/>
      <c r="L43" s="433"/>
      <c r="M43" s="433"/>
      <c r="N43" s="891"/>
      <c r="O43" s="891"/>
      <c r="P43" s="891"/>
      <c r="Q43" s="364">
        <f t="shared" si="1"/>
        <v>0</v>
      </c>
      <c r="R43" s="370">
        <f t="shared" si="12"/>
        <v>472500</v>
      </c>
      <c r="S43" s="658"/>
      <c r="T43" s="656">
        <f t="shared" si="5"/>
        <v>-472500</v>
      </c>
    </row>
    <row r="44" spans="2:22" ht="13" x14ac:dyDescent="0.3">
      <c r="B44" s="892" t="s">
        <v>103</v>
      </c>
      <c r="C44" s="893">
        <f>SUM(C36:C42)</f>
        <v>63171757.5</v>
      </c>
      <c r="D44" s="893">
        <f>+C44/12</f>
        <v>5264313.125</v>
      </c>
      <c r="E44" s="894">
        <f>SUM(E36:E42)</f>
        <v>4811271.88</v>
      </c>
      <c r="F44" s="893">
        <f>SUM(F36:F42)</f>
        <v>4367129</v>
      </c>
      <c r="G44" s="894">
        <f>SUM(G36:G42)</f>
        <v>5020752</v>
      </c>
      <c r="H44" s="894">
        <f>SUM(H36:H42)</f>
        <v>4357863</v>
      </c>
      <c r="I44" s="894">
        <f>SUM(I36:I43)</f>
        <v>6081028</v>
      </c>
      <c r="J44" s="894">
        <f t="shared" ref="J44:P44" si="13">SUM(J36:J42)</f>
        <v>0</v>
      </c>
      <c r="K44" s="894">
        <f t="shared" si="13"/>
        <v>0</v>
      </c>
      <c r="L44" s="894">
        <f t="shared" si="13"/>
        <v>0</v>
      </c>
      <c r="M44" s="894">
        <f t="shared" si="13"/>
        <v>0</v>
      </c>
      <c r="N44" s="895">
        <f t="shared" si="13"/>
        <v>0</v>
      </c>
      <c r="O44" s="895">
        <f t="shared" si="13"/>
        <v>0</v>
      </c>
      <c r="P44" s="895">
        <f t="shared" si="13"/>
        <v>0</v>
      </c>
      <c r="Q44" s="364">
        <f>+D44*$B$5</f>
        <v>26321565.625</v>
      </c>
      <c r="R44" s="896">
        <f>SUM(R36:R43)</f>
        <v>24638043.879999999</v>
      </c>
      <c r="S44" s="897">
        <f>SUM(S36:S42)</f>
        <v>1706331.7450000024</v>
      </c>
      <c r="T44" s="661">
        <f t="shared" si="5"/>
        <v>1683521.745000001</v>
      </c>
    </row>
    <row r="45" spans="2:22" x14ac:dyDescent="0.25">
      <c r="B45" s="66" t="s">
        <v>104</v>
      </c>
      <c r="C45" s="370"/>
      <c r="D45" s="369" t="s">
        <v>33</v>
      </c>
      <c r="E45" s="369"/>
      <c r="F45" s="370"/>
      <c r="G45" s="370"/>
      <c r="H45" s="370"/>
      <c r="I45" s="370"/>
      <c r="J45" s="370"/>
      <c r="K45" s="370"/>
      <c r="L45" s="370"/>
      <c r="M45" s="370"/>
      <c r="N45" s="380"/>
      <c r="O45" s="380"/>
      <c r="P45" s="380"/>
      <c r="Q45" s="364" t="s">
        <v>33</v>
      </c>
      <c r="R45" s="439"/>
      <c r="S45" s="663">
        <f>+F45+G45+E45</f>
        <v>0</v>
      </c>
      <c r="T45" s="657" t="s">
        <v>33</v>
      </c>
    </row>
    <row r="46" spans="2:22" ht="14.25" customHeight="1" x14ac:dyDescent="0.25">
      <c r="B46" s="62" t="s">
        <v>105</v>
      </c>
      <c r="C46" s="364">
        <v>30797847</v>
      </c>
      <c r="D46" s="433">
        <f>+C46/12</f>
        <v>2566487.25</v>
      </c>
      <c r="E46" s="433">
        <v>2343824</v>
      </c>
      <c r="F46" s="364">
        <v>2343824</v>
      </c>
      <c r="G46" s="364">
        <v>2343824</v>
      </c>
      <c r="H46" s="364">
        <v>3235079</v>
      </c>
      <c r="I46" s="364">
        <v>2566487</v>
      </c>
      <c r="J46" s="364"/>
      <c r="K46" s="364"/>
      <c r="L46" s="364"/>
      <c r="M46" s="364"/>
      <c r="N46" s="365"/>
      <c r="O46" s="365"/>
      <c r="P46" s="365"/>
      <c r="Q46" s="364">
        <f t="shared" si="1"/>
        <v>12832436.25</v>
      </c>
      <c r="R46" s="370">
        <f t="shared" ref="R46:R55" si="14">SUM(E46:P46)</f>
        <v>12833038</v>
      </c>
      <c r="S46" s="658">
        <f>+Q46-R46</f>
        <v>-601.75</v>
      </c>
      <c r="T46" s="656">
        <f t="shared" si="5"/>
        <v>-601.75</v>
      </c>
    </row>
    <row r="47" spans="2:22" ht="14.25" customHeight="1" x14ac:dyDescent="0.25">
      <c r="B47" s="66" t="s">
        <v>65</v>
      </c>
      <c r="C47" s="898">
        <v>6413421</v>
      </c>
      <c r="D47" s="899">
        <f t="shared" ref="D47:D55" si="15">+C47/12</f>
        <v>534451.75</v>
      </c>
      <c r="E47" s="899">
        <v>488080</v>
      </c>
      <c r="F47" s="898">
        <v>488080</v>
      </c>
      <c r="G47" s="898">
        <v>627190</v>
      </c>
      <c r="H47" s="898">
        <v>534352</v>
      </c>
      <c r="I47" s="898">
        <v>534352</v>
      </c>
      <c r="J47" s="898"/>
      <c r="K47" s="898"/>
      <c r="L47" s="898"/>
      <c r="M47" s="898"/>
      <c r="N47" s="900"/>
      <c r="O47" s="900"/>
      <c r="P47" s="900"/>
      <c r="Q47" s="364">
        <f t="shared" si="1"/>
        <v>2672258.75</v>
      </c>
      <c r="R47" s="370">
        <f t="shared" si="14"/>
        <v>2672054</v>
      </c>
      <c r="S47" s="658">
        <f t="shared" ref="S47:S55" si="16">+Q47-R47</f>
        <v>204.75</v>
      </c>
      <c r="T47" s="656">
        <f t="shared" si="5"/>
        <v>204.75</v>
      </c>
    </row>
    <row r="48" spans="2:22" x14ac:dyDescent="0.25">
      <c r="B48" s="62" t="s">
        <v>106</v>
      </c>
      <c r="C48" s="364">
        <v>534465</v>
      </c>
      <c r="D48" s="433">
        <f t="shared" si="15"/>
        <v>44538.75</v>
      </c>
      <c r="E48" s="433">
        <v>0</v>
      </c>
      <c r="F48" s="364">
        <v>0</v>
      </c>
      <c r="G48" s="364">
        <v>0</v>
      </c>
      <c r="H48" s="364">
        <v>0</v>
      </c>
      <c r="I48" s="364">
        <v>0</v>
      </c>
      <c r="J48" s="364"/>
      <c r="K48" s="364"/>
      <c r="L48" s="364"/>
      <c r="M48" s="364"/>
      <c r="N48" s="365"/>
      <c r="O48" s="365"/>
      <c r="P48" s="365"/>
      <c r="Q48" s="364">
        <f t="shared" si="1"/>
        <v>222693.75</v>
      </c>
      <c r="R48" s="370">
        <f t="shared" si="14"/>
        <v>0</v>
      </c>
      <c r="S48" s="658">
        <f t="shared" si="16"/>
        <v>222693.75</v>
      </c>
      <c r="T48" s="656">
        <f t="shared" si="5"/>
        <v>222693.75</v>
      </c>
    </row>
    <row r="49" spans="2:22" x14ac:dyDescent="0.25">
      <c r="B49" s="66" t="s">
        <v>107</v>
      </c>
      <c r="C49" s="898">
        <v>603903</v>
      </c>
      <c r="D49" s="899">
        <f t="shared" si="15"/>
        <v>50325.25</v>
      </c>
      <c r="E49" s="899">
        <v>50344</v>
      </c>
      <c r="F49" s="898">
        <v>50344</v>
      </c>
      <c r="G49" s="898">
        <v>50344</v>
      </c>
      <c r="H49" s="898">
        <v>50344</v>
      </c>
      <c r="I49" s="898">
        <v>50344</v>
      </c>
      <c r="J49" s="898"/>
      <c r="K49" s="898"/>
      <c r="L49" s="898"/>
      <c r="M49" s="898"/>
      <c r="N49" s="900"/>
      <c r="O49" s="900"/>
      <c r="P49" s="900"/>
      <c r="Q49" s="364">
        <f t="shared" si="1"/>
        <v>251626.25</v>
      </c>
      <c r="R49" s="370">
        <f t="shared" si="14"/>
        <v>251720</v>
      </c>
      <c r="S49" s="658">
        <f t="shared" si="16"/>
        <v>-93.75</v>
      </c>
      <c r="T49" s="656">
        <f t="shared" si="5"/>
        <v>-93.75</v>
      </c>
    </row>
    <row r="50" spans="2:22" x14ac:dyDescent="0.25">
      <c r="B50" s="62" t="s">
        <v>108</v>
      </c>
      <c r="C50" s="364">
        <v>200000</v>
      </c>
      <c r="D50" s="433">
        <f t="shared" si="15"/>
        <v>16666.666666666668</v>
      </c>
      <c r="E50" s="433">
        <v>0</v>
      </c>
      <c r="F50" s="364">
        <v>0</v>
      </c>
      <c r="G50" s="364">
        <v>10000</v>
      </c>
      <c r="H50" s="364">
        <v>10000</v>
      </c>
      <c r="I50" s="364">
        <v>0</v>
      </c>
      <c r="J50" s="364"/>
      <c r="K50" s="364"/>
      <c r="L50" s="364"/>
      <c r="M50" s="364"/>
      <c r="N50" s="365"/>
      <c r="O50" s="365"/>
      <c r="P50" s="365"/>
      <c r="Q50" s="364">
        <f t="shared" si="1"/>
        <v>83333.333333333343</v>
      </c>
      <c r="R50" s="370">
        <f t="shared" si="14"/>
        <v>20000</v>
      </c>
      <c r="S50" s="658">
        <f t="shared" si="16"/>
        <v>63333.333333333343</v>
      </c>
      <c r="T50" s="656">
        <f t="shared" si="5"/>
        <v>63333.333333333343</v>
      </c>
    </row>
    <row r="51" spans="2:22" x14ac:dyDescent="0.25">
      <c r="B51" s="66" t="s">
        <v>109</v>
      </c>
      <c r="C51" s="898">
        <v>360000</v>
      </c>
      <c r="D51" s="899">
        <f t="shared" si="15"/>
        <v>30000</v>
      </c>
      <c r="E51" s="899">
        <v>0</v>
      </c>
      <c r="F51" s="898">
        <v>0</v>
      </c>
      <c r="G51" s="898">
        <v>26640</v>
      </c>
      <c r="H51" s="898">
        <v>4390</v>
      </c>
      <c r="I51" s="898">
        <v>27030</v>
      </c>
      <c r="J51" s="898"/>
      <c r="K51" s="898"/>
      <c r="L51" s="898"/>
      <c r="M51" s="898"/>
      <c r="N51" s="900"/>
      <c r="O51" s="900"/>
      <c r="P51" s="900"/>
      <c r="Q51" s="364">
        <f t="shared" si="1"/>
        <v>150000</v>
      </c>
      <c r="R51" s="370">
        <f t="shared" si="14"/>
        <v>58060</v>
      </c>
      <c r="S51" s="658">
        <f t="shared" si="16"/>
        <v>91940</v>
      </c>
      <c r="T51" s="656">
        <f t="shared" si="5"/>
        <v>91940</v>
      </c>
    </row>
    <row r="52" spans="2:22" x14ac:dyDescent="0.25">
      <c r="B52" s="62" t="s">
        <v>110</v>
      </c>
      <c r="C52" s="364">
        <v>150000</v>
      </c>
      <c r="D52" s="433">
        <f t="shared" si="15"/>
        <v>12500</v>
      </c>
      <c r="E52" s="433">
        <v>0</v>
      </c>
      <c r="F52" s="364">
        <v>0</v>
      </c>
      <c r="G52" s="364">
        <v>4500</v>
      </c>
      <c r="H52" s="364">
        <v>0</v>
      </c>
      <c r="I52" s="364">
        <v>0</v>
      </c>
      <c r="J52" s="364"/>
      <c r="K52" s="364"/>
      <c r="L52" s="364"/>
      <c r="M52" s="364"/>
      <c r="N52" s="365"/>
      <c r="O52" s="365"/>
      <c r="P52" s="365"/>
      <c r="Q52" s="364">
        <f t="shared" si="1"/>
        <v>62500</v>
      </c>
      <c r="R52" s="370">
        <f t="shared" si="14"/>
        <v>4500</v>
      </c>
      <c r="S52" s="658">
        <f t="shared" si="16"/>
        <v>58000</v>
      </c>
      <c r="T52" s="656">
        <f t="shared" si="5"/>
        <v>58000</v>
      </c>
    </row>
    <row r="53" spans="2:22" x14ac:dyDescent="0.25">
      <c r="B53" s="66" t="s">
        <v>111</v>
      </c>
      <c r="C53" s="898">
        <v>2700000</v>
      </c>
      <c r="D53" s="899">
        <f t="shared" si="15"/>
        <v>225000</v>
      </c>
      <c r="E53" s="899">
        <v>191152.44</v>
      </c>
      <c r="F53" s="898">
        <v>189522.6</v>
      </c>
      <c r="G53" s="898">
        <v>196603.1</v>
      </c>
      <c r="H53" s="898">
        <v>179705.1</v>
      </c>
      <c r="I53" s="898">
        <v>225057.48</v>
      </c>
      <c r="J53" s="898"/>
      <c r="K53" s="898"/>
      <c r="L53" s="898"/>
      <c r="M53" s="898"/>
      <c r="N53" s="900"/>
      <c r="O53" s="900"/>
      <c r="P53" s="900"/>
      <c r="Q53" s="364">
        <f t="shared" si="1"/>
        <v>1125000</v>
      </c>
      <c r="R53" s="370">
        <f t="shared" si="14"/>
        <v>982040.72</v>
      </c>
      <c r="S53" s="658">
        <f t="shared" si="16"/>
        <v>142959.28000000003</v>
      </c>
      <c r="T53" s="656">
        <f t="shared" si="5"/>
        <v>142959.28000000003</v>
      </c>
    </row>
    <row r="54" spans="2:22" s="145" customFormat="1" x14ac:dyDescent="0.25">
      <c r="B54" s="869" t="s">
        <v>68</v>
      </c>
      <c r="C54" s="901">
        <v>0</v>
      </c>
      <c r="D54" s="881">
        <f t="shared" si="15"/>
        <v>0</v>
      </c>
      <c r="E54" s="369">
        <v>0</v>
      </c>
      <c r="F54" s="370">
        <v>0</v>
      </c>
      <c r="G54" s="474">
        <v>1227</v>
      </c>
      <c r="H54" s="474">
        <v>5</v>
      </c>
      <c r="I54" s="474">
        <v>-1887</v>
      </c>
      <c r="J54" s="474"/>
      <c r="K54" s="474"/>
      <c r="L54" s="474"/>
      <c r="M54" s="474"/>
      <c r="N54" s="664"/>
      <c r="O54" s="474"/>
      <c r="P54" s="474"/>
      <c r="Q54" s="364">
        <f t="shared" si="1"/>
        <v>0</v>
      </c>
      <c r="R54" s="370">
        <f t="shared" si="14"/>
        <v>-655</v>
      </c>
      <c r="S54" s="658" t="e">
        <f>+#REF!-#REF!</f>
        <v>#REF!</v>
      </c>
      <c r="T54" s="656">
        <f t="shared" si="5"/>
        <v>655</v>
      </c>
    </row>
    <row r="55" spans="2:22" ht="15.75" hidden="1" customHeight="1" x14ac:dyDescent="0.25">
      <c r="B55" s="62" t="s">
        <v>112</v>
      </c>
      <c r="C55" s="659">
        <v>0</v>
      </c>
      <c r="D55" s="902">
        <f t="shared" si="15"/>
        <v>0</v>
      </c>
      <c r="E55" s="433"/>
      <c r="F55" s="364"/>
      <c r="G55" s="364"/>
      <c r="H55" s="364"/>
      <c r="I55" s="364"/>
      <c r="J55" s="364"/>
      <c r="K55" s="364"/>
      <c r="L55" s="364"/>
      <c r="M55" s="364"/>
      <c r="N55" s="365"/>
      <c r="O55" s="365"/>
      <c r="P55" s="365"/>
      <c r="Q55" s="364">
        <f t="shared" si="1"/>
        <v>0</v>
      </c>
      <c r="R55" s="370">
        <f t="shared" si="14"/>
        <v>0</v>
      </c>
      <c r="S55" s="658">
        <f t="shared" si="16"/>
        <v>0</v>
      </c>
      <c r="T55" s="656">
        <f t="shared" si="5"/>
        <v>0</v>
      </c>
    </row>
    <row r="56" spans="2:22" ht="13" x14ac:dyDescent="0.3">
      <c r="B56" s="67" t="s">
        <v>113</v>
      </c>
      <c r="C56" s="903">
        <f t="shared" ref="C56:I56" si="17">SUM(C46:C55)</f>
        <v>41759636</v>
      </c>
      <c r="D56" s="903">
        <f t="shared" si="17"/>
        <v>3479969.6666666665</v>
      </c>
      <c r="E56" s="903">
        <f t="shared" si="17"/>
        <v>3073400.44</v>
      </c>
      <c r="F56" s="903">
        <f t="shared" si="17"/>
        <v>3071770.6</v>
      </c>
      <c r="G56" s="903">
        <f t="shared" si="17"/>
        <v>3260328.1</v>
      </c>
      <c r="H56" s="903">
        <f t="shared" si="17"/>
        <v>4013875.1</v>
      </c>
      <c r="I56" s="362">
        <f t="shared" si="17"/>
        <v>3401383.48</v>
      </c>
      <c r="J56" s="903"/>
      <c r="K56" s="903"/>
      <c r="L56" s="903"/>
      <c r="M56" s="903"/>
      <c r="N56" s="903"/>
      <c r="O56" s="903"/>
      <c r="P56" s="903"/>
      <c r="Q56" s="364">
        <f>+D56*$B$5</f>
        <v>17399848.333333332</v>
      </c>
      <c r="R56" s="904">
        <f>SUM(R46:R55)</f>
        <v>16820757.719999999</v>
      </c>
      <c r="S56" s="882" t="e">
        <f>SUM(S46:S55)</f>
        <v>#REF!</v>
      </c>
      <c r="T56" s="661">
        <f>+Q56-R56</f>
        <v>579090.61333333328</v>
      </c>
    </row>
    <row r="57" spans="2:22" x14ac:dyDescent="0.25">
      <c r="B57" s="68" t="s">
        <v>118</v>
      </c>
      <c r="C57" s="903">
        <f>+C56+C44+C30+C34+C19</f>
        <v>356841927.21000004</v>
      </c>
      <c r="D57" s="406">
        <f>+D56+D44+D30+D19</f>
        <v>29736827.267500002</v>
      </c>
      <c r="E57" s="406">
        <f t="shared" ref="E57:P57" si="18">+E56+E44+E30+E34+E19</f>
        <v>29096206.32</v>
      </c>
      <c r="F57" s="362">
        <f t="shared" si="18"/>
        <v>28666715.600000001</v>
      </c>
      <c r="G57" s="903">
        <f t="shared" si="18"/>
        <v>29124953.100000001</v>
      </c>
      <c r="H57" s="903">
        <f t="shared" si="18"/>
        <v>26968598.100000001</v>
      </c>
      <c r="I57" s="362">
        <f t="shared" si="18"/>
        <v>29889745.48</v>
      </c>
      <c r="J57" s="903">
        <f t="shared" si="18"/>
        <v>0</v>
      </c>
      <c r="K57" s="903">
        <f t="shared" si="18"/>
        <v>0</v>
      </c>
      <c r="L57" s="903">
        <f t="shared" si="18"/>
        <v>0</v>
      </c>
      <c r="M57" s="903">
        <f t="shared" si="18"/>
        <v>0</v>
      </c>
      <c r="N57" s="903">
        <f t="shared" si="18"/>
        <v>0</v>
      </c>
      <c r="O57" s="903">
        <f t="shared" si="18"/>
        <v>0</v>
      </c>
      <c r="P57" s="903">
        <f t="shared" si="18"/>
        <v>0</v>
      </c>
      <c r="Q57" s="362">
        <f>+D57*$B$5</f>
        <v>148684136.33750001</v>
      </c>
      <c r="R57" s="904">
        <f>+R56+R44+R30+R34+R19</f>
        <v>143746218.59999999</v>
      </c>
      <c r="S57" s="904" t="e">
        <f>+S56+S44+S30+S34+S19</f>
        <v>#REF!</v>
      </c>
      <c r="T57" s="904">
        <f>+T56+T44+T30+T34+T19</f>
        <v>4937917.7375000194</v>
      </c>
      <c r="U57" s="462" t="s">
        <v>33</v>
      </c>
      <c r="V57" s="462" t="s">
        <v>33</v>
      </c>
    </row>
    <row r="58" spans="2:22" ht="13" x14ac:dyDescent="0.3">
      <c r="B58" s="52"/>
      <c r="C58" s="383"/>
      <c r="D58" s="435"/>
      <c r="E58" s="362"/>
      <c r="F58" s="382"/>
      <c r="G58" s="382"/>
      <c r="H58" s="382"/>
      <c r="I58" s="382"/>
      <c r="J58" s="665"/>
      <c r="K58" s="665"/>
      <c r="L58" s="665"/>
      <c r="M58" s="665"/>
      <c r="N58" s="666"/>
      <c r="O58" s="666"/>
      <c r="P58" s="666"/>
      <c r="Q58" s="373"/>
      <c r="R58" s="378"/>
      <c r="S58" s="662"/>
      <c r="T58" s="667"/>
    </row>
    <row r="59" spans="2:22" ht="13" x14ac:dyDescent="0.3">
      <c r="B59" s="905" t="s">
        <v>219</v>
      </c>
      <c r="C59" s="906">
        <f>SUM(C60:C64)</f>
        <v>0</v>
      </c>
      <c r="D59" s="865"/>
      <c r="E59" s="865">
        <f>SUM(E60:E64)</f>
        <v>451228.69</v>
      </c>
      <c r="F59" s="907">
        <f>SUM(F60:F64)</f>
        <v>472103.33999999997</v>
      </c>
      <c r="G59" s="907">
        <f>SUM(G60:G64)</f>
        <v>455679.26</v>
      </c>
      <c r="H59" s="907">
        <f>SUM(H60:H64)</f>
        <v>411197.13</v>
      </c>
      <c r="I59" s="907">
        <f>SUM(I60:I65)</f>
        <v>713029.05</v>
      </c>
      <c r="J59" s="907">
        <f t="shared" ref="J59:S59" si="19">SUM(J60:J64)</f>
        <v>0</v>
      </c>
      <c r="K59" s="907">
        <f t="shared" si="19"/>
        <v>0</v>
      </c>
      <c r="L59" s="907">
        <f t="shared" si="19"/>
        <v>0</v>
      </c>
      <c r="M59" s="907">
        <f t="shared" si="19"/>
        <v>0</v>
      </c>
      <c r="N59" s="908">
        <f t="shared" si="19"/>
        <v>0</v>
      </c>
      <c r="O59" s="908">
        <f t="shared" si="19"/>
        <v>0</v>
      </c>
      <c r="P59" s="908">
        <f t="shared" si="19"/>
        <v>0</v>
      </c>
      <c r="Q59" s="909">
        <f t="shared" si="19"/>
        <v>0</v>
      </c>
      <c r="R59" s="909">
        <f t="shared" si="19"/>
        <v>2254784.73</v>
      </c>
      <c r="S59" s="910">
        <f t="shared" si="19"/>
        <v>-2254784.73</v>
      </c>
      <c r="T59" s="661">
        <f>+R59</f>
        <v>2254784.73</v>
      </c>
    </row>
    <row r="60" spans="2:22" ht="13" x14ac:dyDescent="0.3">
      <c r="B60" s="106" t="s">
        <v>121</v>
      </c>
      <c r="C60" s="376"/>
      <c r="D60" s="361"/>
      <c r="E60" s="361">
        <v>69013</v>
      </c>
      <c r="F60" s="364">
        <v>95407</v>
      </c>
      <c r="G60" s="382">
        <v>139518</v>
      </c>
      <c r="H60" s="382">
        <v>92495</v>
      </c>
      <c r="I60" s="382">
        <v>136086</v>
      </c>
      <c r="J60" s="382"/>
      <c r="K60" s="382"/>
      <c r="L60" s="382"/>
      <c r="M60" s="382"/>
      <c r="N60" s="911"/>
      <c r="O60" s="911"/>
      <c r="P60" s="911"/>
      <c r="Q60" s="382">
        <v>0</v>
      </c>
      <c r="R60" s="912">
        <f>SUM(E60:P60)</f>
        <v>532519</v>
      </c>
      <c r="S60" s="668">
        <f>+Q60-R60</f>
        <v>-532519</v>
      </c>
      <c r="T60" s="657"/>
    </row>
    <row r="61" spans="2:22" ht="13" x14ac:dyDescent="0.3">
      <c r="B61" s="913" t="s">
        <v>122</v>
      </c>
      <c r="C61" s="914"/>
      <c r="D61" s="915"/>
      <c r="E61" s="915">
        <f>669.24+123715.45</f>
        <v>124384.69</v>
      </c>
      <c r="F61" s="916">
        <f>52094.04+1011.3</f>
        <v>53105.340000000004</v>
      </c>
      <c r="G61" s="916">
        <f>57021.36+1056.9</f>
        <v>58078.26</v>
      </c>
      <c r="H61" s="916">
        <f>1143+59728.13</f>
        <v>60871.13</v>
      </c>
      <c r="I61" s="916">
        <v>67835.31</v>
      </c>
      <c r="J61" s="916"/>
      <c r="K61" s="916"/>
      <c r="L61" s="916"/>
      <c r="M61" s="916"/>
      <c r="N61" s="917"/>
      <c r="O61" s="917"/>
      <c r="P61" s="917"/>
      <c r="Q61" s="382">
        <v>0</v>
      </c>
      <c r="R61" s="912">
        <f>SUM(E61:P61)</f>
        <v>364274.73</v>
      </c>
      <c r="S61" s="668">
        <f>+Q61-R61</f>
        <v>-364274.73</v>
      </c>
      <c r="T61" s="657"/>
    </row>
    <row r="62" spans="2:22" ht="13" x14ac:dyDescent="0.3">
      <c r="B62" s="106" t="s">
        <v>1227</v>
      </c>
      <c r="C62" s="376"/>
      <c r="D62" s="361"/>
      <c r="E62" s="361"/>
      <c r="F62" s="364">
        <v>0</v>
      </c>
      <c r="G62" s="382"/>
      <c r="H62" s="382"/>
      <c r="I62" s="382">
        <v>0</v>
      </c>
      <c r="J62" s="382">
        <v>0</v>
      </c>
      <c r="K62" s="382">
        <v>0</v>
      </c>
      <c r="L62" s="382"/>
      <c r="M62" s="382"/>
      <c r="N62" s="911"/>
      <c r="O62" s="911"/>
      <c r="P62" s="911"/>
      <c r="Q62" s="382">
        <v>0</v>
      </c>
      <c r="R62" s="912">
        <f>SUM(E62:P62)</f>
        <v>0</v>
      </c>
      <c r="S62" s="668">
        <f>+Q62-R62</f>
        <v>0</v>
      </c>
      <c r="T62" s="657"/>
    </row>
    <row r="63" spans="2:22" ht="13" x14ac:dyDescent="0.3">
      <c r="B63" s="913" t="s">
        <v>123</v>
      </c>
      <c r="C63" s="914"/>
      <c r="D63" s="915"/>
      <c r="E63" s="915">
        <v>257831</v>
      </c>
      <c r="F63" s="916">
        <v>323591</v>
      </c>
      <c r="G63" s="916">
        <v>257831</v>
      </c>
      <c r="H63" s="916">
        <v>257831</v>
      </c>
      <c r="I63" s="916">
        <v>257831</v>
      </c>
      <c r="J63" s="916"/>
      <c r="K63" s="916"/>
      <c r="L63" s="916"/>
      <c r="M63" s="916"/>
      <c r="N63" s="917"/>
      <c r="O63" s="917"/>
      <c r="P63" s="917"/>
      <c r="Q63" s="382">
        <v>0</v>
      </c>
      <c r="R63" s="912">
        <f>SUM(E63:P63)</f>
        <v>1354915</v>
      </c>
      <c r="S63" s="668">
        <f>+Q63-R63</f>
        <v>-1354915</v>
      </c>
      <c r="T63" s="657"/>
    </row>
    <row r="64" spans="2:22" ht="13" x14ac:dyDescent="0.3">
      <c r="B64" s="106" t="s">
        <v>124</v>
      </c>
      <c r="C64" s="376"/>
      <c r="D64" s="364"/>
      <c r="E64" s="364"/>
      <c r="F64" s="364"/>
      <c r="G64" s="382">
        <v>252</v>
      </c>
      <c r="H64" s="382"/>
      <c r="I64" s="382">
        <f>2321+503</f>
        <v>2824</v>
      </c>
      <c r="J64" s="665"/>
      <c r="K64" s="665"/>
      <c r="L64" s="665"/>
      <c r="M64" s="665"/>
      <c r="N64" s="666"/>
      <c r="O64" s="666"/>
      <c r="P64" s="666"/>
      <c r="Q64" s="382">
        <v>0</v>
      </c>
      <c r="R64" s="912">
        <f>SUM(E64:P64)</f>
        <v>3076</v>
      </c>
      <c r="S64" s="668">
        <f>+Q64-R64</f>
        <v>-3076</v>
      </c>
      <c r="T64" s="657"/>
    </row>
    <row r="65" spans="2:21" ht="13" x14ac:dyDescent="0.3">
      <c r="B65" s="918" t="s">
        <v>1410</v>
      </c>
      <c r="C65" s="919"/>
      <c r="D65" s="920"/>
      <c r="E65" s="920"/>
      <c r="F65" s="920"/>
      <c r="G65" s="886"/>
      <c r="H65" s="886"/>
      <c r="I65" s="916">
        <v>248452.74</v>
      </c>
      <c r="J65" s="665"/>
      <c r="K65" s="665"/>
      <c r="L65" s="665"/>
      <c r="M65" s="665"/>
      <c r="N65" s="666"/>
      <c r="O65" s="666"/>
      <c r="P65" s="666"/>
      <c r="Q65" s="382"/>
      <c r="R65" s="921"/>
      <c r="S65" s="668"/>
      <c r="T65" s="922"/>
    </row>
    <row r="66" spans="2:21" x14ac:dyDescent="0.25">
      <c r="B66" s="271" t="s">
        <v>566</v>
      </c>
      <c r="C66" s="384">
        <f>+C8-C57</f>
        <v>-0.21000003814697266</v>
      </c>
      <c r="D66" s="385">
        <f>+D8-D57</f>
        <v>-1.7500001937150955E-2</v>
      </c>
      <c r="E66" s="669">
        <f t="shared" ref="E66:K66" si="20">+E8-E57+E59</f>
        <v>56589.369999999704</v>
      </c>
      <c r="F66" s="669">
        <f t="shared" si="20"/>
        <v>506954.73999999848</v>
      </c>
      <c r="G66" s="385">
        <f t="shared" si="20"/>
        <v>32293.159999998519</v>
      </c>
      <c r="H66" s="385">
        <f t="shared" si="20"/>
        <v>6280234.0299999984</v>
      </c>
      <c r="I66" s="385">
        <f t="shared" si="20"/>
        <v>558867.5699999996</v>
      </c>
      <c r="J66" s="385">
        <f t="shared" si="20"/>
        <v>0</v>
      </c>
      <c r="K66" s="385">
        <f t="shared" si="20"/>
        <v>0</v>
      </c>
      <c r="L66" s="385"/>
      <c r="M66" s="385">
        <f>+M8-M57+M59</f>
        <v>0</v>
      </c>
      <c r="N66" s="386">
        <f>+N8-N57+N59</f>
        <v>0</v>
      </c>
      <c r="O66" s="386">
        <f>+O8-O57+O59</f>
        <v>0</v>
      </c>
      <c r="P66" s="386">
        <f>+P8-P57+P59</f>
        <v>0</v>
      </c>
      <c r="Q66" s="382">
        <v>0</v>
      </c>
      <c r="R66" s="670">
        <f>+R8-R57+R59</f>
        <v>7186486.1300000064</v>
      </c>
      <c r="S66" s="670" t="e">
        <f>+S8-S57+S59</f>
        <v>#REF!</v>
      </c>
      <c r="T66" s="670">
        <f>+T57-T8+T59</f>
        <v>7186486.2175000198</v>
      </c>
    </row>
    <row r="67" spans="2:21" hidden="1" x14ac:dyDescent="0.25">
      <c r="B67" s="415"/>
      <c r="C67" s="353"/>
      <c r="D67" s="353"/>
      <c r="E67" s="353"/>
      <c r="F67" s="387">
        <f>SUM(E66:F66)</f>
        <v>563544.10999999824</v>
      </c>
      <c r="G67" s="387">
        <f>SUM(E66:G66)</f>
        <v>595837.26999999676</v>
      </c>
      <c r="H67" s="387">
        <f>SUM(E66:H66)</f>
        <v>6876071.2999999952</v>
      </c>
      <c r="I67" s="387">
        <f>SUM(E66:I66)</f>
        <v>7434938.8699999945</v>
      </c>
      <c r="O67" s="388"/>
      <c r="P67" s="388"/>
      <c r="R67" s="671"/>
      <c r="T67" s="667"/>
    </row>
    <row r="68" spans="2:21" x14ac:dyDescent="0.25">
      <c r="B68" s="672"/>
      <c r="C68" s="408"/>
      <c r="D68" s="408"/>
      <c r="E68" s="408"/>
      <c r="F68" s="408"/>
      <c r="G68" s="408"/>
      <c r="H68" s="408"/>
      <c r="I68" s="433">
        <f>SUM(E66:I66)</f>
        <v>7434938.8699999945</v>
      </c>
      <c r="J68" s="408"/>
      <c r="K68" s="408"/>
      <c r="L68" s="408"/>
      <c r="M68" s="408"/>
      <c r="N68" s="673" t="s">
        <v>33</v>
      </c>
      <c r="O68" s="407" t="s">
        <v>33</v>
      </c>
      <c r="P68" s="407"/>
      <c r="Q68" s="356"/>
      <c r="R68" s="370"/>
      <c r="S68" s="389" t="e">
        <f>+R66+S66</f>
        <v>#REF!</v>
      </c>
      <c r="T68" s="44"/>
      <c r="U68" s="462" t="s">
        <v>33</v>
      </c>
    </row>
    <row r="69" spans="2:21" x14ac:dyDescent="0.25">
      <c r="B69" s="289" t="s">
        <v>456</v>
      </c>
      <c r="C69" s="474"/>
      <c r="D69" s="474"/>
      <c r="E69" s="474"/>
      <c r="F69" s="674" t="s">
        <v>40</v>
      </c>
      <c r="G69" s="474"/>
      <c r="H69" s="474"/>
      <c r="I69" s="474"/>
      <c r="J69" s="474"/>
      <c r="K69" s="404" t="s">
        <v>40</v>
      </c>
      <c r="L69" s="474"/>
      <c r="M69" s="440"/>
      <c r="N69" s="664"/>
      <c r="O69" s="474"/>
      <c r="P69" s="474"/>
      <c r="Q69" s="440"/>
      <c r="R69" s="440"/>
      <c r="S69" s="405"/>
      <c r="T69" s="145"/>
    </row>
    <row r="70" spans="2:21" x14ac:dyDescent="0.25">
      <c r="B70" s="289" t="s">
        <v>119</v>
      </c>
      <c r="C70" s="474"/>
      <c r="D70" s="474"/>
      <c r="E70" s="474"/>
      <c r="F70" s="474" t="s">
        <v>48</v>
      </c>
      <c r="G70" s="474"/>
      <c r="H70" s="474"/>
      <c r="I70" s="474"/>
      <c r="J70" s="440"/>
      <c r="K70" s="675" t="s">
        <v>48</v>
      </c>
      <c r="L70" s="440"/>
      <c r="M70" s="474"/>
      <c r="N70" s="664"/>
      <c r="O70" s="474" t="s">
        <v>33</v>
      </c>
      <c r="P70" s="474"/>
      <c r="Q70" s="474"/>
      <c r="R70" s="440" t="s">
        <v>33</v>
      </c>
      <c r="S70" s="405"/>
      <c r="T70" s="145"/>
    </row>
    <row r="71" spans="2:21" x14ac:dyDescent="0.25">
      <c r="B71" s="145"/>
      <c r="C71" s="474"/>
      <c r="D71" s="474"/>
      <c r="E71" s="474"/>
      <c r="F71" s="474"/>
      <c r="G71" s="474"/>
      <c r="H71" s="474"/>
      <c r="I71" s="474"/>
      <c r="J71" s="474"/>
      <c r="K71" s="474"/>
      <c r="L71" s="474"/>
      <c r="M71" s="474"/>
      <c r="N71" s="664"/>
      <c r="O71" s="474"/>
      <c r="P71" s="474"/>
      <c r="Q71" s="474"/>
      <c r="R71" s="440"/>
      <c r="S71" s="405"/>
      <c r="T71" s="145"/>
    </row>
    <row r="72" spans="2:21" x14ac:dyDescent="0.25">
      <c r="B72" s="145"/>
      <c r="C72" s="474"/>
      <c r="D72" s="474"/>
      <c r="E72" s="474"/>
      <c r="F72" s="474"/>
      <c r="G72" s="474"/>
      <c r="H72" s="474"/>
      <c r="I72" s="474"/>
      <c r="J72" s="474"/>
      <c r="K72" s="474"/>
      <c r="L72" s="474"/>
      <c r="M72" s="474"/>
      <c r="N72" s="664"/>
      <c r="O72" s="474"/>
      <c r="P72" s="474"/>
      <c r="Q72" s="474"/>
      <c r="R72" s="440"/>
      <c r="S72" s="405"/>
      <c r="T72" s="145"/>
    </row>
    <row r="73" spans="2:21" x14ac:dyDescent="0.25">
      <c r="F73" s="353" t="s">
        <v>33</v>
      </c>
      <c r="H73" s="353"/>
      <c r="T73" s="42"/>
    </row>
    <row r="74" spans="2:21" x14ac:dyDescent="0.25">
      <c r="G74" s="353"/>
      <c r="I74" s="353"/>
      <c r="T74" s="42"/>
    </row>
    <row r="76" spans="2:21" x14ac:dyDescent="0.25">
      <c r="B76" s="1633" t="s">
        <v>962</v>
      </c>
      <c r="C76" s="1634"/>
      <c r="D76"/>
    </row>
    <row r="77" spans="2:21" x14ac:dyDescent="0.25">
      <c r="B77" s="302" t="s">
        <v>773</v>
      </c>
      <c r="C77" s="638">
        <f>-49920464</f>
        <v>-49920464</v>
      </c>
      <c r="D77"/>
    </row>
    <row r="78" spans="2:21" x14ac:dyDescent="0.25">
      <c r="B78" s="639" t="s">
        <v>963</v>
      </c>
      <c r="C78" s="640">
        <v>-893269.33</v>
      </c>
      <c r="D78"/>
    </row>
    <row r="79" spans="2:21" x14ac:dyDescent="0.25">
      <c r="B79" s="641" t="s">
        <v>964</v>
      </c>
      <c r="C79" s="642">
        <f>SUM(C77:C78)</f>
        <v>-50813733.329999998</v>
      </c>
      <c r="D79"/>
    </row>
    <row r="80" spans="2:21" x14ac:dyDescent="0.25">
      <c r="B80" s="639" t="s">
        <v>965</v>
      </c>
      <c r="C80" s="643"/>
      <c r="D80"/>
    </row>
    <row r="81" spans="2:4" x14ac:dyDescent="0.25">
      <c r="B81" s="302" t="s">
        <v>75</v>
      </c>
      <c r="C81" s="640">
        <v>7425682</v>
      </c>
      <c r="D81"/>
    </row>
    <row r="82" spans="2:4" x14ac:dyDescent="0.25">
      <c r="B82" s="302" t="s">
        <v>58</v>
      </c>
      <c r="C82" s="640">
        <v>8550122</v>
      </c>
      <c r="D82"/>
    </row>
    <row r="83" spans="2:4" x14ac:dyDescent="0.25">
      <c r="B83" s="302" t="s">
        <v>220</v>
      </c>
      <c r="C83" s="640">
        <v>3837291</v>
      </c>
      <c r="D83"/>
    </row>
    <row r="84" spans="2:4" x14ac:dyDescent="0.25">
      <c r="B84" s="302" t="s">
        <v>224</v>
      </c>
      <c r="C84" s="640">
        <v>23006463.5</v>
      </c>
      <c r="D84"/>
    </row>
    <row r="85" spans="2:4" x14ac:dyDescent="0.25">
      <c r="B85" s="302" t="s">
        <v>966</v>
      </c>
      <c r="C85" s="640">
        <v>7994163.0700000003</v>
      </c>
      <c r="D85"/>
    </row>
    <row r="86" spans="2:4" x14ac:dyDescent="0.25">
      <c r="B86" s="644" t="s">
        <v>967</v>
      </c>
      <c r="C86" s="645">
        <f>SUM(C81:C85)</f>
        <v>50813721.57</v>
      </c>
      <c r="D86"/>
    </row>
    <row r="87" spans="2:4" x14ac:dyDescent="0.25">
      <c r="C87" s="325"/>
      <c r="D87"/>
    </row>
    <row r="88" spans="2:4" x14ac:dyDescent="0.25">
      <c r="C88" s="325"/>
      <c r="D88"/>
    </row>
    <row r="89" spans="2:4" x14ac:dyDescent="0.25">
      <c r="B89" s="1633" t="s">
        <v>962</v>
      </c>
      <c r="C89" s="1634"/>
      <c r="D89"/>
    </row>
    <row r="90" spans="2:4" x14ac:dyDescent="0.25">
      <c r="B90" s="302" t="s">
        <v>773</v>
      </c>
      <c r="C90" s="638">
        <f>-49920464</f>
        <v>-49920464</v>
      </c>
    </row>
    <row r="91" spans="2:4" x14ac:dyDescent="0.25">
      <c r="B91" s="639" t="s">
        <v>963</v>
      </c>
      <c r="C91" s="640">
        <v>-893269.33</v>
      </c>
    </row>
    <row r="92" spans="2:4" x14ac:dyDescent="0.25">
      <c r="B92" s="641" t="s">
        <v>964</v>
      </c>
      <c r="C92" s="642">
        <f>SUM(C90:C91)</f>
        <v>-50813733.329999998</v>
      </c>
    </row>
    <row r="93" spans="2:4" x14ac:dyDescent="0.25">
      <c r="B93" s="639" t="s">
        <v>965</v>
      </c>
      <c r="C93" s="643"/>
    </row>
    <row r="94" spans="2:4" x14ac:dyDescent="0.25">
      <c r="B94" s="302" t="s">
        <v>75</v>
      </c>
      <c r="C94" s="640">
        <v>7425682</v>
      </c>
    </row>
    <row r="95" spans="2:4" x14ac:dyDescent="0.25">
      <c r="B95" s="302" t="s">
        <v>58</v>
      </c>
      <c r="C95" s="640">
        <v>0</v>
      </c>
    </row>
    <row r="96" spans="2:4" x14ac:dyDescent="0.25">
      <c r="B96" s="302" t="s">
        <v>220</v>
      </c>
      <c r="C96" s="640">
        <v>3837291</v>
      </c>
    </row>
    <row r="97" spans="2:3" x14ac:dyDescent="0.25">
      <c r="B97" s="302" t="s">
        <v>224</v>
      </c>
      <c r="C97" s="640">
        <v>0</v>
      </c>
    </row>
    <row r="98" spans="2:3" x14ac:dyDescent="0.25">
      <c r="B98" s="302" t="s">
        <v>966</v>
      </c>
      <c r="C98" s="640">
        <v>7994163.0700000003</v>
      </c>
    </row>
    <row r="99" spans="2:3" x14ac:dyDescent="0.25">
      <c r="B99" s="644" t="s">
        <v>967</v>
      </c>
      <c r="C99" s="645">
        <f>SUM(C94:C98)</f>
        <v>19257136.07</v>
      </c>
    </row>
    <row r="100" spans="2:3" x14ac:dyDescent="0.25">
      <c r="C100"/>
    </row>
    <row r="101" spans="2:3" x14ac:dyDescent="0.25">
      <c r="B101" s="289" t="s">
        <v>1402</v>
      </c>
      <c r="C101" s="404">
        <v>31805050</v>
      </c>
    </row>
  </sheetData>
  <mergeCells count="4">
    <mergeCell ref="B1:S1"/>
    <mergeCell ref="B3:S3"/>
    <mergeCell ref="B76:C76"/>
    <mergeCell ref="B89:C89"/>
  </mergeCells>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6EE9B-1C11-4AB0-A027-31B17716BEE2}">
  <sheetPr>
    <tabColor rgb="FFFFFF00"/>
  </sheetPr>
  <dimension ref="A1:BI150"/>
  <sheetViews>
    <sheetView topLeftCell="D22" zoomScale="81" zoomScaleNormal="81" workbookViewId="0">
      <selection activeCell="B1" sqref="A1:XFD1048576"/>
    </sheetView>
  </sheetViews>
  <sheetFormatPr baseColWidth="10" defaultColWidth="10.90625" defaultRowHeight="12.5" x14ac:dyDescent="0.25"/>
  <cols>
    <col min="1" max="1" width="3.54296875" customWidth="1"/>
    <col min="2" max="2" width="28.26953125" customWidth="1"/>
    <col min="3" max="3" width="14.81640625" style="352" customWidth="1"/>
    <col min="4" max="4" width="10.453125" style="352" customWidth="1"/>
    <col min="5" max="5" width="11.7265625" style="352" hidden="1" customWidth="1"/>
    <col min="6" max="6" width="12.54296875" style="352" hidden="1" customWidth="1"/>
    <col min="7" max="7" width="11.81640625" style="352" hidden="1" customWidth="1"/>
    <col min="8" max="8" width="12" style="352" hidden="1" customWidth="1"/>
    <col min="9" max="9" width="12.1796875" style="352" hidden="1" customWidth="1"/>
    <col min="10" max="10" width="11.7265625" style="352" hidden="1" customWidth="1"/>
    <col min="11" max="13" width="15.7265625" style="352" hidden="1" customWidth="1"/>
    <col min="14" max="14" width="15.7265625" style="388" hidden="1" customWidth="1"/>
    <col min="15" max="16" width="15.7265625" style="352" hidden="1" customWidth="1"/>
    <col min="17" max="17" width="13.453125" style="352" customWidth="1"/>
    <col min="18" max="18" width="15.54296875" style="353" customWidth="1"/>
    <col min="19" max="19" width="15.453125" style="389" customWidth="1"/>
    <col min="21" max="25" width="0" hidden="1" customWidth="1"/>
    <col min="28" max="31" width="11.54296875" customWidth="1"/>
    <col min="34" max="34" width="10.90625" customWidth="1"/>
    <col min="35" max="36" width="12.7265625" customWidth="1"/>
    <col min="37" max="37" width="12.6328125" customWidth="1"/>
  </cols>
  <sheetData>
    <row r="1" spans="1:48" x14ac:dyDescent="0.25">
      <c r="B1" s="1649" t="s">
        <v>218</v>
      </c>
      <c r="C1" s="1650"/>
      <c r="D1" s="1650"/>
      <c r="E1" s="1650"/>
      <c r="F1" s="1650"/>
      <c r="G1" s="1650"/>
      <c r="H1" s="1650"/>
      <c r="I1" s="1650"/>
      <c r="J1" s="1650"/>
      <c r="K1" s="1650"/>
      <c r="L1" s="1650"/>
      <c r="M1" s="1650"/>
      <c r="N1" s="1650"/>
      <c r="O1" s="1650"/>
      <c r="P1" s="1650"/>
      <c r="Q1" s="1650"/>
      <c r="R1" s="1650"/>
      <c r="S1" s="1651"/>
    </row>
    <row r="2" spans="1:48" ht="9" customHeight="1" x14ac:dyDescent="0.25">
      <c r="B2" s="104"/>
      <c r="S2" s="354"/>
    </row>
    <row r="3" spans="1:48" x14ac:dyDescent="0.25">
      <c r="B3" s="1652" t="s">
        <v>1220</v>
      </c>
      <c r="C3" s="1653"/>
      <c r="D3" s="1653"/>
      <c r="E3" s="1653"/>
      <c r="F3" s="1653"/>
      <c r="G3" s="1653"/>
      <c r="H3" s="1653"/>
      <c r="I3" s="1653"/>
      <c r="J3" s="1653"/>
      <c r="K3" s="1653"/>
      <c r="L3" s="1653"/>
      <c r="M3" s="1653"/>
      <c r="N3" s="1653"/>
      <c r="O3" s="1653"/>
      <c r="P3" s="1653"/>
      <c r="Q3" s="1653"/>
      <c r="R3" s="1653"/>
      <c r="S3" s="1654"/>
    </row>
    <row r="4" spans="1:48" x14ac:dyDescent="0.25">
      <c r="B4" s="105"/>
      <c r="C4" s="650"/>
      <c r="D4" s="650"/>
      <c r="E4" s="650"/>
      <c r="F4" s="650"/>
      <c r="G4" s="650"/>
      <c r="H4" s="650"/>
      <c r="I4" s="650"/>
      <c r="J4" s="650"/>
      <c r="K4" s="650"/>
      <c r="L4" s="650"/>
      <c r="M4" s="650"/>
      <c r="N4" s="651"/>
      <c r="O4" s="650"/>
      <c r="P4" s="650"/>
      <c r="Q4" s="650"/>
      <c r="R4" s="652"/>
      <c r="S4" s="355"/>
    </row>
    <row r="5" spans="1:48" ht="23.25" customHeight="1" x14ac:dyDescent="0.3">
      <c r="A5">
        <v>12</v>
      </c>
      <c r="B5" s="13">
        <v>5</v>
      </c>
      <c r="C5" s="745" t="s">
        <v>1408</v>
      </c>
      <c r="D5" s="746" t="s">
        <v>1221</v>
      </c>
      <c r="E5" s="357" t="s">
        <v>14</v>
      </c>
      <c r="F5" s="357" t="s">
        <v>15</v>
      </c>
      <c r="G5" s="357" t="s">
        <v>1222</v>
      </c>
      <c r="H5" s="357" t="s">
        <v>16</v>
      </c>
      <c r="I5" s="357" t="s">
        <v>17</v>
      </c>
      <c r="J5" s="357" t="s">
        <v>18</v>
      </c>
      <c r="K5" s="357" t="s">
        <v>19</v>
      </c>
      <c r="L5" s="357" t="s">
        <v>20</v>
      </c>
      <c r="M5" s="357" t="s">
        <v>21</v>
      </c>
      <c r="N5" s="358" t="s">
        <v>22</v>
      </c>
      <c r="O5" s="357" t="s">
        <v>23</v>
      </c>
      <c r="P5" s="357" t="s">
        <v>24</v>
      </c>
      <c r="Q5" s="359" t="s">
        <v>25</v>
      </c>
      <c r="R5" s="360" t="s">
        <v>26</v>
      </c>
      <c r="S5" s="653" t="s">
        <v>46</v>
      </c>
      <c r="T5" s="654" t="s">
        <v>1223</v>
      </c>
    </row>
    <row r="6" spans="1:48" x14ac:dyDescent="0.25">
      <c r="B6" s="53" t="s">
        <v>45</v>
      </c>
      <c r="C6" s="362">
        <v>353308839</v>
      </c>
      <c r="D6" s="362">
        <f>+C6/12</f>
        <v>29442403.25</v>
      </c>
      <c r="E6" s="362">
        <f>-287015+28701567</f>
        <v>28414552</v>
      </c>
      <c r="F6" s="362">
        <v>28414552</v>
      </c>
      <c r="G6" s="362">
        <v>28414552</v>
      </c>
      <c r="H6" s="362">
        <f>+H8-H7</f>
        <v>32509259</v>
      </c>
      <c r="I6" s="362">
        <f>29735584-I7</f>
        <v>29438226</v>
      </c>
      <c r="J6" s="362"/>
      <c r="K6" s="362"/>
      <c r="L6" s="362"/>
      <c r="M6" s="362"/>
      <c r="N6" s="363"/>
      <c r="O6" s="363"/>
      <c r="P6" s="363"/>
      <c r="Q6" s="364">
        <f>+D6*$B$5</f>
        <v>147212016.25</v>
      </c>
      <c r="R6" s="364">
        <f>SUM(E6:P6)</f>
        <v>147191141</v>
      </c>
      <c r="S6" s="655">
        <f>+Q6-R6</f>
        <v>20875.25</v>
      </c>
      <c r="T6" s="656">
        <f>+Q6-R6</f>
        <v>20875.25</v>
      </c>
      <c r="Z6" s="352"/>
      <c r="AA6" s="352"/>
      <c r="AB6" s="352"/>
      <c r="AC6" s="352"/>
      <c r="AD6" s="352"/>
      <c r="AE6" s="352"/>
      <c r="AF6" s="352"/>
      <c r="AG6" s="352"/>
      <c r="AH6" s="352"/>
      <c r="AI6" s="352"/>
      <c r="AJ6" s="352"/>
      <c r="AK6" s="352"/>
      <c r="AL6" s="352"/>
      <c r="AM6" s="352"/>
      <c r="AN6" s="352"/>
      <c r="AO6" s="352"/>
      <c r="AP6" s="352"/>
      <c r="AQ6" s="352"/>
      <c r="AR6" s="352"/>
      <c r="AS6" s="352"/>
      <c r="AT6" s="352"/>
      <c r="AU6" s="352"/>
      <c r="AV6" s="352"/>
    </row>
    <row r="7" spans="1:48" x14ac:dyDescent="0.25">
      <c r="B7" s="13" t="s">
        <v>120</v>
      </c>
      <c r="C7" s="364">
        <v>3533088</v>
      </c>
      <c r="D7" s="362">
        <f>+C7/12</f>
        <v>294424</v>
      </c>
      <c r="E7" s="364">
        <v>287015</v>
      </c>
      <c r="F7" s="364">
        <v>287015</v>
      </c>
      <c r="G7" s="364">
        <v>287015</v>
      </c>
      <c r="H7" s="364">
        <v>328376</v>
      </c>
      <c r="I7" s="364">
        <v>297358</v>
      </c>
      <c r="J7" s="364"/>
      <c r="K7" s="364"/>
      <c r="L7" s="364"/>
      <c r="M7" s="364"/>
      <c r="N7" s="365"/>
      <c r="O7" s="365"/>
      <c r="P7" s="365"/>
      <c r="Q7" s="364">
        <f>+D7*$B$5</f>
        <v>1472120</v>
      </c>
      <c r="R7" s="364">
        <f>SUM(E7:P7)</f>
        <v>1486779</v>
      </c>
      <c r="S7" s="655">
        <f>+Q7-R7</f>
        <v>-14659</v>
      </c>
      <c r="T7" s="656">
        <f>+Q7-R7</f>
        <v>-14659</v>
      </c>
      <c r="Z7" s="352"/>
      <c r="AA7" s="1657" t="s">
        <v>776</v>
      </c>
      <c r="AB7" s="1657"/>
      <c r="AC7" s="1657"/>
      <c r="AD7" s="1657"/>
      <c r="AE7" s="1657"/>
      <c r="AF7" s="1657"/>
      <c r="AG7" s="352"/>
      <c r="AH7" s="352"/>
      <c r="AI7" s="352"/>
      <c r="AJ7" s="352"/>
      <c r="AK7" s="352"/>
      <c r="AL7" s="352"/>
      <c r="AM7" s="352"/>
      <c r="AN7" s="352"/>
      <c r="AO7" s="352"/>
      <c r="AP7" s="352"/>
      <c r="AQ7" s="352"/>
      <c r="AR7" s="352"/>
      <c r="AS7" s="352"/>
      <c r="AT7" s="352"/>
      <c r="AU7" s="352"/>
      <c r="AV7" s="352"/>
    </row>
    <row r="8" spans="1:48" ht="14" x14ac:dyDescent="0.3">
      <c r="B8" s="677" t="s">
        <v>125</v>
      </c>
      <c r="C8" s="678">
        <f>+C6+C7</f>
        <v>356841927</v>
      </c>
      <c r="D8" s="678">
        <f t="shared" ref="D8:K8" si="0">SUM(D6:D7)</f>
        <v>29736827.25</v>
      </c>
      <c r="E8" s="678">
        <f t="shared" si="0"/>
        <v>28701567</v>
      </c>
      <c r="F8" s="678">
        <f t="shared" si="0"/>
        <v>28701567</v>
      </c>
      <c r="G8" s="678">
        <f t="shared" si="0"/>
        <v>28701567</v>
      </c>
      <c r="H8" s="678">
        <v>32837635</v>
      </c>
      <c r="I8" s="678">
        <f>+I6+I7</f>
        <v>29735584</v>
      </c>
      <c r="J8" s="678">
        <f t="shared" si="0"/>
        <v>0</v>
      </c>
      <c r="K8" s="678">
        <f t="shared" si="0"/>
        <v>0</v>
      </c>
      <c r="L8" s="678">
        <v>0</v>
      </c>
      <c r="M8" s="678">
        <f>SUM(M6:M7)</f>
        <v>0</v>
      </c>
      <c r="N8" s="679">
        <f>SUM(N6:N7)</f>
        <v>0</v>
      </c>
      <c r="O8" s="679">
        <f>SUM(O6:O7)</f>
        <v>0</v>
      </c>
      <c r="P8" s="679">
        <f>SUM(P6:P7)</f>
        <v>0</v>
      </c>
      <c r="Q8" s="680">
        <f t="shared" ref="Q8:Q55" si="1">+D8*$B$5</f>
        <v>148684136.25</v>
      </c>
      <c r="R8" s="678">
        <f>SUM(R6:R7)</f>
        <v>148677920</v>
      </c>
      <c r="S8" s="681">
        <f>+Q8-R8</f>
        <v>6216.25</v>
      </c>
      <c r="T8" s="682">
        <f>+Q8-R8</f>
        <v>6216.25</v>
      </c>
      <c r="Z8" s="352"/>
      <c r="AA8" s="352"/>
      <c r="AB8" s="352"/>
      <c r="AC8" s="352"/>
      <c r="AD8" s="352"/>
      <c r="AE8" s="352"/>
      <c r="AF8" s="353">
        <f>281797442-AC10</f>
        <v>133113305.75</v>
      </c>
      <c r="AG8" s="352"/>
      <c r="AH8" s="352"/>
      <c r="AI8" s="352"/>
      <c r="AJ8" s="352"/>
      <c r="AK8" s="352"/>
      <c r="AL8" s="352"/>
      <c r="AM8" s="352"/>
      <c r="AN8" s="352"/>
      <c r="AO8" s="352"/>
      <c r="AP8" s="352"/>
      <c r="AQ8" s="352"/>
      <c r="AR8" s="352"/>
      <c r="AS8" s="352"/>
      <c r="AT8" s="352"/>
      <c r="AU8" s="352"/>
      <c r="AV8" s="352"/>
    </row>
    <row r="9" spans="1:48" ht="15.5" x14ac:dyDescent="0.25">
      <c r="B9" s="59" t="s">
        <v>77</v>
      </c>
      <c r="C9" s="366"/>
      <c r="D9" s="431" t="s">
        <v>33</v>
      </c>
      <c r="E9" s="431" t="s">
        <v>33</v>
      </c>
      <c r="F9" s="367"/>
      <c r="G9" s="367"/>
      <c r="H9" s="367"/>
      <c r="I9" s="367"/>
      <c r="J9" s="367"/>
      <c r="K9" s="367"/>
      <c r="L9" s="367"/>
      <c r="M9" s="367"/>
      <c r="N9" s="365"/>
      <c r="O9" s="365"/>
      <c r="P9" s="365"/>
      <c r="Q9" s="364" t="s">
        <v>33</v>
      </c>
      <c r="R9" s="364"/>
      <c r="S9" s="655"/>
      <c r="T9" s="657" t="s">
        <v>33</v>
      </c>
      <c r="Z9" s="747"/>
      <c r="AA9" s="747"/>
      <c r="AB9" s="747"/>
      <c r="AC9" s="747"/>
      <c r="AD9" s="747"/>
      <c r="AE9" s="747"/>
      <c r="AF9" s="747"/>
      <c r="AG9" s="747"/>
      <c r="AH9" s="753"/>
      <c r="AI9" s="753"/>
      <c r="AJ9" s="753"/>
      <c r="AK9" s="753"/>
      <c r="AL9" s="753"/>
      <c r="AM9" s="753"/>
      <c r="AN9" s="753"/>
      <c r="AO9" s="753"/>
      <c r="AP9" s="352"/>
      <c r="AQ9" s="352"/>
      <c r="AR9" s="453"/>
      <c r="AS9" s="352"/>
      <c r="AT9" s="353"/>
      <c r="AV9" s="352"/>
    </row>
    <row r="10" spans="1:48" ht="16.5" customHeight="1" x14ac:dyDescent="0.25">
      <c r="B10" s="60" t="s">
        <v>78</v>
      </c>
      <c r="C10" s="368"/>
      <c r="D10" s="369"/>
      <c r="E10" s="369"/>
      <c r="F10" s="371"/>
      <c r="G10" s="371"/>
      <c r="H10" s="371"/>
      <c r="I10" s="371"/>
      <c r="J10" s="371"/>
      <c r="K10" s="371"/>
      <c r="L10" s="371"/>
      <c r="M10" s="371"/>
      <c r="N10" s="372"/>
      <c r="O10" s="372"/>
      <c r="P10" s="372"/>
      <c r="Q10" s="364" t="s">
        <v>33</v>
      </c>
      <c r="R10" s="370"/>
      <c r="S10" s="658"/>
      <c r="T10" s="657" t="s">
        <v>33</v>
      </c>
      <c r="Z10" s="747"/>
      <c r="AA10" s="747" t="s">
        <v>777</v>
      </c>
      <c r="AB10" s="748"/>
      <c r="AC10" s="749">
        <f>Q8</f>
        <v>148684136.25</v>
      </c>
      <c r="AD10" s="749"/>
      <c r="AE10" s="749"/>
      <c r="AF10" s="747"/>
      <c r="AG10" s="747"/>
      <c r="AH10" s="753" t="s">
        <v>1411</v>
      </c>
      <c r="AI10" s="754"/>
      <c r="AJ10" s="754"/>
      <c r="AK10" s="755">
        <f>Q57</f>
        <v>148684136.33750001</v>
      </c>
      <c r="AL10" s="753"/>
      <c r="AM10" s="753"/>
      <c r="AN10" s="753"/>
      <c r="AO10" s="753"/>
      <c r="AP10" s="352"/>
      <c r="AQ10" s="352"/>
      <c r="AR10" s="453"/>
      <c r="AS10" s="352"/>
      <c r="AT10" s="923"/>
      <c r="AV10" s="352"/>
    </row>
    <row r="11" spans="1:48" x14ac:dyDescent="0.25">
      <c r="B11" s="61" t="s">
        <v>79</v>
      </c>
      <c r="C11" s="659">
        <v>33199438.319999997</v>
      </c>
      <c r="D11" s="432">
        <f>+C11/12</f>
        <v>2766619.86</v>
      </c>
      <c r="E11" s="432">
        <v>2766619</v>
      </c>
      <c r="F11" s="374">
        <v>2766619</v>
      </c>
      <c r="G11" s="374">
        <v>2766619</v>
      </c>
      <c r="H11" s="374">
        <v>2766619</v>
      </c>
      <c r="I11" s="374">
        <v>2827988</v>
      </c>
      <c r="J11" s="374"/>
      <c r="K11" s="374"/>
      <c r="L11" s="374"/>
      <c r="M11" s="374"/>
      <c r="N11" s="375"/>
      <c r="O11" s="375"/>
      <c r="P11" s="375"/>
      <c r="Q11" s="364">
        <f t="shared" si="1"/>
        <v>13833099.299999999</v>
      </c>
      <c r="R11" s="364">
        <f t="shared" ref="R11:R17" si="2">SUM(E11:P11)</f>
        <v>13894464</v>
      </c>
      <c r="S11" s="655">
        <f t="shared" ref="S11:S18" si="3">+Q11-R11</f>
        <v>-61364.700000001118</v>
      </c>
      <c r="T11" s="656">
        <f>+Q11-R11</f>
        <v>-61364.700000001118</v>
      </c>
      <c r="Z11" s="747"/>
      <c r="AA11" s="747" t="s">
        <v>778</v>
      </c>
      <c r="AB11" s="748"/>
      <c r="AC11" s="749">
        <f>R8</f>
        <v>148677920</v>
      </c>
      <c r="AD11" s="749"/>
      <c r="AE11" s="749"/>
      <c r="AF11" s="747"/>
      <c r="AG11" s="747"/>
      <c r="AH11" s="753" t="s">
        <v>814</v>
      </c>
      <c r="AI11" s="754"/>
      <c r="AJ11" s="754"/>
      <c r="AK11" s="755">
        <f>R57</f>
        <v>143746218.59999999</v>
      </c>
      <c r="AL11" s="753"/>
      <c r="AM11" s="753"/>
      <c r="AN11" s="753"/>
      <c r="AO11" s="753"/>
      <c r="AP11" s="352"/>
      <c r="AQ11" s="352"/>
      <c r="AR11" s="453"/>
      <c r="AS11" s="352"/>
      <c r="AT11" s="353"/>
      <c r="AV11" s="352"/>
    </row>
    <row r="12" spans="1:48" x14ac:dyDescent="0.25">
      <c r="B12" s="62" t="s">
        <v>80</v>
      </c>
      <c r="C12" s="660">
        <v>1260000</v>
      </c>
      <c r="D12" s="433">
        <f t="shared" ref="D12:D35" si="4">+C12/12</f>
        <v>105000</v>
      </c>
      <c r="E12" s="433">
        <v>143550</v>
      </c>
      <c r="F12" s="364">
        <v>235199</v>
      </c>
      <c r="G12" s="364">
        <v>220474</v>
      </c>
      <c r="H12" s="364">
        <v>175110</v>
      </c>
      <c r="I12" s="364">
        <v>120400</v>
      </c>
      <c r="J12" s="364"/>
      <c r="K12" s="364"/>
      <c r="L12" s="364"/>
      <c r="M12" s="364"/>
      <c r="N12" s="365"/>
      <c r="O12" s="365"/>
      <c r="P12" s="365"/>
      <c r="Q12" s="364">
        <f t="shared" si="1"/>
        <v>525000</v>
      </c>
      <c r="R12" s="364">
        <f t="shared" si="2"/>
        <v>894733</v>
      </c>
      <c r="S12" s="655">
        <f t="shared" si="3"/>
        <v>-369733</v>
      </c>
      <c r="T12" s="656">
        <f t="shared" ref="T12:T55" si="5">+Q12-R12</f>
        <v>-369733</v>
      </c>
      <c r="Z12" s="747"/>
      <c r="AA12" s="747" t="s">
        <v>813</v>
      </c>
      <c r="AB12" s="748"/>
      <c r="AC12" s="749">
        <f>AC10-AC11</f>
        <v>6216.25</v>
      </c>
      <c r="AD12" s="749"/>
      <c r="AE12" s="749"/>
      <c r="AF12" s="747"/>
      <c r="AG12" s="747"/>
      <c r="AH12" s="753" t="s">
        <v>780</v>
      </c>
      <c r="AI12" s="754"/>
      <c r="AJ12" s="754"/>
      <c r="AK12" s="755">
        <f>AK10-AK11</f>
        <v>4937917.7375000119</v>
      </c>
      <c r="AL12" s="753"/>
      <c r="AM12" s="753"/>
      <c r="AN12" s="753"/>
      <c r="AO12" s="753"/>
      <c r="AP12" s="352"/>
      <c r="AQ12" s="352"/>
      <c r="AR12" s="352"/>
      <c r="AS12" s="352"/>
      <c r="AT12" s="352"/>
      <c r="AU12" s="352"/>
      <c r="AV12" s="352"/>
    </row>
    <row r="13" spans="1:48" x14ac:dyDescent="0.25">
      <c r="B13" s="61" t="s">
        <v>81</v>
      </c>
      <c r="C13" s="659">
        <v>10500000</v>
      </c>
      <c r="D13" s="432">
        <f t="shared" si="4"/>
        <v>875000</v>
      </c>
      <c r="E13" s="432">
        <v>1581421</v>
      </c>
      <c r="F13" s="374">
        <v>0</v>
      </c>
      <c r="G13" s="374">
        <f>196100+277737+50000</f>
        <v>523837</v>
      </c>
      <c r="H13" s="374">
        <v>338825</v>
      </c>
      <c r="I13" s="374">
        <f>-111750+278850</f>
        <v>167100</v>
      </c>
      <c r="J13" s="374"/>
      <c r="K13" s="374"/>
      <c r="L13" s="374"/>
      <c r="M13" s="374"/>
      <c r="N13" s="377"/>
      <c r="O13" s="377"/>
      <c r="P13" s="377"/>
      <c r="Q13" s="364">
        <f t="shared" si="1"/>
        <v>4375000</v>
      </c>
      <c r="R13" s="364">
        <f t="shared" si="2"/>
        <v>2611183</v>
      </c>
      <c r="S13" s="655">
        <f t="shared" si="3"/>
        <v>1763817</v>
      </c>
      <c r="T13" s="656">
        <f t="shared" si="5"/>
        <v>1763817</v>
      </c>
      <c r="Z13" s="750"/>
      <c r="AA13" s="751"/>
      <c r="AB13" s="752"/>
      <c r="AC13" s="750"/>
      <c r="AD13" s="750"/>
      <c r="AE13" s="750"/>
      <c r="AF13" s="750"/>
      <c r="AG13" s="750"/>
      <c r="AH13" s="756"/>
      <c r="AI13" s="756"/>
      <c r="AJ13" s="756"/>
      <c r="AK13" s="756"/>
      <c r="AL13" s="756"/>
      <c r="AM13" s="756"/>
      <c r="AN13" s="756"/>
      <c r="AO13" s="756"/>
      <c r="AP13" s="454"/>
      <c r="AQ13" s="454"/>
      <c r="AR13" s="454"/>
      <c r="AS13" s="454"/>
      <c r="AT13" s="454"/>
      <c r="AU13" s="454"/>
      <c r="AV13" s="454"/>
    </row>
    <row r="14" spans="1:48" x14ac:dyDescent="0.25">
      <c r="B14" s="62" t="s">
        <v>82</v>
      </c>
      <c r="C14" s="660">
        <v>1800000</v>
      </c>
      <c r="D14" s="433">
        <f t="shared" si="4"/>
        <v>150000</v>
      </c>
      <c r="E14" s="433">
        <v>229300</v>
      </c>
      <c r="F14" s="364">
        <v>104000</v>
      </c>
      <c r="G14" s="364">
        <v>366738</v>
      </c>
      <c r="H14" s="364"/>
      <c r="I14" s="364">
        <v>6000</v>
      </c>
      <c r="J14" s="364"/>
      <c r="K14" s="364"/>
      <c r="L14" s="364"/>
      <c r="M14" s="364"/>
      <c r="N14" s="365"/>
      <c r="O14" s="365"/>
      <c r="P14" s="365"/>
      <c r="Q14" s="364">
        <f t="shared" si="1"/>
        <v>750000</v>
      </c>
      <c r="R14" s="364">
        <f t="shared" si="2"/>
        <v>706038</v>
      </c>
      <c r="S14" s="655">
        <f t="shared" si="3"/>
        <v>43962</v>
      </c>
      <c r="T14" s="656">
        <f t="shared" si="5"/>
        <v>43962</v>
      </c>
      <c r="Z14" s="747"/>
      <c r="AA14" s="747"/>
      <c r="AB14" s="747"/>
      <c r="AC14" s="747"/>
      <c r="AD14" s="747"/>
      <c r="AE14" s="747"/>
      <c r="AF14" s="747"/>
      <c r="AG14" s="747"/>
      <c r="AH14" s="757"/>
      <c r="AI14" s="758"/>
      <c r="AJ14" s="758"/>
      <c r="AK14" s="753"/>
      <c r="AL14" s="753"/>
      <c r="AM14" s="753"/>
      <c r="AN14" s="753"/>
      <c r="AO14" s="753"/>
      <c r="AP14" s="352"/>
      <c r="AQ14" s="1658"/>
      <c r="AR14" s="352"/>
      <c r="AS14" s="352"/>
      <c r="AT14" s="352"/>
      <c r="AU14" s="352"/>
      <c r="AV14" s="352"/>
    </row>
    <row r="15" spans="1:48" ht="17.5" x14ac:dyDescent="0.35">
      <c r="B15" s="61" t="s">
        <v>83</v>
      </c>
      <c r="C15" s="659">
        <v>11900000</v>
      </c>
      <c r="D15" s="432">
        <f t="shared" si="4"/>
        <v>991666.66666666663</v>
      </c>
      <c r="E15" s="432">
        <v>823302</v>
      </c>
      <c r="F15" s="374">
        <v>1301779</v>
      </c>
      <c r="G15" s="374">
        <v>611281</v>
      </c>
      <c r="H15" s="374">
        <v>203409</v>
      </c>
      <c r="I15" s="374">
        <v>984464</v>
      </c>
      <c r="J15" s="374"/>
      <c r="K15" s="374"/>
      <c r="L15" s="374"/>
      <c r="M15" s="374"/>
      <c r="N15" s="377"/>
      <c r="O15" s="377"/>
      <c r="P15" s="377"/>
      <c r="Q15" s="364">
        <f t="shared" si="1"/>
        <v>4958333.333333333</v>
      </c>
      <c r="R15" s="364">
        <f t="shared" si="2"/>
        <v>3924235</v>
      </c>
      <c r="S15" s="655">
        <f t="shared" si="3"/>
        <v>1034098.333333333</v>
      </c>
      <c r="T15" s="656">
        <f t="shared" si="5"/>
        <v>1034098.333333333</v>
      </c>
      <c r="Z15" s="1659">
        <v>1</v>
      </c>
      <c r="AA15" s="747"/>
      <c r="AB15" s="747"/>
      <c r="AC15" s="747"/>
      <c r="AD15" s="747"/>
      <c r="AE15" s="747"/>
      <c r="AF15" s="747"/>
      <c r="AG15" s="747"/>
      <c r="AH15" s="1660">
        <v>2</v>
      </c>
      <c r="AI15" s="1661"/>
      <c r="AJ15" s="863"/>
      <c r="AK15" s="753"/>
      <c r="AL15" s="753"/>
      <c r="AM15" s="753"/>
      <c r="AN15" s="753"/>
      <c r="AO15" s="753"/>
      <c r="AP15" s="352"/>
      <c r="AQ15" s="1658"/>
      <c r="AR15" s="352"/>
      <c r="AS15" s="352"/>
      <c r="AT15" s="352"/>
      <c r="AU15" s="352"/>
      <c r="AV15" s="352"/>
    </row>
    <row r="16" spans="1:48" ht="17.5" x14ac:dyDescent="0.35">
      <c r="B16" s="62" t="s">
        <v>84</v>
      </c>
      <c r="C16" s="660">
        <v>590000</v>
      </c>
      <c r="D16" s="433">
        <f t="shared" si="4"/>
        <v>49166.666666666664</v>
      </c>
      <c r="E16" s="433">
        <v>0</v>
      </c>
      <c r="F16" s="364">
        <v>140000</v>
      </c>
      <c r="G16" s="364">
        <v>0</v>
      </c>
      <c r="H16" s="364"/>
      <c r="I16" s="364"/>
      <c r="J16" s="364"/>
      <c r="K16" s="364"/>
      <c r="L16" s="364"/>
      <c r="M16" s="364"/>
      <c r="N16" s="365"/>
      <c r="O16" s="365"/>
      <c r="P16" s="365"/>
      <c r="Q16" s="364">
        <f t="shared" si="1"/>
        <v>245833.33333333331</v>
      </c>
      <c r="R16" s="364">
        <f t="shared" si="2"/>
        <v>140000</v>
      </c>
      <c r="S16" s="655">
        <f t="shared" si="3"/>
        <v>105833.33333333331</v>
      </c>
      <c r="T16" s="656">
        <f t="shared" si="5"/>
        <v>105833.33333333331</v>
      </c>
      <c r="Z16" s="1659"/>
      <c r="AA16" s="747"/>
      <c r="AB16" s="747"/>
      <c r="AC16" s="747"/>
      <c r="AD16" s="747"/>
      <c r="AE16" s="747"/>
      <c r="AF16" s="747"/>
      <c r="AG16" s="747"/>
      <c r="AH16" s="1660"/>
      <c r="AI16" s="1661"/>
      <c r="AJ16" s="863"/>
      <c r="AK16" s="753"/>
      <c r="AL16" s="753"/>
      <c r="AM16" s="753"/>
      <c r="AN16" s="753"/>
      <c r="AO16" s="753"/>
      <c r="AP16" s="352"/>
      <c r="AQ16" s="352"/>
      <c r="AR16" s="352"/>
      <c r="AS16" s="352"/>
      <c r="AT16" s="352"/>
      <c r="AU16" s="352"/>
      <c r="AV16" s="352"/>
    </row>
    <row r="17" spans="1:55" x14ac:dyDescent="0.25">
      <c r="B17" s="61" t="s">
        <v>85</v>
      </c>
      <c r="C17" s="659">
        <v>2429980</v>
      </c>
      <c r="D17" s="432">
        <f t="shared" si="4"/>
        <v>202498.33333333334</v>
      </c>
      <c r="E17" s="432">
        <v>246330</v>
      </c>
      <c r="F17" s="374">
        <v>0</v>
      </c>
      <c r="G17" s="374">
        <v>749700</v>
      </c>
      <c r="H17" s="374"/>
      <c r="I17" s="374">
        <v>246330</v>
      </c>
      <c r="J17" s="374"/>
      <c r="K17" s="374"/>
      <c r="L17" s="374"/>
      <c r="M17" s="374"/>
      <c r="N17" s="377"/>
      <c r="O17" s="377"/>
      <c r="P17" s="377"/>
      <c r="Q17" s="364">
        <f t="shared" si="1"/>
        <v>1012491.6666666667</v>
      </c>
      <c r="R17" s="364">
        <f t="shared" si="2"/>
        <v>1242360</v>
      </c>
      <c r="S17" s="655">
        <f t="shared" si="3"/>
        <v>-229868.33333333326</v>
      </c>
      <c r="T17" s="656">
        <f t="shared" si="5"/>
        <v>-229868.33333333326</v>
      </c>
      <c r="Z17" s="747"/>
      <c r="AA17" s="747"/>
      <c r="AB17" s="747"/>
      <c r="AC17" s="747"/>
      <c r="AD17" s="747"/>
      <c r="AE17" s="747"/>
      <c r="AF17" s="747"/>
      <c r="AG17" s="747"/>
      <c r="AH17" s="753"/>
      <c r="AI17" s="753"/>
      <c r="AJ17" s="753"/>
      <c r="AK17" s="753"/>
      <c r="AL17" s="753"/>
      <c r="AM17" s="753"/>
      <c r="AN17" s="753"/>
      <c r="AO17" s="753"/>
      <c r="AP17" s="352"/>
      <c r="AQ17" s="352"/>
      <c r="AR17" s="352"/>
      <c r="AS17" s="352"/>
      <c r="AT17" s="352"/>
      <c r="AU17" s="352"/>
      <c r="AV17" s="352"/>
    </row>
    <row r="18" spans="1:55" s="54" customFormat="1" ht="13" x14ac:dyDescent="0.3">
      <c r="B18" s="63" t="s">
        <v>269</v>
      </c>
      <c r="C18" s="378">
        <v>0</v>
      </c>
      <c r="D18" s="434">
        <f>+C18/12</f>
        <v>0</v>
      </c>
      <c r="E18" s="434">
        <v>0</v>
      </c>
      <c r="F18" s="373">
        <v>350000</v>
      </c>
      <c r="G18" s="373"/>
      <c r="H18" s="373"/>
      <c r="I18" s="373"/>
      <c r="J18" s="373"/>
      <c r="K18" s="373"/>
      <c r="L18" s="373"/>
      <c r="M18" s="373"/>
      <c r="N18" s="379"/>
      <c r="O18" s="379"/>
      <c r="P18" s="379"/>
      <c r="Q18" s="364">
        <f t="shared" si="1"/>
        <v>0</v>
      </c>
      <c r="R18" s="362">
        <f>SUM(E18:P18)</f>
        <v>350000</v>
      </c>
      <c r="S18" s="406">
        <f t="shared" si="3"/>
        <v>-350000</v>
      </c>
      <c r="T18" s="661">
        <f>+Q18-R18</f>
        <v>-350000</v>
      </c>
      <c r="Z18" s="747"/>
      <c r="AA18" s="747"/>
      <c r="AB18" s="747"/>
      <c r="AC18" s="747"/>
      <c r="AD18" s="747"/>
      <c r="AE18" s="747"/>
      <c r="AF18" s="747"/>
      <c r="AG18" s="747"/>
      <c r="AH18" s="753"/>
      <c r="AI18" s="753"/>
      <c r="AJ18" s="753"/>
      <c r="AK18" s="753"/>
      <c r="AL18" s="753"/>
      <c r="AM18" s="753"/>
      <c r="AN18" s="753"/>
      <c r="AO18" s="753"/>
      <c r="AP18" s="352"/>
      <c r="AQ18" s="352"/>
      <c r="AR18" s="352"/>
      <c r="AS18" s="352"/>
      <c r="AT18" s="352"/>
      <c r="AU18" s="352"/>
      <c r="AV18" s="352"/>
    </row>
    <row r="19" spans="1:55" x14ac:dyDescent="0.25">
      <c r="B19" s="683" t="s">
        <v>86</v>
      </c>
      <c r="C19" s="370">
        <f>SUM(C11:C18)</f>
        <v>61679418.319999993</v>
      </c>
      <c r="D19" s="369">
        <f t="shared" ref="D19:I19" si="6">SUM(D11:D18)</f>
        <v>5139951.5266666664</v>
      </c>
      <c r="E19" s="369">
        <f t="shared" si="6"/>
        <v>5790522</v>
      </c>
      <c r="F19" s="370">
        <f t="shared" si="6"/>
        <v>4897597</v>
      </c>
      <c r="G19" s="370">
        <f t="shared" si="6"/>
        <v>5238649</v>
      </c>
      <c r="H19" s="370">
        <f t="shared" si="6"/>
        <v>3483963</v>
      </c>
      <c r="I19" s="370">
        <f t="shared" si="6"/>
        <v>4352282</v>
      </c>
      <c r="J19" s="370">
        <f t="shared" ref="J19:P19" si="7">SUM(J11:J17)</f>
        <v>0</v>
      </c>
      <c r="K19" s="370">
        <f t="shared" si="7"/>
        <v>0</v>
      </c>
      <c r="L19" s="370">
        <f t="shared" si="7"/>
        <v>0</v>
      </c>
      <c r="M19" s="370">
        <f t="shared" si="7"/>
        <v>0</v>
      </c>
      <c r="N19" s="380">
        <f t="shared" si="7"/>
        <v>0</v>
      </c>
      <c r="O19" s="380">
        <f t="shared" si="7"/>
        <v>0</v>
      </c>
      <c r="P19" s="380">
        <f t="shared" si="7"/>
        <v>0</v>
      </c>
      <c r="Q19" s="364">
        <f>+D19*$B$5</f>
        <v>25699757.633333333</v>
      </c>
      <c r="R19" s="364">
        <f>SUM(R11:R18)</f>
        <v>23763013</v>
      </c>
      <c r="S19" s="655">
        <f>SUM(S11:S17)</f>
        <v>2286744.6333333319</v>
      </c>
      <c r="T19" s="657">
        <f>+Q19-R19</f>
        <v>1936744.6333333328</v>
      </c>
      <c r="Z19" s="747"/>
      <c r="AA19" s="747"/>
      <c r="AB19" s="747"/>
      <c r="AC19" s="747"/>
      <c r="AD19" s="747"/>
      <c r="AE19" s="747"/>
      <c r="AF19" s="747"/>
      <c r="AG19" s="747"/>
      <c r="AH19" s="753"/>
      <c r="AI19" s="753"/>
      <c r="AJ19" s="753"/>
      <c r="AK19" s="753"/>
      <c r="AL19" s="753"/>
      <c r="AM19" s="753"/>
      <c r="AN19" s="753"/>
      <c r="AO19" s="753"/>
      <c r="AP19" s="352"/>
      <c r="AQ19" s="352"/>
      <c r="AR19" s="352"/>
      <c r="AS19" s="352"/>
      <c r="AT19" s="352"/>
      <c r="AU19" s="352"/>
      <c r="AV19" s="352"/>
    </row>
    <row r="20" spans="1:55" x14ac:dyDescent="0.25">
      <c r="B20" s="64" t="s">
        <v>87</v>
      </c>
      <c r="C20" s="369"/>
      <c r="D20" s="369">
        <f t="shared" si="4"/>
        <v>0</v>
      </c>
      <c r="E20" s="369"/>
      <c r="F20" s="370"/>
      <c r="G20" s="370"/>
      <c r="H20" s="370"/>
      <c r="I20" s="370"/>
      <c r="J20" s="370"/>
      <c r="K20" s="370"/>
      <c r="L20" s="370"/>
      <c r="M20" s="370"/>
      <c r="N20" s="380"/>
      <c r="O20" s="380"/>
      <c r="P20" s="380"/>
      <c r="Q20" s="364" t="s">
        <v>33</v>
      </c>
      <c r="R20" s="364"/>
      <c r="S20" s="655"/>
      <c r="T20" s="656" t="s">
        <v>33</v>
      </c>
      <c r="Z20" s="747"/>
      <c r="AA20" s="747"/>
      <c r="AB20" s="747"/>
      <c r="AC20" s="747"/>
      <c r="AD20" s="747"/>
      <c r="AE20" s="747"/>
      <c r="AF20" s="747"/>
      <c r="AG20" s="747"/>
      <c r="AH20" s="753"/>
      <c r="AI20" s="753"/>
      <c r="AJ20" s="753"/>
      <c r="AK20" s="753"/>
      <c r="AL20" s="753"/>
      <c r="AM20" s="753"/>
      <c r="AN20" s="753"/>
      <c r="AO20" s="753"/>
      <c r="AP20" s="352"/>
      <c r="AQ20" s="352"/>
      <c r="AR20" s="352"/>
      <c r="AS20" s="352"/>
      <c r="AT20" s="352"/>
      <c r="AU20" s="352"/>
      <c r="AV20" s="352"/>
    </row>
    <row r="21" spans="1:55" x14ac:dyDescent="0.25">
      <c r="A21" s="442"/>
      <c r="B21" s="684" t="s">
        <v>88</v>
      </c>
      <c r="C21" s="685">
        <v>158830392.15000004</v>
      </c>
      <c r="D21" s="685">
        <f t="shared" si="4"/>
        <v>13235866.012500003</v>
      </c>
      <c r="E21" s="685">
        <v>13136493</v>
      </c>
      <c r="F21" s="686">
        <v>13136493</v>
      </c>
      <c r="G21" s="686">
        <v>13136494</v>
      </c>
      <c r="H21" s="685">
        <v>13136494</v>
      </c>
      <c r="I21" s="686">
        <v>13136494</v>
      </c>
      <c r="J21" s="686"/>
      <c r="K21" s="686"/>
      <c r="L21" s="686"/>
      <c r="M21" s="686"/>
      <c r="N21" s="687"/>
      <c r="O21" s="687"/>
      <c r="P21" s="687"/>
      <c r="Q21" s="686">
        <f t="shared" si="1"/>
        <v>66179330.062500015</v>
      </c>
      <c r="R21" s="686">
        <f t="shared" ref="R21:R28" si="8">SUM(E21:P21)</f>
        <v>65682468</v>
      </c>
      <c r="S21" s="688">
        <f>+Q21-R21</f>
        <v>496862.0625000149</v>
      </c>
      <c r="T21" s="689">
        <f t="shared" si="5"/>
        <v>496862.0625000149</v>
      </c>
      <c r="Z21" s="750"/>
      <c r="AA21" s="750"/>
      <c r="AB21" s="750"/>
      <c r="AC21" s="750"/>
      <c r="AD21" s="750"/>
      <c r="AE21" s="750"/>
      <c r="AF21" s="750"/>
      <c r="AG21" s="750"/>
      <c r="AH21" s="756"/>
      <c r="AI21" s="756"/>
      <c r="AJ21" s="756"/>
      <c r="AK21" s="756"/>
      <c r="AL21" s="756"/>
      <c r="AM21" s="756"/>
      <c r="AN21" s="756"/>
      <c r="AO21" s="756"/>
      <c r="AP21" s="454"/>
      <c r="AQ21" s="454"/>
      <c r="AR21" s="454"/>
      <c r="AS21" s="454"/>
      <c r="AT21" s="454"/>
      <c r="AU21" s="454"/>
      <c r="AV21" s="454"/>
    </row>
    <row r="22" spans="1:55" x14ac:dyDescent="0.25">
      <c r="B22" s="62" t="s">
        <v>1224</v>
      </c>
      <c r="C22" s="433">
        <f>1751531+2225540</f>
        <v>3977071</v>
      </c>
      <c r="D22" s="433">
        <f t="shared" si="4"/>
        <v>331422.58333333331</v>
      </c>
      <c r="E22" s="433"/>
      <c r="F22" s="364">
        <v>1751531</v>
      </c>
      <c r="G22" s="364"/>
      <c r="H22" s="433"/>
      <c r="I22" s="364"/>
      <c r="J22" s="364"/>
      <c r="K22" s="364"/>
      <c r="L22" s="364"/>
      <c r="M22" s="364"/>
      <c r="N22" s="365"/>
      <c r="O22" s="365"/>
      <c r="P22" s="365"/>
      <c r="Q22" s="364">
        <f t="shared" si="1"/>
        <v>1657112.9166666665</v>
      </c>
      <c r="R22" s="364">
        <f t="shared" si="8"/>
        <v>1751531</v>
      </c>
      <c r="S22" s="655"/>
      <c r="T22" s="656">
        <f t="shared" si="5"/>
        <v>-94418.083333333489</v>
      </c>
      <c r="Z22" s="750"/>
      <c r="AA22" s="750"/>
      <c r="AB22" s="750"/>
      <c r="AC22" s="750"/>
      <c r="AD22" s="750"/>
      <c r="AE22" s="750"/>
      <c r="AF22" s="750"/>
      <c r="AG22" s="750"/>
      <c r="AH22" s="759"/>
      <c r="AI22" s="756"/>
      <c r="AJ22" s="756"/>
      <c r="AK22" s="756"/>
      <c r="AL22" s="756"/>
      <c r="AM22" s="756"/>
      <c r="AN22" s="756"/>
      <c r="AO22" s="756"/>
      <c r="AP22" s="454"/>
      <c r="AQ22" s="454"/>
      <c r="AR22" s="454"/>
      <c r="AS22" s="454"/>
      <c r="AT22" s="454"/>
      <c r="AU22" s="454"/>
      <c r="AV22" s="454"/>
    </row>
    <row r="23" spans="1:55" x14ac:dyDescent="0.25">
      <c r="A23" s="444"/>
      <c r="B23" s="684" t="s">
        <v>89</v>
      </c>
      <c r="C23" s="685">
        <v>17577558</v>
      </c>
      <c r="D23" s="685">
        <f t="shared" si="4"/>
        <v>1464796.5</v>
      </c>
      <c r="E23" s="685">
        <v>1357394</v>
      </c>
      <c r="F23" s="686">
        <v>904930</v>
      </c>
      <c r="G23" s="686">
        <v>1443315</v>
      </c>
      <c r="H23" s="685">
        <v>1486277</v>
      </c>
      <c r="I23" s="686">
        <v>1486277</v>
      </c>
      <c r="J23" s="686"/>
      <c r="K23" s="686"/>
      <c r="L23" s="686"/>
      <c r="M23" s="686"/>
      <c r="N23" s="687"/>
      <c r="O23" s="687"/>
      <c r="P23" s="687"/>
      <c r="Q23" s="686">
        <f t="shared" si="1"/>
        <v>7323982.5</v>
      </c>
      <c r="R23" s="686">
        <f t="shared" si="8"/>
        <v>6678193</v>
      </c>
      <c r="S23" s="688">
        <f>+Q23-R23</f>
        <v>645789.5</v>
      </c>
      <c r="T23" s="689">
        <f t="shared" si="5"/>
        <v>645789.5</v>
      </c>
      <c r="Z23" s="747"/>
      <c r="AA23" s="747"/>
      <c r="AB23" s="747"/>
      <c r="AC23" s="747"/>
      <c r="AD23" s="747"/>
      <c r="AE23" s="747"/>
      <c r="AF23" s="747"/>
      <c r="AG23" s="747"/>
      <c r="AH23" s="753"/>
      <c r="AI23" s="753"/>
      <c r="AJ23" s="753"/>
      <c r="AK23" s="753"/>
      <c r="AL23" s="753"/>
      <c r="AM23" s="753"/>
      <c r="AN23" s="753"/>
      <c r="AO23" s="753"/>
      <c r="AP23" s="352"/>
      <c r="AQ23" s="352"/>
      <c r="AR23" s="352"/>
      <c r="AS23" s="352"/>
      <c r="AT23" s="352"/>
      <c r="AU23" s="352"/>
      <c r="AV23" s="352"/>
    </row>
    <row r="24" spans="1:55" x14ac:dyDescent="0.25">
      <c r="B24" s="62" t="s">
        <v>90</v>
      </c>
      <c r="C24" s="433">
        <v>1341006.24</v>
      </c>
      <c r="D24" s="433">
        <f t="shared" si="4"/>
        <v>111750.52</v>
      </c>
      <c r="E24" s="433">
        <v>640110</v>
      </c>
      <c r="F24" s="364">
        <v>111750</v>
      </c>
      <c r="G24" s="364">
        <v>111750</v>
      </c>
      <c r="H24" s="433">
        <v>111750</v>
      </c>
      <c r="I24" s="364">
        <v>111750</v>
      </c>
      <c r="J24" s="364"/>
      <c r="K24" s="364"/>
      <c r="L24" s="364"/>
      <c r="M24" s="364"/>
      <c r="N24" s="365"/>
      <c r="O24" s="365"/>
      <c r="P24" s="365"/>
      <c r="Q24" s="364">
        <f t="shared" si="1"/>
        <v>558752.6</v>
      </c>
      <c r="R24" s="364">
        <f t="shared" si="8"/>
        <v>1087110</v>
      </c>
      <c r="S24" s="655">
        <f>+Q24-R24</f>
        <v>-528357.4</v>
      </c>
      <c r="T24" s="656">
        <f t="shared" si="5"/>
        <v>-528357.4</v>
      </c>
      <c r="Z24" s="747"/>
      <c r="AA24" s="747"/>
      <c r="AB24" s="747"/>
      <c r="AC24" s="747"/>
      <c r="AD24" s="747"/>
      <c r="AE24" s="747"/>
      <c r="AF24" s="747"/>
      <c r="AG24" s="747"/>
      <c r="AH24" s="753"/>
      <c r="AI24" s="753"/>
      <c r="AJ24" s="753"/>
      <c r="AK24" s="753"/>
      <c r="AL24" s="753"/>
      <c r="AM24" s="753"/>
      <c r="AN24" s="753"/>
      <c r="AO24" s="753"/>
      <c r="AP24" s="352"/>
      <c r="AQ24" s="352"/>
      <c r="AR24" s="352"/>
      <c r="AS24" s="352"/>
      <c r="AT24" s="352"/>
      <c r="AU24" s="352"/>
      <c r="AV24" s="352"/>
    </row>
    <row r="25" spans="1:55" x14ac:dyDescent="0.25">
      <c r="A25" s="445"/>
      <c r="B25" s="684" t="s">
        <v>1225</v>
      </c>
      <c r="C25" s="685">
        <v>1950000</v>
      </c>
      <c r="D25" s="685">
        <f t="shared" si="4"/>
        <v>162500</v>
      </c>
      <c r="E25" s="685">
        <v>0</v>
      </c>
      <c r="F25" s="686">
        <v>0</v>
      </c>
      <c r="G25" s="686">
        <v>0</v>
      </c>
      <c r="H25" s="686"/>
      <c r="I25" s="686">
        <v>555730</v>
      </c>
      <c r="J25" s="686"/>
      <c r="K25" s="690"/>
      <c r="L25" s="686"/>
      <c r="M25" s="686"/>
      <c r="N25" s="687"/>
      <c r="O25" s="687"/>
      <c r="P25" s="687"/>
      <c r="Q25" s="686">
        <f t="shared" si="1"/>
        <v>812500</v>
      </c>
      <c r="R25" s="686">
        <f t="shared" si="8"/>
        <v>555730</v>
      </c>
      <c r="S25" s="688"/>
      <c r="T25" s="689">
        <f t="shared" si="5"/>
        <v>256770</v>
      </c>
      <c r="Z25" s="747"/>
      <c r="AA25" s="747"/>
      <c r="AB25" s="747"/>
      <c r="AC25" s="747"/>
      <c r="AD25" s="747"/>
      <c r="AE25" s="747"/>
      <c r="AF25" s="747"/>
      <c r="AG25" s="747"/>
      <c r="AH25" s="753"/>
      <c r="AI25" s="753"/>
      <c r="AJ25" s="753"/>
      <c r="AK25" s="753"/>
      <c r="AL25" s="753"/>
      <c r="AM25" s="753"/>
      <c r="AN25" s="753"/>
      <c r="AO25" s="753"/>
      <c r="AP25" s="352"/>
      <c r="AQ25" s="352"/>
      <c r="AR25" s="352"/>
      <c r="AS25" s="352"/>
      <c r="AT25" s="352"/>
      <c r="AU25" s="352"/>
      <c r="AV25" s="352"/>
    </row>
    <row r="26" spans="1:55" x14ac:dyDescent="0.25">
      <c r="B26" s="62" t="s">
        <v>91</v>
      </c>
      <c r="C26" s="433">
        <v>1910000</v>
      </c>
      <c r="D26" s="433">
        <f t="shared" si="4"/>
        <v>159166.66666666666</v>
      </c>
      <c r="E26" s="433">
        <v>0</v>
      </c>
      <c r="F26" s="364">
        <v>0</v>
      </c>
      <c r="G26" s="364">
        <v>288000</v>
      </c>
      <c r="H26" s="364">
        <v>50000</v>
      </c>
      <c r="I26" s="364">
        <v>305387</v>
      </c>
      <c r="J26" s="364"/>
      <c r="K26" s="364"/>
      <c r="L26" s="364"/>
      <c r="M26" s="364"/>
      <c r="N26" s="364"/>
      <c r="O26" s="364"/>
      <c r="P26" s="365"/>
      <c r="Q26" s="364">
        <f t="shared" si="1"/>
        <v>795833.33333333326</v>
      </c>
      <c r="R26" s="364">
        <f t="shared" si="8"/>
        <v>643387</v>
      </c>
      <c r="S26" s="655">
        <f>+Q26-R26</f>
        <v>152446.33333333326</v>
      </c>
      <c r="T26" s="656">
        <f t="shared" si="5"/>
        <v>152446.33333333326</v>
      </c>
      <c r="Z26" s="747"/>
      <c r="AA26" s="747"/>
      <c r="AB26" s="747"/>
      <c r="AC26" s="747"/>
      <c r="AD26" s="747"/>
      <c r="AE26" s="747"/>
      <c r="AF26" s="747"/>
      <c r="AG26" s="747"/>
      <c r="AH26" s="753"/>
      <c r="AI26" s="753"/>
      <c r="AJ26" s="753"/>
      <c r="AK26" s="753"/>
      <c r="AL26" s="753"/>
      <c r="AM26" s="753"/>
      <c r="AN26" s="753"/>
      <c r="AO26" s="753"/>
      <c r="AP26" s="352"/>
      <c r="AQ26" s="352"/>
      <c r="AR26" s="352"/>
      <c r="AS26" s="352"/>
      <c r="AT26" s="352"/>
      <c r="AU26" s="352"/>
      <c r="AV26" s="352"/>
    </row>
    <row r="27" spans="1:55" x14ac:dyDescent="0.25">
      <c r="A27" s="443"/>
      <c r="B27" s="684" t="s">
        <v>92</v>
      </c>
      <c r="C27" s="685">
        <v>372000</v>
      </c>
      <c r="D27" s="685">
        <f t="shared" si="4"/>
        <v>31000</v>
      </c>
      <c r="E27" s="685">
        <v>0</v>
      </c>
      <c r="F27" s="686">
        <v>0</v>
      </c>
      <c r="G27" s="686">
        <v>0</v>
      </c>
      <c r="H27" s="686"/>
      <c r="I27" s="686"/>
      <c r="J27" s="686"/>
      <c r="K27" s="686"/>
      <c r="L27" s="686"/>
      <c r="M27" s="686"/>
      <c r="N27" s="687"/>
      <c r="O27" s="687"/>
      <c r="P27" s="687"/>
      <c r="Q27" s="686">
        <f t="shared" si="1"/>
        <v>155000</v>
      </c>
      <c r="R27" s="686">
        <f t="shared" si="8"/>
        <v>0</v>
      </c>
      <c r="S27" s="688" t="e">
        <f>+#REF!-#REF!</f>
        <v>#REF!</v>
      </c>
      <c r="T27" s="689">
        <f t="shared" si="5"/>
        <v>155000</v>
      </c>
      <c r="Z27" s="750"/>
      <c r="AA27" s="750"/>
      <c r="AB27" s="750"/>
      <c r="AC27" s="750"/>
      <c r="AD27" s="750"/>
      <c r="AE27" s="750"/>
      <c r="AF27" s="750"/>
      <c r="AG27" s="750"/>
      <c r="AH27" s="756"/>
      <c r="AI27" s="756"/>
      <c r="AJ27" s="756"/>
      <c r="AK27" s="756"/>
      <c r="AL27" s="756"/>
      <c r="AM27" s="756"/>
      <c r="AN27" s="756"/>
      <c r="AO27" s="756"/>
      <c r="AP27" s="454"/>
      <c r="AQ27" s="454"/>
      <c r="AR27" s="454"/>
      <c r="AS27" s="454"/>
      <c r="AT27" s="454"/>
      <c r="AU27" s="454"/>
      <c r="AV27" s="454"/>
    </row>
    <row r="28" spans="1:55" x14ac:dyDescent="0.25">
      <c r="B28" s="62" t="s">
        <v>93</v>
      </c>
      <c r="C28" s="433">
        <v>740000</v>
      </c>
      <c r="D28" s="433">
        <f t="shared" si="4"/>
        <v>61666.666666666664</v>
      </c>
      <c r="E28" s="433"/>
      <c r="F28" s="364">
        <v>138500</v>
      </c>
      <c r="G28" s="364">
        <v>0</v>
      </c>
      <c r="H28" s="364"/>
      <c r="I28" s="364"/>
      <c r="J28" s="364"/>
      <c r="K28" s="364"/>
      <c r="L28" s="364"/>
      <c r="M28" s="364"/>
      <c r="N28" s="365"/>
      <c r="O28" s="365"/>
      <c r="P28" s="365"/>
      <c r="Q28" s="364">
        <f t="shared" si="1"/>
        <v>308333.33333333331</v>
      </c>
      <c r="R28" s="364">
        <f t="shared" si="8"/>
        <v>138500</v>
      </c>
      <c r="S28" s="655">
        <f>+Q28-R28</f>
        <v>169833.33333333331</v>
      </c>
      <c r="T28" s="656">
        <f t="shared" si="5"/>
        <v>169833.33333333331</v>
      </c>
      <c r="Z28" s="750"/>
      <c r="AA28" s="750"/>
      <c r="AB28" s="750"/>
      <c r="AC28" s="750"/>
      <c r="AD28" s="750"/>
      <c r="AE28" s="750"/>
      <c r="AF28" s="750"/>
      <c r="AG28" s="750"/>
      <c r="AH28" s="760"/>
      <c r="AI28" s="756"/>
      <c r="AJ28" s="756"/>
      <c r="AK28" s="756"/>
      <c r="AL28" s="756"/>
      <c r="AM28" s="756"/>
      <c r="AN28" s="756"/>
      <c r="AO28" s="756"/>
      <c r="AP28" s="454"/>
      <c r="AQ28" s="454"/>
      <c r="AR28" s="454"/>
      <c r="AS28" s="454"/>
      <c r="AT28" s="454"/>
      <c r="AU28" s="454"/>
      <c r="AV28" s="454"/>
    </row>
    <row r="29" spans="1:55" ht="13" x14ac:dyDescent="0.3">
      <c r="B29" s="691" t="s">
        <v>1412</v>
      </c>
      <c r="C29" s="692">
        <v>3533088</v>
      </c>
      <c r="D29" s="692">
        <f t="shared" si="4"/>
        <v>294424</v>
      </c>
      <c r="E29" s="692">
        <f>+E7</f>
        <v>287015</v>
      </c>
      <c r="F29" s="692">
        <v>287015</v>
      </c>
      <c r="G29" s="692">
        <v>287015</v>
      </c>
      <c r="H29" s="692">
        <v>328376</v>
      </c>
      <c r="I29" s="692">
        <f>-14659+297358</f>
        <v>282699</v>
      </c>
      <c r="J29" s="692"/>
      <c r="K29" s="692"/>
      <c r="L29" s="692"/>
      <c r="M29" s="692"/>
      <c r="N29" s="693"/>
      <c r="O29" s="693"/>
      <c r="P29" s="693"/>
      <c r="Q29" s="686">
        <f t="shared" si="1"/>
        <v>1472120</v>
      </c>
      <c r="R29" s="694">
        <f>SUM(E29:P29)</f>
        <v>1472120</v>
      </c>
      <c r="S29" s="695">
        <f>+Q29-R29</f>
        <v>0</v>
      </c>
      <c r="T29" s="696">
        <f t="shared" si="5"/>
        <v>0</v>
      </c>
      <c r="Z29" s="750"/>
      <c r="AA29" s="750"/>
      <c r="AB29" s="750"/>
      <c r="AC29" s="750"/>
      <c r="AD29" s="750"/>
      <c r="AE29" s="750"/>
      <c r="AF29" s="750"/>
      <c r="AG29" s="750"/>
      <c r="AH29" s="760"/>
      <c r="AI29" s="756"/>
      <c r="AJ29" s="756"/>
      <c r="AK29" s="756"/>
      <c r="AL29" s="756"/>
      <c r="AM29" s="756"/>
      <c r="AN29" s="756"/>
      <c r="AO29" s="756"/>
      <c r="AP29" s="454"/>
      <c r="AQ29" s="454"/>
      <c r="AR29" s="454"/>
      <c r="AS29" s="454"/>
      <c r="AT29" s="454"/>
      <c r="AU29" s="454"/>
      <c r="AV29" s="454"/>
    </row>
    <row r="30" spans="1:55" x14ac:dyDescent="0.25">
      <c r="B30" s="697" t="s">
        <v>94</v>
      </c>
      <c r="C30" s="370">
        <f>SUM(C21:C29)</f>
        <v>190231115.39000005</v>
      </c>
      <c r="D30" s="369">
        <f t="shared" si="4"/>
        <v>15852592.94916667</v>
      </c>
      <c r="E30" s="369">
        <f t="shared" ref="E30:P30" si="9">SUM(E21:E29)</f>
        <v>15421012</v>
      </c>
      <c r="F30" s="370">
        <f t="shared" si="9"/>
        <v>16330219</v>
      </c>
      <c r="G30" s="370">
        <f t="shared" si="9"/>
        <v>15266574</v>
      </c>
      <c r="H30" s="370">
        <f>SUM(H21:H29)</f>
        <v>15112897</v>
      </c>
      <c r="I30" s="370">
        <f>SUM(I21:I29)</f>
        <v>15878337</v>
      </c>
      <c r="J30" s="370">
        <f t="shared" si="9"/>
        <v>0</v>
      </c>
      <c r="K30" s="370">
        <f t="shared" si="9"/>
        <v>0</v>
      </c>
      <c r="L30" s="370">
        <f t="shared" si="9"/>
        <v>0</v>
      </c>
      <c r="M30" s="370">
        <f t="shared" si="9"/>
        <v>0</v>
      </c>
      <c r="N30" s="380">
        <f t="shared" si="9"/>
        <v>0</v>
      </c>
      <c r="O30" s="380">
        <f t="shared" si="9"/>
        <v>0</v>
      </c>
      <c r="P30" s="380">
        <f t="shared" si="9"/>
        <v>0</v>
      </c>
      <c r="Q30" s="364">
        <f t="shared" si="1"/>
        <v>79262964.745833352</v>
      </c>
      <c r="R30" s="370">
        <f>SUM(R21:R29)</f>
        <v>78009039</v>
      </c>
      <c r="S30" s="658" t="e">
        <f>SUM(S21:S29)</f>
        <v>#REF!</v>
      </c>
      <c r="T30" s="657">
        <f>+Q30-R30</f>
        <v>1253925.7458333522</v>
      </c>
      <c r="Z30" s="352"/>
      <c r="AA30" s="352"/>
      <c r="AB30" s="352"/>
      <c r="AC30" s="352"/>
      <c r="AD30" s="352"/>
      <c r="AE30" s="352"/>
      <c r="AF30" s="352"/>
      <c r="AG30" s="352"/>
      <c r="AH30" s="352"/>
      <c r="AI30" s="352"/>
      <c r="AJ30" s="352"/>
      <c r="AK30" s="352"/>
      <c r="AL30" s="352"/>
      <c r="AM30" s="352"/>
      <c r="AN30" s="352"/>
      <c r="AO30" s="352"/>
      <c r="AP30" s="352"/>
      <c r="AQ30" s="352"/>
      <c r="AR30" s="352"/>
      <c r="AS30" s="352"/>
      <c r="AT30" s="352"/>
      <c r="AU30" s="352"/>
      <c r="AV30" s="352"/>
    </row>
    <row r="31" spans="1:55" x14ac:dyDescent="0.25">
      <c r="B31" s="62" t="s">
        <v>95</v>
      </c>
      <c r="C31" s="376"/>
      <c r="D31" s="433">
        <f t="shared" si="4"/>
        <v>0</v>
      </c>
      <c r="E31" s="433"/>
      <c r="F31" s="364" t="s">
        <v>33</v>
      </c>
      <c r="G31" s="364"/>
      <c r="H31" s="364"/>
      <c r="I31" s="364"/>
      <c r="J31" s="364"/>
      <c r="K31" s="364"/>
      <c r="L31" s="364"/>
      <c r="M31" s="364"/>
      <c r="N31" s="365"/>
      <c r="O31" s="365"/>
      <c r="P31" s="365"/>
      <c r="Q31" s="364" t="s">
        <v>33</v>
      </c>
      <c r="R31" s="370" t="s">
        <v>33</v>
      </c>
      <c r="S31" s="658" t="s">
        <v>33</v>
      </c>
      <c r="T31" s="656" t="s">
        <v>33</v>
      </c>
      <c r="Z31" s="754"/>
      <c r="AA31" s="754"/>
      <c r="AB31" s="754"/>
      <c r="AC31" s="754"/>
      <c r="AD31" s="754"/>
      <c r="AE31" s="754"/>
      <c r="AF31" s="754"/>
      <c r="AG31" s="753"/>
      <c r="AH31" s="754"/>
      <c r="AI31" s="754"/>
      <c r="AJ31" s="754"/>
      <c r="AK31" s="753"/>
      <c r="AL31" s="753"/>
      <c r="AM31" s="753"/>
      <c r="AN31" s="753"/>
      <c r="AO31" s="753"/>
      <c r="AP31" s="753"/>
      <c r="AQ31" s="352"/>
      <c r="AR31" s="352"/>
      <c r="AT31" s="352"/>
      <c r="AU31" s="352"/>
      <c r="AV31" s="352"/>
      <c r="BC31" s="772"/>
    </row>
    <row r="32" spans="1:55" x14ac:dyDescent="0.25">
      <c r="B32" s="62" t="s">
        <v>759</v>
      </c>
      <c r="C32" s="376">
        <v>0</v>
      </c>
      <c r="D32" s="433">
        <f t="shared" si="4"/>
        <v>0</v>
      </c>
      <c r="E32" s="433">
        <f>+D32/12</f>
        <v>0</v>
      </c>
      <c r="F32" s="364">
        <v>0</v>
      </c>
      <c r="G32" s="364">
        <v>0</v>
      </c>
      <c r="H32" s="364">
        <v>0</v>
      </c>
      <c r="I32" s="364">
        <v>0</v>
      </c>
      <c r="J32" s="364">
        <v>0</v>
      </c>
      <c r="K32" s="364">
        <v>0</v>
      </c>
      <c r="L32" s="364"/>
      <c r="M32" s="364"/>
      <c r="N32" s="364"/>
      <c r="O32" s="364"/>
      <c r="P32" s="364"/>
      <c r="Q32" s="364">
        <f t="shared" si="1"/>
        <v>0</v>
      </c>
      <c r="R32" s="370">
        <f>SUM(E32:P32)</f>
        <v>0</v>
      </c>
      <c r="S32" s="658">
        <f>+Q32-R32</f>
        <v>0</v>
      </c>
      <c r="T32" s="656">
        <f t="shared" si="5"/>
        <v>0</v>
      </c>
      <c r="Z32" s="1662">
        <v>3</v>
      </c>
      <c r="AA32" s="753" t="s">
        <v>1420</v>
      </c>
      <c r="AB32" s="924">
        <f>Q30</f>
        <v>79262964.745833352</v>
      </c>
      <c r="AC32" s="767"/>
      <c r="AD32" s="767"/>
      <c r="AE32" s="767"/>
      <c r="AF32" s="756"/>
      <c r="AG32" s="753"/>
      <c r="AH32" s="754"/>
      <c r="AI32" s="754"/>
      <c r="AJ32" s="754"/>
      <c r="AK32" s="753"/>
      <c r="AL32" s="753"/>
      <c r="AM32" s="753"/>
      <c r="AN32" s="753"/>
      <c r="AO32" s="753"/>
      <c r="AP32" s="753"/>
      <c r="AQ32" s="352"/>
      <c r="AR32" s="352"/>
      <c r="AT32" s="352"/>
      <c r="AU32" s="352"/>
      <c r="AV32" s="352"/>
      <c r="BC32" s="772"/>
    </row>
    <row r="33" spans="2:55" ht="13" x14ac:dyDescent="0.3">
      <c r="B33" s="698" t="s">
        <v>96</v>
      </c>
      <c r="C33" s="699">
        <v>0</v>
      </c>
      <c r="D33" s="700">
        <f t="shared" si="4"/>
        <v>0</v>
      </c>
      <c r="E33" s="700">
        <f>+D33/12</f>
        <v>0</v>
      </c>
      <c r="F33" s="701">
        <v>0</v>
      </c>
      <c r="G33" s="701">
        <f>46000+17700+274950</f>
        <v>338650</v>
      </c>
      <c r="H33" s="701">
        <v>0</v>
      </c>
      <c r="I33" s="701">
        <v>176715</v>
      </c>
      <c r="J33" s="701">
        <v>0</v>
      </c>
      <c r="K33" s="701">
        <v>0</v>
      </c>
      <c r="L33" s="701">
        <v>0</v>
      </c>
      <c r="M33" s="701">
        <v>0</v>
      </c>
      <c r="N33" s="701">
        <v>0</v>
      </c>
      <c r="O33" s="701">
        <v>0</v>
      </c>
      <c r="P33" s="701">
        <v>0</v>
      </c>
      <c r="Q33" s="702">
        <f t="shared" si="1"/>
        <v>0</v>
      </c>
      <c r="R33" s="702">
        <f>SUM(E33:P33)</f>
        <v>515365</v>
      </c>
      <c r="S33" s="703">
        <f>+Q33-R33</f>
        <v>-515365</v>
      </c>
      <c r="T33" s="704">
        <f t="shared" si="5"/>
        <v>-515365</v>
      </c>
      <c r="Z33" s="1662"/>
      <c r="AA33" s="753" t="s">
        <v>1234</v>
      </c>
      <c r="AB33" s="924">
        <f>R30</f>
        <v>78009039</v>
      </c>
      <c r="AC33" s="753"/>
      <c r="AD33" s="753"/>
      <c r="AE33" s="753"/>
      <c r="AF33" s="753"/>
      <c r="AG33" s="753"/>
      <c r="AH33" s="754"/>
      <c r="AI33" s="754"/>
      <c r="AJ33" s="754"/>
      <c r="AK33" s="753"/>
      <c r="AL33" s="753"/>
      <c r="AM33" s="753"/>
      <c r="AN33" s="753"/>
      <c r="AO33" s="753"/>
      <c r="AP33" s="753"/>
      <c r="AQ33" s="352"/>
      <c r="AR33" s="352"/>
      <c r="AT33" s="453"/>
      <c r="AU33" s="352"/>
      <c r="AV33" s="352"/>
      <c r="BC33" s="772"/>
    </row>
    <row r="34" spans="2:55" s="1" customFormat="1" x14ac:dyDescent="0.25">
      <c r="B34" s="705" t="s">
        <v>97</v>
      </c>
      <c r="C34" s="370">
        <f>SUM(C32:C33)</f>
        <v>0</v>
      </c>
      <c r="D34" s="369">
        <f>+C34/12</f>
        <v>0</v>
      </c>
      <c r="E34" s="369">
        <f t="shared" ref="E34:S34" si="10">SUM(E32:E33)</f>
        <v>0</v>
      </c>
      <c r="F34" s="370">
        <f t="shared" si="10"/>
        <v>0</v>
      </c>
      <c r="G34" s="370">
        <f t="shared" si="10"/>
        <v>338650</v>
      </c>
      <c r="H34" s="370">
        <f>SUM(H32:H33)</f>
        <v>0</v>
      </c>
      <c r="I34" s="370">
        <f>SUM(I32:I33)</f>
        <v>176715</v>
      </c>
      <c r="J34" s="370">
        <f t="shared" si="10"/>
        <v>0</v>
      </c>
      <c r="K34" s="370">
        <f t="shared" si="10"/>
        <v>0</v>
      </c>
      <c r="L34" s="370">
        <f t="shared" si="10"/>
        <v>0</v>
      </c>
      <c r="M34" s="370">
        <f t="shared" si="10"/>
        <v>0</v>
      </c>
      <c r="N34" s="380">
        <f t="shared" si="10"/>
        <v>0</v>
      </c>
      <c r="O34" s="380">
        <f t="shared" si="10"/>
        <v>0</v>
      </c>
      <c r="P34" s="380">
        <f t="shared" si="10"/>
        <v>0</v>
      </c>
      <c r="Q34" s="364">
        <f t="shared" si="10"/>
        <v>0</v>
      </c>
      <c r="R34" s="370">
        <f>SUM(E34:P34)</f>
        <v>515365</v>
      </c>
      <c r="S34" s="658">
        <f t="shared" si="10"/>
        <v>-515365</v>
      </c>
      <c r="T34" s="657">
        <f t="shared" si="5"/>
        <v>-515365</v>
      </c>
      <c r="Z34" s="753"/>
      <c r="AA34" s="753" t="s">
        <v>780</v>
      </c>
      <c r="AB34" s="924">
        <f>AB32-AB33</f>
        <v>1253925.7458333522</v>
      </c>
      <c r="AC34" s="767"/>
      <c r="AD34" s="767"/>
      <c r="AE34" s="767"/>
      <c r="AF34" s="753"/>
      <c r="AG34" s="753"/>
      <c r="AH34" s="768"/>
      <c r="AI34" s="768"/>
      <c r="AJ34" s="768"/>
      <c r="AK34" s="753"/>
      <c r="AL34" s="753"/>
      <c r="AM34" s="753"/>
      <c r="AN34" s="753"/>
      <c r="AO34" s="753"/>
      <c r="AP34" s="753"/>
      <c r="AQ34" s="352"/>
      <c r="AR34" s="352"/>
      <c r="AT34" s="453"/>
      <c r="AU34" s="352"/>
      <c r="AV34" s="352"/>
      <c r="BC34" s="774"/>
    </row>
    <row r="35" spans="2:55" ht="12.5" customHeight="1" x14ac:dyDescent="0.25">
      <c r="B35" s="55" t="s">
        <v>98</v>
      </c>
      <c r="C35" s="706"/>
      <c r="D35" s="706">
        <f t="shared" si="4"/>
        <v>0</v>
      </c>
      <c r="E35" s="706"/>
      <c r="F35" s="676"/>
      <c r="G35" s="676"/>
      <c r="H35" s="676"/>
      <c r="I35" s="676"/>
      <c r="J35" s="676"/>
      <c r="K35" s="676"/>
      <c r="L35" s="676"/>
      <c r="M35" s="676"/>
      <c r="N35" s="707"/>
      <c r="O35" s="707"/>
      <c r="P35" s="707"/>
      <c r="Q35" s="676" t="s">
        <v>33</v>
      </c>
      <c r="R35" s="676" t="s">
        <v>33</v>
      </c>
      <c r="S35" s="708" t="s">
        <v>33</v>
      </c>
      <c r="T35" s="709" t="s">
        <v>33</v>
      </c>
      <c r="Z35" s="753"/>
      <c r="AA35" s="753"/>
      <c r="AB35" s="754"/>
      <c r="AC35" s="753"/>
      <c r="AD35" s="753"/>
      <c r="AE35" s="753"/>
      <c r="AF35" s="753"/>
      <c r="AG35" s="754"/>
      <c r="AH35" s="754"/>
      <c r="AI35" s="754"/>
      <c r="AJ35" s="754"/>
      <c r="AK35" s="754"/>
      <c r="AL35" s="754"/>
      <c r="AM35" s="754"/>
      <c r="AN35" s="756"/>
      <c r="AO35" s="756"/>
      <c r="AP35" s="756"/>
      <c r="AQ35" s="454"/>
      <c r="AR35" s="352"/>
      <c r="AT35" s="453"/>
      <c r="AU35" s="454"/>
      <c r="AV35" s="454"/>
      <c r="BC35" s="772"/>
    </row>
    <row r="36" spans="2:55" ht="12.5" customHeight="1" x14ac:dyDescent="0.25">
      <c r="B36" s="62" t="s">
        <v>67</v>
      </c>
      <c r="C36" s="433">
        <v>2568001.5</v>
      </c>
      <c r="D36" s="433">
        <f>+C36/12</f>
        <v>214000.125</v>
      </c>
      <c r="E36" s="433">
        <v>0</v>
      </c>
      <c r="F36" s="364">
        <v>0</v>
      </c>
      <c r="G36" s="364">
        <v>595450</v>
      </c>
      <c r="H36" s="364">
        <v>0</v>
      </c>
      <c r="I36" s="364">
        <v>781652</v>
      </c>
      <c r="J36" s="364"/>
      <c r="K36" s="364"/>
      <c r="L36" s="364"/>
      <c r="M36" s="364"/>
      <c r="N36" s="365"/>
      <c r="O36" s="365"/>
      <c r="P36" s="365"/>
      <c r="Q36" s="364">
        <f t="shared" si="1"/>
        <v>1070000.625</v>
      </c>
      <c r="R36" s="364">
        <f>SUM(E36:P36)</f>
        <v>1377102</v>
      </c>
      <c r="S36" s="655">
        <f>+Q36-R36</f>
        <v>-307101.375</v>
      </c>
      <c r="T36" s="656">
        <f t="shared" si="5"/>
        <v>-307101.375</v>
      </c>
      <c r="Z36" s="753"/>
      <c r="AA36" s="753" t="s">
        <v>1413</v>
      </c>
      <c r="AB36" s="924">
        <f>Q19</f>
        <v>25699757.633333333</v>
      </c>
      <c r="AC36" s="767"/>
      <c r="AD36" s="767"/>
      <c r="AE36" s="767"/>
      <c r="AF36" s="753"/>
      <c r="AG36" s="754"/>
      <c r="AH36" s="754"/>
      <c r="AI36" s="754"/>
      <c r="AJ36" s="754"/>
      <c r="AK36" s="754"/>
      <c r="AL36" s="754"/>
      <c r="AM36" s="754"/>
      <c r="AN36" s="755"/>
      <c r="AO36" s="755"/>
      <c r="AP36" s="753"/>
      <c r="AQ36" s="352"/>
      <c r="AR36" s="352"/>
      <c r="AT36" s="353"/>
      <c r="AU36" s="352"/>
      <c r="AV36" s="352"/>
      <c r="BC36" s="772"/>
    </row>
    <row r="37" spans="2:55" ht="12.5" customHeight="1" x14ac:dyDescent="0.25">
      <c r="B37" s="55" t="s">
        <v>66</v>
      </c>
      <c r="C37" s="706">
        <f>33250000*1.15</f>
        <v>38237500</v>
      </c>
      <c r="D37" s="706">
        <f t="shared" ref="D37:D42" si="11">+C37/12</f>
        <v>3186458.3333333335</v>
      </c>
      <c r="E37" s="706">
        <v>3189683.88</v>
      </c>
      <c r="F37" s="676">
        <v>2628727</v>
      </c>
      <c r="G37" s="676">
        <v>2554892</v>
      </c>
      <c r="H37" s="676">
        <v>2640861</v>
      </c>
      <c r="I37" s="676">
        <v>3098024</v>
      </c>
      <c r="J37" s="676"/>
      <c r="K37" s="676"/>
      <c r="L37" s="676"/>
      <c r="M37" s="676"/>
      <c r="N37" s="707"/>
      <c r="O37" s="707"/>
      <c r="P37" s="707"/>
      <c r="Q37" s="676">
        <f t="shared" si="1"/>
        <v>15932291.666666668</v>
      </c>
      <c r="R37" s="676">
        <f t="shared" ref="R37:R43" si="12">SUM(E37:P37)</f>
        <v>14112187.879999999</v>
      </c>
      <c r="S37" s="708">
        <f>+Q37-R37</f>
        <v>1820103.786666669</v>
      </c>
      <c r="T37" s="709">
        <f t="shared" si="5"/>
        <v>1820103.786666669</v>
      </c>
      <c r="Z37" s="753"/>
      <c r="AA37" s="753" t="s">
        <v>788</v>
      </c>
      <c r="AB37" s="924">
        <f>R19</f>
        <v>23763013</v>
      </c>
      <c r="AC37" s="753"/>
      <c r="AD37" s="753"/>
      <c r="AE37" s="753"/>
      <c r="AF37" s="753"/>
      <c r="AG37" s="754"/>
      <c r="AH37" s="754"/>
      <c r="AI37" s="754"/>
      <c r="AJ37" s="754"/>
      <c r="AK37" s="754"/>
      <c r="AL37" s="754"/>
      <c r="AM37" s="754"/>
      <c r="AN37" s="753"/>
      <c r="AO37" s="753"/>
      <c r="AP37" s="753"/>
      <c r="AQ37" s="352"/>
      <c r="AR37" s="352"/>
      <c r="AT37" s="453"/>
      <c r="AU37" s="352"/>
      <c r="AV37" s="352"/>
      <c r="BC37" s="772"/>
    </row>
    <row r="38" spans="2:55" ht="12.5" customHeight="1" x14ac:dyDescent="0.25">
      <c r="B38" s="62" t="s">
        <v>99</v>
      </c>
      <c r="C38" s="433">
        <v>3500000</v>
      </c>
      <c r="D38" s="433">
        <f t="shared" si="11"/>
        <v>291666.66666666669</v>
      </c>
      <c r="E38" s="433">
        <v>129706</v>
      </c>
      <c r="F38" s="364">
        <v>233099</v>
      </c>
      <c r="G38" s="364">
        <v>303870</v>
      </c>
      <c r="H38" s="364">
        <v>205744</v>
      </c>
      <c r="I38" s="364">
        <v>217588</v>
      </c>
      <c r="J38" s="364"/>
      <c r="K38" s="364"/>
      <c r="L38" s="364"/>
      <c r="M38" s="364"/>
      <c r="N38" s="365"/>
      <c r="O38" s="365"/>
      <c r="P38" s="365"/>
      <c r="Q38" s="364">
        <f t="shared" si="1"/>
        <v>1458333.3333333335</v>
      </c>
      <c r="R38" s="364">
        <f t="shared" si="12"/>
        <v>1090007</v>
      </c>
      <c r="S38" s="655">
        <f>+Q38-R38</f>
        <v>368326.33333333349</v>
      </c>
      <c r="T38" s="656">
        <f t="shared" si="5"/>
        <v>368326.33333333349</v>
      </c>
      <c r="Z38" s="753"/>
      <c r="AA38" s="753" t="s">
        <v>780</v>
      </c>
      <c r="AB38" s="924">
        <f>AB36-AB37</f>
        <v>1936744.6333333328</v>
      </c>
      <c r="AC38" s="753"/>
      <c r="AD38" s="753"/>
      <c r="AE38" s="753"/>
      <c r="AF38" s="753"/>
      <c r="AG38" s="754"/>
      <c r="AH38" s="754"/>
      <c r="AI38" s="754"/>
      <c r="AJ38" s="754"/>
      <c r="AK38" s="754"/>
      <c r="AL38" s="754"/>
      <c r="AM38" s="754"/>
      <c r="AN38" s="753"/>
      <c r="AO38" s="753"/>
      <c r="AP38" s="753"/>
      <c r="AQ38" s="352"/>
      <c r="AR38" s="352"/>
      <c r="AT38" s="453"/>
      <c r="AU38" s="352"/>
      <c r="AV38" s="352"/>
      <c r="BC38" s="772"/>
    </row>
    <row r="39" spans="2:55" x14ac:dyDescent="0.25">
      <c r="B39" s="55" t="s">
        <v>100</v>
      </c>
      <c r="C39" s="706">
        <v>604000</v>
      </c>
      <c r="D39" s="706">
        <f t="shared" si="11"/>
        <v>50333.333333333336</v>
      </c>
      <c r="E39" s="706">
        <v>50100</v>
      </c>
      <c r="F39" s="676">
        <v>50115</v>
      </c>
      <c r="G39" s="676">
        <v>56102</v>
      </c>
      <c r="H39" s="676">
        <v>56070</v>
      </c>
      <c r="I39" s="676">
        <v>56076</v>
      </c>
      <c r="J39" s="676"/>
      <c r="K39" s="676"/>
      <c r="L39" s="676"/>
      <c r="M39" s="676"/>
      <c r="N39" s="707"/>
      <c r="O39" s="707"/>
      <c r="P39" s="707"/>
      <c r="Q39" s="676">
        <f t="shared" si="1"/>
        <v>251666.66666666669</v>
      </c>
      <c r="R39" s="676">
        <f t="shared" si="12"/>
        <v>268463</v>
      </c>
      <c r="S39" s="708">
        <f>+Q39-R39</f>
        <v>-16796.333333333314</v>
      </c>
      <c r="T39" s="709">
        <f t="shared" si="5"/>
        <v>-16796.333333333314</v>
      </c>
      <c r="Z39" s="753"/>
      <c r="AA39" s="753"/>
      <c r="AB39" s="754"/>
      <c r="AC39" s="769"/>
      <c r="AD39" s="769"/>
      <c r="AE39" s="769"/>
      <c r="AF39" s="753"/>
      <c r="AG39" s="754"/>
      <c r="AH39" s="754"/>
      <c r="AI39" s="754"/>
      <c r="AJ39" s="754"/>
      <c r="AK39" s="754"/>
      <c r="AL39" s="754"/>
      <c r="AM39" s="754"/>
      <c r="AN39" s="753"/>
      <c r="AO39" s="753"/>
      <c r="AP39" s="753"/>
      <c r="AQ39" s="352"/>
      <c r="AR39" s="352"/>
      <c r="AT39" s="353"/>
      <c r="AU39" s="352"/>
      <c r="AV39" s="352"/>
      <c r="BC39" s="772"/>
    </row>
    <row r="40" spans="2:55" x14ac:dyDescent="0.25">
      <c r="B40" s="62" t="s">
        <v>1226</v>
      </c>
      <c r="C40" s="433">
        <f>100988*12</f>
        <v>1211856</v>
      </c>
      <c r="D40" s="433">
        <f t="shared" si="11"/>
        <v>100988</v>
      </c>
      <c r="E40" s="433">
        <v>0</v>
      </c>
      <c r="F40" s="364">
        <v>0</v>
      </c>
      <c r="G40" s="364">
        <v>55250</v>
      </c>
      <c r="H40" s="364">
        <v>0</v>
      </c>
      <c r="I40" s="364">
        <v>0</v>
      </c>
      <c r="J40" s="364"/>
      <c r="K40" s="364"/>
      <c r="L40" s="364"/>
      <c r="M40" s="364"/>
      <c r="N40" s="365"/>
      <c r="O40" s="365"/>
      <c r="P40" s="365"/>
      <c r="Q40" s="364">
        <f t="shared" si="1"/>
        <v>504940</v>
      </c>
      <c r="R40" s="364">
        <f t="shared" si="12"/>
        <v>55250</v>
      </c>
      <c r="S40" s="655"/>
      <c r="T40" s="656">
        <f t="shared" si="5"/>
        <v>449690</v>
      </c>
      <c r="Z40" s="756"/>
      <c r="AA40" s="753" t="s">
        <v>1414</v>
      </c>
      <c r="AB40" s="924">
        <f>Q44</f>
        <v>26321565.625</v>
      </c>
      <c r="AC40" s="767"/>
      <c r="AD40" s="767"/>
      <c r="AE40" s="767"/>
      <c r="AF40" s="756"/>
      <c r="AG40" s="754"/>
      <c r="AH40" s="754"/>
      <c r="AI40" s="754"/>
      <c r="AJ40" s="754"/>
      <c r="AK40" s="754"/>
      <c r="AL40" s="754"/>
      <c r="AM40" s="754"/>
      <c r="AN40" s="753"/>
      <c r="AO40" s="753"/>
      <c r="AP40" s="753"/>
      <c r="AQ40" s="352"/>
      <c r="AR40" s="352"/>
      <c r="AT40" s="459"/>
      <c r="AU40" s="352"/>
      <c r="AV40" s="352"/>
      <c r="BC40" s="772"/>
    </row>
    <row r="41" spans="2:55" x14ac:dyDescent="0.25">
      <c r="B41" s="55" t="s">
        <v>101</v>
      </c>
      <c r="C41" s="706">
        <v>800000</v>
      </c>
      <c r="D41" s="706">
        <f t="shared" si="11"/>
        <v>66666.666666666672</v>
      </c>
      <c r="E41" s="706">
        <v>87582</v>
      </c>
      <c r="F41" s="676">
        <v>100988</v>
      </c>
      <c r="G41" s="676">
        <v>100988</v>
      </c>
      <c r="H41" s="676">
        <v>100988</v>
      </c>
      <c r="I41" s="676">
        <v>100988</v>
      </c>
      <c r="J41" s="676"/>
      <c r="K41" s="676"/>
      <c r="L41" s="676"/>
      <c r="M41" s="676"/>
      <c r="N41" s="707"/>
      <c r="O41" s="707"/>
      <c r="P41" s="707"/>
      <c r="Q41" s="676">
        <f t="shared" si="1"/>
        <v>333333.33333333337</v>
      </c>
      <c r="R41" s="676">
        <f t="shared" si="12"/>
        <v>491534</v>
      </c>
      <c r="S41" s="708">
        <f>+Q41-R41</f>
        <v>-158200.66666666663</v>
      </c>
      <c r="T41" s="709">
        <f t="shared" si="5"/>
        <v>-158200.66666666663</v>
      </c>
      <c r="Z41" s="753"/>
      <c r="AA41" s="768" t="s">
        <v>1415</v>
      </c>
      <c r="AB41" s="924">
        <f>R44</f>
        <v>24638043.879999999</v>
      </c>
      <c r="AC41" s="754"/>
      <c r="AD41" s="754"/>
      <c r="AE41" s="754"/>
      <c r="AF41" s="753"/>
      <c r="AG41" s="754"/>
      <c r="AH41" s="754"/>
      <c r="AI41" s="754"/>
      <c r="AJ41" s="754"/>
      <c r="AK41" s="754"/>
      <c r="AL41" s="754"/>
      <c r="AM41" s="754"/>
      <c r="AN41" s="753"/>
      <c r="AO41" s="753"/>
      <c r="AP41" s="753"/>
      <c r="AQ41" s="352"/>
      <c r="AU41" s="352"/>
      <c r="AV41" s="352"/>
      <c r="BC41" s="772"/>
    </row>
    <row r="42" spans="2:55" ht="13" x14ac:dyDescent="0.3">
      <c r="B42" s="710" t="s">
        <v>102</v>
      </c>
      <c r="C42" s="711">
        <f>(1187000+167200)*12</f>
        <v>16250400</v>
      </c>
      <c r="D42" s="711">
        <f t="shared" si="11"/>
        <v>1354200</v>
      </c>
      <c r="E42" s="712">
        <v>1354200</v>
      </c>
      <c r="F42" s="711">
        <v>1354200</v>
      </c>
      <c r="G42" s="712">
        <v>1354200</v>
      </c>
      <c r="H42" s="712">
        <v>1354200</v>
      </c>
      <c r="I42" s="712">
        <v>1354200</v>
      </c>
      <c r="J42" s="712"/>
      <c r="K42" s="712"/>
      <c r="L42" s="712"/>
      <c r="M42" s="712"/>
      <c r="N42" s="713"/>
      <c r="O42" s="713"/>
      <c r="P42" s="713"/>
      <c r="Q42" s="676">
        <f t="shared" si="1"/>
        <v>6771000</v>
      </c>
      <c r="R42" s="714">
        <f t="shared" si="12"/>
        <v>6771000</v>
      </c>
      <c r="S42" s="715">
        <f>+Q42-R42</f>
        <v>0</v>
      </c>
      <c r="T42" s="716">
        <f t="shared" si="5"/>
        <v>0</v>
      </c>
      <c r="Z42" s="756"/>
      <c r="AA42" s="753" t="s">
        <v>780</v>
      </c>
      <c r="AB42" s="924">
        <f>AB40-AB41</f>
        <v>1683521.745000001</v>
      </c>
      <c r="AC42" s="767"/>
      <c r="AD42" s="767"/>
      <c r="AE42" s="767"/>
      <c r="AF42" s="756"/>
      <c r="AG42" s="754"/>
      <c r="AH42" s="754"/>
      <c r="AI42" s="754"/>
      <c r="AJ42" s="754"/>
      <c r="AK42" s="754"/>
      <c r="AL42" s="754"/>
      <c r="AM42" s="754"/>
      <c r="AN42" s="753"/>
      <c r="AO42" s="753"/>
      <c r="AP42" s="753"/>
      <c r="AQ42" s="352"/>
      <c r="AR42" s="352"/>
      <c r="AT42" s="42"/>
      <c r="AU42" s="352"/>
      <c r="AV42" s="352"/>
      <c r="BC42" s="772"/>
    </row>
    <row r="43" spans="2:55" x14ac:dyDescent="0.25">
      <c r="B43" s="684" t="s">
        <v>1409</v>
      </c>
      <c r="C43" s="370"/>
      <c r="D43" s="369"/>
      <c r="E43" s="369"/>
      <c r="F43" s="370"/>
      <c r="G43" s="370"/>
      <c r="H43" s="370"/>
      <c r="I43" s="370">
        <v>472500</v>
      </c>
      <c r="J43" s="370"/>
      <c r="K43" s="370"/>
      <c r="L43" s="370"/>
      <c r="M43" s="370"/>
      <c r="N43" s="380"/>
      <c r="O43" s="380"/>
      <c r="P43" s="380"/>
      <c r="Q43" s="364">
        <f t="shared" si="1"/>
        <v>0</v>
      </c>
      <c r="R43" s="439">
        <f t="shared" si="12"/>
        <v>472500</v>
      </c>
      <c r="S43" s="663"/>
      <c r="T43" s="657">
        <f t="shared" si="5"/>
        <v>-472500</v>
      </c>
      <c r="Z43" s="753"/>
      <c r="AA43" s="753"/>
      <c r="AB43" s="754"/>
      <c r="AC43" s="753"/>
      <c r="AD43" s="753"/>
      <c r="AE43" s="753"/>
      <c r="AF43" s="753"/>
      <c r="AG43" s="754"/>
      <c r="AH43" s="754"/>
      <c r="AI43" s="754"/>
      <c r="AJ43" s="754"/>
      <c r="AK43" s="754"/>
      <c r="AL43" s="754"/>
      <c r="AM43" s="754"/>
      <c r="AN43" s="756"/>
      <c r="AO43" s="756"/>
      <c r="AP43" s="756"/>
      <c r="AQ43" s="454"/>
      <c r="AR43" s="352"/>
      <c r="AT43" s="42"/>
      <c r="AU43" s="454"/>
      <c r="AV43" s="454"/>
      <c r="BC43" s="772"/>
    </row>
    <row r="44" spans="2:55" ht="14.25" customHeight="1" x14ac:dyDescent="0.25">
      <c r="B44" s="684" t="s">
        <v>103</v>
      </c>
      <c r="C44" s="686">
        <f>SUM(C36:C42)</f>
        <v>63171757.5</v>
      </c>
      <c r="D44" s="685">
        <f>+C44/12</f>
        <v>5264313.125</v>
      </c>
      <c r="E44" s="685">
        <f>SUM(E36:E42)</f>
        <v>4811271.88</v>
      </c>
      <c r="F44" s="686">
        <f>SUM(F36:F42)</f>
        <v>4367129</v>
      </c>
      <c r="G44" s="686">
        <f>SUM(G36:G42)</f>
        <v>5020752</v>
      </c>
      <c r="H44" s="686">
        <f>SUM(H36:H42)</f>
        <v>4357863</v>
      </c>
      <c r="I44" s="686">
        <f>SUM(I36:I43)</f>
        <v>6081028</v>
      </c>
      <c r="J44" s="686">
        <f t="shared" ref="J44:P44" si="13">SUM(J36:J42)</f>
        <v>0</v>
      </c>
      <c r="K44" s="686">
        <f t="shared" si="13"/>
        <v>0</v>
      </c>
      <c r="L44" s="686">
        <f t="shared" si="13"/>
        <v>0</v>
      </c>
      <c r="M44" s="686">
        <f t="shared" si="13"/>
        <v>0</v>
      </c>
      <c r="N44" s="687">
        <f t="shared" si="13"/>
        <v>0</v>
      </c>
      <c r="O44" s="687">
        <f t="shared" si="13"/>
        <v>0</v>
      </c>
      <c r="P44" s="687">
        <f t="shared" si="13"/>
        <v>0</v>
      </c>
      <c r="Q44" s="686">
        <f>+D44*$B$5</f>
        <v>26321565.625</v>
      </c>
      <c r="R44" s="686">
        <f>SUM(R36:R43)</f>
        <v>24638043.879999999</v>
      </c>
      <c r="S44" s="688">
        <f>SUM(S36:S42)</f>
        <v>1706331.7450000024</v>
      </c>
      <c r="T44" s="689">
        <f t="shared" si="5"/>
        <v>1683521.745000001</v>
      </c>
      <c r="Z44" s="753"/>
      <c r="AA44" s="753" t="s">
        <v>1416</v>
      </c>
      <c r="AB44" s="924">
        <f>Q56</f>
        <v>17399848.333333332</v>
      </c>
      <c r="AC44" s="760"/>
      <c r="AD44" s="760"/>
      <c r="AE44" s="760"/>
      <c r="AF44" s="753"/>
      <c r="AG44" s="754"/>
      <c r="AH44" s="754"/>
      <c r="AI44" s="754"/>
      <c r="AJ44" s="754"/>
      <c r="AK44" s="754"/>
      <c r="AL44" s="754"/>
      <c r="AM44" s="754"/>
      <c r="AN44" s="753"/>
      <c r="AO44" s="753"/>
      <c r="AP44" s="753"/>
      <c r="AQ44" s="352"/>
      <c r="AR44" s="352"/>
      <c r="AT44" s="353"/>
      <c r="AU44" s="352"/>
      <c r="AV44" s="352"/>
      <c r="BC44" s="772"/>
    </row>
    <row r="45" spans="2:55" ht="14.25" customHeight="1" x14ac:dyDescent="0.25">
      <c r="B45" s="62" t="s">
        <v>104</v>
      </c>
      <c r="C45" s="364"/>
      <c r="D45" s="433" t="s">
        <v>33</v>
      </c>
      <c r="E45" s="433"/>
      <c r="F45" s="364"/>
      <c r="G45" s="364"/>
      <c r="H45" s="364"/>
      <c r="I45" s="364"/>
      <c r="J45" s="364"/>
      <c r="K45" s="364"/>
      <c r="L45" s="364"/>
      <c r="M45" s="364"/>
      <c r="N45" s="365"/>
      <c r="O45" s="365"/>
      <c r="P45" s="365"/>
      <c r="Q45" s="364" t="s">
        <v>33</v>
      </c>
      <c r="R45" s="364"/>
      <c r="S45" s="655">
        <f>+F45+G45+E45</f>
        <v>0</v>
      </c>
      <c r="T45" s="656" t="s">
        <v>33</v>
      </c>
      <c r="Z45" s="753"/>
      <c r="AA45" s="753" t="s">
        <v>1417</v>
      </c>
      <c r="AB45" s="755">
        <f>R56</f>
        <v>16820757.719999999</v>
      </c>
      <c r="AC45" s="753"/>
      <c r="AD45" s="753"/>
      <c r="AE45" s="753"/>
      <c r="AF45" s="753"/>
      <c r="AG45" s="754"/>
      <c r="AH45" s="754"/>
      <c r="AI45" s="754"/>
      <c r="AJ45" s="754"/>
      <c r="AK45" s="754"/>
      <c r="AL45" s="754"/>
      <c r="AM45" s="754"/>
      <c r="AN45" s="756"/>
      <c r="AO45" s="756"/>
      <c r="AP45" s="756"/>
      <c r="AQ45" s="454"/>
      <c r="AR45" s="352"/>
      <c r="AT45" s="353"/>
      <c r="AU45" s="454"/>
      <c r="AV45" s="454"/>
      <c r="BC45" s="772"/>
    </row>
    <row r="46" spans="2:55" x14ac:dyDescent="0.25">
      <c r="B46" s="684" t="s">
        <v>105</v>
      </c>
      <c r="C46" s="686">
        <v>30797847</v>
      </c>
      <c r="D46" s="685">
        <f>+C46/12</f>
        <v>2566487.25</v>
      </c>
      <c r="E46" s="685">
        <v>2343824</v>
      </c>
      <c r="F46" s="686">
        <v>2343824</v>
      </c>
      <c r="G46" s="686">
        <v>2343824</v>
      </c>
      <c r="H46" s="686">
        <v>3235079</v>
      </c>
      <c r="I46" s="686">
        <v>2566487</v>
      </c>
      <c r="J46" s="686"/>
      <c r="K46" s="686"/>
      <c r="L46" s="686"/>
      <c r="M46" s="686"/>
      <c r="N46" s="687"/>
      <c r="O46" s="687"/>
      <c r="P46" s="687"/>
      <c r="Q46" s="686">
        <f t="shared" si="1"/>
        <v>12832436.25</v>
      </c>
      <c r="R46" s="686">
        <f t="shared" ref="R46:R55" si="14">SUM(E46:P46)</f>
        <v>12833038</v>
      </c>
      <c r="S46" s="688">
        <f>+Q46-R46</f>
        <v>-601.75</v>
      </c>
      <c r="T46" s="689">
        <f t="shared" si="5"/>
        <v>-601.75</v>
      </c>
      <c r="Z46" s="753"/>
      <c r="AA46" s="753" t="s">
        <v>780</v>
      </c>
      <c r="AB46" s="755">
        <f>AB44-AB45</f>
        <v>579090.61333333328</v>
      </c>
      <c r="AC46" s="753"/>
      <c r="AD46" s="753"/>
      <c r="AE46" s="753"/>
      <c r="AF46" s="753"/>
      <c r="AG46" s="754"/>
      <c r="AH46" s="754"/>
      <c r="AI46" s="754"/>
      <c r="AJ46" s="754"/>
      <c r="AK46" s="754"/>
      <c r="AL46" s="754"/>
      <c r="AM46" s="754"/>
      <c r="AN46" s="753"/>
      <c r="AO46" s="753"/>
      <c r="AP46" s="753"/>
      <c r="AQ46" s="352"/>
      <c r="AR46" s="352"/>
      <c r="AT46" s="459"/>
      <c r="AU46" s="352"/>
      <c r="AV46" s="352"/>
      <c r="BC46" s="772"/>
    </row>
    <row r="47" spans="2:55" x14ac:dyDescent="0.25">
      <c r="B47" s="62" t="s">
        <v>65</v>
      </c>
      <c r="C47" s="364">
        <v>6413421</v>
      </c>
      <c r="D47" s="433">
        <f t="shared" ref="D47:D55" si="15">+C47/12</f>
        <v>534451.75</v>
      </c>
      <c r="E47" s="433">
        <v>488080</v>
      </c>
      <c r="F47" s="364">
        <v>488080</v>
      </c>
      <c r="G47" s="364">
        <v>627190</v>
      </c>
      <c r="H47" s="364">
        <v>534352</v>
      </c>
      <c r="I47" s="364">
        <v>534352</v>
      </c>
      <c r="J47" s="364"/>
      <c r="K47" s="364"/>
      <c r="L47" s="364"/>
      <c r="M47" s="364"/>
      <c r="N47" s="365"/>
      <c r="O47" s="365"/>
      <c r="P47" s="365"/>
      <c r="Q47" s="364">
        <f t="shared" si="1"/>
        <v>2672258.75</v>
      </c>
      <c r="R47" s="364">
        <f t="shared" si="14"/>
        <v>2672054</v>
      </c>
      <c r="S47" s="655">
        <f t="shared" ref="S47:S55" si="16">+Q47-R47</f>
        <v>204.75</v>
      </c>
      <c r="T47" s="656">
        <f t="shared" si="5"/>
        <v>204.75</v>
      </c>
      <c r="Z47" s="756"/>
      <c r="AA47" s="756"/>
      <c r="AB47" s="756"/>
      <c r="AC47" s="753"/>
      <c r="AD47" s="753"/>
      <c r="AE47" s="753"/>
      <c r="AF47" s="753"/>
      <c r="AG47" s="754"/>
      <c r="AH47" s="754"/>
      <c r="AI47" s="754"/>
      <c r="AJ47" s="754"/>
      <c r="AK47" s="754"/>
      <c r="AL47" s="754"/>
      <c r="AM47" s="754"/>
      <c r="AN47" s="753"/>
      <c r="AO47" s="753"/>
      <c r="AP47" s="753"/>
      <c r="AQ47" s="352"/>
      <c r="AR47" s="352"/>
      <c r="AT47" s="353"/>
      <c r="AU47" s="352"/>
      <c r="AV47" s="352"/>
      <c r="BC47" s="772"/>
    </row>
    <row r="48" spans="2:55" x14ac:dyDescent="0.25">
      <c r="B48" s="684" t="s">
        <v>106</v>
      </c>
      <c r="C48" s="686">
        <v>534465</v>
      </c>
      <c r="D48" s="685">
        <f t="shared" si="15"/>
        <v>44538.75</v>
      </c>
      <c r="E48" s="685">
        <v>0</v>
      </c>
      <c r="F48" s="686">
        <v>0</v>
      </c>
      <c r="G48" s="686">
        <v>0</v>
      </c>
      <c r="H48" s="686">
        <v>0</v>
      </c>
      <c r="I48" s="686">
        <v>0</v>
      </c>
      <c r="J48" s="686"/>
      <c r="K48" s="686"/>
      <c r="L48" s="686"/>
      <c r="M48" s="686"/>
      <c r="N48" s="687"/>
      <c r="O48" s="687"/>
      <c r="P48" s="687"/>
      <c r="Q48" s="686">
        <f t="shared" si="1"/>
        <v>222693.75</v>
      </c>
      <c r="R48" s="686">
        <f t="shared" si="14"/>
        <v>0</v>
      </c>
      <c r="S48" s="688">
        <f t="shared" si="16"/>
        <v>222693.75</v>
      </c>
      <c r="T48" s="689">
        <f t="shared" si="5"/>
        <v>222693.75</v>
      </c>
      <c r="Z48" s="753"/>
      <c r="AA48" s="753" t="s">
        <v>1418</v>
      </c>
      <c r="AB48" s="755">
        <f>Q33</f>
        <v>0</v>
      </c>
      <c r="AC48" s="753"/>
      <c r="AD48" s="753"/>
      <c r="AE48" s="753"/>
      <c r="AF48" s="753"/>
      <c r="AG48" s="754"/>
      <c r="AH48" s="754"/>
      <c r="AI48" s="754"/>
      <c r="AJ48" s="754"/>
      <c r="AK48" s="754"/>
      <c r="AL48" s="754"/>
      <c r="AM48" s="754"/>
      <c r="AN48" s="753"/>
      <c r="AO48" s="753"/>
      <c r="AP48" s="753"/>
      <c r="AQ48" s="352"/>
      <c r="AR48" s="1"/>
      <c r="AT48" s="925"/>
      <c r="AU48" s="352"/>
      <c r="AV48" s="352"/>
      <c r="BC48" s="772"/>
    </row>
    <row r="49" spans="2:61" x14ac:dyDescent="0.25">
      <c r="B49" s="62" t="s">
        <v>107</v>
      </c>
      <c r="C49" s="364">
        <v>603903</v>
      </c>
      <c r="D49" s="433">
        <f t="shared" si="15"/>
        <v>50325.25</v>
      </c>
      <c r="E49" s="433">
        <v>50344</v>
      </c>
      <c r="F49" s="364">
        <v>50344</v>
      </c>
      <c r="G49" s="364">
        <v>50344</v>
      </c>
      <c r="H49" s="364">
        <v>50344</v>
      </c>
      <c r="I49" s="364">
        <v>50344</v>
      </c>
      <c r="J49" s="364"/>
      <c r="K49" s="364"/>
      <c r="L49" s="364"/>
      <c r="M49" s="364"/>
      <c r="N49" s="365"/>
      <c r="O49" s="365"/>
      <c r="P49" s="365"/>
      <c r="Q49" s="364">
        <f t="shared" si="1"/>
        <v>251626.25</v>
      </c>
      <c r="R49" s="364">
        <f t="shared" si="14"/>
        <v>251720</v>
      </c>
      <c r="S49" s="655">
        <f t="shared" si="16"/>
        <v>-93.75</v>
      </c>
      <c r="T49" s="656">
        <f t="shared" si="5"/>
        <v>-93.75</v>
      </c>
      <c r="Z49" s="753"/>
      <c r="AA49" s="753" t="s">
        <v>1419</v>
      </c>
      <c r="AB49" s="755">
        <f>R33</f>
        <v>515365</v>
      </c>
      <c r="AC49" s="753"/>
      <c r="AD49" s="753"/>
      <c r="AE49" s="753"/>
      <c r="AF49" s="753"/>
      <c r="AG49" s="754"/>
      <c r="AH49" s="754"/>
      <c r="AI49" s="754"/>
      <c r="AJ49" s="754"/>
      <c r="AK49" s="754"/>
      <c r="AL49" s="754"/>
      <c r="AM49" s="754"/>
      <c r="AN49" s="753"/>
      <c r="AO49" s="753"/>
      <c r="AP49" s="753"/>
      <c r="AQ49" s="352"/>
      <c r="AR49" s="1"/>
      <c r="AT49" s="459"/>
      <c r="AU49" s="352"/>
      <c r="BC49" s="772"/>
    </row>
    <row r="50" spans="2:61" x14ac:dyDescent="0.25">
      <c r="B50" s="684" t="s">
        <v>108</v>
      </c>
      <c r="C50" s="686">
        <v>200000</v>
      </c>
      <c r="D50" s="685">
        <f t="shared" si="15"/>
        <v>16666.666666666668</v>
      </c>
      <c r="E50" s="685">
        <v>0</v>
      </c>
      <c r="F50" s="686">
        <v>0</v>
      </c>
      <c r="G50" s="686">
        <v>10000</v>
      </c>
      <c r="H50" s="686">
        <v>10000</v>
      </c>
      <c r="I50" s="686">
        <v>0</v>
      </c>
      <c r="J50" s="686"/>
      <c r="K50" s="686"/>
      <c r="L50" s="686"/>
      <c r="M50" s="686"/>
      <c r="N50" s="687"/>
      <c r="O50" s="687"/>
      <c r="P50" s="687"/>
      <c r="Q50" s="686">
        <f t="shared" si="1"/>
        <v>83333.333333333343</v>
      </c>
      <c r="R50" s="686">
        <f t="shared" si="14"/>
        <v>20000</v>
      </c>
      <c r="S50" s="688">
        <f t="shared" si="16"/>
        <v>63333.333333333343</v>
      </c>
      <c r="T50" s="689">
        <f t="shared" si="5"/>
        <v>63333.333333333343</v>
      </c>
      <c r="Z50" s="756"/>
      <c r="AA50" s="756"/>
      <c r="AB50" s="756"/>
      <c r="AC50" s="756"/>
      <c r="AD50" s="756"/>
      <c r="AE50" s="756"/>
      <c r="AF50" s="756"/>
      <c r="AG50" s="754"/>
      <c r="AH50" s="754"/>
      <c r="AI50" s="754"/>
      <c r="AJ50" s="754"/>
      <c r="AK50" s="754"/>
      <c r="AL50" s="754"/>
      <c r="AM50" s="754"/>
      <c r="AN50" s="753"/>
      <c r="AO50" s="753"/>
      <c r="AP50" s="753"/>
      <c r="AQ50" s="352"/>
      <c r="AR50" s="353"/>
      <c r="AT50" s="353"/>
      <c r="AU50" s="352"/>
      <c r="AV50" s="352"/>
      <c r="BC50" s="772"/>
    </row>
    <row r="51" spans="2:61" x14ac:dyDescent="0.25">
      <c r="B51" s="62" t="s">
        <v>109</v>
      </c>
      <c r="C51" s="364">
        <v>360000</v>
      </c>
      <c r="D51" s="433">
        <f t="shared" si="15"/>
        <v>30000</v>
      </c>
      <c r="E51" s="433">
        <v>0</v>
      </c>
      <c r="F51" s="364">
        <v>0</v>
      </c>
      <c r="G51" s="364">
        <v>26640</v>
      </c>
      <c r="H51" s="364">
        <v>4390</v>
      </c>
      <c r="I51" s="364">
        <v>27030</v>
      </c>
      <c r="J51" s="364"/>
      <c r="K51" s="364"/>
      <c r="L51" s="364"/>
      <c r="M51" s="364"/>
      <c r="N51" s="365"/>
      <c r="O51" s="365"/>
      <c r="P51" s="365"/>
      <c r="Q51" s="364">
        <f t="shared" si="1"/>
        <v>150000</v>
      </c>
      <c r="R51" s="364">
        <f t="shared" si="14"/>
        <v>58060</v>
      </c>
      <c r="S51" s="655">
        <f t="shared" si="16"/>
        <v>91940</v>
      </c>
      <c r="T51" s="656">
        <f t="shared" si="5"/>
        <v>91940</v>
      </c>
      <c r="Z51" s="754"/>
      <c r="AA51" s="754"/>
      <c r="AB51" s="754"/>
      <c r="AC51" s="754"/>
      <c r="AD51" s="754"/>
      <c r="AE51" s="754"/>
      <c r="AF51" s="754"/>
      <c r="AG51" s="754"/>
      <c r="AH51" s="754"/>
      <c r="AI51" s="754"/>
      <c r="AJ51" s="754"/>
      <c r="AK51" s="754"/>
      <c r="AL51" s="754"/>
      <c r="AM51" s="754"/>
      <c r="AN51" s="756"/>
      <c r="AO51" s="756"/>
      <c r="AP51" s="756" t="s">
        <v>783</v>
      </c>
      <c r="AQ51" s="454"/>
      <c r="AR51" s="352"/>
      <c r="AT51" s="353"/>
      <c r="AU51" s="454"/>
      <c r="AV51" s="454"/>
      <c r="BC51" s="772"/>
    </row>
    <row r="52" spans="2:61" ht="12.5" customHeight="1" x14ac:dyDescent="0.25">
      <c r="B52" s="684" t="s">
        <v>110</v>
      </c>
      <c r="C52" s="717">
        <v>150000</v>
      </c>
      <c r="D52" s="694">
        <f t="shared" si="15"/>
        <v>12500</v>
      </c>
      <c r="E52" s="685">
        <v>0</v>
      </c>
      <c r="F52" s="686">
        <v>0</v>
      </c>
      <c r="G52" s="718">
        <v>4500</v>
      </c>
      <c r="H52" s="718">
        <v>0</v>
      </c>
      <c r="I52" s="718">
        <v>0</v>
      </c>
      <c r="J52" s="718"/>
      <c r="K52" s="718"/>
      <c r="L52" s="718"/>
      <c r="M52" s="718"/>
      <c r="N52" s="719"/>
      <c r="O52" s="718"/>
      <c r="P52" s="718"/>
      <c r="Q52" s="686">
        <f t="shared" si="1"/>
        <v>62500</v>
      </c>
      <c r="R52" s="686">
        <f t="shared" si="14"/>
        <v>4500</v>
      </c>
      <c r="S52" s="688">
        <f t="shared" si="16"/>
        <v>58000</v>
      </c>
      <c r="T52" s="689">
        <f t="shared" si="5"/>
        <v>58000</v>
      </c>
      <c r="Z52" s="754"/>
      <c r="AA52" s="754"/>
      <c r="AB52" s="754"/>
      <c r="AC52" s="754"/>
      <c r="AD52" s="754"/>
      <c r="AE52" s="754"/>
      <c r="AF52" s="754"/>
      <c r="AG52" s="754"/>
      <c r="AH52" s="754"/>
      <c r="AI52" s="754"/>
      <c r="AJ52" s="754"/>
      <c r="AK52" s="754"/>
      <c r="AL52" s="754"/>
      <c r="AM52" s="754"/>
      <c r="AN52" s="753"/>
      <c r="AO52" s="753"/>
      <c r="AP52" s="753"/>
      <c r="AQ52" s="352"/>
      <c r="AR52" s="353"/>
      <c r="AT52" s="353"/>
      <c r="AU52" s="352"/>
      <c r="AV52" s="352"/>
      <c r="BC52" s="772"/>
    </row>
    <row r="53" spans="2:61" ht="12.5" customHeight="1" x14ac:dyDescent="0.25">
      <c r="B53" s="62" t="s">
        <v>111</v>
      </c>
      <c r="C53" s="660">
        <v>2700000</v>
      </c>
      <c r="D53" s="723">
        <f t="shared" si="15"/>
        <v>225000</v>
      </c>
      <c r="E53" s="433">
        <v>191152.44</v>
      </c>
      <c r="F53" s="364">
        <v>189522.6</v>
      </c>
      <c r="G53" s="364">
        <v>196603.1</v>
      </c>
      <c r="H53" s="364">
        <v>179705.1</v>
      </c>
      <c r="I53" s="364">
        <v>225057.48</v>
      </c>
      <c r="J53" s="364"/>
      <c r="K53" s="364"/>
      <c r="L53" s="364"/>
      <c r="M53" s="364"/>
      <c r="N53" s="365"/>
      <c r="O53" s="365"/>
      <c r="P53" s="365"/>
      <c r="Q53" s="364">
        <f t="shared" si="1"/>
        <v>1125000</v>
      </c>
      <c r="R53" s="364">
        <f t="shared" si="14"/>
        <v>982040.72</v>
      </c>
      <c r="S53" s="655">
        <f t="shared" si="16"/>
        <v>142959.28000000003</v>
      </c>
      <c r="T53" s="656">
        <f t="shared" si="5"/>
        <v>142959.28000000003</v>
      </c>
      <c r="Z53" s="754"/>
      <c r="AA53" s="754"/>
      <c r="AB53" s="754"/>
      <c r="AC53" s="754"/>
      <c r="AD53" s="754"/>
      <c r="AE53" s="754"/>
      <c r="AF53" s="754"/>
      <c r="AG53" s="754"/>
      <c r="AH53" s="754"/>
      <c r="AI53" s="754"/>
      <c r="AJ53" s="754"/>
      <c r="AK53" s="754"/>
      <c r="AL53" s="754"/>
      <c r="AM53" s="754"/>
      <c r="AN53" s="753"/>
      <c r="AO53" s="753"/>
      <c r="AP53" s="755">
        <f>Q34</f>
        <v>0</v>
      </c>
      <c r="AQ53" s="352"/>
      <c r="AU53" s="352"/>
      <c r="AV53" s="353"/>
    </row>
    <row r="54" spans="2:61" x14ac:dyDescent="0.25">
      <c r="B54" s="684" t="s">
        <v>68</v>
      </c>
      <c r="C54" s="686">
        <v>0</v>
      </c>
      <c r="D54" s="720">
        <f t="shared" si="15"/>
        <v>0</v>
      </c>
      <c r="E54" s="685">
        <v>0</v>
      </c>
      <c r="F54" s="686">
        <v>0</v>
      </c>
      <c r="G54" s="686">
        <v>1227</v>
      </c>
      <c r="H54" s="686">
        <v>5</v>
      </c>
      <c r="I54" s="686">
        <v>-1887</v>
      </c>
      <c r="J54" s="686"/>
      <c r="K54" s="686"/>
      <c r="L54" s="686"/>
      <c r="M54" s="686"/>
      <c r="N54" s="687"/>
      <c r="O54" s="687"/>
      <c r="P54" s="687"/>
      <c r="Q54" s="686">
        <f t="shared" si="1"/>
        <v>0</v>
      </c>
      <c r="R54" s="686">
        <f t="shared" si="14"/>
        <v>-655</v>
      </c>
      <c r="S54" s="688" t="e">
        <f>+#REF!-#REF!</f>
        <v>#REF!</v>
      </c>
      <c r="T54" s="689">
        <f t="shared" si="5"/>
        <v>655</v>
      </c>
      <c r="Z54" s="754"/>
      <c r="AA54" s="754"/>
      <c r="AB54" s="754"/>
      <c r="AC54" s="754"/>
      <c r="AD54" s="754"/>
      <c r="AE54" s="754"/>
      <c r="AF54" s="754"/>
      <c r="AG54" s="754"/>
      <c r="AH54" s="754"/>
      <c r="AI54" s="754"/>
      <c r="AJ54" s="754"/>
      <c r="AK54" s="754"/>
      <c r="AL54" s="754"/>
      <c r="AM54" s="754"/>
      <c r="AN54" s="770"/>
      <c r="AO54" s="770"/>
      <c r="AP54" s="753"/>
      <c r="AQ54" s="352"/>
      <c r="AT54" s="352"/>
      <c r="AU54" s="352"/>
      <c r="AV54" s="352"/>
      <c r="AZ54" s="352"/>
      <c r="BA54" s="352"/>
      <c r="BB54" s="352"/>
      <c r="BC54" s="352"/>
      <c r="BD54" s="352"/>
      <c r="BE54" s="352"/>
      <c r="BF54" s="352" t="s">
        <v>782</v>
      </c>
      <c r="BG54" s="352" t="s">
        <v>780</v>
      </c>
      <c r="BH54" s="454"/>
      <c r="BI54" s="454"/>
    </row>
    <row r="55" spans="2:61" ht="13" x14ac:dyDescent="0.3">
      <c r="B55" s="721" t="s">
        <v>112</v>
      </c>
      <c r="C55" s="722">
        <v>0</v>
      </c>
      <c r="D55" s="722">
        <f t="shared" si="15"/>
        <v>0</v>
      </c>
      <c r="E55" s="722"/>
      <c r="F55" s="722"/>
      <c r="G55" s="722"/>
      <c r="H55" s="722"/>
      <c r="I55" s="722"/>
      <c r="J55" s="722"/>
      <c r="K55" s="722"/>
      <c r="L55" s="722"/>
      <c r="M55" s="722"/>
      <c r="N55" s="722"/>
      <c r="O55" s="722"/>
      <c r="P55" s="722"/>
      <c r="Q55" s="686">
        <f t="shared" si="1"/>
        <v>0</v>
      </c>
      <c r="R55" s="722">
        <f t="shared" si="14"/>
        <v>0</v>
      </c>
      <c r="S55" s="695">
        <f t="shared" si="16"/>
        <v>0</v>
      </c>
      <c r="T55" s="696">
        <f t="shared" si="5"/>
        <v>0</v>
      </c>
      <c r="Z55" s="754"/>
      <c r="AA55" s="754"/>
      <c r="AB55" s="754"/>
      <c r="AC55" s="754"/>
      <c r="AD55" s="754"/>
      <c r="AE55" s="754"/>
      <c r="AF55" s="754"/>
      <c r="AG55" s="754"/>
      <c r="AH55" s="754"/>
      <c r="AI55" s="754"/>
      <c r="AJ55" s="754"/>
      <c r="AK55" s="754"/>
      <c r="AL55" s="754"/>
      <c r="AM55" s="754"/>
      <c r="AN55" s="753"/>
      <c r="AO55" s="753"/>
      <c r="AP55" s="755">
        <f>R34</f>
        <v>515365</v>
      </c>
      <c r="AQ55" s="352"/>
      <c r="AT55" s="352"/>
      <c r="AU55" s="352"/>
      <c r="AV55" s="353"/>
      <c r="AZ55" s="352"/>
      <c r="BI55" s="352"/>
    </row>
    <row r="56" spans="2:61" x14ac:dyDescent="0.25">
      <c r="B56" s="741" t="s">
        <v>113</v>
      </c>
      <c r="C56" s="742">
        <f t="shared" ref="C56:I56" si="17">SUM(C46:C55)</f>
        <v>41759636</v>
      </c>
      <c r="D56" s="743">
        <f t="shared" si="17"/>
        <v>3479969.6666666665</v>
      </c>
      <c r="E56" s="743">
        <f t="shared" si="17"/>
        <v>3073400.44</v>
      </c>
      <c r="F56" s="744">
        <f t="shared" si="17"/>
        <v>3071770.6</v>
      </c>
      <c r="G56" s="742">
        <f t="shared" si="17"/>
        <v>3260328.1</v>
      </c>
      <c r="H56" s="742">
        <f t="shared" si="17"/>
        <v>4013875.1</v>
      </c>
      <c r="I56" s="742">
        <f t="shared" si="17"/>
        <v>3401383.48</v>
      </c>
      <c r="J56" s="742"/>
      <c r="K56" s="742"/>
      <c r="L56" s="742"/>
      <c r="M56" s="742"/>
      <c r="N56" s="742"/>
      <c r="O56" s="742"/>
      <c r="P56" s="742"/>
      <c r="Q56" s="744">
        <f>+D56*$B$5</f>
        <v>17399848.333333332</v>
      </c>
      <c r="R56" s="742">
        <f>SUM(R46:R55)</f>
        <v>16820757.719999999</v>
      </c>
      <c r="S56" s="742" t="e">
        <f>SUM(S46:S55)</f>
        <v>#REF!</v>
      </c>
      <c r="T56" s="742">
        <f>+Q56-R56</f>
        <v>579090.61333333328</v>
      </c>
      <c r="AN56" s="352"/>
      <c r="AO56" s="352"/>
      <c r="AP56" s="352"/>
      <c r="AQ56" s="352"/>
      <c r="AR56" s="352"/>
      <c r="AS56" s="353"/>
      <c r="AT56" s="352"/>
      <c r="AU56" s="352"/>
      <c r="AV56" s="352"/>
      <c r="AZ56" s="352"/>
      <c r="BI56" s="352"/>
    </row>
    <row r="57" spans="2:61" ht="13" x14ac:dyDescent="0.3">
      <c r="B57" s="52" t="s">
        <v>118</v>
      </c>
      <c r="C57" s="383">
        <f>+C56+C44+C30+C34+C19</f>
        <v>356841927.21000004</v>
      </c>
      <c r="D57" s="435">
        <f>+D56+D44+D30+D19</f>
        <v>29736827.267500002</v>
      </c>
      <c r="E57" s="362">
        <f t="shared" ref="E57:P57" si="18">+E56+E44+E30+E34+E19</f>
        <v>29096206.32</v>
      </c>
      <c r="F57" s="382">
        <f t="shared" si="18"/>
        <v>28666715.600000001</v>
      </c>
      <c r="G57" s="382">
        <f t="shared" si="18"/>
        <v>29124953.100000001</v>
      </c>
      <c r="H57" s="382">
        <f t="shared" si="18"/>
        <v>26968598.100000001</v>
      </c>
      <c r="I57" s="665">
        <f t="shared" si="18"/>
        <v>29889745.48</v>
      </c>
      <c r="J57" s="665">
        <f t="shared" si="18"/>
        <v>0</v>
      </c>
      <c r="K57" s="665">
        <f t="shared" si="18"/>
        <v>0</v>
      </c>
      <c r="L57" s="665">
        <f t="shared" si="18"/>
        <v>0</v>
      </c>
      <c r="M57" s="665">
        <f t="shared" si="18"/>
        <v>0</v>
      </c>
      <c r="N57" s="666">
        <f t="shared" si="18"/>
        <v>0</v>
      </c>
      <c r="O57" s="666">
        <f t="shared" si="18"/>
        <v>0</v>
      </c>
      <c r="P57" s="666">
        <f t="shared" si="18"/>
        <v>0</v>
      </c>
      <c r="Q57" s="373">
        <f>+D57*$B$5</f>
        <v>148684136.33750001</v>
      </c>
      <c r="R57" s="378">
        <f>+R56+R44+R30+R34+R19</f>
        <v>143746218.59999999</v>
      </c>
      <c r="S57" s="662" t="e">
        <f>+S56+S44+S30+S34+S19</f>
        <v>#REF!</v>
      </c>
      <c r="T57" s="667">
        <f>+T56+T44+T30+T34+T19</f>
        <v>4937917.7375000194</v>
      </c>
      <c r="Z57" s="772"/>
      <c r="AA57" s="772"/>
      <c r="AB57" s="774" t="s">
        <v>1237</v>
      </c>
      <c r="AC57" s="772"/>
      <c r="AD57" s="772"/>
      <c r="AE57" s="772"/>
      <c r="AG57" s="784" t="s">
        <v>1239</v>
      </c>
      <c r="AH57" s="785"/>
      <c r="AI57" s="785"/>
      <c r="AJ57" s="785"/>
      <c r="AK57" s="785"/>
      <c r="AL57" s="785"/>
      <c r="AM57" s="785"/>
      <c r="AN57" s="786"/>
      <c r="AO57" s="786"/>
      <c r="AP57" s="786"/>
      <c r="AQ57" s="454"/>
      <c r="AR57" s="454"/>
      <c r="AS57" s="454"/>
      <c r="AT57" s="454"/>
      <c r="AU57" s="454"/>
      <c r="AV57" s="454"/>
      <c r="AZ57" s="352"/>
      <c r="BI57" s="352"/>
    </row>
    <row r="58" spans="2:61" ht="13" x14ac:dyDescent="0.3">
      <c r="B58" s="724"/>
      <c r="C58" s="725"/>
      <c r="D58" s="726"/>
      <c r="E58" s="726"/>
      <c r="F58" s="727"/>
      <c r="G58" s="727"/>
      <c r="H58" s="727"/>
      <c r="I58" s="727"/>
      <c r="J58" s="727"/>
      <c r="K58" s="727"/>
      <c r="L58" s="727"/>
      <c r="M58" s="727"/>
      <c r="N58" s="728"/>
      <c r="O58" s="728"/>
      <c r="P58" s="728"/>
      <c r="Q58" s="727"/>
      <c r="R58" s="727"/>
      <c r="S58" s="729"/>
      <c r="T58" s="730"/>
      <c r="Z58" s="771" t="s">
        <v>785</v>
      </c>
      <c r="AA58" s="780"/>
      <c r="AB58" s="781">
        <f>AB37/AB36</f>
        <v>0.924639575945988</v>
      </c>
      <c r="AC58" s="776">
        <f>R34</f>
        <v>515365</v>
      </c>
      <c r="AD58" s="776"/>
      <c r="AE58" s="776"/>
      <c r="AF58" s="352"/>
      <c r="AG58" s="787" t="s">
        <v>785</v>
      </c>
      <c r="AH58" s="787"/>
      <c r="AI58" s="788">
        <f>R18/R8</f>
        <v>2.3540818972985363E-3</v>
      </c>
      <c r="AJ58" s="788"/>
      <c r="AK58" s="785"/>
      <c r="AL58" s="785"/>
      <c r="AM58" s="785"/>
      <c r="AN58" s="787"/>
      <c r="AO58" s="787"/>
      <c r="AP58" s="787"/>
      <c r="AQ58" s="352"/>
      <c r="AR58" s="352"/>
      <c r="AS58" s="352"/>
      <c r="AT58" s="352"/>
      <c r="AU58" s="352"/>
      <c r="AV58" s="352"/>
      <c r="AZ58" s="352"/>
      <c r="BI58" s="352"/>
    </row>
    <row r="59" spans="2:61" ht="13" x14ac:dyDescent="0.3">
      <c r="B59" s="731" t="s">
        <v>219</v>
      </c>
      <c r="C59" s="732">
        <f>SUM(C60:C64)</f>
        <v>0</v>
      </c>
      <c r="D59" s="733"/>
      <c r="E59" s="733">
        <f>SUM(E60:E64)</f>
        <v>451228.69</v>
      </c>
      <c r="F59" s="734">
        <f>SUM(F60:F64)</f>
        <v>472103.33999999997</v>
      </c>
      <c r="G59" s="735">
        <f>SUM(G60:G64)</f>
        <v>455679.26</v>
      </c>
      <c r="H59" s="735">
        <f>SUM(H60:H64)</f>
        <v>411197.13</v>
      </c>
      <c r="I59" s="735">
        <f>SUM(I60:I65)</f>
        <v>713029.05</v>
      </c>
      <c r="J59" s="735">
        <f t="shared" ref="J59:S59" si="19">SUM(J60:J64)</f>
        <v>0</v>
      </c>
      <c r="K59" s="735">
        <f t="shared" si="19"/>
        <v>0</v>
      </c>
      <c r="L59" s="735">
        <f t="shared" si="19"/>
        <v>0</v>
      </c>
      <c r="M59" s="735">
        <f t="shared" si="19"/>
        <v>0</v>
      </c>
      <c r="N59" s="736">
        <f t="shared" si="19"/>
        <v>0</v>
      </c>
      <c r="O59" s="736">
        <f t="shared" si="19"/>
        <v>0</v>
      </c>
      <c r="P59" s="736">
        <f t="shared" si="19"/>
        <v>0</v>
      </c>
      <c r="Q59" s="735">
        <f t="shared" si="19"/>
        <v>0</v>
      </c>
      <c r="R59" s="737">
        <f t="shared" si="19"/>
        <v>2254784.73</v>
      </c>
      <c r="S59" s="738">
        <f t="shared" si="19"/>
        <v>-2254784.73</v>
      </c>
      <c r="T59" s="739">
        <f>+R59</f>
        <v>2254784.73</v>
      </c>
      <c r="Z59" s="771"/>
      <c r="AA59" s="780"/>
      <c r="AB59" s="781"/>
      <c r="AC59" s="771"/>
      <c r="AD59" s="771"/>
      <c r="AE59" s="771"/>
      <c r="AF59" s="352"/>
      <c r="AG59" s="787"/>
      <c r="AH59" s="787"/>
      <c r="AI59" s="788"/>
      <c r="AJ59" s="788"/>
      <c r="AK59" s="785"/>
      <c r="AL59" s="785"/>
      <c r="AM59" s="785"/>
      <c r="AN59" s="787"/>
      <c r="AO59" s="787"/>
      <c r="AP59" s="787"/>
      <c r="AQ59" s="352"/>
      <c r="AR59" s="352"/>
      <c r="AS59" s="352"/>
      <c r="AT59" s="352"/>
      <c r="AU59" s="352"/>
      <c r="AV59" s="352"/>
      <c r="AZ59" s="352"/>
      <c r="BI59" s="352"/>
    </row>
    <row r="60" spans="2:61" x14ac:dyDescent="0.25">
      <c r="B60" s="731" t="s">
        <v>121</v>
      </c>
      <c r="C60" s="732"/>
      <c r="D60" s="733"/>
      <c r="E60" s="733">
        <v>69013</v>
      </c>
      <c r="F60" s="734">
        <v>95407</v>
      </c>
      <c r="G60" s="734">
        <v>139518</v>
      </c>
      <c r="H60" s="734">
        <v>92495</v>
      </c>
      <c r="I60" s="734">
        <v>136086</v>
      </c>
      <c r="J60" s="734"/>
      <c r="K60" s="734"/>
      <c r="L60" s="734"/>
      <c r="M60" s="734"/>
      <c r="N60" s="740"/>
      <c r="O60" s="740"/>
      <c r="P60" s="740"/>
      <c r="Q60" s="735">
        <v>0</v>
      </c>
      <c r="R60" s="734">
        <f>SUM(E60:P60)</f>
        <v>532519</v>
      </c>
      <c r="S60" s="738">
        <f>+Q60-R60</f>
        <v>-532519</v>
      </c>
      <c r="T60" s="739"/>
      <c r="Z60" s="771" t="s">
        <v>786</v>
      </c>
      <c r="AA60" s="780"/>
      <c r="AB60" s="781">
        <f>AB33/AB32</f>
        <v>0.98418018112425865</v>
      </c>
      <c r="AC60" s="776"/>
      <c r="AD60" s="776"/>
      <c r="AE60" s="776"/>
      <c r="AF60" s="352"/>
      <c r="AG60" s="787" t="s">
        <v>786</v>
      </c>
      <c r="AH60" s="788"/>
      <c r="AI60" s="788">
        <f>R29/R8</f>
        <v>9.9014029790032033E-3</v>
      </c>
      <c r="AJ60" s="788"/>
      <c r="AK60" s="785"/>
      <c r="AL60" s="785"/>
      <c r="AM60" s="785"/>
      <c r="AN60" s="787"/>
      <c r="AO60" s="787"/>
      <c r="AP60" s="787"/>
      <c r="AQ60" s="352"/>
      <c r="AR60" s="352"/>
      <c r="AS60" s="352"/>
      <c r="AT60" s="352"/>
      <c r="AU60" s="352"/>
      <c r="AV60" s="352"/>
      <c r="AZ60" s="454"/>
      <c r="BI60" s="454"/>
    </row>
    <row r="61" spans="2:61" ht="13" x14ac:dyDescent="0.3">
      <c r="B61" s="731" t="s">
        <v>122</v>
      </c>
      <c r="C61" s="732"/>
      <c r="D61" s="733"/>
      <c r="E61" s="733">
        <f>669.24+123715.45</f>
        <v>124384.69</v>
      </c>
      <c r="F61" s="734">
        <f>52094.04+1011.3</f>
        <v>53105.340000000004</v>
      </c>
      <c r="G61" s="735">
        <f>57021.36+1056.9</f>
        <v>58078.26</v>
      </c>
      <c r="H61" s="735">
        <f>1143+59728.13</f>
        <v>60871.13</v>
      </c>
      <c r="I61" s="735">
        <v>67835.31</v>
      </c>
      <c r="J61" s="735"/>
      <c r="K61" s="735"/>
      <c r="L61" s="735"/>
      <c r="M61" s="735"/>
      <c r="N61" s="736"/>
      <c r="O61" s="736"/>
      <c r="P61" s="736"/>
      <c r="Q61" s="735">
        <v>0</v>
      </c>
      <c r="R61" s="737">
        <f>SUM(E61:P61)</f>
        <v>364274.73</v>
      </c>
      <c r="S61" s="738">
        <f>+Q61-R61</f>
        <v>-364274.73</v>
      </c>
      <c r="T61" s="739"/>
      <c r="Z61" s="771"/>
      <c r="AA61" s="780"/>
      <c r="AB61" s="781"/>
      <c r="AC61" s="771"/>
      <c r="AD61" s="771"/>
      <c r="AE61" s="771"/>
      <c r="AF61" s="352"/>
      <c r="AG61" s="787"/>
      <c r="AH61" s="788"/>
      <c r="AI61" s="788"/>
      <c r="AJ61" s="788"/>
      <c r="AK61" s="785"/>
      <c r="AL61" s="785"/>
      <c r="AM61" s="785"/>
      <c r="AN61" s="787"/>
      <c r="AO61" s="787"/>
      <c r="AP61" s="787"/>
      <c r="AQ61" s="353"/>
      <c r="AR61" s="352"/>
      <c r="AS61" s="352"/>
      <c r="AT61" s="352"/>
      <c r="AU61" s="352"/>
      <c r="AV61" s="352"/>
      <c r="AZ61" s="352"/>
      <c r="BI61" s="352"/>
    </row>
    <row r="62" spans="2:61" x14ac:dyDescent="0.25">
      <c r="B62" s="731" t="s">
        <v>1227</v>
      </c>
      <c r="C62" s="732"/>
      <c r="D62" s="733"/>
      <c r="E62" s="733"/>
      <c r="F62" s="734">
        <v>0</v>
      </c>
      <c r="G62" s="734"/>
      <c r="H62" s="734"/>
      <c r="I62" s="734">
        <v>0</v>
      </c>
      <c r="J62" s="734">
        <v>0</v>
      </c>
      <c r="K62" s="734">
        <v>0</v>
      </c>
      <c r="L62" s="734"/>
      <c r="M62" s="734"/>
      <c r="N62" s="740"/>
      <c r="O62" s="740"/>
      <c r="P62" s="740"/>
      <c r="Q62" s="735">
        <v>0</v>
      </c>
      <c r="R62" s="734">
        <f>SUM(E62:P62)</f>
        <v>0</v>
      </c>
      <c r="S62" s="738">
        <f>+Q62-R62</f>
        <v>0</v>
      </c>
      <c r="T62" s="739"/>
      <c r="Z62" s="771" t="s">
        <v>98</v>
      </c>
      <c r="AA62" s="780"/>
      <c r="AB62" s="781">
        <f>AB41/AB40</f>
        <v>0.93604021246361557</v>
      </c>
      <c r="AC62" s="776"/>
      <c r="AD62" s="776"/>
      <c r="AE62" s="776"/>
      <c r="AF62" s="352"/>
      <c r="AG62" s="787" t="s">
        <v>98</v>
      </c>
      <c r="AH62" s="788"/>
      <c r="AI62" s="788">
        <f>R42/R8</f>
        <v>4.5541395790309684E-2</v>
      </c>
      <c r="AJ62" s="788"/>
      <c r="AK62" s="785"/>
      <c r="AL62" s="785"/>
      <c r="AM62" s="785"/>
      <c r="AN62" s="787"/>
      <c r="AO62" s="787"/>
      <c r="AP62" s="789"/>
      <c r="AQ62" s="352"/>
      <c r="AR62" s="353"/>
      <c r="AS62" s="352"/>
      <c r="AT62" s="352"/>
      <c r="AU62" s="352"/>
      <c r="AV62" s="352"/>
      <c r="AZ62" s="352"/>
      <c r="BI62" s="352"/>
    </row>
    <row r="63" spans="2:61" ht="12.5" hidden="1" customHeight="1" x14ac:dyDescent="0.25">
      <c r="B63" s="106" t="s">
        <v>123</v>
      </c>
      <c r="C63" s="376"/>
      <c r="D63" s="361"/>
      <c r="E63" s="361">
        <v>257831</v>
      </c>
      <c r="F63" s="364">
        <v>323591</v>
      </c>
      <c r="G63" s="382">
        <v>257831</v>
      </c>
      <c r="H63" s="382">
        <v>257831</v>
      </c>
      <c r="I63" s="382">
        <v>257831</v>
      </c>
      <c r="J63" s="665"/>
      <c r="K63" s="665"/>
      <c r="L63" s="665"/>
      <c r="M63" s="665"/>
      <c r="N63" s="666"/>
      <c r="O63" s="666"/>
      <c r="P63" s="666"/>
      <c r="Q63" s="382">
        <v>0</v>
      </c>
      <c r="R63" s="370">
        <f>SUM(E63:P63)</f>
        <v>1354915</v>
      </c>
      <c r="S63" s="668">
        <f>+Q63-R63</f>
        <v>-1354915</v>
      </c>
      <c r="T63" s="657"/>
      <c r="Z63" s="775"/>
      <c r="AA63" s="782"/>
      <c r="AB63" s="783"/>
      <c r="AC63" s="775"/>
      <c r="AD63" s="775"/>
      <c r="AE63" s="775"/>
      <c r="AF63" s="454"/>
      <c r="AG63" s="786"/>
      <c r="AH63" s="788"/>
      <c r="AI63" s="791"/>
      <c r="AJ63" s="791"/>
      <c r="AK63" s="785"/>
      <c r="AL63" s="785"/>
      <c r="AM63" s="785"/>
      <c r="AN63" s="787"/>
      <c r="AO63" s="787"/>
      <c r="AP63" s="789"/>
      <c r="AQ63" s="454"/>
      <c r="AR63" s="454"/>
      <c r="AS63" s="454"/>
      <c r="AT63" s="454"/>
      <c r="AU63" s="454"/>
      <c r="AV63" s="454"/>
      <c r="AZ63" s="352"/>
      <c r="BI63" s="352"/>
    </row>
    <row r="64" spans="2:61" x14ac:dyDescent="0.25">
      <c r="B64" s="271" t="s">
        <v>124</v>
      </c>
      <c r="C64" s="384"/>
      <c r="D64" s="385"/>
      <c r="E64" s="669"/>
      <c r="F64" s="669"/>
      <c r="G64" s="385">
        <v>252</v>
      </c>
      <c r="H64" s="385"/>
      <c r="I64" s="385">
        <f>2321+503</f>
        <v>2824</v>
      </c>
      <c r="J64" s="385"/>
      <c r="K64" s="385"/>
      <c r="L64" s="385"/>
      <c r="M64" s="385"/>
      <c r="N64" s="386"/>
      <c r="O64" s="386"/>
      <c r="P64" s="386"/>
      <c r="Q64" s="382">
        <v>0</v>
      </c>
      <c r="R64" s="670">
        <f>SUM(E64:P64)</f>
        <v>3076</v>
      </c>
      <c r="S64" s="670">
        <f>+Q64-R64</f>
        <v>-3076</v>
      </c>
      <c r="T64" s="670"/>
      <c r="Z64" s="771"/>
      <c r="AA64" s="780"/>
      <c r="AB64" s="781"/>
      <c r="AC64" s="776"/>
      <c r="AD64" s="776"/>
      <c r="AE64" s="776"/>
      <c r="AF64" s="352"/>
      <c r="AG64" s="787"/>
      <c r="AH64" s="788"/>
      <c r="AI64" s="788"/>
      <c r="AJ64" s="788"/>
      <c r="AK64" s="785"/>
      <c r="AL64" s="785"/>
      <c r="AM64" s="785"/>
      <c r="AN64" s="786"/>
      <c r="AO64" s="786"/>
      <c r="AP64" s="786"/>
      <c r="AQ64" s="352"/>
      <c r="AR64" s="352"/>
      <c r="AS64" s="352"/>
      <c r="AT64" s="352"/>
      <c r="AU64" s="352"/>
      <c r="AV64" s="352"/>
      <c r="AZ64" s="352"/>
      <c r="BI64" s="352"/>
    </row>
    <row r="65" spans="2:61" x14ac:dyDescent="0.25">
      <c r="B65" s="415" t="s">
        <v>1410</v>
      </c>
      <c r="C65" s="353"/>
      <c r="D65" s="353"/>
      <c r="E65" s="353"/>
      <c r="F65" s="387"/>
      <c r="G65" s="387"/>
      <c r="H65" s="387"/>
      <c r="I65" s="387">
        <v>248452.74</v>
      </c>
      <c r="O65" s="388"/>
      <c r="P65" s="388"/>
      <c r="R65" s="671"/>
      <c r="T65" s="667"/>
      <c r="Z65" s="771" t="s">
        <v>104</v>
      </c>
      <c r="AA65" s="780"/>
      <c r="AB65" s="781">
        <f>AB45/AB44</f>
        <v>0.96671864017205511</v>
      </c>
      <c r="AC65" s="771"/>
      <c r="AD65" s="771"/>
      <c r="AE65" s="771"/>
      <c r="AF65" s="352"/>
      <c r="AG65" s="787" t="s">
        <v>104</v>
      </c>
      <c r="AH65" s="788"/>
      <c r="AI65" s="788">
        <f>R55/R8</f>
        <v>0</v>
      </c>
      <c r="AJ65" s="788"/>
      <c r="AK65" s="785"/>
      <c r="AL65" s="785"/>
      <c r="AM65" s="785"/>
      <c r="AN65" s="787"/>
      <c r="AO65" s="787"/>
      <c r="AP65" s="787"/>
      <c r="AQ65" s="352"/>
      <c r="AR65" s="352"/>
      <c r="AS65" s="352"/>
      <c r="AT65" s="352"/>
      <c r="AU65" s="352"/>
      <c r="AV65" s="352"/>
      <c r="AZ65" s="352"/>
      <c r="BI65" s="352"/>
    </row>
    <row r="66" spans="2:61" x14ac:dyDescent="0.25">
      <c r="B66" s="672" t="s">
        <v>566</v>
      </c>
      <c r="C66" s="408">
        <f>+C8-C57</f>
        <v>-0.21000003814697266</v>
      </c>
      <c r="D66" s="408">
        <f>+D8-D57</f>
        <v>-1.7500001937150955E-2</v>
      </c>
      <c r="E66" s="408">
        <f t="shared" ref="E66:K66" si="20">+E8-E57+E59</f>
        <v>56589.369999999704</v>
      </c>
      <c r="F66" s="408">
        <f t="shared" si="20"/>
        <v>506954.73999999848</v>
      </c>
      <c r="G66" s="408">
        <f t="shared" si="20"/>
        <v>32293.159999998519</v>
      </c>
      <c r="H66" s="408">
        <f t="shared" si="20"/>
        <v>6280234.0299999984</v>
      </c>
      <c r="I66" s="408">
        <f t="shared" si="20"/>
        <v>558867.5699999996</v>
      </c>
      <c r="J66" s="408">
        <f t="shared" si="20"/>
        <v>0</v>
      </c>
      <c r="K66" s="408">
        <f t="shared" si="20"/>
        <v>0</v>
      </c>
      <c r="L66" s="408"/>
      <c r="M66" s="408">
        <f>+M8-M57+M59</f>
        <v>0</v>
      </c>
      <c r="N66" s="673">
        <f>+N8-N57+N59</f>
        <v>0</v>
      </c>
      <c r="O66" s="407">
        <f>+O8-O57+O59</f>
        <v>0</v>
      </c>
      <c r="P66" s="407">
        <f>+P8-P57+P59</f>
        <v>0</v>
      </c>
      <c r="Q66" s="356">
        <v>0</v>
      </c>
      <c r="R66" s="370">
        <f>+R8-R57+R59</f>
        <v>7186486.1300000064</v>
      </c>
      <c r="S66" s="389" t="e">
        <f>+S8-S57+S59</f>
        <v>#REF!</v>
      </c>
      <c r="T66" s="44">
        <f>+T57-T8+T59</f>
        <v>7186486.2175000198</v>
      </c>
      <c r="Z66" s="771"/>
      <c r="AA66" s="780"/>
      <c r="AB66" s="771"/>
      <c r="AC66" s="776"/>
      <c r="AD66" s="776"/>
      <c r="AE66" s="776"/>
      <c r="AF66" s="352"/>
      <c r="AG66" s="789"/>
      <c r="AH66" s="788"/>
      <c r="AI66" s="788"/>
      <c r="AJ66" s="788"/>
      <c r="AK66" s="785"/>
      <c r="AL66" s="785"/>
      <c r="AM66" s="785"/>
      <c r="AN66" s="787"/>
      <c r="AO66" s="787"/>
      <c r="AP66" s="787"/>
      <c r="AQ66" s="352"/>
      <c r="AR66" s="352"/>
      <c r="AS66" s="352"/>
      <c r="AT66" s="352"/>
      <c r="AU66" s="352"/>
      <c r="AV66" s="352"/>
      <c r="AZ66" s="454"/>
      <c r="BI66" s="352"/>
    </row>
    <row r="67" spans="2:61" x14ac:dyDescent="0.25">
      <c r="B67" s="289"/>
      <c r="C67" s="474"/>
      <c r="D67" s="474"/>
      <c r="E67" s="474"/>
      <c r="F67" s="674">
        <f>SUM(E66:F66)</f>
        <v>563544.10999999824</v>
      </c>
      <c r="G67" s="474">
        <f>SUM(E66:G66)</f>
        <v>595837.26999999676</v>
      </c>
      <c r="H67" s="474">
        <f>SUM(E66:H66)</f>
        <v>6876071.2999999952</v>
      </c>
      <c r="I67" s="474">
        <f>SUM(E66:I66)</f>
        <v>7434938.8699999945</v>
      </c>
      <c r="J67" s="474"/>
      <c r="K67" s="404"/>
      <c r="L67" s="474"/>
      <c r="M67" s="440"/>
      <c r="N67" s="664"/>
      <c r="O67" s="474"/>
      <c r="P67" s="474"/>
      <c r="Q67" s="440"/>
      <c r="R67" s="440"/>
      <c r="S67" s="405"/>
      <c r="T67" s="145"/>
      <c r="Z67" s="771" t="s">
        <v>1238</v>
      </c>
      <c r="AA67" s="780"/>
      <c r="AB67" s="781">
        <f>R56/Q56</f>
        <v>0.96671864017205511</v>
      </c>
      <c r="AC67" s="771"/>
      <c r="AD67" s="771"/>
      <c r="AE67" s="771"/>
      <c r="AF67" s="352"/>
      <c r="AG67" s="787"/>
      <c r="AH67" s="788"/>
      <c r="AI67" s="787"/>
      <c r="AJ67" s="787"/>
      <c r="AK67" s="785"/>
      <c r="AL67" s="785"/>
      <c r="AM67" s="785"/>
      <c r="AN67" s="787"/>
      <c r="AO67" s="787"/>
      <c r="AP67" s="787"/>
      <c r="AQ67" s="352"/>
      <c r="AR67" s="352"/>
      <c r="AS67" s="352"/>
      <c r="AT67" s="352"/>
      <c r="AU67" s="352"/>
      <c r="AV67" s="352"/>
      <c r="AZ67" s="352"/>
      <c r="BI67" s="454"/>
    </row>
    <row r="68" spans="2:61" x14ac:dyDescent="0.25">
      <c r="B68" s="289"/>
      <c r="C68" s="474"/>
      <c r="D68" s="474"/>
      <c r="E68" s="474"/>
      <c r="F68" s="474"/>
      <c r="G68" s="474"/>
      <c r="H68" s="474"/>
      <c r="I68" s="474">
        <f>SUM(E66:I66)</f>
        <v>7434938.8699999945</v>
      </c>
      <c r="J68" s="440"/>
      <c r="K68" s="675"/>
      <c r="L68" s="440"/>
      <c r="M68" s="474"/>
      <c r="N68" s="664" t="s">
        <v>33</v>
      </c>
      <c r="O68" s="474" t="s">
        <v>33</v>
      </c>
      <c r="P68" s="474"/>
      <c r="Q68" s="474"/>
      <c r="R68" s="440"/>
      <c r="S68" s="405" t="e">
        <f>+R66+S66</f>
        <v>#REF!</v>
      </c>
      <c r="T68" s="145"/>
      <c r="Z68" s="774"/>
      <c r="AA68" s="780"/>
      <c r="AB68" s="772"/>
      <c r="AC68" s="778"/>
      <c r="AD68" s="778"/>
      <c r="AE68" s="778"/>
      <c r="AF68" s="352"/>
      <c r="AG68" s="789"/>
      <c r="AH68" s="788"/>
      <c r="AI68" s="787"/>
      <c r="AJ68" s="787"/>
      <c r="AK68" s="787"/>
      <c r="AL68" s="787"/>
      <c r="AM68" s="787"/>
      <c r="AN68" s="787"/>
      <c r="AO68" s="787"/>
      <c r="AP68" s="787"/>
      <c r="AQ68" s="454"/>
      <c r="AR68" s="454"/>
      <c r="AS68" s="454"/>
      <c r="AT68" s="454"/>
      <c r="AU68" s="454"/>
      <c r="AV68" s="454"/>
      <c r="AZ68" s="352"/>
      <c r="BI68" s="352"/>
    </row>
    <row r="69" spans="2:61" x14ac:dyDescent="0.25">
      <c r="B69" s="2" t="s">
        <v>456</v>
      </c>
      <c r="F69" s="391" t="s">
        <v>40</v>
      </c>
      <c r="K69" s="3" t="s">
        <v>40</v>
      </c>
      <c r="M69" s="353"/>
      <c r="Q69" s="353"/>
      <c r="R69" s="353">
        <v>-41875789.93</v>
      </c>
      <c r="Z69" s="454"/>
      <c r="AA69" s="457"/>
      <c r="AB69" s="454"/>
      <c r="AC69" s="454"/>
      <c r="AD69" s="454"/>
      <c r="AE69" s="454"/>
      <c r="AF69" s="454"/>
      <c r="AG69" s="787"/>
      <c r="AH69" s="790"/>
      <c r="AI69" s="787"/>
      <c r="AJ69" s="787"/>
      <c r="AK69" s="786"/>
      <c r="AL69" s="786"/>
      <c r="AM69" s="786"/>
      <c r="AN69" s="786"/>
      <c r="AO69" s="786"/>
      <c r="AP69" s="786"/>
      <c r="AQ69" s="352"/>
      <c r="AR69" s="352"/>
      <c r="AS69" s="352"/>
      <c r="AT69" s="352"/>
      <c r="AU69" s="352"/>
      <c r="AV69" s="352"/>
      <c r="AZ69" s="352"/>
      <c r="BA69" s="352"/>
      <c r="BB69" s="352"/>
      <c r="BC69" s="352"/>
      <c r="BD69" s="353"/>
      <c r="BE69" s="352"/>
      <c r="BF69" s="352"/>
      <c r="BG69" s="352"/>
      <c r="BH69" s="352"/>
      <c r="BI69" s="352"/>
    </row>
    <row r="70" spans="2:61" x14ac:dyDescent="0.25">
      <c r="B70" s="2" t="s">
        <v>119</v>
      </c>
      <c r="F70" s="352" t="s">
        <v>48</v>
      </c>
      <c r="J70" s="353"/>
      <c r="K70" s="1" t="s">
        <v>48</v>
      </c>
      <c r="L70" s="353"/>
      <c r="O70" s="352" t="s">
        <v>33</v>
      </c>
      <c r="R70" s="353">
        <f>+R68-R69</f>
        <v>41875789.93</v>
      </c>
      <c r="Z70" s="352"/>
      <c r="AA70" s="457"/>
      <c r="AB70" s="352"/>
      <c r="AC70" s="352"/>
      <c r="AD70" s="352"/>
      <c r="AE70" s="352"/>
      <c r="AF70" s="352"/>
      <c r="AG70" s="787"/>
      <c r="AH70" s="790"/>
      <c r="AI70" s="786"/>
      <c r="AJ70" s="786"/>
      <c r="AK70" s="787"/>
      <c r="AL70" s="787"/>
      <c r="AM70" s="787"/>
      <c r="AN70" s="787"/>
      <c r="AO70" s="787"/>
      <c r="AP70" s="787"/>
      <c r="AQ70" s="352"/>
      <c r="AR70" s="352"/>
      <c r="AS70" s="352"/>
      <c r="AT70" s="352"/>
      <c r="AU70" s="352"/>
      <c r="AV70" s="352"/>
      <c r="AZ70" s="352"/>
      <c r="BA70" s="352"/>
      <c r="BB70" s="352"/>
      <c r="BC70" s="352"/>
      <c r="BD70" s="352"/>
      <c r="BE70" s="352"/>
      <c r="BF70" s="352"/>
      <c r="BG70" s="352"/>
      <c r="BH70" s="352"/>
      <c r="BI70" s="352"/>
    </row>
    <row r="71" spans="2:61" x14ac:dyDescent="0.25">
      <c r="I71" s="353"/>
      <c r="P71" s="370"/>
      <c r="R71" s="353" t="s">
        <v>33</v>
      </c>
      <c r="Z71" s="352"/>
      <c r="AA71" s="457"/>
      <c r="AB71" s="352"/>
      <c r="AC71" s="42"/>
      <c r="AD71" s="42"/>
      <c r="AE71" s="42"/>
      <c r="AF71" s="352"/>
      <c r="AG71" s="789"/>
      <c r="AH71" s="790"/>
      <c r="AI71" s="787"/>
      <c r="AJ71" s="787"/>
      <c r="AK71" s="787"/>
      <c r="AL71" s="787"/>
      <c r="AM71" s="787"/>
      <c r="AN71" s="787"/>
      <c r="AO71" s="787"/>
      <c r="AP71" s="787"/>
      <c r="AQ71" s="352"/>
      <c r="AR71" s="352"/>
      <c r="AS71" s="352"/>
      <c r="AT71" s="352"/>
      <c r="AU71" s="352"/>
      <c r="AV71" s="352"/>
    </row>
    <row r="72" spans="2:61" x14ac:dyDescent="0.25">
      <c r="O72" s="388" t="s">
        <v>33</v>
      </c>
      <c r="Z72" s="352"/>
      <c r="AC72" s="352"/>
      <c r="AD72" s="352"/>
      <c r="AE72" s="352"/>
      <c r="AF72" s="352"/>
      <c r="AG72" s="787"/>
      <c r="AH72" s="787"/>
      <c r="AI72" s="787"/>
      <c r="AJ72" s="787"/>
      <c r="AK72" s="787"/>
      <c r="AL72" s="787"/>
      <c r="AM72" s="787"/>
      <c r="AN72" s="787"/>
      <c r="AO72" s="787"/>
      <c r="AP72" s="787"/>
      <c r="AQ72" s="352"/>
      <c r="AR72" s="352"/>
      <c r="AS72" s="352"/>
      <c r="AT72" s="352"/>
      <c r="AU72" s="352"/>
      <c r="AV72" s="352"/>
    </row>
    <row r="73" spans="2:61" ht="17.5" hidden="1" x14ac:dyDescent="0.25">
      <c r="B73" s="49" t="s">
        <v>114</v>
      </c>
      <c r="C73" s="48"/>
      <c r="D73" s="436"/>
      <c r="E73" s="45"/>
      <c r="F73" s="46"/>
      <c r="G73" s="46"/>
      <c r="H73" s="392"/>
      <c r="I73" s="392"/>
      <c r="J73" s="392"/>
      <c r="K73" s="392"/>
      <c r="L73" s="392"/>
      <c r="M73" s="392"/>
      <c r="N73" s="393"/>
      <c r="O73" s="392"/>
      <c r="P73" s="392"/>
      <c r="Q73" s="392"/>
      <c r="R73" s="394"/>
      <c r="Z73" s="454"/>
      <c r="AC73" s="454"/>
      <c r="AD73" s="454"/>
      <c r="AE73" s="454"/>
      <c r="AF73" s="454"/>
      <c r="AG73" s="786"/>
      <c r="AH73" s="787"/>
      <c r="AI73" s="787"/>
      <c r="AJ73" s="787"/>
      <c r="AK73" s="787"/>
      <c r="AL73" s="787"/>
      <c r="AM73" s="787"/>
      <c r="AN73" s="787"/>
      <c r="AO73" s="787"/>
      <c r="AP73" s="787"/>
      <c r="AQ73" s="454"/>
      <c r="AR73" s="454"/>
      <c r="AS73" s="454"/>
      <c r="AT73" s="454"/>
      <c r="AU73" s="454"/>
      <c r="AV73" s="454"/>
    </row>
    <row r="74" spans="2:61" hidden="1" x14ac:dyDescent="0.25">
      <c r="B74" s="50" t="s">
        <v>89</v>
      </c>
      <c r="C74" s="47">
        <v>16288728</v>
      </c>
      <c r="D74" s="437">
        <v>16288728</v>
      </c>
      <c r="E74" s="45">
        <f>+D74/12</f>
        <v>1357394</v>
      </c>
      <c r="F74" s="46">
        <v>0</v>
      </c>
      <c r="G74" s="46">
        <v>0</v>
      </c>
      <c r="Z74" s="454"/>
      <c r="AC74" s="454"/>
      <c r="AD74" s="454"/>
      <c r="AE74" s="454"/>
      <c r="AF74" s="454"/>
      <c r="AG74" s="786"/>
      <c r="AH74" s="787"/>
      <c r="AI74" s="786"/>
      <c r="AJ74" s="786"/>
      <c r="AK74" s="786"/>
      <c r="AL74" s="786"/>
      <c r="AM74" s="786"/>
      <c r="AN74" s="786"/>
      <c r="AO74" s="786"/>
      <c r="AP74" s="786"/>
      <c r="AQ74" s="454"/>
      <c r="AR74" s="454"/>
      <c r="AS74" s="454"/>
      <c r="AT74" s="454"/>
      <c r="AU74" s="454"/>
      <c r="AV74" s="454"/>
    </row>
    <row r="75" spans="2:61" hidden="1" x14ac:dyDescent="0.25">
      <c r="B75" s="50" t="s">
        <v>115</v>
      </c>
      <c r="C75" s="47">
        <v>4784604</v>
      </c>
      <c r="D75" s="437">
        <v>4784604</v>
      </c>
      <c r="E75" s="45">
        <f>+D75/12</f>
        <v>398717</v>
      </c>
      <c r="F75" s="46">
        <v>1584693</v>
      </c>
      <c r="G75" s="46">
        <v>0</v>
      </c>
      <c r="H75" s="391"/>
      <c r="I75" s="391"/>
      <c r="J75" s="395"/>
      <c r="K75" s="391"/>
      <c r="L75" s="391"/>
      <c r="M75" s="391"/>
      <c r="P75" s="381"/>
      <c r="Z75" s="352"/>
      <c r="AC75" s="352"/>
      <c r="AD75" s="352"/>
      <c r="AE75" s="352"/>
      <c r="AF75" s="352"/>
      <c r="AG75" s="787"/>
      <c r="AH75" s="787"/>
      <c r="AI75" s="786"/>
      <c r="AJ75" s="786"/>
      <c r="AK75" s="786"/>
      <c r="AL75" s="786"/>
      <c r="AM75" s="786"/>
      <c r="AN75" s="786"/>
      <c r="AO75" s="786"/>
      <c r="AP75" s="786"/>
      <c r="AQ75" s="352"/>
      <c r="AR75" s="352"/>
      <c r="AS75" s="352"/>
      <c r="AT75" s="352"/>
      <c r="AU75" s="352"/>
      <c r="AV75" s="352"/>
    </row>
    <row r="76" spans="2:61" hidden="1" x14ac:dyDescent="0.25">
      <c r="B76" s="50" t="s">
        <v>116</v>
      </c>
      <c r="C76" s="47">
        <v>3000000</v>
      </c>
      <c r="D76" s="437">
        <v>3000000</v>
      </c>
      <c r="E76" s="45">
        <f>+D76/12</f>
        <v>250000</v>
      </c>
      <c r="F76" s="46">
        <v>0</v>
      </c>
      <c r="G76" s="46">
        <v>0</v>
      </c>
      <c r="J76" s="396"/>
      <c r="Z76" s="352"/>
      <c r="AC76" s="453"/>
      <c r="AD76" s="453"/>
      <c r="AE76" s="453"/>
      <c r="AF76" s="352"/>
      <c r="AG76" s="787"/>
      <c r="AH76" s="787"/>
      <c r="AI76" s="787"/>
      <c r="AJ76" s="787"/>
      <c r="AK76" s="787"/>
      <c r="AL76" s="787"/>
      <c r="AM76" s="787"/>
      <c r="AN76" s="787"/>
      <c r="AO76" s="787"/>
      <c r="AP76" s="787"/>
      <c r="AQ76" s="352"/>
      <c r="AR76" s="352"/>
      <c r="AS76" s="352"/>
      <c r="AT76" s="352"/>
      <c r="AU76" s="352"/>
      <c r="AV76" s="352"/>
    </row>
    <row r="77" spans="2:61" ht="13.5" hidden="1" x14ac:dyDescent="0.3">
      <c r="B77" s="51" t="s">
        <v>117</v>
      </c>
      <c r="C77" s="397">
        <f>SUM(C74:C76)</f>
        <v>24073332</v>
      </c>
      <c r="D77" s="438">
        <f>SUM(D74:D76)</f>
        <v>24073332</v>
      </c>
      <c r="E77" s="398">
        <f>SUM(E74:E76)</f>
        <v>2006111</v>
      </c>
      <c r="F77" s="398">
        <f>SUM(F74:F76)</f>
        <v>1584693</v>
      </c>
      <c r="G77" s="399">
        <f>SUM(G74:G76)</f>
        <v>0</v>
      </c>
      <c r="Z77" s="454"/>
      <c r="AC77" s="454"/>
      <c r="AD77" s="454"/>
      <c r="AE77" s="454"/>
      <c r="AF77" s="454"/>
      <c r="AG77" s="786"/>
      <c r="AH77" s="786"/>
      <c r="AI77" s="786"/>
      <c r="AJ77" s="786"/>
      <c r="AK77" s="786"/>
      <c r="AL77" s="786"/>
      <c r="AM77" s="786"/>
      <c r="AN77" s="786"/>
      <c r="AO77" s="786"/>
      <c r="AP77" s="786"/>
      <c r="AQ77" s="454"/>
      <c r="AR77" s="454"/>
      <c r="AS77" s="454"/>
      <c r="AT77" s="454"/>
      <c r="AU77" s="454"/>
      <c r="AV77" s="454"/>
    </row>
    <row r="78" spans="2:61" hidden="1" x14ac:dyDescent="0.25">
      <c r="Z78" s="454"/>
      <c r="AC78" s="454"/>
      <c r="AD78" s="454"/>
      <c r="AE78" s="454"/>
      <c r="AF78" s="454"/>
      <c r="AG78" s="786"/>
      <c r="AH78" s="786"/>
      <c r="AI78" s="786"/>
      <c r="AJ78" s="786"/>
      <c r="AK78" s="786"/>
      <c r="AL78" s="786"/>
      <c r="AM78" s="786"/>
      <c r="AN78" s="786"/>
      <c r="AO78" s="786"/>
      <c r="AP78" s="786"/>
      <c r="AQ78" s="454"/>
      <c r="AR78" s="454"/>
      <c r="AS78" s="454"/>
      <c r="AT78" s="454"/>
      <c r="AU78" s="454"/>
      <c r="AV78" s="454"/>
    </row>
    <row r="79" spans="2:61" hidden="1" x14ac:dyDescent="0.25">
      <c r="Z79" s="454"/>
      <c r="AC79" s="454"/>
      <c r="AD79" s="454"/>
      <c r="AE79" s="454"/>
      <c r="AF79" s="454"/>
      <c r="AG79" s="786"/>
      <c r="AH79" s="786"/>
      <c r="AI79" s="786"/>
      <c r="AJ79" s="786"/>
      <c r="AK79" s="786"/>
      <c r="AL79" s="786"/>
      <c r="AM79" s="786"/>
      <c r="AN79" s="786"/>
      <c r="AO79" s="786"/>
      <c r="AP79" s="786"/>
      <c r="AQ79" s="454"/>
      <c r="AR79" s="454"/>
      <c r="AS79" s="454"/>
      <c r="AT79" s="454"/>
      <c r="AU79" s="454"/>
      <c r="AV79" s="454"/>
    </row>
    <row r="80" spans="2:61" hidden="1" x14ac:dyDescent="0.25">
      <c r="Z80" s="454"/>
      <c r="AC80" s="456"/>
      <c r="AD80" s="456"/>
      <c r="AE80" s="456"/>
      <c r="AF80" s="454"/>
      <c r="AG80" s="786"/>
      <c r="AH80" s="786"/>
      <c r="AI80" s="786"/>
      <c r="AJ80" s="786"/>
      <c r="AK80" s="786"/>
      <c r="AL80" s="786"/>
      <c r="AM80" s="786"/>
      <c r="AN80" s="786"/>
      <c r="AO80" s="786"/>
      <c r="AP80" s="786"/>
      <c r="AQ80" s="454"/>
      <c r="AR80" s="454"/>
      <c r="AS80" s="454"/>
      <c r="AT80" s="454"/>
      <c r="AU80" s="454"/>
      <c r="AV80" s="454"/>
    </row>
    <row r="81" spans="16:48" x14ac:dyDescent="0.25">
      <c r="P81" s="388"/>
      <c r="Z81" s="454"/>
      <c r="AF81" s="454"/>
      <c r="AG81" s="786"/>
      <c r="AH81" s="786"/>
      <c r="AI81" s="786"/>
      <c r="AJ81" s="786"/>
      <c r="AK81" s="786"/>
      <c r="AL81" s="786"/>
      <c r="AM81" s="786"/>
      <c r="AN81" s="786"/>
      <c r="AO81" s="786"/>
      <c r="AP81" s="786"/>
      <c r="AQ81" s="454"/>
      <c r="AR81" s="454"/>
      <c r="AS81" s="454"/>
      <c r="AT81" s="454"/>
      <c r="AU81" s="454"/>
      <c r="AV81" s="454"/>
    </row>
    <row r="82" spans="16:48" x14ac:dyDescent="0.25">
      <c r="Z82" s="352"/>
      <c r="AC82" s="352"/>
      <c r="AD82" s="352"/>
      <c r="AE82" s="352"/>
      <c r="AF82" s="352"/>
      <c r="AG82" s="352"/>
      <c r="AH82" s="352"/>
      <c r="AI82" s="352"/>
      <c r="AJ82" s="352"/>
      <c r="AK82" s="352"/>
      <c r="AL82" s="352"/>
      <c r="AM82" s="352"/>
      <c r="AN82" s="352"/>
      <c r="AO82" s="352"/>
      <c r="AP82" s="352"/>
      <c r="AQ82" s="352"/>
      <c r="AR82" s="352"/>
      <c r="AS82" s="352"/>
      <c r="AT82" s="352"/>
      <c r="AU82" s="352"/>
      <c r="AV82" s="352"/>
    </row>
    <row r="83" spans="16:48" x14ac:dyDescent="0.25">
      <c r="Z83" s="454"/>
      <c r="AF83" s="454"/>
      <c r="AG83" s="454"/>
      <c r="AH83" s="454"/>
      <c r="AI83" s="454"/>
      <c r="AJ83" s="454"/>
      <c r="AK83" s="454"/>
      <c r="AL83" s="454"/>
      <c r="AM83" s="454"/>
      <c r="AN83" s="454"/>
      <c r="AO83" s="454"/>
      <c r="AP83" s="454"/>
      <c r="AQ83" s="454"/>
      <c r="AR83" s="454"/>
      <c r="AS83" s="454"/>
      <c r="AT83" s="454"/>
      <c r="AU83" s="454"/>
      <c r="AV83" s="454"/>
    </row>
    <row r="84" spans="16:48" x14ac:dyDescent="0.25">
      <c r="Z84" s="352"/>
      <c r="AF84" s="352"/>
      <c r="AG84" s="352"/>
      <c r="AH84" s="352"/>
      <c r="AI84" s="352"/>
      <c r="AJ84" s="352"/>
      <c r="AK84" s="352"/>
      <c r="AL84" s="352"/>
      <c r="AM84" s="352"/>
      <c r="AN84" s="352"/>
      <c r="AO84" s="352"/>
      <c r="AP84" s="352"/>
      <c r="AQ84" s="352"/>
      <c r="AR84" s="352"/>
      <c r="AS84" s="352"/>
      <c r="AT84" s="352"/>
      <c r="AU84" s="352"/>
      <c r="AV84" s="352"/>
    </row>
    <row r="85" spans="16:48" x14ac:dyDescent="0.25">
      <c r="Z85" s="460"/>
      <c r="AC85" s="459"/>
      <c r="AD85" s="459"/>
      <c r="AE85" s="459"/>
      <c r="AF85" s="460"/>
      <c r="AG85" s="460"/>
      <c r="AH85" s="460"/>
      <c r="AI85" s="460"/>
      <c r="AJ85" s="460"/>
      <c r="AK85" s="460"/>
      <c r="AL85" s="460"/>
      <c r="AM85" s="460"/>
      <c r="AN85" s="460"/>
      <c r="AO85" s="460"/>
      <c r="AP85" s="460"/>
      <c r="AQ85" s="460"/>
      <c r="AR85" s="460"/>
      <c r="AS85" s="460"/>
      <c r="AT85" s="460"/>
      <c r="AU85" s="460"/>
      <c r="AV85" s="460"/>
    </row>
    <row r="86" spans="16:48" x14ac:dyDescent="0.25">
      <c r="Z86" s="461"/>
      <c r="AF86" s="461"/>
      <c r="AG86" s="461"/>
      <c r="AH86" s="461"/>
      <c r="AI86" s="461"/>
      <c r="AJ86" s="461"/>
      <c r="AK86" s="461"/>
      <c r="AL86" s="461"/>
      <c r="AM86" s="461"/>
      <c r="AN86" s="461"/>
      <c r="AO86" s="461"/>
      <c r="AP86" s="461"/>
      <c r="AQ86" s="461"/>
      <c r="AR86" s="461"/>
      <c r="AS86" s="461"/>
      <c r="AT86" s="461"/>
      <c r="AU86" s="461"/>
      <c r="AV86" s="461"/>
    </row>
    <row r="87" spans="16:48" x14ac:dyDescent="0.25">
      <c r="Z87" s="461"/>
      <c r="AC87" s="459"/>
      <c r="AD87" s="459"/>
      <c r="AE87" s="459"/>
      <c r="AF87" s="461"/>
      <c r="AG87" s="461"/>
      <c r="AH87" s="461"/>
      <c r="AI87" s="461"/>
      <c r="AJ87" s="461"/>
      <c r="AK87" s="461"/>
      <c r="AL87" s="461"/>
      <c r="AM87" s="461"/>
      <c r="AN87" s="461"/>
      <c r="AO87" s="461"/>
      <c r="AP87" s="461"/>
      <c r="AQ87" s="461"/>
      <c r="AR87" s="461"/>
      <c r="AS87" s="461"/>
      <c r="AT87" s="461"/>
      <c r="AU87" s="461"/>
      <c r="AV87" s="461"/>
    </row>
    <row r="88" spans="16:48" x14ac:dyDescent="0.25">
      <c r="Z88" s="461"/>
      <c r="AF88" s="461"/>
      <c r="AG88" s="461"/>
      <c r="AH88" s="461"/>
      <c r="AI88" s="461"/>
      <c r="AJ88" s="461"/>
      <c r="AK88" s="461"/>
      <c r="AL88" s="461"/>
      <c r="AM88" s="461"/>
      <c r="AN88" s="461"/>
      <c r="AO88" s="461"/>
      <c r="AP88" s="461"/>
      <c r="AQ88" s="461"/>
      <c r="AR88" s="461"/>
      <c r="AS88" s="461"/>
      <c r="AT88" s="461"/>
      <c r="AU88" s="461"/>
      <c r="AV88" s="461"/>
    </row>
    <row r="89" spans="16:48" x14ac:dyDescent="0.25">
      <c r="Z89" s="461"/>
      <c r="AC89" s="461"/>
      <c r="AD89" s="461"/>
      <c r="AE89" s="461"/>
      <c r="AF89" s="461"/>
      <c r="AG89" s="461"/>
      <c r="AH89" s="461"/>
      <c r="AI89" s="461"/>
      <c r="AJ89" s="461"/>
      <c r="AK89" s="461"/>
      <c r="AL89" s="461"/>
      <c r="AM89" s="461"/>
      <c r="AN89" s="461"/>
      <c r="AO89" s="461"/>
      <c r="AP89" s="461"/>
      <c r="AQ89" s="461"/>
      <c r="AR89" s="461"/>
      <c r="AS89" s="461"/>
      <c r="AT89" s="461"/>
      <c r="AU89" s="461"/>
      <c r="AV89" s="461"/>
    </row>
    <row r="90" spans="16:48" x14ac:dyDescent="0.25">
      <c r="Z90" s="461"/>
      <c r="AC90" s="459"/>
      <c r="AD90" s="459"/>
      <c r="AE90" s="459"/>
      <c r="AF90" s="461"/>
      <c r="AG90" s="461"/>
      <c r="AH90" s="461"/>
      <c r="AI90" s="461"/>
      <c r="AJ90" s="461"/>
      <c r="AK90" s="461"/>
      <c r="AL90" s="461"/>
      <c r="AM90" s="461"/>
      <c r="AN90" s="461"/>
      <c r="AO90" s="461"/>
      <c r="AP90" s="461"/>
      <c r="AQ90" s="461"/>
      <c r="AR90" s="461"/>
      <c r="AS90" s="461"/>
      <c r="AT90" s="461"/>
      <c r="AU90" s="461"/>
      <c r="AV90" s="461"/>
    </row>
    <row r="91" spans="16:48" x14ac:dyDescent="0.25">
      <c r="Z91" s="461"/>
      <c r="AF91" s="461"/>
      <c r="AG91" s="461"/>
      <c r="AH91" s="461"/>
      <c r="AI91" s="461"/>
      <c r="AJ91" s="461"/>
      <c r="AK91" s="461"/>
      <c r="AL91" s="461"/>
      <c r="AM91" s="461"/>
      <c r="AN91" s="461"/>
      <c r="AO91" s="461"/>
      <c r="AP91" s="461"/>
      <c r="AQ91" s="461"/>
      <c r="AR91" s="461"/>
      <c r="AS91" s="461"/>
      <c r="AT91" s="461"/>
      <c r="AU91" s="461"/>
      <c r="AV91" s="461"/>
    </row>
    <row r="92" spans="16:48" x14ac:dyDescent="0.25">
      <c r="Z92" s="352"/>
      <c r="AC92" s="352"/>
      <c r="AD92" s="352"/>
      <c r="AE92" s="352"/>
      <c r="AF92" s="352"/>
      <c r="AG92" s="352"/>
      <c r="AH92" s="352"/>
      <c r="AI92" s="352"/>
      <c r="AJ92" s="352"/>
      <c r="AK92" s="352"/>
      <c r="AL92" s="352"/>
      <c r="AM92" s="352"/>
      <c r="AN92" s="352"/>
      <c r="AO92" s="352"/>
      <c r="AP92" s="352"/>
      <c r="AQ92" s="352"/>
      <c r="AR92" s="352"/>
      <c r="AS92" s="352"/>
      <c r="AT92" s="352"/>
      <c r="AU92" s="352"/>
      <c r="AV92" s="352"/>
    </row>
    <row r="93" spans="16:48" x14ac:dyDescent="0.25">
      <c r="Z93" s="352"/>
      <c r="AC93" s="352"/>
      <c r="AD93" s="352"/>
      <c r="AE93" s="352"/>
      <c r="AF93" s="352"/>
      <c r="AG93" s="352"/>
      <c r="AH93" s="352"/>
      <c r="AI93" s="352"/>
      <c r="AJ93" s="352"/>
      <c r="AK93" s="352"/>
      <c r="AL93" s="352"/>
      <c r="AM93" s="352"/>
      <c r="AN93" s="352"/>
      <c r="AO93" s="352"/>
      <c r="AP93" s="352"/>
      <c r="AQ93" s="352"/>
      <c r="AR93" s="352"/>
      <c r="AS93" s="352"/>
      <c r="AT93" s="352"/>
      <c r="AU93" s="352"/>
      <c r="AV93" s="352"/>
    </row>
    <row r="94" spans="16:48" x14ac:dyDescent="0.25">
      <c r="Z94" s="352"/>
      <c r="AC94" s="352"/>
      <c r="AD94" s="352"/>
      <c r="AE94" s="352"/>
      <c r="AF94" s="352"/>
      <c r="AG94" s="352"/>
      <c r="AH94" s="352"/>
      <c r="AI94" s="352"/>
      <c r="AJ94" s="352"/>
      <c r="AK94" s="352"/>
      <c r="AL94" s="352"/>
      <c r="AM94" s="352"/>
      <c r="AN94" s="352"/>
      <c r="AO94" s="352"/>
      <c r="AP94" s="352"/>
      <c r="AQ94" s="352"/>
      <c r="AR94" s="352"/>
      <c r="AS94" s="352"/>
      <c r="AT94" s="352"/>
      <c r="AU94" s="352"/>
      <c r="AV94" s="352"/>
    </row>
    <row r="95" spans="16:48" x14ac:dyDescent="0.25">
      <c r="Z95" s="352"/>
      <c r="AC95" s="352"/>
      <c r="AD95" s="352"/>
      <c r="AE95" s="352"/>
      <c r="AF95" s="352"/>
      <c r="AG95" s="352"/>
      <c r="AH95" s="352"/>
      <c r="AI95" s="352"/>
      <c r="AJ95" s="352"/>
      <c r="AK95" s="352"/>
      <c r="AL95" s="352"/>
      <c r="AM95" s="352"/>
      <c r="AN95" s="352"/>
      <c r="AO95" s="352"/>
      <c r="AP95" s="352"/>
      <c r="AQ95" s="352"/>
      <c r="AR95" s="352"/>
      <c r="AS95" s="352"/>
      <c r="AT95" s="352"/>
      <c r="AU95" s="352"/>
      <c r="AV95" s="352"/>
    </row>
    <row r="96" spans="16:48" x14ac:dyDescent="0.25">
      <c r="Z96" s="352"/>
      <c r="AC96" s="352"/>
      <c r="AD96" s="352"/>
      <c r="AE96" s="352"/>
      <c r="AF96" s="352"/>
      <c r="AG96" s="352"/>
      <c r="AH96" s="352"/>
      <c r="AI96" s="352"/>
      <c r="AJ96" s="352"/>
      <c r="AK96" s="352"/>
      <c r="AL96" s="352"/>
      <c r="AM96" s="352"/>
      <c r="AN96" s="352"/>
      <c r="AO96" s="352"/>
      <c r="AP96" s="352"/>
      <c r="AQ96" s="352"/>
      <c r="AR96" s="352"/>
      <c r="AS96" s="352"/>
      <c r="AT96" s="352"/>
      <c r="AU96" s="352"/>
      <c r="AV96" s="352"/>
    </row>
    <row r="97" spans="26:48" x14ac:dyDescent="0.25">
      <c r="Z97" s="352"/>
      <c r="AA97" s="352" t="s">
        <v>790</v>
      </c>
      <c r="AB97" s="353">
        <f>3454978+664608</f>
        <v>4119586</v>
      </c>
      <c r="AC97" s="352"/>
      <c r="AD97" s="352"/>
      <c r="AE97" s="352"/>
      <c r="AF97" s="352"/>
      <c r="AG97" s="352"/>
      <c r="AH97" s="352"/>
      <c r="AI97" s="352"/>
      <c r="AJ97" s="352"/>
      <c r="AK97" s="352"/>
      <c r="AL97" s="352"/>
      <c r="AM97" s="352"/>
      <c r="AN97" s="352"/>
      <c r="AO97" s="352"/>
      <c r="AP97" s="352"/>
      <c r="AQ97" s="352"/>
      <c r="AR97" s="352"/>
      <c r="AS97" s="352"/>
      <c r="AT97" s="352"/>
      <c r="AU97" s="352"/>
      <c r="AV97" s="352"/>
    </row>
    <row r="98" spans="26:48" x14ac:dyDescent="0.25">
      <c r="Z98" s="352"/>
      <c r="AA98" s="352"/>
      <c r="AB98" s="353"/>
      <c r="AC98" s="352"/>
      <c r="AD98" s="352"/>
      <c r="AE98" s="352"/>
      <c r="AF98" s="352"/>
      <c r="AG98" s="352"/>
      <c r="AH98" s="352"/>
      <c r="AI98" s="352"/>
      <c r="AJ98" s="352"/>
      <c r="AK98" s="352"/>
      <c r="AL98" s="352"/>
      <c r="AM98" s="352"/>
      <c r="AN98" s="352"/>
      <c r="AO98" s="352"/>
      <c r="AP98" s="352"/>
      <c r="AQ98" s="352"/>
      <c r="AR98" s="352"/>
      <c r="AS98" s="352"/>
      <c r="AT98" s="352"/>
      <c r="AU98" s="352"/>
      <c r="AV98" s="352"/>
    </row>
    <row r="99" spans="26:48" x14ac:dyDescent="0.25">
      <c r="Z99" s="352"/>
      <c r="AA99" s="352" t="s">
        <v>124</v>
      </c>
      <c r="AB99" s="353" t="str">
        <f>Q20</f>
        <v xml:space="preserve"> </v>
      </c>
      <c r="AC99" s="352"/>
      <c r="AD99" s="352"/>
      <c r="AE99" s="352"/>
      <c r="AF99" s="352"/>
      <c r="AG99" s="352"/>
      <c r="AH99" s="352"/>
      <c r="AI99" s="352"/>
      <c r="AJ99" s="352"/>
      <c r="AK99" s="352"/>
      <c r="AL99" s="352"/>
      <c r="AM99" s="352"/>
      <c r="AN99" s="352"/>
      <c r="AO99" s="352"/>
      <c r="AP99" s="352"/>
      <c r="AQ99" s="352"/>
      <c r="AR99" s="352"/>
      <c r="AS99" s="352"/>
      <c r="AT99" s="352"/>
      <c r="AU99" s="352"/>
      <c r="AV99" s="352"/>
    </row>
    <row r="100" spans="26:48" x14ac:dyDescent="0.25">
      <c r="Z100" s="352"/>
      <c r="AA100" s="352"/>
      <c r="AB100" s="353"/>
      <c r="AC100" s="352"/>
      <c r="AD100" s="352"/>
      <c r="AE100" s="352"/>
      <c r="AF100" s="352"/>
      <c r="AG100" s="352"/>
      <c r="AH100" s="352"/>
      <c r="AI100" s="352"/>
      <c r="AJ100" s="352"/>
      <c r="AK100" s="352"/>
      <c r="AL100" s="352"/>
      <c r="AM100" s="352"/>
      <c r="AN100" s="352"/>
      <c r="AO100" s="352"/>
      <c r="AP100" s="352"/>
      <c r="AQ100" s="352"/>
      <c r="AR100" s="352"/>
      <c r="AS100" s="352"/>
      <c r="AT100" s="352"/>
      <c r="AU100" s="352"/>
      <c r="AV100" s="352"/>
    </row>
    <row r="101" spans="26:48" x14ac:dyDescent="0.25">
      <c r="Z101" s="352"/>
      <c r="AA101" s="352" t="s">
        <v>791</v>
      </c>
      <c r="AB101" s="353">
        <f>5896446</f>
        <v>5896446</v>
      </c>
      <c r="AC101" s="352"/>
      <c r="AD101" s="352"/>
      <c r="AE101" s="352"/>
      <c r="AF101" s="352"/>
      <c r="AG101" s="352"/>
      <c r="AH101" s="352"/>
      <c r="AI101" s="352"/>
      <c r="AJ101" s="352"/>
      <c r="AK101" s="352"/>
      <c r="AL101" s="352"/>
      <c r="AM101" s="352"/>
      <c r="AN101" s="352"/>
      <c r="AO101" s="352"/>
      <c r="AP101" s="352"/>
      <c r="AQ101" s="352"/>
      <c r="AR101" s="352"/>
      <c r="AS101" s="352"/>
      <c r="AT101" s="352"/>
      <c r="AU101" s="352"/>
      <c r="AV101" s="352"/>
    </row>
    <row r="102" spans="26:48" x14ac:dyDescent="0.25">
      <c r="Z102" s="352"/>
      <c r="AA102" s="352"/>
      <c r="AB102" s="455">
        <f>SUM(AB87:AB101)</f>
        <v>10016032</v>
      </c>
      <c r="AC102" s="352"/>
      <c r="AD102" s="352"/>
      <c r="AE102" s="352"/>
      <c r="AF102" s="352"/>
      <c r="AG102" s="352"/>
      <c r="AH102" s="352"/>
      <c r="AI102" s="352"/>
      <c r="AJ102" s="352"/>
      <c r="AK102" s="352"/>
      <c r="AL102" s="352"/>
      <c r="AM102" s="352"/>
      <c r="AN102" s="352"/>
      <c r="AO102" s="352"/>
      <c r="AP102" s="352"/>
      <c r="AQ102" s="352"/>
      <c r="AR102" s="352"/>
      <c r="AS102" s="352"/>
      <c r="AT102" s="352"/>
      <c r="AU102" s="352"/>
      <c r="AV102" s="352"/>
    </row>
    <row r="103" spans="26:48" x14ac:dyDescent="0.25">
      <c r="Z103" s="352"/>
      <c r="AA103" s="1"/>
      <c r="AB103" s="462"/>
      <c r="AC103" s="1"/>
      <c r="AD103" s="1"/>
      <c r="AE103" s="1"/>
      <c r="AF103" s="1"/>
      <c r="AG103" s="352"/>
      <c r="AH103" s="352"/>
      <c r="AI103" s="352"/>
      <c r="AJ103" s="352"/>
      <c r="AK103" s="352"/>
      <c r="AL103" s="352"/>
      <c r="AM103" s="352"/>
      <c r="AN103" s="352"/>
      <c r="AO103" s="352"/>
      <c r="AP103" s="352"/>
      <c r="AQ103" s="352"/>
      <c r="AR103" s="352"/>
      <c r="AS103" s="352"/>
      <c r="AT103" s="352"/>
      <c r="AU103" s="352"/>
      <c r="AV103" s="352"/>
    </row>
    <row r="104" spans="26:48" x14ac:dyDescent="0.25">
      <c r="Z104" s="352"/>
      <c r="AA104" s="1663">
        <f>AT50</f>
        <v>0</v>
      </c>
      <c r="AB104" s="1663"/>
      <c r="AC104" s="1"/>
      <c r="AD104" s="1"/>
      <c r="AE104" s="1"/>
      <c r="AF104" s="1"/>
      <c r="AG104" s="352"/>
      <c r="AH104" s="352"/>
      <c r="AI104" s="454"/>
      <c r="AJ104" s="454"/>
      <c r="AK104" s="454"/>
      <c r="AL104" s="352"/>
      <c r="AM104" s="352"/>
      <c r="AN104" s="352"/>
      <c r="AO104" s="352"/>
      <c r="AP104" s="352"/>
      <c r="AQ104" s="454"/>
      <c r="AR104" s="352"/>
      <c r="AS104" s="352"/>
      <c r="AT104" s="352"/>
      <c r="AU104" s="352"/>
      <c r="AV104" s="352"/>
    </row>
    <row r="105" spans="26:48" x14ac:dyDescent="0.25">
      <c r="Z105" s="352"/>
      <c r="AA105" s="1664" t="s">
        <v>792</v>
      </c>
      <c r="AB105" s="1664"/>
      <c r="AC105" s="1"/>
      <c r="AD105" s="1"/>
      <c r="AE105" s="1"/>
      <c r="AF105" s="1"/>
      <c r="AG105" s="352"/>
      <c r="AH105" s="352"/>
      <c r="AI105" s="1663" t="str">
        <f>AG58</f>
        <v>Mantenimiento</v>
      </c>
      <c r="AJ105" s="1663"/>
      <c r="AK105" s="1663"/>
      <c r="AL105" s="352"/>
      <c r="AM105" s="352"/>
      <c r="AN105" s="352"/>
      <c r="AO105" s="352"/>
      <c r="AP105" s="352"/>
      <c r="AQ105" s="454"/>
      <c r="AR105" s="352"/>
      <c r="AS105" s="352"/>
      <c r="AT105" s="352"/>
      <c r="AU105" s="352"/>
      <c r="AV105" s="352"/>
    </row>
    <row r="106" spans="26:48" x14ac:dyDescent="0.25">
      <c r="Z106" s="352"/>
      <c r="AA106" s="1"/>
      <c r="AB106" s="1"/>
      <c r="AC106" s="1"/>
      <c r="AD106" s="1"/>
      <c r="AE106" s="1"/>
      <c r="AF106" s="1"/>
      <c r="AG106" s="454"/>
      <c r="AH106" s="454"/>
      <c r="AI106" s="1664" t="s">
        <v>793</v>
      </c>
      <c r="AJ106" s="1664"/>
      <c r="AK106" s="1664"/>
      <c r="AL106" s="454"/>
      <c r="AM106" s="454"/>
      <c r="AN106" s="454"/>
      <c r="AO106" s="454"/>
      <c r="AP106" s="454"/>
      <c r="AQ106" s="454"/>
      <c r="AR106" s="352"/>
      <c r="AS106" s="352"/>
      <c r="AT106" s="352"/>
      <c r="AU106" s="352"/>
      <c r="AV106" s="352"/>
    </row>
    <row r="107" spans="26:48" x14ac:dyDescent="0.25">
      <c r="Z107" s="352"/>
      <c r="AA107" s="1"/>
      <c r="AB107" s="1"/>
      <c r="AC107" s="1"/>
      <c r="AD107" s="1"/>
      <c r="AE107" s="1"/>
      <c r="AF107" s="1"/>
      <c r="AG107" s="454"/>
      <c r="AH107" s="454"/>
      <c r="AI107" s="1"/>
      <c r="AJ107" s="1"/>
      <c r="AK107" s="1"/>
      <c r="AL107" s="454"/>
      <c r="AM107" s="454"/>
      <c r="AN107" s="454"/>
      <c r="AO107" s="454"/>
      <c r="AP107" s="454"/>
      <c r="AQ107" s="352"/>
      <c r="AR107" s="352"/>
      <c r="AS107" s="352"/>
      <c r="AT107" s="352"/>
      <c r="AU107" s="352"/>
      <c r="AV107" s="352"/>
    </row>
    <row r="108" spans="26:48" x14ac:dyDescent="0.25">
      <c r="Z108" s="352"/>
      <c r="AA108" s="1663" t="s">
        <v>794</v>
      </c>
      <c r="AB108" s="1663"/>
      <c r="AC108" s="1"/>
      <c r="AD108" s="1"/>
      <c r="AE108" s="1"/>
      <c r="AF108" s="1"/>
      <c r="AG108" s="1667" t="s">
        <v>795</v>
      </c>
      <c r="AH108" s="454"/>
      <c r="AI108" s="1"/>
      <c r="AJ108" s="1"/>
      <c r="AK108" s="1"/>
      <c r="AL108" s="463"/>
      <c r="AM108" s="463"/>
      <c r="AN108" s="1"/>
      <c r="AO108" s="1"/>
      <c r="AP108" s="1668" t="e">
        <f>AI105+AI109+AI113+AI117+AI121+AI125+AI129+AI133</f>
        <v>#VALUE!</v>
      </c>
      <c r="AQ108" s="352"/>
      <c r="AR108" s="352"/>
      <c r="AS108" s="352"/>
      <c r="AT108" s="352"/>
      <c r="AU108" s="352"/>
      <c r="AV108" s="352"/>
    </row>
    <row r="109" spans="26:48" x14ac:dyDescent="0.25">
      <c r="Z109" s="352"/>
      <c r="AA109" s="1663">
        <f>AT51</f>
        <v>0</v>
      </c>
      <c r="AB109" s="1663"/>
      <c r="AC109" s="352"/>
      <c r="AD109" s="352"/>
      <c r="AE109" s="352"/>
      <c r="AF109" s="1669" t="e">
        <f>AA104+AA109+AA112+AA116+AA120+AA124+AA128+AA132+AA137+AB144</f>
        <v>#VALUE!</v>
      </c>
      <c r="AG109" s="1667"/>
      <c r="AH109" s="352"/>
      <c r="AI109" s="1663" t="str">
        <f>AG60</f>
        <v>Riesgos y Seguridad</v>
      </c>
      <c r="AJ109" s="1663"/>
      <c r="AK109" s="1663"/>
      <c r="AL109" s="464"/>
      <c r="AM109" s="464"/>
      <c r="AN109" s="1"/>
      <c r="AO109" s="1"/>
      <c r="AP109" s="1668"/>
      <c r="AQ109" s="1665" t="s">
        <v>796</v>
      </c>
      <c r="AR109" s="352"/>
      <c r="AS109" s="352"/>
      <c r="AT109" s="352"/>
      <c r="AU109" s="352"/>
      <c r="AV109" s="352"/>
    </row>
    <row r="110" spans="26:48" x14ac:dyDescent="0.25">
      <c r="Z110" s="352"/>
      <c r="AA110" s="1"/>
      <c r="AB110" s="1"/>
      <c r="AC110" s="1"/>
      <c r="AD110" s="1"/>
      <c r="AE110" s="1"/>
      <c r="AF110" s="1669"/>
      <c r="AG110" s="1667"/>
      <c r="AH110" s="352"/>
      <c r="AI110" s="1666" t="s">
        <v>797</v>
      </c>
      <c r="AJ110" s="1666"/>
      <c r="AK110" s="1666"/>
      <c r="AL110" s="1"/>
      <c r="AM110" s="1"/>
      <c r="AN110" s="1"/>
      <c r="AO110" s="1"/>
      <c r="AP110" s="1668"/>
      <c r="AQ110" s="1665"/>
      <c r="AR110" s="352"/>
      <c r="AS110" s="352"/>
      <c r="AT110" s="352"/>
      <c r="AU110" s="352"/>
      <c r="AV110" s="352"/>
    </row>
    <row r="111" spans="26:48" x14ac:dyDescent="0.25">
      <c r="Z111" s="352"/>
      <c r="AA111" s="1"/>
      <c r="AB111" s="1"/>
      <c r="AC111" s="1"/>
      <c r="AD111" s="1"/>
      <c r="AE111" s="1"/>
      <c r="AF111" s="1669"/>
      <c r="AG111" s="1667"/>
      <c r="AH111" s="352"/>
      <c r="AI111" s="1"/>
      <c r="AJ111" s="1"/>
      <c r="AK111" s="1"/>
      <c r="AL111" s="1"/>
      <c r="AM111" s="1"/>
      <c r="AN111" s="1"/>
      <c r="AO111" s="1"/>
      <c r="AP111" s="1668"/>
      <c r="AQ111" s="1665"/>
      <c r="AR111" s="352"/>
      <c r="AS111" s="352"/>
      <c r="AT111" s="352"/>
      <c r="AU111" s="352"/>
      <c r="AV111" s="352"/>
    </row>
    <row r="112" spans="26:48" x14ac:dyDescent="0.25">
      <c r="Z112" s="352"/>
      <c r="AA112" s="1663">
        <f>Q14</f>
        <v>750000</v>
      </c>
      <c r="AB112" s="1663"/>
      <c r="AC112" s="1"/>
      <c r="AD112" s="1"/>
      <c r="AE112" s="1"/>
      <c r="AF112" s="1669"/>
      <c r="AG112" s="1667"/>
      <c r="AH112" s="352"/>
      <c r="AI112" s="1"/>
      <c r="AJ112" s="1"/>
      <c r="AK112" s="352"/>
      <c r="AL112" s="463"/>
      <c r="AM112" s="463"/>
      <c r="AN112" s="1"/>
      <c r="AO112" s="1"/>
      <c r="AP112" s="1668"/>
      <c r="AQ112" s="1665"/>
      <c r="AR112" s="352"/>
      <c r="AS112" s="352"/>
      <c r="AT112" s="352"/>
      <c r="AU112" s="352"/>
      <c r="AV112" s="352"/>
    </row>
    <row r="113" spans="26:48" x14ac:dyDescent="0.25">
      <c r="Z113" s="352"/>
      <c r="AA113" s="1666" t="s">
        <v>798</v>
      </c>
      <c r="AB113" s="1666"/>
      <c r="AC113" s="352"/>
      <c r="AD113" s="352"/>
      <c r="AE113" s="352"/>
      <c r="AF113" s="1669"/>
      <c r="AG113" s="1667"/>
      <c r="AH113" s="454"/>
      <c r="AI113" s="1663" t="str">
        <f>AG62</f>
        <v>Ambiental</v>
      </c>
      <c r="AJ113" s="1663"/>
      <c r="AK113" s="1663"/>
      <c r="AL113" s="465"/>
      <c r="AM113" s="465"/>
      <c r="AN113" s="352"/>
      <c r="AO113" s="352"/>
      <c r="AP113" s="1668"/>
      <c r="AQ113" s="1665"/>
      <c r="AR113" s="352"/>
      <c r="AS113" s="352"/>
      <c r="AT113" s="352"/>
      <c r="AU113" s="352"/>
      <c r="AV113" s="352"/>
    </row>
    <row r="114" spans="26:48" x14ac:dyDescent="0.25">
      <c r="Z114" s="352"/>
      <c r="AA114" s="1"/>
      <c r="AB114" s="1"/>
      <c r="AC114" s="1"/>
      <c r="AD114" s="1"/>
      <c r="AE114" s="1"/>
      <c r="AF114" s="1669"/>
      <c r="AG114" s="1667"/>
      <c r="AH114" s="352"/>
      <c r="AI114" s="1664" t="s">
        <v>97</v>
      </c>
      <c r="AJ114" s="1664"/>
      <c r="AK114" s="1664"/>
      <c r="AL114" s="1"/>
      <c r="AM114" s="1"/>
      <c r="AN114" s="1"/>
      <c r="AO114" s="1"/>
      <c r="AP114" s="1668"/>
      <c r="AQ114" s="1665"/>
      <c r="AR114" s="352"/>
      <c r="AS114" s="352"/>
      <c r="AT114" s="352"/>
      <c r="AU114" s="352"/>
      <c r="AV114" s="352"/>
    </row>
    <row r="115" spans="26:48" x14ac:dyDescent="0.25">
      <c r="Z115" s="352"/>
      <c r="AA115" s="1"/>
      <c r="AB115" s="352"/>
      <c r="AC115" s="1"/>
      <c r="AD115" s="1"/>
      <c r="AE115" s="1"/>
      <c r="AF115" s="1669"/>
      <c r="AG115" s="1667"/>
      <c r="AH115" s="352"/>
      <c r="AI115" s="1"/>
      <c r="AJ115" s="1"/>
      <c r="AK115" s="1"/>
      <c r="AL115" s="352"/>
      <c r="AM115" s="352"/>
      <c r="AN115" s="1"/>
      <c r="AO115" s="1"/>
      <c r="AP115" s="1668"/>
      <c r="AQ115" s="1665"/>
      <c r="AR115" s="352"/>
      <c r="AS115" s="352"/>
      <c r="AT115" s="352"/>
      <c r="AU115" s="352"/>
      <c r="AV115" s="352"/>
    </row>
    <row r="116" spans="26:48" x14ac:dyDescent="0.25">
      <c r="Z116" s="352"/>
      <c r="AA116" s="1663">
        <f>Q15</f>
        <v>4958333.333333333</v>
      </c>
      <c r="AB116" s="1663"/>
      <c r="AC116" s="1"/>
      <c r="AD116" s="1"/>
      <c r="AE116" s="1"/>
      <c r="AF116" s="1669"/>
      <c r="AG116" s="1667"/>
      <c r="AH116" s="352"/>
      <c r="AI116" s="1"/>
      <c r="AJ116" s="1"/>
      <c r="AK116" s="1"/>
      <c r="AL116" s="463"/>
      <c r="AM116" s="463"/>
      <c r="AN116" s="1"/>
      <c r="AO116" s="1"/>
      <c r="AP116" s="1668"/>
      <c r="AQ116" s="1665"/>
      <c r="AR116" s="352"/>
      <c r="AS116" s="352"/>
      <c r="AT116" s="352"/>
      <c r="AU116" s="352"/>
      <c r="AV116" s="352"/>
    </row>
    <row r="117" spans="26:48" x14ac:dyDescent="0.25">
      <c r="Z117" s="352"/>
      <c r="AA117" s="1664" t="s">
        <v>799</v>
      </c>
      <c r="AB117" s="1664"/>
      <c r="AC117" s="1"/>
      <c r="AD117" s="1"/>
      <c r="AE117" s="1"/>
      <c r="AF117" s="1669"/>
      <c r="AG117" s="1667"/>
      <c r="AH117" s="352"/>
      <c r="AI117" s="1663">
        <f>AG64</f>
        <v>0</v>
      </c>
      <c r="AJ117" s="1663"/>
      <c r="AK117" s="1663"/>
      <c r="AL117" s="464"/>
      <c r="AM117" s="464"/>
      <c r="AN117" s="1"/>
      <c r="AO117" s="1"/>
      <c r="AP117" s="1668"/>
      <c r="AQ117" s="1665"/>
      <c r="AR117" s="352"/>
      <c r="AS117" s="352"/>
      <c r="AT117" s="352"/>
      <c r="AU117" s="352"/>
      <c r="AV117" s="352"/>
    </row>
    <row r="118" spans="26:48" x14ac:dyDescent="0.25">
      <c r="Z118" s="352"/>
      <c r="AA118" s="1"/>
      <c r="AB118" s="1"/>
      <c r="AC118" s="1"/>
      <c r="AD118" s="1"/>
      <c r="AE118" s="1"/>
      <c r="AF118" s="1669"/>
      <c r="AG118" s="1667"/>
      <c r="AH118" s="352"/>
      <c r="AI118" s="1666" t="s">
        <v>800</v>
      </c>
      <c r="AJ118" s="1666"/>
      <c r="AK118" s="1666"/>
      <c r="AL118" s="1"/>
      <c r="AM118" s="1"/>
      <c r="AN118" s="1"/>
      <c r="AO118" s="1"/>
      <c r="AP118" s="1668"/>
      <c r="AQ118" s="1665"/>
      <c r="AR118" s="352"/>
      <c r="AS118" s="352"/>
      <c r="AT118" s="352"/>
      <c r="AU118" s="352"/>
      <c r="AV118" s="352"/>
    </row>
    <row r="119" spans="26:48" x14ac:dyDescent="0.25">
      <c r="Z119" s="352"/>
      <c r="AA119" s="1"/>
      <c r="AB119" s="1"/>
      <c r="AC119" s="1"/>
      <c r="AD119" s="1"/>
      <c r="AE119" s="1"/>
      <c r="AF119" s="1669"/>
      <c r="AG119" s="1667"/>
      <c r="AH119" s="352"/>
      <c r="AI119" s="454"/>
      <c r="AJ119" s="454"/>
      <c r="AK119" s="454"/>
      <c r="AL119" s="1"/>
      <c r="AM119" s="1"/>
      <c r="AN119" s="1"/>
      <c r="AO119" s="1"/>
      <c r="AP119" s="1668"/>
      <c r="AQ119" s="1665"/>
      <c r="AR119" s="352"/>
      <c r="AS119" s="352"/>
      <c r="AT119" s="352"/>
      <c r="AU119" s="352"/>
      <c r="AV119" s="352"/>
    </row>
    <row r="120" spans="26:48" x14ac:dyDescent="0.25">
      <c r="Z120" s="352"/>
      <c r="AA120" s="1663">
        <f>Q18</f>
        <v>0</v>
      </c>
      <c r="AB120" s="1663"/>
      <c r="AC120" s="352"/>
      <c r="AD120" s="352"/>
      <c r="AE120" s="352"/>
      <c r="AF120" s="1669"/>
      <c r="AG120" s="1667"/>
      <c r="AH120" s="352"/>
      <c r="AI120" s="1"/>
      <c r="AJ120" s="1"/>
      <c r="AK120" s="1"/>
      <c r="AL120" s="463"/>
      <c r="AM120" s="463"/>
      <c r="AN120" s="352"/>
      <c r="AO120" s="352"/>
      <c r="AP120" s="1668"/>
      <c r="AQ120" s="1665"/>
      <c r="AR120" s="352"/>
      <c r="AS120" s="352"/>
      <c r="AT120" s="352"/>
      <c r="AU120" s="352"/>
      <c r="AV120" s="352"/>
    </row>
    <row r="121" spans="26:48" x14ac:dyDescent="0.25">
      <c r="Z121" s="352"/>
      <c r="AA121" s="1664" t="s">
        <v>801</v>
      </c>
      <c r="AB121" s="1664"/>
      <c r="AC121" s="352"/>
      <c r="AD121" s="352"/>
      <c r="AE121" s="352"/>
      <c r="AF121" s="1669"/>
      <c r="AG121" s="1667"/>
      <c r="AH121" s="352"/>
      <c r="AI121" s="1663">
        <f>AG66</f>
        <v>0</v>
      </c>
      <c r="AJ121" s="1663"/>
      <c r="AK121" s="1663"/>
      <c r="AL121" s="465"/>
      <c r="AM121" s="465"/>
      <c r="AN121" s="352"/>
      <c r="AO121" s="352"/>
      <c r="AP121" s="1668"/>
      <c r="AQ121" s="1665"/>
      <c r="AR121" s="352"/>
      <c r="AS121" s="352"/>
      <c r="AT121" s="352"/>
      <c r="AU121" s="352"/>
      <c r="AV121" s="352"/>
    </row>
    <row r="122" spans="26:48" x14ac:dyDescent="0.25">
      <c r="Z122" s="352"/>
      <c r="AA122" s="454"/>
      <c r="AB122" s="454"/>
      <c r="AC122" s="454"/>
      <c r="AD122" s="454"/>
      <c r="AE122" s="454"/>
      <c r="AF122" s="1669"/>
      <c r="AG122" s="1667"/>
      <c r="AH122" s="454"/>
      <c r="AI122" s="1663" t="s">
        <v>113</v>
      </c>
      <c r="AJ122" s="1663"/>
      <c r="AK122" s="1663"/>
      <c r="AL122" s="454"/>
      <c r="AM122" s="454"/>
      <c r="AN122" s="454"/>
      <c r="AO122" s="454"/>
      <c r="AP122" s="1668"/>
      <c r="AQ122" s="1665"/>
      <c r="AR122" s="352"/>
      <c r="AS122" s="352"/>
      <c r="AT122" s="352"/>
      <c r="AU122" s="352"/>
      <c r="AV122" s="352"/>
    </row>
    <row r="123" spans="26:48" x14ac:dyDescent="0.25">
      <c r="Z123" s="352"/>
      <c r="AA123" s="1"/>
      <c r="AB123" s="1"/>
      <c r="AC123" s="352"/>
      <c r="AD123" s="352"/>
      <c r="AE123" s="352"/>
      <c r="AF123" s="1669"/>
      <c r="AG123" s="1667"/>
      <c r="AH123" s="352"/>
      <c r="AI123" s="352"/>
      <c r="AJ123" s="352"/>
      <c r="AK123" s="352"/>
      <c r="AL123" s="1"/>
      <c r="AM123" s="1"/>
      <c r="AN123" s="352"/>
      <c r="AO123" s="352"/>
      <c r="AP123" s="1668"/>
      <c r="AQ123" s="1665"/>
      <c r="AR123" s="352"/>
      <c r="AS123" s="352"/>
      <c r="AT123" s="352"/>
      <c r="AU123" s="352"/>
      <c r="AV123" s="352"/>
    </row>
    <row r="124" spans="26:48" x14ac:dyDescent="0.25">
      <c r="Z124" s="352"/>
      <c r="AA124" s="1663">
        <f>AT52</f>
        <v>0</v>
      </c>
      <c r="AB124" s="1663"/>
      <c r="AC124" s="352"/>
      <c r="AD124" s="352"/>
      <c r="AE124" s="352"/>
      <c r="AF124" s="1669"/>
      <c r="AG124" s="1667"/>
      <c r="AH124" s="352"/>
      <c r="AI124" s="454"/>
      <c r="AJ124" s="454"/>
      <c r="AK124" s="454"/>
      <c r="AL124" s="463"/>
      <c r="AM124" s="463"/>
      <c r="AN124" s="352"/>
      <c r="AO124" s="352"/>
      <c r="AP124" s="1668"/>
      <c r="AQ124" s="1665"/>
      <c r="AR124" s="352"/>
      <c r="AS124" s="352"/>
      <c r="AT124" s="352"/>
      <c r="AU124" s="352"/>
      <c r="AV124" s="352"/>
    </row>
    <row r="125" spans="26:48" x14ac:dyDescent="0.25">
      <c r="Z125" s="352"/>
      <c r="AA125" s="1663" t="s">
        <v>802</v>
      </c>
      <c r="AB125" s="1663"/>
      <c r="AC125" s="352"/>
      <c r="AD125" s="352"/>
      <c r="AE125" s="352"/>
      <c r="AF125" s="466"/>
      <c r="AG125" s="1667"/>
      <c r="AH125" s="352"/>
      <c r="AI125" s="1670">
        <v>7358809</v>
      </c>
      <c r="AJ125" s="1670"/>
      <c r="AK125" s="1670"/>
      <c r="AL125" s="463"/>
      <c r="AM125" s="463"/>
      <c r="AN125" s="352"/>
      <c r="AO125" s="352"/>
      <c r="AP125" s="1668"/>
      <c r="AQ125" s="352"/>
      <c r="AR125" s="352"/>
      <c r="AS125" s="352"/>
      <c r="AT125" s="352"/>
      <c r="AU125" s="352"/>
      <c r="AV125" s="352"/>
    </row>
    <row r="126" spans="26:48" x14ac:dyDescent="0.25">
      <c r="Z126" s="352"/>
      <c r="AA126" s="1671"/>
      <c r="AB126" s="1671"/>
      <c r="AC126" s="352"/>
      <c r="AD126" s="352"/>
      <c r="AE126" s="352"/>
      <c r="AF126" s="352"/>
      <c r="AG126" s="352"/>
      <c r="AH126" s="352"/>
      <c r="AI126" s="1663" t="s">
        <v>803</v>
      </c>
      <c r="AJ126" s="1663"/>
      <c r="AK126" s="1663"/>
      <c r="AL126" s="352"/>
      <c r="AM126" s="352"/>
      <c r="AN126" s="352"/>
      <c r="AO126" s="352"/>
      <c r="AP126" s="466"/>
      <c r="AQ126" s="352"/>
      <c r="AR126" s="352"/>
      <c r="AS126" s="352"/>
      <c r="AT126" s="352"/>
      <c r="AU126" s="352"/>
      <c r="AV126" s="352"/>
    </row>
    <row r="127" spans="26:48" x14ac:dyDescent="0.25">
      <c r="Z127" s="352"/>
      <c r="AA127" s="459"/>
      <c r="AB127" s="454"/>
      <c r="AC127" s="454"/>
      <c r="AD127" s="454"/>
      <c r="AE127" s="454"/>
      <c r="AF127" s="454"/>
      <c r="AG127" s="468">
        <v>45200</v>
      </c>
      <c r="AH127" s="454"/>
      <c r="AI127" s="352"/>
      <c r="AJ127" s="352"/>
      <c r="AK127" s="352"/>
      <c r="AL127" s="454"/>
      <c r="AM127" s="454"/>
      <c r="AN127" s="454"/>
      <c r="AO127" s="454"/>
      <c r="AP127" s="454"/>
      <c r="AQ127" s="468">
        <v>45200</v>
      </c>
      <c r="AR127" s="352"/>
      <c r="AS127" s="352"/>
      <c r="AT127" s="352"/>
      <c r="AU127" s="352"/>
      <c r="AV127" s="352"/>
    </row>
    <row r="128" spans="26:48" x14ac:dyDescent="0.25">
      <c r="Z128" s="1"/>
      <c r="AA128" s="469" t="str">
        <f>Q20</f>
        <v xml:space="preserve"> </v>
      </c>
      <c r="AB128" s="1"/>
      <c r="AC128" s="352"/>
      <c r="AD128" s="352"/>
      <c r="AE128" s="352"/>
      <c r="AF128" s="352"/>
      <c r="AG128" s="352"/>
      <c r="AH128" s="352"/>
      <c r="AI128" s="352"/>
      <c r="AJ128" s="352"/>
      <c r="AK128" s="352"/>
      <c r="AL128" s="467"/>
      <c r="AM128" s="467"/>
      <c r="AN128" s="352"/>
      <c r="AO128" s="352"/>
      <c r="AP128" s="352"/>
      <c r="AQ128" s="352"/>
      <c r="AR128" s="352"/>
      <c r="AS128" s="352"/>
      <c r="AT128" s="352"/>
      <c r="AU128" s="352"/>
      <c r="AV128" s="352"/>
    </row>
    <row r="129" spans="26:48" x14ac:dyDescent="0.25">
      <c r="Z129" s="470"/>
      <c r="AA129" s="1672" t="s">
        <v>124</v>
      </c>
      <c r="AB129" s="1672"/>
      <c r="AC129" s="352"/>
      <c r="AD129" s="352"/>
      <c r="AE129" s="352"/>
      <c r="AF129" s="352"/>
      <c r="AG129" s="352"/>
      <c r="AH129" s="352"/>
      <c r="AI129" s="1663">
        <v>3039759</v>
      </c>
      <c r="AJ129" s="1663"/>
      <c r="AK129" s="1663"/>
      <c r="AL129" s="352"/>
      <c r="AM129" s="352"/>
      <c r="AN129" s="352"/>
      <c r="AO129" s="352"/>
      <c r="AP129" s="352"/>
      <c r="AQ129" s="352"/>
      <c r="AR129" s="352"/>
      <c r="AS129" s="352"/>
      <c r="AT129" s="352"/>
      <c r="AU129" s="352"/>
      <c r="AV129" s="352"/>
    </row>
    <row r="130" spans="26:48" x14ac:dyDescent="0.25">
      <c r="Z130" s="352"/>
      <c r="AA130" s="352"/>
      <c r="AB130" s="352"/>
      <c r="AC130" s="352"/>
      <c r="AD130" s="352"/>
      <c r="AE130" s="352"/>
      <c r="AF130" s="352"/>
      <c r="AG130" s="352"/>
      <c r="AH130" s="352"/>
      <c r="AI130" s="1657" t="s">
        <v>804</v>
      </c>
      <c r="AJ130" s="1657"/>
      <c r="AK130" s="1657"/>
      <c r="AL130" s="352"/>
      <c r="AM130" s="352"/>
      <c r="AN130" s="352"/>
      <c r="AO130" s="352"/>
      <c r="AP130" s="352"/>
      <c r="AQ130" s="352"/>
      <c r="AR130" s="352"/>
      <c r="AS130" s="352"/>
      <c r="AT130" s="352"/>
      <c r="AU130" s="352"/>
      <c r="AV130" s="352"/>
    </row>
    <row r="131" spans="26:48" x14ac:dyDescent="0.25">
      <c r="Z131" s="352"/>
      <c r="AA131" s="1670" t="s">
        <v>791</v>
      </c>
      <c r="AB131" s="1670"/>
      <c r="AC131" s="352"/>
      <c r="AD131" s="352"/>
      <c r="AE131" s="352"/>
      <c r="AF131" s="352"/>
      <c r="AG131" s="352"/>
      <c r="AH131" s="352"/>
      <c r="AI131" s="352"/>
      <c r="AJ131" s="352"/>
      <c r="AK131" s="352"/>
      <c r="AL131" s="352"/>
      <c r="AM131" s="352"/>
      <c r="AN131" s="352"/>
      <c r="AO131" s="352"/>
      <c r="AP131" s="352"/>
      <c r="AQ131" s="352"/>
      <c r="AR131" s="352"/>
      <c r="AS131" s="352"/>
      <c r="AT131" s="352"/>
      <c r="AU131" s="352"/>
      <c r="AV131" s="352"/>
    </row>
    <row r="132" spans="26:48" x14ac:dyDescent="0.25">
      <c r="Z132" s="352"/>
      <c r="AA132" s="1663">
        <v>7063111</v>
      </c>
      <c r="AB132" s="1663"/>
      <c r="AC132" s="352"/>
      <c r="AD132" s="352"/>
      <c r="AE132" s="352"/>
      <c r="AF132" s="352"/>
      <c r="AG132" s="352"/>
      <c r="AH132" s="352"/>
      <c r="AI132" s="471"/>
      <c r="AJ132" s="471"/>
      <c r="AK132" s="471"/>
      <c r="AL132" s="467"/>
      <c r="AM132" s="467"/>
      <c r="AN132" s="352"/>
      <c r="AO132" s="352"/>
      <c r="AP132" s="352"/>
      <c r="AQ132" s="352"/>
      <c r="AR132" s="352"/>
      <c r="AS132" s="352"/>
      <c r="AT132" s="352"/>
      <c r="AU132" s="352"/>
      <c r="AV132" s="352"/>
    </row>
    <row r="133" spans="26:48" x14ac:dyDescent="0.25">
      <c r="Z133" s="352"/>
      <c r="AA133" s="352"/>
      <c r="AB133" s="352"/>
      <c r="AC133" s="352"/>
      <c r="AD133" s="352"/>
      <c r="AE133" s="352"/>
      <c r="AF133" s="352"/>
      <c r="AG133" s="352"/>
      <c r="AH133" s="352"/>
      <c r="AI133" s="1673">
        <v>6685800</v>
      </c>
      <c r="AJ133" s="1673"/>
      <c r="AK133" s="1673"/>
      <c r="AL133" s="452"/>
      <c r="AM133" s="452"/>
      <c r="AN133" s="352"/>
      <c r="AO133" s="352"/>
      <c r="AP133" s="352"/>
      <c r="AQ133" s="352"/>
      <c r="AR133" s="352"/>
      <c r="AS133" s="352"/>
      <c r="AT133" s="352"/>
      <c r="AU133" s="352"/>
      <c r="AV133" s="352"/>
    </row>
    <row r="134" spans="26:48" x14ac:dyDescent="0.25">
      <c r="Z134" s="352"/>
      <c r="AA134" s="352"/>
      <c r="AB134" s="352"/>
      <c r="AC134" s="352"/>
      <c r="AD134" s="352"/>
      <c r="AE134" s="352"/>
      <c r="AF134" s="352"/>
      <c r="AG134" s="352"/>
      <c r="AH134" s="352"/>
      <c r="AI134" s="1674" t="s">
        <v>805</v>
      </c>
      <c r="AJ134" s="1674"/>
      <c r="AK134" s="1674"/>
      <c r="AL134" s="352"/>
      <c r="AM134" s="352"/>
      <c r="AN134" s="352"/>
      <c r="AO134" s="352"/>
      <c r="AP134" s="352"/>
      <c r="AQ134" s="352"/>
      <c r="AR134" s="352"/>
      <c r="AS134" s="352"/>
      <c r="AT134" s="352"/>
      <c r="AU134" s="352"/>
      <c r="AV134" s="352"/>
    </row>
    <row r="135" spans="26:48" x14ac:dyDescent="0.25">
      <c r="Z135" s="352"/>
      <c r="AA135" s="352"/>
      <c r="AB135" s="352"/>
      <c r="AC135" s="352"/>
      <c r="AD135" s="352"/>
      <c r="AE135" s="352"/>
      <c r="AF135" s="352"/>
      <c r="AG135" s="352"/>
      <c r="AH135" s="352"/>
      <c r="AI135" s="1674"/>
      <c r="AJ135" s="1674"/>
      <c r="AK135" s="1674"/>
      <c r="AL135" s="352"/>
      <c r="AM135" s="352"/>
      <c r="AN135" s="352"/>
      <c r="AO135" s="352"/>
      <c r="AP135" s="352"/>
      <c r="AQ135" s="352"/>
      <c r="AR135" s="352"/>
      <c r="AS135" s="352"/>
      <c r="AT135" s="352"/>
      <c r="AU135" s="352"/>
      <c r="AV135" s="352"/>
    </row>
    <row r="136" spans="26:48" x14ac:dyDescent="0.25">
      <c r="Z136" s="352"/>
      <c r="AA136" s="1657" t="s">
        <v>806</v>
      </c>
      <c r="AB136" s="1657"/>
      <c r="AC136" s="352"/>
      <c r="AD136" s="352"/>
      <c r="AE136" s="352"/>
      <c r="AF136" s="352"/>
      <c r="AG136" s="352"/>
      <c r="AH136" s="352"/>
      <c r="AI136" s="471"/>
      <c r="AJ136" s="471"/>
      <c r="AK136" s="471"/>
      <c r="AL136" s="352"/>
      <c r="AM136" s="352"/>
      <c r="AN136" s="352"/>
      <c r="AO136" s="352"/>
      <c r="AP136" s="352"/>
      <c r="AQ136" s="352"/>
      <c r="AR136" s="352"/>
      <c r="AS136" s="352"/>
      <c r="AT136" s="352"/>
      <c r="AU136" s="352"/>
      <c r="AV136" s="352"/>
    </row>
    <row r="137" spans="26:48" x14ac:dyDescent="0.25">
      <c r="Z137" s="352"/>
      <c r="AA137" s="1670">
        <v>7358809</v>
      </c>
      <c r="AB137" s="1670"/>
      <c r="AC137" s="352"/>
      <c r="AD137" s="352"/>
      <c r="AE137" s="352"/>
      <c r="AF137" s="352"/>
      <c r="AG137" s="352"/>
      <c r="AH137" s="352"/>
      <c r="AI137" s="471"/>
      <c r="AJ137" s="471"/>
      <c r="AK137" s="471"/>
      <c r="AL137" s="352"/>
      <c r="AM137" s="352"/>
      <c r="AN137" s="352"/>
      <c r="AO137" s="352"/>
      <c r="AP137" s="352"/>
      <c r="AQ137" s="352"/>
      <c r="AR137" s="352"/>
      <c r="AS137" s="352"/>
      <c r="AT137" s="352"/>
      <c r="AU137" s="352"/>
      <c r="AV137" s="352"/>
    </row>
    <row r="138" spans="26:48" x14ac:dyDescent="0.25">
      <c r="Z138" s="352"/>
      <c r="AA138" s="352"/>
      <c r="AB138" s="352"/>
      <c r="AC138" s="352"/>
      <c r="AD138" s="352"/>
      <c r="AE138" s="352"/>
      <c r="AF138" s="352"/>
      <c r="AG138" s="352"/>
      <c r="AH138" s="352"/>
      <c r="AI138" s="1675">
        <v>1541050</v>
      </c>
      <c r="AJ138" s="1675"/>
      <c r="AK138" s="1675"/>
      <c r="AL138" s="352"/>
      <c r="AM138" s="352"/>
      <c r="AN138" s="352"/>
      <c r="AO138" s="352"/>
      <c r="AP138" s="352"/>
      <c r="AQ138" s="352"/>
      <c r="AR138" s="352"/>
      <c r="AS138" s="352"/>
      <c r="AT138" s="352"/>
      <c r="AU138" s="352"/>
      <c r="AV138" s="352"/>
    </row>
    <row r="139" spans="26:48" x14ac:dyDescent="0.25">
      <c r="Z139" s="352"/>
      <c r="AA139" s="352"/>
      <c r="AB139" s="352"/>
      <c r="AC139" s="352"/>
      <c r="AD139" s="352"/>
      <c r="AE139" s="352"/>
      <c r="AF139" s="352"/>
      <c r="AG139" s="352"/>
      <c r="AH139" s="352"/>
      <c r="AI139" s="1676" t="s">
        <v>807</v>
      </c>
      <c r="AJ139" s="1676"/>
      <c r="AK139" s="1676"/>
      <c r="AL139" s="352"/>
      <c r="AM139" s="352"/>
      <c r="AN139" s="352"/>
      <c r="AO139" s="352"/>
      <c r="AP139" s="352"/>
      <c r="AQ139" s="352"/>
      <c r="AR139" s="352"/>
      <c r="AS139" s="352"/>
      <c r="AT139" s="352"/>
      <c r="AU139" s="352"/>
      <c r="AV139" s="352"/>
    </row>
    <row r="140" spans="26:48" x14ac:dyDescent="0.25">
      <c r="Z140" s="352"/>
      <c r="AA140" s="352"/>
      <c r="AB140" s="352"/>
      <c r="AC140" s="352"/>
      <c r="AD140" s="352"/>
      <c r="AE140" s="352"/>
      <c r="AF140" s="352"/>
      <c r="AG140" s="352"/>
      <c r="AH140" s="352"/>
      <c r="AI140" s="1676"/>
      <c r="AJ140" s="1676"/>
      <c r="AK140" s="1676"/>
      <c r="AL140" s="352"/>
      <c r="AM140" s="352"/>
      <c r="AN140" s="352"/>
      <c r="AO140" s="352"/>
      <c r="AP140" s="352"/>
      <c r="AQ140" s="352"/>
      <c r="AR140" s="352"/>
      <c r="AS140" s="352"/>
      <c r="AT140" s="352"/>
      <c r="AU140" s="352"/>
      <c r="AV140" s="352"/>
    </row>
    <row r="141" spans="26:48" x14ac:dyDescent="0.25">
      <c r="Z141" s="352"/>
      <c r="AA141" s="1657" t="s">
        <v>808</v>
      </c>
      <c r="AB141" s="1657"/>
      <c r="AC141" s="352"/>
      <c r="AD141" s="352"/>
      <c r="AE141" s="352"/>
      <c r="AF141" s="352"/>
      <c r="AG141" s="352"/>
      <c r="AH141" s="352"/>
      <c r="AI141" s="1676"/>
      <c r="AJ141" s="1676"/>
      <c r="AK141" s="1676"/>
      <c r="AL141" s="352"/>
      <c r="AM141" s="352"/>
      <c r="AN141" s="352"/>
      <c r="AO141" s="352"/>
      <c r="AP141" s="352"/>
      <c r="AQ141" s="352"/>
      <c r="AR141" s="352"/>
      <c r="AS141" s="352"/>
      <c r="AT141" s="352"/>
      <c r="AU141" s="352"/>
      <c r="AV141" s="352"/>
    </row>
    <row r="142" spans="26:48" x14ac:dyDescent="0.25">
      <c r="Z142" s="352"/>
      <c r="AA142" s="1677" t="s">
        <v>809</v>
      </c>
      <c r="AB142" s="1677"/>
      <c r="AC142" s="352"/>
      <c r="AD142" s="352"/>
      <c r="AE142" s="352"/>
      <c r="AF142" s="352"/>
      <c r="AG142" s="352"/>
      <c r="AH142" s="352"/>
      <c r="AI142" s="471"/>
      <c r="AJ142" s="471"/>
      <c r="AK142" s="471"/>
      <c r="AL142" s="352"/>
      <c r="AM142" s="352"/>
      <c r="AN142" s="352"/>
      <c r="AO142" s="352"/>
      <c r="AP142" s="352"/>
      <c r="AQ142" s="352"/>
      <c r="AR142" s="352"/>
      <c r="AS142" s="352"/>
      <c r="AT142" s="352"/>
      <c r="AU142" s="352"/>
      <c r="AV142" s="352"/>
    </row>
    <row r="143" spans="26:48" x14ac:dyDescent="0.25">
      <c r="Z143" s="352"/>
      <c r="AA143" s="1677"/>
      <c r="AB143" s="1677"/>
      <c r="AC143" s="352"/>
      <c r="AD143" s="352"/>
      <c r="AE143" s="352"/>
      <c r="AF143" s="352"/>
      <c r="AG143" s="352"/>
      <c r="AH143" s="352"/>
      <c r="AI143" s="352"/>
      <c r="AJ143" s="352"/>
      <c r="AK143" s="352"/>
      <c r="AL143" s="352"/>
      <c r="AM143" s="352"/>
      <c r="AN143" s="352"/>
      <c r="AO143" s="352"/>
      <c r="AP143" s="352"/>
      <c r="AQ143" s="352"/>
      <c r="AR143" s="352"/>
      <c r="AS143" s="352"/>
      <c r="AT143" s="352"/>
      <c r="AU143" s="352"/>
      <c r="AV143" s="352"/>
    </row>
    <row r="144" spans="26:48" x14ac:dyDescent="0.25">
      <c r="Z144" s="352"/>
      <c r="AA144" s="472" t="s">
        <v>810</v>
      </c>
      <c r="AB144" s="473">
        <f>10142698-6685800</f>
        <v>3456898</v>
      </c>
      <c r="AC144" s="352"/>
      <c r="AD144" s="352"/>
      <c r="AE144" s="352"/>
      <c r="AF144" s="352"/>
      <c r="AG144" s="352"/>
      <c r="AH144" s="352"/>
      <c r="AI144" s="352"/>
      <c r="AJ144" s="352"/>
      <c r="AK144" s="352"/>
      <c r="AL144" s="352"/>
      <c r="AM144" s="352"/>
      <c r="AN144" s="352"/>
      <c r="AO144" s="352"/>
      <c r="AP144" s="352"/>
      <c r="AQ144" s="352"/>
      <c r="AR144" s="352"/>
      <c r="AS144" s="352"/>
      <c r="AT144" s="352"/>
      <c r="AU144" s="352"/>
      <c r="AV144" s="352"/>
    </row>
    <row r="145" spans="26:48" x14ac:dyDescent="0.25">
      <c r="Z145" s="352"/>
      <c r="AA145" s="352"/>
      <c r="AB145" s="352"/>
      <c r="AC145" s="352"/>
      <c r="AD145" s="352"/>
      <c r="AE145" s="352"/>
      <c r="AF145" s="352"/>
      <c r="AG145" s="352"/>
      <c r="AH145" s="352"/>
      <c r="AI145" s="352"/>
      <c r="AJ145" s="352"/>
      <c r="AK145" s="352"/>
      <c r="AL145" s="352"/>
      <c r="AM145" s="352"/>
      <c r="AN145" s="352"/>
      <c r="AO145" s="352"/>
      <c r="AP145" s="352"/>
      <c r="AQ145" s="352"/>
      <c r="AR145" s="352"/>
      <c r="AS145" s="352"/>
      <c r="AT145" s="352"/>
      <c r="AU145" s="352"/>
      <c r="AV145" s="352"/>
    </row>
    <row r="146" spans="26:48" x14ac:dyDescent="0.25">
      <c r="Z146" s="352"/>
      <c r="AA146" s="352"/>
      <c r="AB146" s="352"/>
      <c r="AC146" s="352"/>
      <c r="AD146" s="352"/>
      <c r="AE146" s="352"/>
      <c r="AF146" s="352"/>
      <c r="AG146" s="352"/>
      <c r="AH146" s="352"/>
      <c r="AI146" s="352"/>
      <c r="AJ146" s="352"/>
      <c r="AK146" s="352"/>
      <c r="AL146" s="352"/>
      <c r="AM146" s="352"/>
      <c r="AN146" s="352"/>
      <c r="AO146" s="352"/>
      <c r="AP146" s="352"/>
      <c r="AQ146" s="352"/>
      <c r="AR146" s="352"/>
      <c r="AS146" s="352"/>
      <c r="AT146" s="352"/>
      <c r="AU146" s="352"/>
      <c r="AV146" s="352"/>
    </row>
    <row r="147" spans="26:48" x14ac:dyDescent="0.25">
      <c r="Z147" s="352"/>
      <c r="AA147" s="352"/>
      <c r="AB147" s="352"/>
      <c r="AC147" s="352"/>
      <c r="AD147" s="352"/>
      <c r="AE147" s="352"/>
      <c r="AF147" s="352"/>
      <c r="AG147" s="352"/>
      <c r="AH147" s="352"/>
      <c r="AI147" s="352"/>
      <c r="AJ147" s="352"/>
      <c r="AK147" s="352"/>
      <c r="AL147" s="352"/>
      <c r="AM147" s="352"/>
      <c r="AN147" s="352"/>
      <c r="AO147" s="352"/>
      <c r="AP147" s="352"/>
      <c r="AQ147" s="352"/>
      <c r="AR147" s="352"/>
      <c r="AS147" s="352"/>
      <c r="AT147" s="352"/>
      <c r="AU147" s="352"/>
      <c r="AV147" s="352"/>
    </row>
    <row r="148" spans="26:48" x14ac:dyDescent="0.25">
      <c r="Z148" s="352"/>
      <c r="AA148" s="352"/>
      <c r="AB148" s="352"/>
      <c r="AC148" s="352"/>
      <c r="AD148" s="352"/>
      <c r="AE148" s="352"/>
      <c r="AF148" s="352"/>
      <c r="AG148" s="352"/>
      <c r="AH148" s="352"/>
      <c r="AI148" s="352"/>
      <c r="AJ148" s="352"/>
      <c r="AK148" s="352"/>
      <c r="AL148" s="352"/>
      <c r="AM148" s="352"/>
      <c r="AN148" s="352"/>
      <c r="AO148" s="352"/>
      <c r="AP148" s="352"/>
      <c r="AQ148" s="352"/>
      <c r="AR148" s="352"/>
      <c r="AS148" s="352"/>
      <c r="AT148" s="352"/>
      <c r="AU148" s="352"/>
      <c r="AV148" s="352"/>
    </row>
    <row r="149" spans="26:48" x14ac:dyDescent="0.25">
      <c r="Z149" s="352"/>
      <c r="AA149" s="352"/>
      <c r="AB149" s="352"/>
      <c r="AC149" s="352"/>
      <c r="AD149" s="352"/>
      <c r="AE149" s="352"/>
      <c r="AF149" s="352"/>
      <c r="AG149" s="352"/>
      <c r="AH149" s="352"/>
      <c r="AI149" s="352"/>
      <c r="AJ149" s="352"/>
      <c r="AK149" s="352"/>
      <c r="AL149" s="352"/>
      <c r="AM149" s="352"/>
      <c r="AN149" s="352"/>
      <c r="AO149" s="352"/>
      <c r="AP149" s="352"/>
      <c r="AQ149" s="352"/>
      <c r="AR149" s="352"/>
      <c r="AS149" s="352"/>
      <c r="AT149" s="352"/>
      <c r="AU149" s="352"/>
      <c r="AV149" s="352"/>
    </row>
    <row r="150" spans="26:48" x14ac:dyDescent="0.25">
      <c r="Z150" s="352"/>
      <c r="AA150" s="352"/>
      <c r="AB150" s="352"/>
      <c r="AC150" s="352"/>
      <c r="AD150" s="352"/>
      <c r="AE150" s="352"/>
      <c r="AF150" s="352"/>
      <c r="AG150" s="352"/>
      <c r="AH150" s="352"/>
      <c r="AI150" s="352"/>
      <c r="AJ150" s="352"/>
      <c r="AK150" s="352"/>
      <c r="AL150" s="352"/>
      <c r="AM150" s="352"/>
      <c r="AN150" s="352"/>
      <c r="AO150" s="352"/>
      <c r="AP150" s="352"/>
      <c r="AQ150" s="352"/>
      <c r="AR150" s="352"/>
      <c r="AS150" s="352"/>
      <c r="AT150" s="352"/>
      <c r="AU150" s="352"/>
      <c r="AV150" s="352"/>
    </row>
  </sheetData>
  <mergeCells count="50">
    <mergeCell ref="B1:S1"/>
    <mergeCell ref="B3:S3"/>
    <mergeCell ref="AA7:AF7"/>
    <mergeCell ref="AQ14:AQ15"/>
    <mergeCell ref="Z15:Z16"/>
    <mergeCell ref="AI15:AI16"/>
    <mergeCell ref="AH15:AH16"/>
    <mergeCell ref="Z32:Z33"/>
    <mergeCell ref="AA104:AB104"/>
    <mergeCell ref="AA105:AB105"/>
    <mergeCell ref="AI105:AK105"/>
    <mergeCell ref="AI106:AK106"/>
    <mergeCell ref="AQ109:AQ124"/>
    <mergeCell ref="AI110:AK110"/>
    <mergeCell ref="AA112:AB112"/>
    <mergeCell ref="AA113:AB113"/>
    <mergeCell ref="AI113:AK113"/>
    <mergeCell ref="AI114:AK114"/>
    <mergeCell ref="AG108:AG125"/>
    <mergeCell ref="AA116:AB116"/>
    <mergeCell ref="AA117:AB117"/>
    <mergeCell ref="AI117:AK117"/>
    <mergeCell ref="AA124:AB124"/>
    <mergeCell ref="AP108:AP125"/>
    <mergeCell ref="AA109:AB109"/>
    <mergeCell ref="AF109:AF124"/>
    <mergeCell ref="AI109:AK109"/>
    <mergeCell ref="AA108:AB108"/>
    <mergeCell ref="AI118:AK118"/>
    <mergeCell ref="AA120:AB120"/>
    <mergeCell ref="AA121:AB121"/>
    <mergeCell ref="AI121:AK121"/>
    <mergeCell ref="AI122:AK122"/>
    <mergeCell ref="AA136:AB136"/>
    <mergeCell ref="AA125:AB125"/>
    <mergeCell ref="AI125:AK125"/>
    <mergeCell ref="AA126:AB126"/>
    <mergeCell ref="AI126:AK126"/>
    <mergeCell ref="AA129:AB129"/>
    <mergeCell ref="AI129:AK129"/>
    <mergeCell ref="AI130:AK130"/>
    <mergeCell ref="AA131:AB131"/>
    <mergeCell ref="AA132:AB132"/>
    <mergeCell ref="AI133:AK133"/>
    <mergeCell ref="AI134:AK135"/>
    <mergeCell ref="AA137:AB137"/>
    <mergeCell ref="AI138:AK138"/>
    <mergeCell ref="AI139:AK141"/>
    <mergeCell ref="AA141:AB141"/>
    <mergeCell ref="AA142:AB143"/>
  </mergeCells>
  <pageMargins left="0.7" right="0.7" top="0.75" bottom="0.75" header="0.3" footer="0.3"/>
  <drawing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561FA-6DDF-46FD-80DC-9A9E7476F2E2}">
  <sheetPr>
    <tabColor rgb="FFFFFF00"/>
    <pageSetUpPr fitToPage="1"/>
  </sheetPr>
  <dimension ref="A1:BE150"/>
  <sheetViews>
    <sheetView topLeftCell="D1" zoomScale="96" zoomScaleNormal="96" workbookViewId="0">
      <pane ySplit="5" topLeftCell="A31" activePane="bottomLeft" state="frozen"/>
      <selection pane="bottomLeft" activeCell="Z4" sqref="Z4"/>
    </sheetView>
  </sheetViews>
  <sheetFormatPr baseColWidth="10" defaultColWidth="10.90625" defaultRowHeight="12.5" x14ac:dyDescent="0.25"/>
  <cols>
    <col min="1" max="1" width="3.54296875" customWidth="1"/>
    <col min="2" max="2" width="28.26953125" customWidth="1"/>
    <col min="3" max="3" width="14.81640625" style="352" customWidth="1"/>
    <col min="4" max="4" width="10.453125" style="352" customWidth="1"/>
    <col min="5" max="5" width="11.7265625" style="352" hidden="1" customWidth="1"/>
    <col min="6" max="6" width="12.54296875" style="352" hidden="1" customWidth="1"/>
    <col min="7" max="7" width="11.81640625" style="352" hidden="1" customWidth="1"/>
    <col min="8" max="8" width="12" style="352" hidden="1" customWidth="1"/>
    <col min="9" max="9" width="12.1796875" style="352" hidden="1" customWidth="1"/>
    <col min="10" max="10" width="11.7265625" style="352" hidden="1" customWidth="1"/>
    <col min="11" max="13" width="15.7265625" style="352" hidden="1" customWidth="1"/>
    <col min="14" max="14" width="15.7265625" style="388" hidden="1" customWidth="1"/>
    <col min="15" max="16" width="15.7265625" style="352" hidden="1" customWidth="1"/>
    <col min="17" max="17" width="13.453125" style="352" customWidth="1"/>
    <col min="18" max="18" width="15.54296875" style="353" customWidth="1"/>
    <col min="19" max="19" width="15.453125" style="389" customWidth="1"/>
    <col min="21" max="25" width="10.90625" hidden="1" customWidth="1"/>
    <col min="26" max="27" width="10.90625" customWidth="1"/>
    <col min="28" max="29" width="11.54296875" customWidth="1"/>
    <col min="30" max="32" width="10.90625" customWidth="1"/>
    <col min="33" max="33" width="12.7265625" customWidth="1"/>
    <col min="34" max="34" width="12.6328125" customWidth="1"/>
    <col min="35" max="39" width="10.90625" customWidth="1"/>
  </cols>
  <sheetData>
    <row r="1" spans="1:44" x14ac:dyDescent="0.25">
      <c r="B1" s="1649" t="s">
        <v>218</v>
      </c>
      <c r="C1" s="1650"/>
      <c r="D1" s="1650"/>
      <c r="E1" s="1650"/>
      <c r="F1" s="1650"/>
      <c r="G1" s="1650"/>
      <c r="H1" s="1650"/>
      <c r="I1" s="1650"/>
      <c r="J1" s="1650"/>
      <c r="K1" s="1650"/>
      <c r="L1" s="1650"/>
      <c r="M1" s="1650"/>
      <c r="N1" s="1650"/>
      <c r="O1" s="1650"/>
      <c r="P1" s="1650"/>
      <c r="Q1" s="1650"/>
      <c r="R1" s="1650"/>
      <c r="S1" s="1651"/>
    </row>
    <row r="2" spans="1:44" ht="9" customHeight="1" x14ac:dyDescent="0.25">
      <c r="B2" s="104"/>
      <c r="S2" s="354"/>
    </row>
    <row r="3" spans="1:44" x14ac:dyDescent="0.25">
      <c r="B3" s="1652" t="s">
        <v>1220</v>
      </c>
      <c r="C3" s="1653"/>
      <c r="D3" s="1653"/>
      <c r="E3" s="1653"/>
      <c r="F3" s="1653"/>
      <c r="G3" s="1653"/>
      <c r="H3" s="1653"/>
      <c r="I3" s="1653"/>
      <c r="J3" s="1653"/>
      <c r="K3" s="1653"/>
      <c r="L3" s="1653"/>
      <c r="M3" s="1653"/>
      <c r="N3" s="1653"/>
      <c r="O3" s="1653"/>
      <c r="P3" s="1653"/>
      <c r="Q3" s="1653"/>
      <c r="R3" s="1653"/>
      <c r="S3" s="1654"/>
    </row>
    <row r="4" spans="1:44" x14ac:dyDescent="0.25">
      <c r="B4" s="105"/>
      <c r="C4" s="650"/>
      <c r="D4" s="650"/>
      <c r="E4" s="650"/>
      <c r="F4" s="650"/>
      <c r="G4" s="650"/>
      <c r="H4" s="650"/>
      <c r="I4" s="650"/>
      <c r="J4" s="650"/>
      <c r="K4" s="650"/>
      <c r="L4" s="650"/>
      <c r="M4" s="650"/>
      <c r="N4" s="651"/>
      <c r="O4" s="650"/>
      <c r="P4" s="650"/>
      <c r="Q4" s="650"/>
      <c r="R4" s="652"/>
      <c r="S4" s="355"/>
    </row>
    <row r="5" spans="1:44" ht="23.25" customHeight="1" x14ac:dyDescent="0.3">
      <c r="A5">
        <v>12</v>
      </c>
      <c r="B5" s="13">
        <v>4</v>
      </c>
      <c r="C5" s="745" t="s">
        <v>1228</v>
      </c>
      <c r="D5" s="746" t="s">
        <v>1221</v>
      </c>
      <c r="E5" s="357" t="s">
        <v>14</v>
      </c>
      <c r="F5" s="357" t="s">
        <v>15</v>
      </c>
      <c r="G5" s="357" t="s">
        <v>1222</v>
      </c>
      <c r="H5" s="357" t="s">
        <v>16</v>
      </c>
      <c r="I5" s="357" t="s">
        <v>17</v>
      </c>
      <c r="J5" s="357" t="s">
        <v>18</v>
      </c>
      <c r="K5" s="357" t="s">
        <v>19</v>
      </c>
      <c r="L5" s="357" t="s">
        <v>20</v>
      </c>
      <c r="M5" s="357" t="s">
        <v>21</v>
      </c>
      <c r="N5" s="358" t="s">
        <v>22</v>
      </c>
      <c r="O5" s="357" t="s">
        <v>23</v>
      </c>
      <c r="P5" s="357" t="s">
        <v>24</v>
      </c>
      <c r="Q5" s="359" t="s">
        <v>25</v>
      </c>
      <c r="R5" s="360" t="s">
        <v>26</v>
      </c>
      <c r="S5" s="653" t="s">
        <v>46</v>
      </c>
      <c r="T5" s="654" t="s">
        <v>1223</v>
      </c>
    </row>
    <row r="6" spans="1:44" x14ac:dyDescent="0.25">
      <c r="B6" s="53" t="s">
        <v>45</v>
      </c>
      <c r="C6" s="362">
        <v>353308839</v>
      </c>
      <c r="D6" s="362">
        <f>+C6/12</f>
        <v>29442403.25</v>
      </c>
      <c r="E6" s="362">
        <f>-287015+28701567</f>
        <v>28414552</v>
      </c>
      <c r="F6" s="362">
        <v>28414552</v>
      </c>
      <c r="G6" s="362">
        <v>28414552</v>
      </c>
      <c r="H6" s="362">
        <f>+H8-H7</f>
        <v>32509259</v>
      </c>
      <c r="I6" s="362"/>
      <c r="J6" s="362"/>
      <c r="K6" s="362"/>
      <c r="L6" s="362"/>
      <c r="M6" s="362"/>
      <c r="N6" s="363"/>
      <c r="O6" s="363"/>
      <c r="P6" s="363"/>
      <c r="Q6" s="364">
        <f>+D6*$B$5</f>
        <v>117769613</v>
      </c>
      <c r="R6" s="364">
        <f>SUM(E6:P6)</f>
        <v>117752915</v>
      </c>
      <c r="S6" s="655">
        <f>+Q6-R6</f>
        <v>16698</v>
      </c>
      <c r="T6" s="656">
        <f>+Q6-R6</f>
        <v>16698</v>
      </c>
      <c r="Z6" s="352"/>
      <c r="AA6" s="352"/>
      <c r="AB6" s="352"/>
      <c r="AC6" s="352"/>
      <c r="AD6" s="352"/>
      <c r="AE6" s="352"/>
      <c r="AF6" s="352"/>
      <c r="AG6" s="352"/>
      <c r="AH6" s="352"/>
      <c r="AI6" s="352"/>
      <c r="AJ6" s="352"/>
      <c r="AK6" s="352"/>
      <c r="AL6" s="352"/>
      <c r="AM6" s="352"/>
      <c r="AN6" s="352"/>
      <c r="AO6" s="352"/>
      <c r="AP6" s="352"/>
      <c r="AQ6" s="352"/>
      <c r="AR6" s="352"/>
    </row>
    <row r="7" spans="1:44" x14ac:dyDescent="0.25">
      <c r="B7" s="13" t="s">
        <v>120</v>
      </c>
      <c r="C7" s="364">
        <v>3533088</v>
      </c>
      <c r="D7" s="362">
        <f>+C7/12</f>
        <v>294424</v>
      </c>
      <c r="E7" s="364">
        <v>287015</v>
      </c>
      <c r="F7" s="364">
        <v>287015</v>
      </c>
      <c r="G7" s="364">
        <v>287015</v>
      </c>
      <c r="H7" s="364">
        <v>328376</v>
      </c>
      <c r="I7" s="364"/>
      <c r="J7" s="364"/>
      <c r="K7" s="364"/>
      <c r="L7" s="364"/>
      <c r="M7" s="364"/>
      <c r="N7" s="365"/>
      <c r="O7" s="365"/>
      <c r="P7" s="365"/>
      <c r="Q7" s="364">
        <f>+D7*$B$5</f>
        <v>1177696</v>
      </c>
      <c r="R7" s="364">
        <f>SUM(E7:P7)</f>
        <v>1189421</v>
      </c>
      <c r="S7" s="655">
        <f>+Q7-R7</f>
        <v>-11725</v>
      </c>
      <c r="T7" s="656">
        <f>+Q7-R7</f>
        <v>-11725</v>
      </c>
      <c r="Z7" s="352"/>
      <c r="AA7" s="1657" t="s">
        <v>776</v>
      </c>
      <c r="AB7" s="1657"/>
      <c r="AC7" s="1657"/>
      <c r="AD7" s="1657"/>
      <c r="AE7" s="352"/>
      <c r="AF7" s="352"/>
      <c r="AG7" s="352"/>
      <c r="AH7" s="352"/>
      <c r="AI7" s="352"/>
      <c r="AJ7" s="352"/>
      <c r="AK7" s="352"/>
      <c r="AL7" s="352"/>
      <c r="AM7" s="352"/>
      <c r="AN7" s="352"/>
      <c r="AO7" s="352"/>
      <c r="AP7" s="352"/>
      <c r="AQ7" s="352"/>
      <c r="AR7" s="352"/>
    </row>
    <row r="8" spans="1:44" ht="14" x14ac:dyDescent="0.3">
      <c r="B8" s="677" t="s">
        <v>125</v>
      </c>
      <c r="C8" s="678">
        <f>+C6+C7</f>
        <v>356841927</v>
      </c>
      <c r="D8" s="678">
        <f t="shared" ref="D8:K8" si="0">SUM(D6:D7)</f>
        <v>29736827.25</v>
      </c>
      <c r="E8" s="678">
        <f t="shared" si="0"/>
        <v>28701567</v>
      </c>
      <c r="F8" s="678">
        <f t="shared" si="0"/>
        <v>28701567</v>
      </c>
      <c r="G8" s="678">
        <f t="shared" si="0"/>
        <v>28701567</v>
      </c>
      <c r="H8" s="678">
        <v>32837635</v>
      </c>
      <c r="I8" s="678">
        <f t="shared" si="0"/>
        <v>0</v>
      </c>
      <c r="J8" s="678">
        <f t="shared" si="0"/>
        <v>0</v>
      </c>
      <c r="K8" s="678">
        <f t="shared" si="0"/>
        <v>0</v>
      </c>
      <c r="L8" s="678"/>
      <c r="M8" s="678">
        <f>SUM(M6:M7)</f>
        <v>0</v>
      </c>
      <c r="N8" s="679">
        <f>SUM(N6:N7)</f>
        <v>0</v>
      </c>
      <c r="O8" s="679">
        <f>SUM(O6:O7)</f>
        <v>0</v>
      </c>
      <c r="P8" s="679">
        <f>SUM(P6:P7)</f>
        <v>0</v>
      </c>
      <c r="Q8" s="680">
        <f t="shared" ref="Q8:Q55" si="1">+D8*$B$5</f>
        <v>118947309</v>
      </c>
      <c r="R8" s="678">
        <f>SUM(R6:R7)</f>
        <v>118942336</v>
      </c>
      <c r="S8" s="681">
        <f>+Q8-R8</f>
        <v>4973</v>
      </c>
      <c r="T8" s="682">
        <f>+Q8-R8</f>
        <v>4973</v>
      </c>
      <c r="Z8" s="352"/>
      <c r="AA8" s="352"/>
      <c r="AB8" s="352"/>
      <c r="AC8" s="352"/>
      <c r="AD8" s="353">
        <f>281797442-AC10</f>
        <v>162850133</v>
      </c>
      <c r="AE8" s="352"/>
      <c r="AF8" s="352"/>
      <c r="AG8" s="352"/>
      <c r="AH8" s="352"/>
      <c r="AI8" s="352"/>
      <c r="AJ8" s="352"/>
      <c r="AK8" s="352"/>
      <c r="AL8" s="352"/>
      <c r="AM8" s="352"/>
      <c r="AN8" s="352"/>
      <c r="AO8" s="352"/>
      <c r="AP8" s="352"/>
      <c r="AQ8" s="352"/>
      <c r="AR8" s="352"/>
    </row>
    <row r="9" spans="1:44" ht="15.5" x14ac:dyDescent="0.25">
      <c r="B9" s="59" t="s">
        <v>77</v>
      </c>
      <c r="C9" s="366"/>
      <c r="D9" s="431" t="s">
        <v>33</v>
      </c>
      <c r="E9" s="431" t="s">
        <v>33</v>
      </c>
      <c r="F9" s="367"/>
      <c r="G9" s="367"/>
      <c r="H9" s="367"/>
      <c r="I9" s="367"/>
      <c r="J9" s="367"/>
      <c r="K9" s="367"/>
      <c r="L9" s="367"/>
      <c r="M9" s="367"/>
      <c r="N9" s="365"/>
      <c r="O9" s="365"/>
      <c r="P9" s="365"/>
      <c r="Q9" s="364" t="s">
        <v>33</v>
      </c>
      <c r="R9" s="364"/>
      <c r="S9" s="655"/>
      <c r="T9" s="657" t="s">
        <v>33</v>
      </c>
      <c r="Z9" s="747"/>
      <c r="AA9" s="747"/>
      <c r="AB9" s="747"/>
      <c r="AC9" s="747"/>
      <c r="AD9" s="747"/>
      <c r="AE9" s="747"/>
      <c r="AF9" s="753"/>
      <c r="AG9" s="753"/>
      <c r="AH9" s="753"/>
      <c r="AI9" s="753"/>
      <c r="AJ9" s="753"/>
      <c r="AK9" s="753"/>
      <c r="AL9" s="352"/>
      <c r="AM9" s="761" t="s">
        <v>781</v>
      </c>
      <c r="AN9" s="762"/>
      <c r="AO9" s="761"/>
      <c r="AP9" s="763">
        <f>Q56</f>
        <v>118947309.07000001</v>
      </c>
      <c r="AQ9" s="764"/>
      <c r="AR9" s="761"/>
    </row>
    <row r="10" spans="1:44" ht="16.5" customHeight="1" x14ac:dyDescent="0.25">
      <c r="B10" s="60" t="s">
        <v>78</v>
      </c>
      <c r="C10" s="368"/>
      <c r="D10" s="369"/>
      <c r="E10" s="369"/>
      <c r="F10" s="371"/>
      <c r="G10" s="371"/>
      <c r="H10" s="371"/>
      <c r="I10" s="371"/>
      <c r="J10" s="371"/>
      <c r="K10" s="371"/>
      <c r="L10" s="371"/>
      <c r="M10" s="371"/>
      <c r="N10" s="372"/>
      <c r="O10" s="372"/>
      <c r="P10" s="372"/>
      <c r="Q10" s="364" t="s">
        <v>33</v>
      </c>
      <c r="R10" s="370"/>
      <c r="S10" s="658"/>
      <c r="T10" s="657" t="s">
        <v>33</v>
      </c>
      <c r="Z10" s="747"/>
      <c r="AA10" s="747" t="s">
        <v>777</v>
      </c>
      <c r="AB10" s="748"/>
      <c r="AC10" s="749">
        <f>Q8</f>
        <v>118947309</v>
      </c>
      <c r="AD10" s="747"/>
      <c r="AE10" s="747"/>
      <c r="AF10" s="753" t="s">
        <v>811</v>
      </c>
      <c r="AG10" s="754"/>
      <c r="AH10" s="755">
        <f>Q8</f>
        <v>118947309</v>
      </c>
      <c r="AI10" s="753"/>
      <c r="AJ10" s="753"/>
      <c r="AK10" s="753"/>
      <c r="AL10" s="352"/>
      <c r="AM10" s="761" t="s">
        <v>780</v>
      </c>
      <c r="AN10" s="762"/>
      <c r="AO10" s="761"/>
      <c r="AP10" s="765">
        <f>AP11-AP9</f>
        <v>-5090835.950000003</v>
      </c>
      <c r="AQ10" s="764"/>
      <c r="AR10" s="761"/>
    </row>
    <row r="11" spans="1:44" x14ac:dyDescent="0.25">
      <c r="B11" s="61" t="s">
        <v>79</v>
      </c>
      <c r="C11" s="659">
        <v>33199438.319999997</v>
      </c>
      <c r="D11" s="432">
        <f>+C11/12</f>
        <v>2766619.86</v>
      </c>
      <c r="E11" s="432">
        <v>2766619</v>
      </c>
      <c r="F11" s="374">
        <v>2766619</v>
      </c>
      <c r="G11" s="374">
        <v>2766619</v>
      </c>
      <c r="H11" s="374">
        <v>2766619</v>
      </c>
      <c r="I11" s="374"/>
      <c r="J11" s="374"/>
      <c r="K11" s="374"/>
      <c r="L11" s="374"/>
      <c r="M11" s="374"/>
      <c r="N11" s="375"/>
      <c r="O11" s="375"/>
      <c r="P11" s="375"/>
      <c r="Q11" s="364">
        <f t="shared" si="1"/>
        <v>11066479.439999999</v>
      </c>
      <c r="R11" s="364">
        <f t="shared" ref="R11:R17" si="2">SUM(E11:P11)</f>
        <v>11066476</v>
      </c>
      <c r="S11" s="655">
        <f>+Q11-R11</f>
        <v>3.4399999994784594</v>
      </c>
      <c r="T11" s="656">
        <f>+Q11-R11</f>
        <v>3.4399999994784594</v>
      </c>
      <c r="Z11" s="747"/>
      <c r="AA11" s="747" t="s">
        <v>780</v>
      </c>
      <c r="AB11" s="748"/>
      <c r="AC11" s="749">
        <f>AC12-AC10</f>
        <v>-4973</v>
      </c>
      <c r="AD11" s="747"/>
      <c r="AE11" s="747"/>
      <c r="AF11" s="753" t="s">
        <v>780</v>
      </c>
      <c r="AG11" s="754"/>
      <c r="AH11" s="755">
        <f>AH12-AH10</f>
        <v>-5090835.8799999952</v>
      </c>
      <c r="AI11" s="753"/>
      <c r="AJ11" s="753"/>
      <c r="AK11" s="753"/>
      <c r="AL11" s="352"/>
      <c r="AM11" s="761" t="s">
        <v>779</v>
      </c>
      <c r="AN11" s="762"/>
      <c r="AO11" s="761"/>
      <c r="AP11" s="763">
        <f>R56</f>
        <v>113856473.12</v>
      </c>
      <c r="AQ11" s="764"/>
      <c r="AR11" s="761"/>
    </row>
    <row r="12" spans="1:44" x14ac:dyDescent="0.25">
      <c r="B12" s="62" t="s">
        <v>80</v>
      </c>
      <c r="C12" s="660">
        <v>1260000</v>
      </c>
      <c r="D12" s="433">
        <f t="shared" ref="D12:D34" si="3">+C12/12</f>
        <v>105000</v>
      </c>
      <c r="E12" s="433">
        <v>143550</v>
      </c>
      <c r="F12" s="364">
        <v>235199</v>
      </c>
      <c r="G12" s="364">
        <v>220474</v>
      </c>
      <c r="H12" s="364">
        <v>175110</v>
      </c>
      <c r="I12" s="364"/>
      <c r="J12" s="364"/>
      <c r="K12" s="364"/>
      <c r="L12" s="364"/>
      <c r="M12" s="364"/>
      <c r="N12" s="365"/>
      <c r="O12" s="365"/>
      <c r="P12" s="365"/>
      <c r="Q12" s="364">
        <f t="shared" si="1"/>
        <v>420000</v>
      </c>
      <c r="R12" s="364">
        <f t="shared" si="2"/>
        <v>774333</v>
      </c>
      <c r="S12" s="655">
        <f>+Q12-R12</f>
        <v>-354333</v>
      </c>
      <c r="T12" s="656">
        <f t="shared" ref="T12:T55" si="4">+Q12-R12</f>
        <v>-354333</v>
      </c>
      <c r="Z12" s="747"/>
      <c r="AA12" s="747" t="s">
        <v>778</v>
      </c>
      <c r="AB12" s="748"/>
      <c r="AC12" s="749">
        <f>R8</f>
        <v>118942336</v>
      </c>
      <c r="AD12" s="747"/>
      <c r="AE12" s="747"/>
      <c r="AF12" s="753" t="s">
        <v>814</v>
      </c>
      <c r="AG12" s="754"/>
      <c r="AH12" s="755">
        <f>R56</f>
        <v>113856473.12</v>
      </c>
      <c r="AI12" s="753"/>
      <c r="AJ12" s="753"/>
      <c r="AK12" s="753"/>
      <c r="AL12" s="352"/>
      <c r="AM12" s="761"/>
      <c r="AN12" s="761"/>
      <c r="AO12" s="761"/>
      <c r="AP12" s="761"/>
      <c r="AQ12" s="761"/>
      <c r="AR12" s="761"/>
    </row>
    <row r="13" spans="1:44" x14ac:dyDescent="0.25">
      <c r="B13" s="61" t="s">
        <v>81</v>
      </c>
      <c r="C13" s="659">
        <v>10500000</v>
      </c>
      <c r="D13" s="432">
        <f t="shared" si="3"/>
        <v>875000</v>
      </c>
      <c r="E13" s="432">
        <v>1581421</v>
      </c>
      <c r="F13" s="374">
        <v>0</v>
      </c>
      <c r="G13" s="374">
        <f>196100+277737+50000</f>
        <v>523837</v>
      </c>
      <c r="H13" s="374">
        <v>338825</v>
      </c>
      <c r="I13" s="374"/>
      <c r="J13" s="374"/>
      <c r="K13" s="374"/>
      <c r="L13" s="374"/>
      <c r="M13" s="374"/>
      <c r="N13" s="377"/>
      <c r="O13" s="377"/>
      <c r="P13" s="377"/>
      <c r="Q13" s="364">
        <f t="shared" si="1"/>
        <v>3500000</v>
      </c>
      <c r="R13" s="364">
        <f t="shared" si="2"/>
        <v>2444083</v>
      </c>
      <c r="S13" s="655">
        <f t="shared" ref="S13:S41" si="5">+Q13-R13</f>
        <v>1055917</v>
      </c>
      <c r="T13" s="656">
        <f t="shared" si="4"/>
        <v>1055917</v>
      </c>
      <c r="Z13" s="750"/>
      <c r="AA13" s="751"/>
      <c r="AB13" s="752"/>
      <c r="AC13" s="750"/>
      <c r="AD13" s="750"/>
      <c r="AE13" s="750"/>
      <c r="AF13" s="756"/>
      <c r="AG13" s="756"/>
      <c r="AH13" s="756"/>
      <c r="AI13" s="756"/>
      <c r="AJ13" s="756"/>
      <c r="AK13" s="756"/>
      <c r="AL13" s="454"/>
      <c r="AM13" s="766"/>
      <c r="AN13" s="766"/>
      <c r="AO13" s="766"/>
      <c r="AP13" s="766"/>
      <c r="AQ13" s="766"/>
      <c r="AR13" s="766"/>
    </row>
    <row r="14" spans="1:44" x14ac:dyDescent="0.25">
      <c r="B14" s="62" t="s">
        <v>82</v>
      </c>
      <c r="C14" s="660">
        <v>1800000</v>
      </c>
      <c r="D14" s="433">
        <f t="shared" si="3"/>
        <v>150000</v>
      </c>
      <c r="E14" s="433">
        <v>229300</v>
      </c>
      <c r="F14" s="364">
        <v>104000</v>
      </c>
      <c r="G14" s="364">
        <v>366738</v>
      </c>
      <c r="H14" s="364"/>
      <c r="I14" s="364"/>
      <c r="J14" s="364"/>
      <c r="K14" s="364"/>
      <c r="L14" s="364"/>
      <c r="M14" s="364"/>
      <c r="N14" s="365"/>
      <c r="O14" s="365"/>
      <c r="P14" s="365"/>
      <c r="Q14" s="364">
        <f t="shared" si="1"/>
        <v>600000</v>
      </c>
      <c r="R14" s="364">
        <f t="shared" si="2"/>
        <v>700038</v>
      </c>
      <c r="S14" s="655">
        <f t="shared" si="5"/>
        <v>-100038</v>
      </c>
      <c r="T14" s="656">
        <f t="shared" si="4"/>
        <v>-100038</v>
      </c>
      <c r="Z14" s="747"/>
      <c r="AA14" s="747"/>
      <c r="AB14" s="747"/>
      <c r="AC14" s="747"/>
      <c r="AD14" s="747"/>
      <c r="AE14" s="747"/>
      <c r="AF14" s="757"/>
      <c r="AG14" s="758"/>
      <c r="AH14" s="753"/>
      <c r="AI14" s="753"/>
      <c r="AJ14" s="753"/>
      <c r="AK14" s="753"/>
      <c r="AL14" s="352"/>
      <c r="AM14" s="1755">
        <v>2</v>
      </c>
      <c r="AN14" s="761"/>
      <c r="AO14" s="761"/>
      <c r="AP14" s="761"/>
      <c r="AQ14" s="761"/>
      <c r="AR14" s="761"/>
    </row>
    <row r="15" spans="1:44" x14ac:dyDescent="0.25">
      <c r="B15" s="61" t="s">
        <v>83</v>
      </c>
      <c r="C15" s="659">
        <v>11900000</v>
      </c>
      <c r="D15" s="432">
        <f t="shared" si="3"/>
        <v>991666.66666666663</v>
      </c>
      <c r="E15" s="432">
        <v>823302</v>
      </c>
      <c r="F15" s="374">
        <v>1301779</v>
      </c>
      <c r="G15" s="374">
        <v>611281</v>
      </c>
      <c r="H15" s="374">
        <v>203409</v>
      </c>
      <c r="I15" s="374"/>
      <c r="J15" s="374"/>
      <c r="K15" s="374"/>
      <c r="L15" s="374"/>
      <c r="M15" s="374"/>
      <c r="N15" s="377"/>
      <c r="O15" s="377"/>
      <c r="P15" s="377"/>
      <c r="Q15" s="364">
        <f t="shared" si="1"/>
        <v>3966666.6666666665</v>
      </c>
      <c r="R15" s="364">
        <f t="shared" si="2"/>
        <v>2939771</v>
      </c>
      <c r="S15" s="655">
        <f t="shared" si="5"/>
        <v>1026895.6666666665</v>
      </c>
      <c r="T15" s="656">
        <f t="shared" si="4"/>
        <v>1026895.6666666665</v>
      </c>
      <c r="Z15" s="1756">
        <v>1</v>
      </c>
      <c r="AA15" s="747"/>
      <c r="AB15" s="747"/>
      <c r="AC15" s="747"/>
      <c r="AD15" s="747"/>
      <c r="AE15" s="747"/>
      <c r="AF15" s="753"/>
      <c r="AG15" s="1661">
        <v>3</v>
      </c>
      <c r="AH15" s="753"/>
      <c r="AI15" s="753"/>
      <c r="AJ15" s="753"/>
      <c r="AK15" s="753"/>
      <c r="AL15" s="352"/>
      <c r="AM15" s="1755"/>
      <c r="AN15" s="761"/>
      <c r="AO15" s="761"/>
      <c r="AP15" s="761"/>
      <c r="AQ15" s="761"/>
      <c r="AR15" s="761"/>
    </row>
    <row r="16" spans="1:44" x14ac:dyDescent="0.25">
      <c r="B16" s="62" t="s">
        <v>84</v>
      </c>
      <c r="C16" s="660">
        <v>590000</v>
      </c>
      <c r="D16" s="433">
        <f t="shared" si="3"/>
        <v>49166.666666666664</v>
      </c>
      <c r="E16" s="433">
        <v>0</v>
      </c>
      <c r="F16" s="364">
        <v>140000</v>
      </c>
      <c r="G16" s="364">
        <v>0</v>
      </c>
      <c r="H16" s="364"/>
      <c r="I16" s="364"/>
      <c r="J16" s="364"/>
      <c r="K16" s="364"/>
      <c r="L16" s="364"/>
      <c r="M16" s="364"/>
      <c r="N16" s="365"/>
      <c r="O16" s="365"/>
      <c r="P16" s="365"/>
      <c r="Q16" s="364">
        <f t="shared" si="1"/>
        <v>196666.66666666666</v>
      </c>
      <c r="R16" s="364">
        <f t="shared" si="2"/>
        <v>140000</v>
      </c>
      <c r="S16" s="655">
        <f t="shared" si="5"/>
        <v>56666.666666666657</v>
      </c>
      <c r="T16" s="656">
        <f t="shared" si="4"/>
        <v>56666.666666666657</v>
      </c>
      <c r="Z16" s="1756"/>
      <c r="AA16" s="747"/>
      <c r="AB16" s="747"/>
      <c r="AC16" s="747"/>
      <c r="AD16" s="747"/>
      <c r="AE16" s="747"/>
      <c r="AF16" s="753"/>
      <c r="AG16" s="1661"/>
      <c r="AH16" s="753"/>
      <c r="AI16" s="753"/>
      <c r="AJ16" s="753"/>
      <c r="AK16" s="753"/>
      <c r="AL16" s="352"/>
      <c r="AM16" s="761"/>
      <c r="AN16" s="761"/>
      <c r="AO16" s="761"/>
      <c r="AP16" s="761"/>
      <c r="AQ16" s="761"/>
      <c r="AR16" s="761"/>
    </row>
    <row r="17" spans="1:51" x14ac:dyDescent="0.25">
      <c r="B17" s="61" t="s">
        <v>85</v>
      </c>
      <c r="C17" s="659">
        <v>2429980</v>
      </c>
      <c r="D17" s="432">
        <f t="shared" si="3"/>
        <v>202498.33333333334</v>
      </c>
      <c r="E17" s="432">
        <v>246330</v>
      </c>
      <c r="F17" s="374">
        <v>0</v>
      </c>
      <c r="G17" s="374">
        <v>749700</v>
      </c>
      <c r="H17" s="374"/>
      <c r="I17" s="374"/>
      <c r="J17" s="374"/>
      <c r="K17" s="374"/>
      <c r="L17" s="374"/>
      <c r="M17" s="374"/>
      <c r="N17" s="377"/>
      <c r="O17" s="377"/>
      <c r="P17" s="377"/>
      <c r="Q17" s="364">
        <f t="shared" si="1"/>
        <v>809993.33333333337</v>
      </c>
      <c r="R17" s="364">
        <f t="shared" si="2"/>
        <v>996030</v>
      </c>
      <c r="S17" s="655">
        <f t="shared" si="5"/>
        <v>-186036.66666666663</v>
      </c>
      <c r="T17" s="656">
        <f t="shared" si="4"/>
        <v>-186036.66666666663</v>
      </c>
      <c r="Z17" s="747"/>
      <c r="AA17" s="747"/>
      <c r="AB17" s="747"/>
      <c r="AC17" s="747"/>
      <c r="AD17" s="747"/>
      <c r="AE17" s="747"/>
      <c r="AF17" s="753"/>
      <c r="AG17" s="753"/>
      <c r="AH17" s="753"/>
      <c r="AI17" s="753"/>
      <c r="AJ17" s="753"/>
      <c r="AK17" s="753"/>
      <c r="AL17" s="352"/>
      <c r="AM17" s="761"/>
      <c r="AN17" s="761"/>
      <c r="AO17" s="761"/>
      <c r="AP17" s="761"/>
      <c r="AQ17" s="761"/>
      <c r="AR17" s="761"/>
    </row>
    <row r="18" spans="1:51" s="54" customFormat="1" ht="13" x14ac:dyDescent="0.3">
      <c r="B18" s="63" t="s">
        <v>86</v>
      </c>
      <c r="C18" s="378">
        <f>SUM(C11:C17)</f>
        <v>61679418.319999993</v>
      </c>
      <c r="D18" s="434">
        <f t="shared" si="3"/>
        <v>5139951.5266666664</v>
      </c>
      <c r="E18" s="434">
        <f t="shared" ref="E18:P18" si="6">SUM(E11:E17)</f>
        <v>5790522</v>
      </c>
      <c r="F18" s="373">
        <f t="shared" si="6"/>
        <v>4547597</v>
      </c>
      <c r="G18" s="373">
        <f t="shared" si="6"/>
        <v>5238649</v>
      </c>
      <c r="H18" s="373">
        <f>SUM(H11:H17)</f>
        <v>3483963</v>
      </c>
      <c r="I18" s="373">
        <f t="shared" si="6"/>
        <v>0</v>
      </c>
      <c r="J18" s="373">
        <f t="shared" si="6"/>
        <v>0</v>
      </c>
      <c r="K18" s="373">
        <f t="shared" si="6"/>
        <v>0</v>
      </c>
      <c r="L18" s="373">
        <f t="shared" si="6"/>
        <v>0</v>
      </c>
      <c r="M18" s="373">
        <f t="shared" si="6"/>
        <v>0</v>
      </c>
      <c r="N18" s="379">
        <f t="shared" si="6"/>
        <v>0</v>
      </c>
      <c r="O18" s="379">
        <f t="shared" si="6"/>
        <v>0</v>
      </c>
      <c r="P18" s="379">
        <f t="shared" si="6"/>
        <v>0</v>
      </c>
      <c r="Q18" s="364">
        <f>+D18*$B$5</f>
        <v>20559806.106666666</v>
      </c>
      <c r="R18" s="362">
        <f>SUM(R11:R17)</f>
        <v>19060731</v>
      </c>
      <c r="S18" s="406">
        <f>SUM(S11:S17)</f>
        <v>1499075.106666666</v>
      </c>
      <c r="T18" s="661">
        <f>+Q18-R18</f>
        <v>1499075.1066666655</v>
      </c>
      <c r="Z18" s="747"/>
      <c r="AA18" s="747"/>
      <c r="AB18" s="747"/>
      <c r="AC18" s="747"/>
      <c r="AD18" s="747"/>
      <c r="AE18" s="747"/>
      <c r="AF18" s="753"/>
      <c r="AG18" s="753"/>
      <c r="AH18" s="753"/>
      <c r="AI18" s="753"/>
      <c r="AJ18" s="753"/>
      <c r="AK18" s="753"/>
      <c r="AL18" s="352"/>
      <c r="AM18" s="761"/>
      <c r="AN18" s="761"/>
      <c r="AO18" s="761"/>
      <c r="AP18" s="761"/>
      <c r="AQ18" s="761"/>
      <c r="AR18" s="761"/>
    </row>
    <row r="19" spans="1:51" x14ac:dyDescent="0.25">
      <c r="B19" s="683" t="s">
        <v>87</v>
      </c>
      <c r="C19" s="370"/>
      <c r="D19" s="369">
        <f t="shared" si="3"/>
        <v>0</v>
      </c>
      <c r="E19" s="369"/>
      <c r="F19" s="370"/>
      <c r="G19" s="370"/>
      <c r="H19" s="370"/>
      <c r="I19" s="370"/>
      <c r="J19" s="370"/>
      <c r="K19" s="370"/>
      <c r="L19" s="370"/>
      <c r="M19" s="370"/>
      <c r="N19" s="380"/>
      <c r="O19" s="380"/>
      <c r="P19" s="380"/>
      <c r="Q19" s="364" t="s">
        <v>33</v>
      </c>
      <c r="R19" s="364"/>
      <c r="S19" s="655"/>
      <c r="T19" s="657" t="s">
        <v>33</v>
      </c>
      <c r="Z19" s="747"/>
      <c r="AA19" s="747"/>
      <c r="AB19" s="747"/>
      <c r="AC19" s="747"/>
      <c r="AD19" s="747"/>
      <c r="AE19" s="747"/>
      <c r="AF19" s="753"/>
      <c r="AG19" s="753"/>
      <c r="AH19" s="753"/>
      <c r="AI19" s="753"/>
      <c r="AJ19" s="753"/>
      <c r="AK19" s="753"/>
      <c r="AL19" s="352"/>
      <c r="AM19" s="761"/>
      <c r="AN19" s="761"/>
      <c r="AO19" s="761"/>
      <c r="AP19" s="761"/>
      <c r="AQ19" s="761"/>
      <c r="AR19" s="761"/>
    </row>
    <row r="20" spans="1:51" x14ac:dyDescent="0.25">
      <c r="B20" s="64" t="s">
        <v>88</v>
      </c>
      <c r="C20" s="369">
        <v>158830392.15000004</v>
      </c>
      <c r="D20" s="369">
        <f t="shared" si="3"/>
        <v>13235866.012500003</v>
      </c>
      <c r="E20" s="369">
        <v>13136493</v>
      </c>
      <c r="F20" s="370">
        <v>13136493</v>
      </c>
      <c r="G20" s="370">
        <v>13136494</v>
      </c>
      <c r="H20" s="370">
        <v>13136494</v>
      </c>
      <c r="I20" s="370"/>
      <c r="J20" s="370"/>
      <c r="K20" s="370"/>
      <c r="L20" s="370"/>
      <c r="M20" s="370"/>
      <c r="N20" s="380"/>
      <c r="O20" s="380"/>
      <c r="P20" s="380"/>
      <c r="Q20" s="364">
        <f t="shared" si="1"/>
        <v>52943464.050000012</v>
      </c>
      <c r="R20" s="364">
        <f t="shared" ref="R20:R28" si="7">SUM(E20:P20)</f>
        <v>52545974</v>
      </c>
      <c r="S20" s="655">
        <f t="shared" si="5"/>
        <v>397490.05000001192</v>
      </c>
      <c r="T20" s="656">
        <f t="shared" si="4"/>
        <v>397490.05000001192</v>
      </c>
      <c r="Z20" s="747"/>
      <c r="AA20" s="747"/>
      <c r="AB20" s="747"/>
      <c r="AC20" s="747"/>
      <c r="AD20" s="747"/>
      <c r="AE20" s="747"/>
      <c r="AF20" s="753"/>
      <c r="AG20" s="753"/>
      <c r="AH20" s="753"/>
      <c r="AI20" s="753"/>
      <c r="AJ20" s="753"/>
      <c r="AK20" s="753"/>
      <c r="AL20" s="352"/>
      <c r="AM20" s="761"/>
      <c r="AN20" s="761"/>
      <c r="AO20" s="761"/>
      <c r="AP20" s="761"/>
      <c r="AQ20" s="761"/>
      <c r="AR20" s="761"/>
    </row>
    <row r="21" spans="1:51" x14ac:dyDescent="0.25">
      <c r="A21" s="442"/>
      <c r="B21" s="684" t="s">
        <v>1224</v>
      </c>
      <c r="C21" s="685">
        <f>1751531+2225540</f>
        <v>3977071</v>
      </c>
      <c r="D21" s="685">
        <f t="shared" si="3"/>
        <v>331422.58333333331</v>
      </c>
      <c r="E21" s="685"/>
      <c r="F21" s="686">
        <v>1751531</v>
      </c>
      <c r="G21" s="686"/>
      <c r="H21" s="685"/>
      <c r="I21" s="686"/>
      <c r="J21" s="686"/>
      <c r="K21" s="686"/>
      <c r="L21" s="686"/>
      <c r="M21" s="686"/>
      <c r="N21" s="687"/>
      <c r="O21" s="687"/>
      <c r="P21" s="687"/>
      <c r="Q21" s="686">
        <f t="shared" si="1"/>
        <v>1325690.3333333333</v>
      </c>
      <c r="R21" s="686">
        <f t="shared" si="7"/>
        <v>1751531</v>
      </c>
      <c r="S21" s="688"/>
      <c r="T21" s="689">
        <f t="shared" si="4"/>
        <v>-425840.66666666674</v>
      </c>
      <c r="Z21" s="750"/>
      <c r="AA21" s="750"/>
      <c r="AB21" s="750"/>
      <c r="AC21" s="750"/>
      <c r="AD21" s="750"/>
      <c r="AE21" s="750"/>
      <c r="AF21" s="756"/>
      <c r="AG21" s="756"/>
      <c r="AH21" s="756"/>
      <c r="AI21" s="756"/>
      <c r="AJ21" s="756"/>
      <c r="AK21" s="756"/>
      <c r="AL21" s="454"/>
      <c r="AM21" s="766"/>
      <c r="AN21" s="766"/>
      <c r="AO21" s="766"/>
      <c r="AP21" s="766"/>
      <c r="AQ21" s="766"/>
      <c r="AR21" s="766"/>
    </row>
    <row r="22" spans="1:51" x14ac:dyDescent="0.25">
      <c r="B22" s="62" t="s">
        <v>89</v>
      </c>
      <c r="C22" s="433">
        <v>17577558</v>
      </c>
      <c r="D22" s="433">
        <f t="shared" si="3"/>
        <v>1464796.5</v>
      </c>
      <c r="E22" s="433">
        <v>1357394</v>
      </c>
      <c r="F22" s="364">
        <v>904930</v>
      </c>
      <c r="G22" s="364">
        <v>1443315</v>
      </c>
      <c r="H22" s="433">
        <v>1486277</v>
      </c>
      <c r="I22" s="364"/>
      <c r="J22" s="364"/>
      <c r="K22" s="364"/>
      <c r="L22" s="364"/>
      <c r="M22" s="364"/>
      <c r="N22" s="365"/>
      <c r="O22" s="365"/>
      <c r="P22" s="365"/>
      <c r="Q22" s="364">
        <f t="shared" si="1"/>
        <v>5859186</v>
      </c>
      <c r="R22" s="364">
        <f t="shared" si="7"/>
        <v>5191916</v>
      </c>
      <c r="S22" s="655">
        <f>+Q22-R22</f>
        <v>667270</v>
      </c>
      <c r="T22" s="656">
        <f t="shared" si="4"/>
        <v>667270</v>
      </c>
      <c r="Z22" s="750"/>
      <c r="AA22" s="750"/>
      <c r="AB22" s="750"/>
      <c r="AC22" s="750"/>
      <c r="AD22" s="750"/>
      <c r="AE22" s="750"/>
      <c r="AF22" s="759"/>
      <c r="AG22" s="756"/>
      <c r="AH22" s="756"/>
      <c r="AI22" s="756"/>
      <c r="AJ22" s="756"/>
      <c r="AK22" s="756"/>
      <c r="AL22" s="454"/>
      <c r="AM22" s="766"/>
      <c r="AN22" s="766"/>
      <c r="AO22" s="766"/>
      <c r="AP22" s="766"/>
      <c r="AQ22" s="766"/>
      <c r="AR22" s="766"/>
    </row>
    <row r="23" spans="1:51" x14ac:dyDescent="0.25">
      <c r="A23" s="444"/>
      <c r="B23" s="684" t="s">
        <v>90</v>
      </c>
      <c r="C23" s="685">
        <v>1341006.24</v>
      </c>
      <c r="D23" s="685">
        <f t="shared" si="3"/>
        <v>111750.52</v>
      </c>
      <c r="E23" s="685">
        <v>640110</v>
      </c>
      <c r="F23" s="686">
        <v>111750</v>
      </c>
      <c r="G23" s="686">
        <v>111750</v>
      </c>
      <c r="H23" s="685">
        <v>111750</v>
      </c>
      <c r="I23" s="686"/>
      <c r="J23" s="686"/>
      <c r="K23" s="686"/>
      <c r="L23" s="686"/>
      <c r="M23" s="686"/>
      <c r="N23" s="687"/>
      <c r="O23" s="687"/>
      <c r="P23" s="687"/>
      <c r="Q23" s="686">
        <f t="shared" si="1"/>
        <v>447002.08</v>
      </c>
      <c r="R23" s="686">
        <f t="shared" si="7"/>
        <v>975360</v>
      </c>
      <c r="S23" s="688">
        <f t="shared" si="5"/>
        <v>-528357.91999999993</v>
      </c>
      <c r="T23" s="689">
        <f t="shared" si="4"/>
        <v>-528357.91999999993</v>
      </c>
      <c r="Z23" s="747"/>
      <c r="AA23" s="747"/>
      <c r="AB23" s="747"/>
      <c r="AC23" s="747"/>
      <c r="AD23" s="747"/>
      <c r="AE23" s="747"/>
      <c r="AF23" s="753"/>
      <c r="AG23" s="753"/>
      <c r="AH23" s="753"/>
      <c r="AI23" s="753"/>
      <c r="AJ23" s="753"/>
      <c r="AK23" s="753"/>
      <c r="AL23" s="352"/>
      <c r="AM23" s="761"/>
      <c r="AN23" s="761"/>
      <c r="AO23" s="761"/>
      <c r="AP23" s="761"/>
      <c r="AQ23" s="761"/>
      <c r="AR23" s="761"/>
    </row>
    <row r="24" spans="1:51" x14ac:dyDescent="0.25">
      <c r="B24" s="62" t="s">
        <v>1225</v>
      </c>
      <c r="C24" s="433">
        <v>1950000</v>
      </c>
      <c r="D24" s="433">
        <f t="shared" si="3"/>
        <v>162500</v>
      </c>
      <c r="E24" s="433">
        <v>0</v>
      </c>
      <c r="F24" s="364">
        <v>0</v>
      </c>
      <c r="G24" s="364">
        <v>0</v>
      </c>
      <c r="H24" s="433"/>
      <c r="I24" s="364"/>
      <c r="J24" s="364"/>
      <c r="K24" s="364"/>
      <c r="L24" s="364"/>
      <c r="M24" s="364"/>
      <c r="N24" s="365"/>
      <c r="O24" s="365"/>
      <c r="P24" s="365"/>
      <c r="Q24" s="364">
        <f t="shared" si="1"/>
        <v>650000</v>
      </c>
      <c r="R24" s="364">
        <f t="shared" si="7"/>
        <v>0</v>
      </c>
      <c r="S24" s="655"/>
      <c r="T24" s="656">
        <f t="shared" si="4"/>
        <v>650000</v>
      </c>
      <c r="Z24" s="747"/>
      <c r="AA24" s="747"/>
      <c r="AB24" s="747"/>
      <c r="AC24" s="747"/>
      <c r="AD24" s="747"/>
      <c r="AE24" s="747"/>
      <c r="AF24" s="753"/>
      <c r="AG24" s="753"/>
      <c r="AH24" s="753"/>
      <c r="AI24" s="753"/>
      <c r="AJ24" s="753"/>
      <c r="AK24" s="753"/>
      <c r="AL24" s="352"/>
      <c r="AM24" s="761"/>
      <c r="AN24" s="761"/>
      <c r="AO24" s="761"/>
      <c r="AP24" s="761"/>
      <c r="AQ24" s="761"/>
      <c r="AR24" s="761"/>
    </row>
    <row r="25" spans="1:51" x14ac:dyDescent="0.25">
      <c r="A25" s="445"/>
      <c r="B25" s="684" t="s">
        <v>91</v>
      </c>
      <c r="C25" s="685">
        <v>1910000</v>
      </c>
      <c r="D25" s="685">
        <f t="shared" si="3"/>
        <v>159166.66666666666</v>
      </c>
      <c r="E25" s="685">
        <v>0</v>
      </c>
      <c r="F25" s="686">
        <v>0</v>
      </c>
      <c r="G25" s="686">
        <v>288000</v>
      </c>
      <c r="H25" s="686">
        <v>50000</v>
      </c>
      <c r="I25" s="686"/>
      <c r="J25" s="686"/>
      <c r="K25" s="690"/>
      <c r="L25" s="686"/>
      <c r="M25" s="686"/>
      <c r="N25" s="687"/>
      <c r="O25" s="687"/>
      <c r="P25" s="687"/>
      <c r="Q25" s="686">
        <f t="shared" si="1"/>
        <v>636666.66666666663</v>
      </c>
      <c r="R25" s="686">
        <f t="shared" si="7"/>
        <v>338000</v>
      </c>
      <c r="S25" s="688">
        <f t="shared" si="5"/>
        <v>298666.66666666663</v>
      </c>
      <c r="T25" s="689">
        <f t="shared" si="4"/>
        <v>298666.66666666663</v>
      </c>
      <c r="Z25" s="747"/>
      <c r="AA25" s="747"/>
      <c r="AB25" s="747"/>
      <c r="AC25" s="747"/>
      <c r="AD25" s="747"/>
      <c r="AE25" s="747"/>
      <c r="AF25" s="753"/>
      <c r="AG25" s="753"/>
      <c r="AH25" s="753"/>
      <c r="AI25" s="753"/>
      <c r="AJ25" s="753"/>
      <c r="AK25" s="753"/>
      <c r="AL25" s="352"/>
      <c r="AM25" s="761"/>
      <c r="AN25" s="761"/>
      <c r="AO25" s="761"/>
      <c r="AP25" s="761"/>
      <c r="AQ25" s="761"/>
      <c r="AR25" s="761"/>
    </row>
    <row r="26" spans="1:51" x14ac:dyDescent="0.25">
      <c r="B26" s="62" t="s">
        <v>92</v>
      </c>
      <c r="C26" s="433">
        <v>372000</v>
      </c>
      <c r="D26" s="433">
        <f t="shared" si="3"/>
        <v>31000</v>
      </c>
      <c r="E26" s="433">
        <v>0</v>
      </c>
      <c r="F26" s="364">
        <v>0</v>
      </c>
      <c r="G26" s="364">
        <v>0</v>
      </c>
      <c r="H26" s="364"/>
      <c r="I26" s="364"/>
      <c r="J26" s="364"/>
      <c r="K26" s="364"/>
      <c r="L26" s="364"/>
      <c r="M26" s="364"/>
      <c r="N26" s="364"/>
      <c r="O26" s="364"/>
      <c r="P26" s="365"/>
      <c r="Q26" s="364">
        <f t="shared" si="1"/>
        <v>124000</v>
      </c>
      <c r="R26" s="364">
        <f t="shared" si="7"/>
        <v>0</v>
      </c>
      <c r="S26" s="655" t="e">
        <f>+#REF!-#REF!</f>
        <v>#REF!</v>
      </c>
      <c r="T26" s="656">
        <f t="shared" si="4"/>
        <v>124000</v>
      </c>
      <c r="Z26" s="747"/>
      <c r="AA26" s="747"/>
      <c r="AB26" s="747"/>
      <c r="AC26" s="747"/>
      <c r="AD26" s="747"/>
      <c r="AE26" s="747"/>
      <c r="AF26" s="753"/>
      <c r="AG26" s="753"/>
      <c r="AH26" s="753"/>
      <c r="AI26" s="753"/>
      <c r="AJ26" s="753"/>
      <c r="AK26" s="753"/>
      <c r="AL26" s="352"/>
      <c r="AM26" s="761"/>
      <c r="AN26" s="761"/>
      <c r="AO26" s="761"/>
      <c r="AP26" s="761"/>
      <c r="AQ26" s="761"/>
      <c r="AR26" s="761"/>
    </row>
    <row r="27" spans="1:51" x14ac:dyDescent="0.25">
      <c r="A27" s="443"/>
      <c r="B27" s="684" t="s">
        <v>93</v>
      </c>
      <c r="C27" s="685">
        <v>740000</v>
      </c>
      <c r="D27" s="685">
        <f t="shared" si="3"/>
        <v>61666.666666666664</v>
      </c>
      <c r="E27" s="685"/>
      <c r="F27" s="686">
        <v>138500</v>
      </c>
      <c r="G27" s="686">
        <v>0</v>
      </c>
      <c r="H27" s="686"/>
      <c r="I27" s="686"/>
      <c r="J27" s="686"/>
      <c r="K27" s="686"/>
      <c r="L27" s="686"/>
      <c r="M27" s="686"/>
      <c r="N27" s="687"/>
      <c r="O27" s="687"/>
      <c r="P27" s="687"/>
      <c r="Q27" s="686">
        <f t="shared" si="1"/>
        <v>246666.66666666666</v>
      </c>
      <c r="R27" s="686">
        <f t="shared" si="7"/>
        <v>138500</v>
      </c>
      <c r="S27" s="688">
        <f t="shared" si="5"/>
        <v>108166.66666666666</v>
      </c>
      <c r="T27" s="689">
        <f t="shared" si="4"/>
        <v>108166.66666666666</v>
      </c>
      <c r="Z27" s="750"/>
      <c r="AA27" s="750"/>
      <c r="AB27" s="750"/>
      <c r="AC27" s="750"/>
      <c r="AD27" s="750"/>
      <c r="AE27" s="750"/>
      <c r="AF27" s="756"/>
      <c r="AG27" s="756"/>
      <c r="AH27" s="756"/>
      <c r="AI27" s="756"/>
      <c r="AJ27" s="756"/>
      <c r="AK27" s="756"/>
      <c r="AL27" s="454"/>
      <c r="AM27" s="766"/>
      <c r="AN27" s="766"/>
      <c r="AO27" s="766"/>
      <c r="AP27" s="766"/>
      <c r="AQ27" s="766"/>
      <c r="AR27" s="766"/>
    </row>
    <row r="28" spans="1:51" x14ac:dyDescent="0.25">
      <c r="B28" s="62" t="s">
        <v>126</v>
      </c>
      <c r="C28" s="433">
        <v>3533088</v>
      </c>
      <c r="D28" s="433">
        <f t="shared" si="3"/>
        <v>294424</v>
      </c>
      <c r="E28" s="433">
        <f>+E7</f>
        <v>287015</v>
      </c>
      <c r="F28" s="364">
        <v>287015</v>
      </c>
      <c r="G28" s="364">
        <v>287015</v>
      </c>
      <c r="H28" s="364">
        <v>328376</v>
      </c>
      <c r="I28" s="364"/>
      <c r="J28" s="364"/>
      <c r="K28" s="364"/>
      <c r="L28" s="364"/>
      <c r="M28" s="364"/>
      <c r="N28" s="365"/>
      <c r="O28" s="365"/>
      <c r="P28" s="365"/>
      <c r="Q28" s="364">
        <f t="shared" si="1"/>
        <v>1177696</v>
      </c>
      <c r="R28" s="364">
        <f t="shared" si="7"/>
        <v>1189421</v>
      </c>
      <c r="S28" s="655">
        <f>+Q28-R28</f>
        <v>-11725</v>
      </c>
      <c r="T28" s="656">
        <f t="shared" si="4"/>
        <v>-11725</v>
      </c>
      <c r="Z28" s="750"/>
      <c r="AA28" s="750"/>
      <c r="AB28" s="750"/>
      <c r="AC28" s="750"/>
      <c r="AD28" s="750"/>
      <c r="AE28" s="750"/>
      <c r="AF28" s="760"/>
      <c r="AG28" s="756"/>
      <c r="AH28" s="756"/>
      <c r="AI28" s="756"/>
      <c r="AJ28" s="756"/>
      <c r="AK28" s="756"/>
      <c r="AL28" s="454"/>
      <c r="AM28" s="766"/>
      <c r="AN28" s="766"/>
      <c r="AO28" s="766"/>
      <c r="AP28" s="766"/>
      <c r="AQ28" s="766"/>
      <c r="AR28" s="766"/>
    </row>
    <row r="29" spans="1:51" ht="13" x14ac:dyDescent="0.3">
      <c r="B29" s="691" t="s">
        <v>94</v>
      </c>
      <c r="C29" s="692">
        <f>SUM(C20:C28)</f>
        <v>190231115.39000005</v>
      </c>
      <c r="D29" s="692">
        <f t="shared" si="3"/>
        <v>15852592.94916667</v>
      </c>
      <c r="E29" s="692">
        <f t="shared" ref="E29:P29" si="8">SUM(E20:E28)</f>
        <v>15421012</v>
      </c>
      <c r="F29" s="692">
        <f t="shared" si="8"/>
        <v>16330219</v>
      </c>
      <c r="G29" s="692">
        <f t="shared" si="8"/>
        <v>15266574</v>
      </c>
      <c r="H29" s="692">
        <f>SUM(H20:H28)</f>
        <v>15112897</v>
      </c>
      <c r="I29" s="692">
        <f t="shared" si="8"/>
        <v>0</v>
      </c>
      <c r="J29" s="692">
        <f t="shared" si="8"/>
        <v>0</v>
      </c>
      <c r="K29" s="692">
        <f t="shared" si="8"/>
        <v>0</v>
      </c>
      <c r="L29" s="692">
        <f t="shared" si="8"/>
        <v>0</v>
      </c>
      <c r="M29" s="692">
        <f t="shared" si="8"/>
        <v>0</v>
      </c>
      <c r="N29" s="693">
        <f t="shared" si="8"/>
        <v>0</v>
      </c>
      <c r="O29" s="693">
        <f t="shared" si="8"/>
        <v>0</v>
      </c>
      <c r="P29" s="693">
        <f t="shared" si="8"/>
        <v>0</v>
      </c>
      <c r="Q29" s="686">
        <f t="shared" si="1"/>
        <v>63410371.796666682</v>
      </c>
      <c r="R29" s="694">
        <f>SUM(R20:R28)</f>
        <v>62130702</v>
      </c>
      <c r="S29" s="695" t="e">
        <f>SUM(S20:S28)</f>
        <v>#REF!</v>
      </c>
      <c r="T29" s="696">
        <f>+Q29-R29</f>
        <v>1279669.7966666818</v>
      </c>
      <c r="Z29" s="750"/>
      <c r="AA29" s="750"/>
      <c r="AB29" s="750"/>
      <c r="AC29" s="750"/>
      <c r="AD29" s="750"/>
      <c r="AE29" s="750"/>
      <c r="AF29" s="760"/>
      <c r="AG29" s="756"/>
      <c r="AH29" s="756"/>
      <c r="AI29" s="756"/>
      <c r="AJ29" s="756"/>
      <c r="AK29" s="756"/>
      <c r="AL29" s="454"/>
      <c r="AM29" s="766"/>
      <c r="AN29" s="766"/>
      <c r="AO29" s="766"/>
      <c r="AP29" s="766"/>
      <c r="AQ29" s="766"/>
      <c r="AR29" s="766"/>
    </row>
    <row r="30" spans="1:51" x14ac:dyDescent="0.25">
      <c r="B30" s="697" t="s">
        <v>95</v>
      </c>
      <c r="C30" s="370"/>
      <c r="D30" s="369">
        <f t="shared" si="3"/>
        <v>0</v>
      </c>
      <c r="E30" s="369"/>
      <c r="F30" s="370" t="s">
        <v>33</v>
      </c>
      <c r="G30" s="370"/>
      <c r="H30" s="370"/>
      <c r="I30" s="370"/>
      <c r="J30" s="370"/>
      <c r="K30" s="370"/>
      <c r="L30" s="370"/>
      <c r="M30" s="370"/>
      <c r="N30" s="380"/>
      <c r="O30" s="380"/>
      <c r="P30" s="380"/>
      <c r="Q30" s="364" t="s">
        <v>33</v>
      </c>
      <c r="R30" s="370" t="s">
        <v>33</v>
      </c>
      <c r="S30" s="658" t="s">
        <v>33</v>
      </c>
      <c r="T30" s="657" t="s">
        <v>33</v>
      </c>
      <c r="Z30" s="352"/>
      <c r="AA30" s="352"/>
      <c r="AB30" s="352"/>
      <c r="AC30" s="352"/>
      <c r="AD30" s="352"/>
      <c r="AE30" s="352"/>
      <c r="AF30" s="352"/>
      <c r="AG30" s="352"/>
      <c r="AH30" s="352"/>
      <c r="AI30" s="352"/>
      <c r="AJ30" s="352"/>
      <c r="AK30" s="352"/>
      <c r="AL30" s="352"/>
      <c r="AM30" s="352"/>
      <c r="AN30" s="352"/>
      <c r="AO30" s="352"/>
      <c r="AP30" s="352"/>
      <c r="AQ30" s="352"/>
      <c r="AR30" s="352"/>
    </row>
    <row r="31" spans="1:51" x14ac:dyDescent="0.25">
      <c r="B31" s="62" t="s">
        <v>759</v>
      </c>
      <c r="C31" s="376">
        <v>0</v>
      </c>
      <c r="D31" s="433">
        <f t="shared" si="3"/>
        <v>0</v>
      </c>
      <c r="E31" s="433">
        <f>+D31/12</f>
        <v>0</v>
      </c>
      <c r="F31" s="364">
        <v>0</v>
      </c>
      <c r="G31" s="364">
        <v>0</v>
      </c>
      <c r="H31" s="364">
        <v>0</v>
      </c>
      <c r="I31" s="364">
        <v>0</v>
      </c>
      <c r="J31" s="364">
        <v>0</v>
      </c>
      <c r="K31" s="364">
        <v>0</v>
      </c>
      <c r="L31" s="364"/>
      <c r="M31" s="364"/>
      <c r="N31" s="365"/>
      <c r="O31" s="365"/>
      <c r="P31" s="365"/>
      <c r="Q31" s="364">
        <f t="shared" si="1"/>
        <v>0</v>
      </c>
      <c r="R31" s="370">
        <f>SUM(E31:P31)</f>
        <v>0</v>
      </c>
      <c r="S31" s="658">
        <f>+Q31-R31</f>
        <v>0</v>
      </c>
      <c r="T31" s="656">
        <f t="shared" si="4"/>
        <v>0</v>
      </c>
      <c r="Z31" s="754"/>
      <c r="AA31" s="754"/>
      <c r="AB31" s="754"/>
      <c r="AC31" s="754"/>
      <c r="AD31" s="754"/>
      <c r="AE31" s="753"/>
      <c r="AF31" s="754"/>
      <c r="AG31" s="754"/>
      <c r="AH31" s="753"/>
      <c r="AI31" s="753"/>
      <c r="AJ31" s="753"/>
      <c r="AK31" s="753"/>
      <c r="AL31" s="753"/>
      <c r="AM31" s="771"/>
      <c r="AN31" s="771" t="s">
        <v>1232</v>
      </c>
      <c r="AO31" s="772"/>
      <c r="AP31" s="771" t="s">
        <v>1233</v>
      </c>
      <c r="AQ31" s="771"/>
      <c r="AR31" s="771"/>
      <c r="AS31" s="772"/>
      <c r="AT31" s="772"/>
      <c r="AU31" s="772"/>
      <c r="AV31" s="772"/>
      <c r="AW31" s="772"/>
      <c r="AX31" s="772"/>
      <c r="AY31" s="772"/>
    </row>
    <row r="32" spans="1:51" x14ac:dyDescent="0.25">
      <c r="B32" s="62" t="s">
        <v>96</v>
      </c>
      <c r="C32" s="376">
        <v>0</v>
      </c>
      <c r="D32" s="433">
        <f t="shared" si="3"/>
        <v>0</v>
      </c>
      <c r="E32" s="433">
        <f>+D32/12</f>
        <v>0</v>
      </c>
      <c r="F32" s="364">
        <v>0</v>
      </c>
      <c r="G32" s="364">
        <f>46000+17700+274950</f>
        <v>338650</v>
      </c>
      <c r="H32" s="364">
        <v>0</v>
      </c>
      <c r="I32" s="364">
        <v>0</v>
      </c>
      <c r="J32" s="364">
        <v>0</v>
      </c>
      <c r="K32" s="364">
        <v>0</v>
      </c>
      <c r="L32" s="364">
        <v>0</v>
      </c>
      <c r="M32" s="364">
        <v>0</v>
      </c>
      <c r="N32" s="364">
        <v>0</v>
      </c>
      <c r="O32" s="364">
        <v>0</v>
      </c>
      <c r="P32" s="364">
        <v>0</v>
      </c>
      <c r="Q32" s="364">
        <f t="shared" si="1"/>
        <v>0</v>
      </c>
      <c r="R32" s="370">
        <f>SUM(E32:P32)</f>
        <v>338650</v>
      </c>
      <c r="S32" s="658">
        <f>+Q32-R32</f>
        <v>-338650</v>
      </c>
      <c r="T32" s="656">
        <f t="shared" si="4"/>
        <v>-338650</v>
      </c>
      <c r="Z32" s="1662">
        <v>4</v>
      </c>
      <c r="AA32" s="753" t="s">
        <v>777</v>
      </c>
      <c r="AB32" s="754"/>
      <c r="AC32" s="767">
        <f>Q8</f>
        <v>118947309</v>
      </c>
      <c r="AD32" s="756"/>
      <c r="AE32" s="753"/>
      <c r="AF32" s="754"/>
      <c r="AG32" s="754"/>
      <c r="AH32" s="753"/>
      <c r="AI32" s="753"/>
      <c r="AJ32" s="753"/>
      <c r="AK32" s="753"/>
      <c r="AL32" s="753"/>
      <c r="AM32" s="771"/>
      <c r="AN32" s="771"/>
      <c r="AO32" s="772"/>
      <c r="AP32" s="771"/>
      <c r="AQ32" s="771"/>
      <c r="AR32" s="771"/>
      <c r="AS32" s="772"/>
      <c r="AT32" s="772"/>
      <c r="AU32" s="772"/>
      <c r="AV32" s="772"/>
      <c r="AW32" s="772"/>
      <c r="AX32" s="772"/>
      <c r="AY32" s="772"/>
    </row>
    <row r="33" spans="2:51" ht="13" x14ac:dyDescent="0.3">
      <c r="B33" s="698" t="s">
        <v>97</v>
      </c>
      <c r="C33" s="699">
        <f>SUM(C31:C32)</f>
        <v>0</v>
      </c>
      <c r="D33" s="700">
        <f>+C33/12</f>
        <v>0</v>
      </c>
      <c r="E33" s="700">
        <f t="shared" ref="E33:S33" si="9">SUM(E31:E32)</f>
        <v>0</v>
      </c>
      <c r="F33" s="701">
        <f t="shared" si="9"/>
        <v>0</v>
      </c>
      <c r="G33" s="701">
        <f t="shared" si="9"/>
        <v>338650</v>
      </c>
      <c r="H33" s="701">
        <f>SUM(H31:H32)</f>
        <v>0</v>
      </c>
      <c r="I33" s="701">
        <f t="shared" si="9"/>
        <v>0</v>
      </c>
      <c r="J33" s="701">
        <f t="shared" si="9"/>
        <v>0</v>
      </c>
      <c r="K33" s="701">
        <f t="shared" si="9"/>
        <v>0</v>
      </c>
      <c r="L33" s="701">
        <f t="shared" si="9"/>
        <v>0</v>
      </c>
      <c r="M33" s="701">
        <f t="shared" si="9"/>
        <v>0</v>
      </c>
      <c r="N33" s="701">
        <f t="shared" si="9"/>
        <v>0</v>
      </c>
      <c r="O33" s="701">
        <f t="shared" si="9"/>
        <v>0</v>
      </c>
      <c r="P33" s="701">
        <f t="shared" si="9"/>
        <v>0</v>
      </c>
      <c r="Q33" s="702">
        <f t="shared" si="9"/>
        <v>0</v>
      </c>
      <c r="R33" s="702">
        <f>SUM(E33:P33)</f>
        <v>338650</v>
      </c>
      <c r="S33" s="703">
        <f t="shared" si="9"/>
        <v>-338650</v>
      </c>
      <c r="T33" s="704">
        <f t="shared" si="4"/>
        <v>-338650</v>
      </c>
      <c r="Z33" s="1662"/>
      <c r="AA33" s="753"/>
      <c r="AB33" s="754"/>
      <c r="AC33" s="753"/>
      <c r="AD33" s="753"/>
      <c r="AE33" s="753"/>
      <c r="AF33" s="754"/>
      <c r="AG33" s="754"/>
      <c r="AH33" s="753"/>
      <c r="AI33" s="753"/>
      <c r="AJ33" s="753"/>
      <c r="AK33" s="753"/>
      <c r="AL33" s="753"/>
      <c r="AM33" s="771"/>
      <c r="AN33" s="771" t="s">
        <v>787</v>
      </c>
      <c r="AO33" s="772"/>
      <c r="AP33" s="773">
        <f>Q18</f>
        <v>20559806.106666666</v>
      </c>
      <c r="AQ33" s="771"/>
      <c r="AR33" s="771"/>
      <c r="AS33" s="772"/>
      <c r="AT33" s="772"/>
      <c r="AU33" s="772"/>
      <c r="AV33" s="772"/>
      <c r="AW33" s="772"/>
      <c r="AX33" s="772"/>
      <c r="AY33" s="772"/>
    </row>
    <row r="34" spans="2:51" s="1" customFormat="1" x14ac:dyDescent="0.25">
      <c r="B34" s="705" t="s">
        <v>98</v>
      </c>
      <c r="C34" s="370"/>
      <c r="D34" s="369">
        <f t="shared" si="3"/>
        <v>0</v>
      </c>
      <c r="E34" s="369"/>
      <c r="F34" s="370"/>
      <c r="G34" s="370"/>
      <c r="H34" s="370"/>
      <c r="I34" s="370"/>
      <c r="J34" s="370"/>
      <c r="K34" s="370"/>
      <c r="L34" s="370"/>
      <c r="M34" s="370"/>
      <c r="N34" s="380"/>
      <c r="O34" s="380"/>
      <c r="P34" s="380"/>
      <c r="Q34" s="364" t="s">
        <v>33</v>
      </c>
      <c r="R34" s="370" t="s">
        <v>33</v>
      </c>
      <c r="S34" s="658" t="s">
        <v>33</v>
      </c>
      <c r="T34" s="657" t="s">
        <v>33</v>
      </c>
      <c r="Z34" s="753"/>
      <c r="AA34" s="753" t="s">
        <v>813</v>
      </c>
      <c r="AB34" s="754"/>
      <c r="AC34" s="767">
        <f>R58</f>
        <v>1790208.42</v>
      </c>
      <c r="AD34" s="753"/>
      <c r="AE34" s="753"/>
      <c r="AF34" s="768"/>
      <c r="AG34" s="768"/>
      <c r="AH34" s="753"/>
      <c r="AI34" s="753"/>
      <c r="AJ34" s="753"/>
      <c r="AK34" s="753"/>
      <c r="AL34" s="753"/>
      <c r="AM34" s="771"/>
      <c r="AN34" s="771" t="s">
        <v>788</v>
      </c>
      <c r="AO34" s="774"/>
      <c r="AP34" s="773">
        <f>R18</f>
        <v>19060731</v>
      </c>
      <c r="AQ34" s="771"/>
      <c r="AR34" s="771"/>
      <c r="AS34" s="774"/>
      <c r="AT34" s="774"/>
      <c r="AU34" s="774"/>
      <c r="AV34" s="774"/>
      <c r="AW34" s="774"/>
      <c r="AX34" s="774"/>
      <c r="AY34" s="774"/>
    </row>
    <row r="35" spans="2:51" ht="12.5" customHeight="1" x14ac:dyDescent="0.25">
      <c r="B35" s="55" t="s">
        <v>67</v>
      </c>
      <c r="C35" s="706">
        <v>2568001.5</v>
      </c>
      <c r="D35" s="706">
        <f>+C35/12</f>
        <v>214000.125</v>
      </c>
      <c r="E35" s="706">
        <v>0</v>
      </c>
      <c r="F35" s="676">
        <v>0</v>
      </c>
      <c r="G35" s="676">
        <v>595450</v>
      </c>
      <c r="H35" s="676">
        <v>0</v>
      </c>
      <c r="I35" s="676"/>
      <c r="J35" s="676"/>
      <c r="K35" s="676"/>
      <c r="L35" s="676"/>
      <c r="M35" s="676"/>
      <c r="N35" s="707"/>
      <c r="O35" s="707"/>
      <c r="P35" s="707"/>
      <c r="Q35" s="676">
        <f t="shared" si="1"/>
        <v>856000.5</v>
      </c>
      <c r="R35" s="676">
        <f>SUM(E35:P35)</f>
        <v>595450</v>
      </c>
      <c r="S35" s="708">
        <f>+Q35-R35</f>
        <v>260550.5</v>
      </c>
      <c r="T35" s="709">
        <f t="shared" si="4"/>
        <v>260550.5</v>
      </c>
      <c r="Z35" s="753"/>
      <c r="AA35" s="753"/>
      <c r="AB35" s="754"/>
      <c r="AC35" s="753"/>
      <c r="AD35" s="753"/>
      <c r="AE35" s="754"/>
      <c r="AF35" s="754"/>
      <c r="AG35" s="754"/>
      <c r="AH35" s="754"/>
      <c r="AI35" s="754"/>
      <c r="AJ35" s="756"/>
      <c r="AK35" s="756"/>
      <c r="AL35" s="756"/>
      <c r="AM35" s="775"/>
      <c r="AN35" s="771"/>
      <c r="AO35" s="772"/>
      <c r="AP35" s="773"/>
      <c r="AQ35" s="775"/>
      <c r="AR35" s="775"/>
      <c r="AS35" s="772"/>
      <c r="AT35" s="772"/>
      <c r="AU35" s="772"/>
      <c r="AV35" s="772"/>
      <c r="AW35" s="772"/>
      <c r="AX35" s="772"/>
      <c r="AY35" s="772"/>
    </row>
    <row r="36" spans="2:51" ht="12.5" customHeight="1" x14ac:dyDescent="0.25">
      <c r="B36" s="62" t="s">
        <v>66</v>
      </c>
      <c r="C36" s="433">
        <f>33250000*1.15</f>
        <v>38237500</v>
      </c>
      <c r="D36" s="433">
        <f t="shared" ref="D36:D41" si="10">+C36/12</f>
        <v>3186458.3333333335</v>
      </c>
      <c r="E36" s="433">
        <v>3189683.88</v>
      </c>
      <c r="F36" s="364">
        <v>2628727</v>
      </c>
      <c r="G36" s="364">
        <v>2554892</v>
      </c>
      <c r="H36" s="364">
        <v>2640861</v>
      </c>
      <c r="I36" s="364"/>
      <c r="J36" s="364"/>
      <c r="K36" s="364"/>
      <c r="L36" s="364"/>
      <c r="M36" s="364"/>
      <c r="N36" s="365"/>
      <c r="O36" s="365"/>
      <c r="P36" s="365"/>
      <c r="Q36" s="364">
        <f t="shared" si="1"/>
        <v>12745833.333333334</v>
      </c>
      <c r="R36" s="364">
        <f t="shared" ref="R36:R41" si="11">SUM(E36:P36)</f>
        <v>11014163.879999999</v>
      </c>
      <c r="S36" s="655">
        <f t="shared" si="5"/>
        <v>1731669.453333335</v>
      </c>
      <c r="T36" s="656">
        <f t="shared" si="4"/>
        <v>1731669.453333335</v>
      </c>
      <c r="Z36" s="753"/>
      <c r="AA36" s="753" t="s">
        <v>812</v>
      </c>
      <c r="AB36" s="754"/>
      <c r="AC36" s="767">
        <f>AC32+AC34</f>
        <v>120737517.42</v>
      </c>
      <c r="AD36" s="753"/>
      <c r="AE36" s="754"/>
      <c r="AF36" s="754"/>
      <c r="AG36" s="754"/>
      <c r="AH36" s="754"/>
      <c r="AI36" s="754"/>
      <c r="AJ36" s="755"/>
      <c r="AK36" s="755"/>
      <c r="AL36" s="753"/>
      <c r="AM36" s="771"/>
      <c r="AN36" s="771" t="s">
        <v>789</v>
      </c>
      <c r="AO36" s="772"/>
      <c r="AP36" s="776">
        <f>Q29</f>
        <v>63410371.796666682</v>
      </c>
      <c r="AQ36" s="771"/>
      <c r="AR36" s="771"/>
      <c r="AS36" s="772"/>
      <c r="AT36" s="772"/>
      <c r="AU36" s="772"/>
      <c r="AV36" s="772"/>
      <c r="AW36" s="772"/>
      <c r="AX36" s="772"/>
      <c r="AY36" s="772"/>
    </row>
    <row r="37" spans="2:51" ht="12.5" customHeight="1" x14ac:dyDescent="0.25">
      <c r="B37" s="55" t="s">
        <v>99</v>
      </c>
      <c r="C37" s="706">
        <v>3500000</v>
      </c>
      <c r="D37" s="706">
        <f t="shared" si="10"/>
        <v>291666.66666666669</v>
      </c>
      <c r="E37" s="706">
        <v>129706</v>
      </c>
      <c r="F37" s="676">
        <v>233099</v>
      </c>
      <c r="G37" s="676">
        <v>303870</v>
      </c>
      <c r="H37" s="676">
        <v>205744</v>
      </c>
      <c r="I37" s="676"/>
      <c r="J37" s="676"/>
      <c r="K37" s="676"/>
      <c r="L37" s="676"/>
      <c r="M37" s="676"/>
      <c r="N37" s="707"/>
      <c r="O37" s="707"/>
      <c r="P37" s="707"/>
      <c r="Q37" s="676">
        <f t="shared" si="1"/>
        <v>1166666.6666666667</v>
      </c>
      <c r="R37" s="676">
        <f t="shared" si="11"/>
        <v>872419</v>
      </c>
      <c r="S37" s="708">
        <f t="shared" si="5"/>
        <v>294247.66666666674</v>
      </c>
      <c r="T37" s="709">
        <f t="shared" si="4"/>
        <v>294247.66666666674</v>
      </c>
      <c r="Z37" s="753"/>
      <c r="AA37" s="753"/>
      <c r="AB37" s="754"/>
      <c r="AC37" s="753"/>
      <c r="AD37" s="753"/>
      <c r="AE37" s="754"/>
      <c r="AF37" s="754"/>
      <c r="AG37" s="754"/>
      <c r="AH37" s="754"/>
      <c r="AI37" s="754"/>
      <c r="AJ37" s="753"/>
      <c r="AK37" s="753"/>
      <c r="AL37" s="753"/>
      <c r="AM37" s="771"/>
      <c r="AN37" s="771" t="s">
        <v>1234</v>
      </c>
      <c r="AO37" s="772"/>
      <c r="AP37" s="773">
        <f>R29</f>
        <v>62130702</v>
      </c>
      <c r="AQ37" s="771"/>
      <c r="AR37" s="771"/>
      <c r="AS37" s="772"/>
      <c r="AT37" s="772"/>
      <c r="AU37" s="772"/>
      <c r="AV37" s="772"/>
      <c r="AW37" s="772"/>
      <c r="AX37" s="772"/>
      <c r="AY37" s="772"/>
    </row>
    <row r="38" spans="2:51" ht="12.5" customHeight="1" x14ac:dyDescent="0.25">
      <c r="B38" s="62" t="s">
        <v>1229</v>
      </c>
      <c r="C38" s="433">
        <v>604000</v>
      </c>
      <c r="D38" s="433">
        <f t="shared" si="10"/>
        <v>50333.333333333336</v>
      </c>
      <c r="E38" s="433">
        <v>50100</v>
      </c>
      <c r="F38" s="364">
        <v>50115</v>
      </c>
      <c r="G38" s="364">
        <v>56102</v>
      </c>
      <c r="H38" s="364">
        <v>56070</v>
      </c>
      <c r="I38" s="364"/>
      <c r="J38" s="364"/>
      <c r="K38" s="364"/>
      <c r="L38" s="364"/>
      <c r="M38" s="364"/>
      <c r="N38" s="365"/>
      <c r="O38" s="365"/>
      <c r="P38" s="365"/>
      <c r="Q38" s="364">
        <f t="shared" si="1"/>
        <v>201333.33333333334</v>
      </c>
      <c r="R38" s="364">
        <f t="shared" si="11"/>
        <v>212387</v>
      </c>
      <c r="S38" s="655">
        <f t="shared" si="5"/>
        <v>-11053.666666666657</v>
      </c>
      <c r="T38" s="656">
        <f t="shared" si="4"/>
        <v>-11053.666666666657</v>
      </c>
      <c r="Z38" s="753"/>
      <c r="AA38" s="753"/>
      <c r="AB38" s="754"/>
      <c r="AC38" s="753"/>
      <c r="AD38" s="753"/>
      <c r="AE38" s="754"/>
      <c r="AF38" s="754"/>
      <c r="AG38" s="754"/>
      <c r="AH38" s="754"/>
      <c r="AI38" s="754"/>
      <c r="AJ38" s="753"/>
      <c r="AK38" s="753"/>
      <c r="AL38" s="753"/>
      <c r="AM38" s="771"/>
      <c r="AN38" s="771"/>
      <c r="AO38" s="772"/>
      <c r="AP38" s="773"/>
      <c r="AQ38" s="771"/>
      <c r="AR38" s="771"/>
      <c r="AS38" s="772"/>
      <c r="AT38" s="772"/>
      <c r="AU38" s="772"/>
      <c r="AV38" s="772"/>
      <c r="AW38" s="772"/>
      <c r="AX38" s="772"/>
      <c r="AY38" s="772"/>
    </row>
    <row r="39" spans="2:51" x14ac:dyDescent="0.25">
      <c r="B39" s="55" t="s">
        <v>1230</v>
      </c>
      <c r="C39" s="706">
        <f>100988*12</f>
        <v>1211856</v>
      </c>
      <c r="D39" s="706">
        <f t="shared" si="10"/>
        <v>100988</v>
      </c>
      <c r="E39" s="706">
        <v>0</v>
      </c>
      <c r="F39" s="676">
        <v>0</v>
      </c>
      <c r="G39" s="676">
        <v>55250</v>
      </c>
      <c r="H39" s="676">
        <v>0</v>
      </c>
      <c r="I39" s="676"/>
      <c r="J39" s="676"/>
      <c r="K39" s="676"/>
      <c r="L39" s="676"/>
      <c r="M39" s="676"/>
      <c r="N39" s="707"/>
      <c r="O39" s="707"/>
      <c r="P39" s="707"/>
      <c r="Q39" s="676">
        <f t="shared" si="1"/>
        <v>403952</v>
      </c>
      <c r="R39" s="676">
        <f t="shared" si="11"/>
        <v>55250</v>
      </c>
      <c r="S39" s="708"/>
      <c r="T39" s="709">
        <f t="shared" si="4"/>
        <v>348702</v>
      </c>
      <c r="Z39" s="753"/>
      <c r="AA39" s="753"/>
      <c r="AB39" s="754"/>
      <c r="AC39" s="769"/>
      <c r="AD39" s="753"/>
      <c r="AE39" s="754"/>
      <c r="AF39" s="754"/>
      <c r="AG39" s="754"/>
      <c r="AH39" s="754"/>
      <c r="AI39" s="754"/>
      <c r="AJ39" s="753"/>
      <c r="AK39" s="753"/>
      <c r="AL39" s="753"/>
      <c r="AM39" s="771"/>
      <c r="AN39" s="771" t="s">
        <v>815</v>
      </c>
      <c r="AO39" s="772"/>
      <c r="AP39" s="776">
        <f>Q42</f>
        <v>21057252.5</v>
      </c>
      <c r="AQ39" s="771"/>
      <c r="AR39" s="771"/>
      <c r="AS39" s="772"/>
      <c r="AT39" s="772"/>
      <c r="AU39" s="772"/>
      <c r="AV39" s="772"/>
      <c r="AW39" s="772"/>
      <c r="AX39" s="772"/>
      <c r="AY39" s="772"/>
    </row>
    <row r="40" spans="2:51" x14ac:dyDescent="0.25">
      <c r="B40" s="62" t="s">
        <v>101</v>
      </c>
      <c r="C40" s="433">
        <v>800000</v>
      </c>
      <c r="D40" s="433">
        <f t="shared" si="10"/>
        <v>66666.666666666672</v>
      </c>
      <c r="E40" s="433">
        <v>87582</v>
      </c>
      <c r="F40" s="364">
        <v>100988</v>
      </c>
      <c r="G40" s="364">
        <v>100988</v>
      </c>
      <c r="H40" s="364">
        <v>100988</v>
      </c>
      <c r="I40" s="364"/>
      <c r="J40" s="364"/>
      <c r="K40" s="364"/>
      <c r="L40" s="364"/>
      <c r="M40" s="364"/>
      <c r="N40" s="365"/>
      <c r="O40" s="365"/>
      <c r="P40" s="365"/>
      <c r="Q40" s="364">
        <f t="shared" si="1"/>
        <v>266666.66666666669</v>
      </c>
      <c r="R40" s="364">
        <f t="shared" si="11"/>
        <v>390546</v>
      </c>
      <c r="S40" s="655">
        <f t="shared" si="5"/>
        <v>-123879.33333333331</v>
      </c>
      <c r="T40" s="656">
        <f t="shared" si="4"/>
        <v>-123879.33333333331</v>
      </c>
      <c r="Z40" s="756"/>
      <c r="AA40" s="753" t="s">
        <v>1231</v>
      </c>
      <c r="AB40" s="754"/>
      <c r="AC40" s="767">
        <f>R56</f>
        <v>113856473.12</v>
      </c>
      <c r="AD40" s="756"/>
      <c r="AE40" s="754"/>
      <c r="AF40" s="754"/>
      <c r="AG40" s="754"/>
      <c r="AH40" s="754"/>
      <c r="AI40" s="754"/>
      <c r="AJ40" s="753"/>
      <c r="AK40" s="753"/>
      <c r="AL40" s="753"/>
      <c r="AM40" s="771"/>
      <c r="AN40" s="771" t="s">
        <v>816</v>
      </c>
      <c r="AO40" s="772"/>
      <c r="AP40" s="777">
        <f>R42</f>
        <v>18557015.879999999</v>
      </c>
      <c r="AQ40" s="771"/>
      <c r="AR40" s="771"/>
      <c r="AS40" s="772"/>
      <c r="AT40" s="772"/>
      <c r="AU40" s="772"/>
      <c r="AV40" s="772"/>
      <c r="AW40" s="772"/>
      <c r="AX40" s="772"/>
      <c r="AY40" s="772"/>
    </row>
    <row r="41" spans="2:51" x14ac:dyDescent="0.25">
      <c r="B41" s="55" t="s">
        <v>102</v>
      </c>
      <c r="C41" s="706">
        <f>(1187000+167200)*12</f>
        <v>16250400</v>
      </c>
      <c r="D41" s="706">
        <f t="shared" si="10"/>
        <v>1354200</v>
      </c>
      <c r="E41" s="706">
        <v>1354200</v>
      </c>
      <c r="F41" s="676">
        <v>1354200</v>
      </c>
      <c r="G41" s="676">
        <v>1354200</v>
      </c>
      <c r="H41" s="676">
        <v>1354200</v>
      </c>
      <c r="I41" s="676"/>
      <c r="J41" s="676"/>
      <c r="K41" s="676"/>
      <c r="L41" s="676"/>
      <c r="M41" s="676"/>
      <c r="N41" s="707"/>
      <c r="O41" s="707"/>
      <c r="P41" s="707"/>
      <c r="Q41" s="676">
        <f t="shared" si="1"/>
        <v>5416800</v>
      </c>
      <c r="R41" s="676">
        <f t="shared" si="11"/>
        <v>5416800</v>
      </c>
      <c r="S41" s="708">
        <f t="shared" si="5"/>
        <v>0</v>
      </c>
      <c r="T41" s="709">
        <f t="shared" si="4"/>
        <v>0</v>
      </c>
      <c r="Z41" s="753"/>
      <c r="AA41" s="754"/>
      <c r="AB41" s="754"/>
      <c r="AC41" s="754"/>
      <c r="AD41" s="753"/>
      <c r="AE41" s="754"/>
      <c r="AF41" s="754"/>
      <c r="AG41" s="754"/>
      <c r="AH41" s="754"/>
      <c r="AI41" s="754"/>
      <c r="AJ41" s="753"/>
      <c r="AK41" s="753"/>
      <c r="AL41" s="753"/>
      <c r="AM41" s="771"/>
      <c r="AN41" s="772"/>
      <c r="AO41" s="772"/>
      <c r="AP41" s="772"/>
      <c r="AQ41" s="771"/>
      <c r="AR41" s="771"/>
      <c r="AS41" s="772"/>
      <c r="AT41" s="772"/>
      <c r="AU41" s="772"/>
      <c r="AV41" s="772"/>
      <c r="AW41" s="772"/>
      <c r="AX41" s="772"/>
      <c r="AY41" s="772"/>
    </row>
    <row r="42" spans="2:51" ht="13" x14ac:dyDescent="0.3">
      <c r="B42" s="710" t="s">
        <v>103</v>
      </c>
      <c r="C42" s="711">
        <f>SUM(C35:C41)</f>
        <v>63171757.5</v>
      </c>
      <c r="D42" s="711">
        <f>+C42/12</f>
        <v>5264313.125</v>
      </c>
      <c r="E42" s="712">
        <f t="shared" ref="E42:P42" si="12">SUM(E35:E41)</f>
        <v>4811271.88</v>
      </c>
      <c r="F42" s="711">
        <f t="shared" si="12"/>
        <v>4367129</v>
      </c>
      <c r="G42" s="712">
        <f t="shared" si="12"/>
        <v>5020752</v>
      </c>
      <c r="H42" s="712">
        <f>SUM(H35:H41)</f>
        <v>4357863</v>
      </c>
      <c r="I42" s="712">
        <f t="shared" si="12"/>
        <v>0</v>
      </c>
      <c r="J42" s="712">
        <f t="shared" si="12"/>
        <v>0</v>
      </c>
      <c r="K42" s="712">
        <f t="shared" si="12"/>
        <v>0</v>
      </c>
      <c r="L42" s="712">
        <f t="shared" si="12"/>
        <v>0</v>
      </c>
      <c r="M42" s="712">
        <f t="shared" si="12"/>
        <v>0</v>
      </c>
      <c r="N42" s="713">
        <f t="shared" si="12"/>
        <v>0</v>
      </c>
      <c r="O42" s="713">
        <f t="shared" si="12"/>
        <v>0</v>
      </c>
      <c r="P42" s="713">
        <f t="shared" si="12"/>
        <v>0</v>
      </c>
      <c r="Q42" s="676">
        <f t="shared" si="1"/>
        <v>21057252.5</v>
      </c>
      <c r="R42" s="714">
        <f>SUM(R35:R41)</f>
        <v>18557015.879999999</v>
      </c>
      <c r="S42" s="715">
        <f>SUM(S35:S41)</f>
        <v>2151534.620000002</v>
      </c>
      <c r="T42" s="716">
        <f t="shared" si="4"/>
        <v>2500236.620000001</v>
      </c>
      <c r="Z42" s="756"/>
      <c r="AA42" s="753" t="s">
        <v>780</v>
      </c>
      <c r="AB42" s="754"/>
      <c r="AC42" s="767">
        <f>T56</f>
        <v>5090835.9500000142</v>
      </c>
      <c r="AD42" s="756"/>
      <c r="AE42" s="754"/>
      <c r="AF42" s="754"/>
      <c r="AG42" s="754"/>
      <c r="AH42" s="754"/>
      <c r="AI42" s="754"/>
      <c r="AJ42" s="753"/>
      <c r="AK42" s="753"/>
      <c r="AL42" s="753"/>
      <c r="AM42" s="771"/>
      <c r="AN42" s="771" t="s">
        <v>1235</v>
      </c>
      <c r="AO42" s="772"/>
      <c r="AP42" s="778">
        <f>Q55</f>
        <v>13919878.666666666</v>
      </c>
      <c r="AQ42" s="771"/>
      <c r="AR42" s="771"/>
      <c r="AS42" s="772"/>
      <c r="AT42" s="772"/>
      <c r="AU42" s="772"/>
      <c r="AV42" s="772"/>
      <c r="AW42" s="772"/>
      <c r="AX42" s="772"/>
      <c r="AY42" s="772"/>
    </row>
    <row r="43" spans="2:51" x14ac:dyDescent="0.25">
      <c r="B43" s="684" t="s">
        <v>104</v>
      </c>
      <c r="C43" s="370"/>
      <c r="D43" s="369" t="s">
        <v>33</v>
      </c>
      <c r="E43" s="369"/>
      <c r="F43" s="370"/>
      <c r="G43" s="370"/>
      <c r="H43" s="370"/>
      <c r="I43" s="370"/>
      <c r="J43" s="370"/>
      <c r="K43" s="370"/>
      <c r="L43" s="370"/>
      <c r="M43" s="370"/>
      <c r="N43" s="380"/>
      <c r="O43" s="380"/>
      <c r="P43" s="380"/>
      <c r="Q43" s="364" t="s">
        <v>33</v>
      </c>
      <c r="R43" s="439"/>
      <c r="S43" s="663">
        <f>+F43+G43+E43</f>
        <v>0</v>
      </c>
      <c r="T43" s="657" t="s">
        <v>33</v>
      </c>
      <c r="Z43" s="753"/>
      <c r="AA43" s="753"/>
      <c r="AB43" s="754"/>
      <c r="AC43" s="753"/>
      <c r="AD43" s="753"/>
      <c r="AE43" s="754"/>
      <c r="AF43" s="754"/>
      <c r="AG43" s="754"/>
      <c r="AH43" s="754"/>
      <c r="AI43" s="754"/>
      <c r="AJ43" s="756"/>
      <c r="AK43" s="756"/>
      <c r="AL43" s="756"/>
      <c r="AM43" s="775"/>
      <c r="AN43" s="771" t="s">
        <v>1236</v>
      </c>
      <c r="AO43" s="772"/>
      <c r="AP43" s="778">
        <f>R55</f>
        <v>13769374.24</v>
      </c>
      <c r="AQ43" s="775"/>
      <c r="AR43" s="775"/>
      <c r="AS43" s="772"/>
      <c r="AT43" s="772"/>
      <c r="AU43" s="772"/>
      <c r="AV43" s="772"/>
      <c r="AW43" s="772"/>
      <c r="AX43" s="772"/>
      <c r="AY43" s="772"/>
    </row>
    <row r="44" spans="2:51" ht="14.25" customHeight="1" x14ac:dyDescent="0.25">
      <c r="B44" s="684" t="s">
        <v>105</v>
      </c>
      <c r="C44" s="686">
        <v>30797847</v>
      </c>
      <c r="D44" s="685">
        <f>+C44/12</f>
        <v>2566487.25</v>
      </c>
      <c r="E44" s="685">
        <v>2343824</v>
      </c>
      <c r="F44" s="686">
        <v>2343824</v>
      </c>
      <c r="G44" s="686">
        <v>2343824</v>
      </c>
      <c r="H44" s="686">
        <v>3235079</v>
      </c>
      <c r="I44" s="686"/>
      <c r="J44" s="686"/>
      <c r="K44" s="686"/>
      <c r="L44" s="686"/>
      <c r="M44" s="686"/>
      <c r="N44" s="687"/>
      <c r="O44" s="687"/>
      <c r="P44" s="687"/>
      <c r="Q44" s="686">
        <f t="shared" si="1"/>
        <v>10265949</v>
      </c>
      <c r="R44" s="686">
        <f t="shared" ref="R44:R54" si="13">SUM(E44:P44)</f>
        <v>10266551</v>
      </c>
      <c r="S44" s="688">
        <f>+Q44-R44</f>
        <v>-602</v>
      </c>
      <c r="T44" s="689">
        <f t="shared" si="4"/>
        <v>-602</v>
      </c>
      <c r="Z44" s="753"/>
      <c r="AA44" s="756" t="s">
        <v>781</v>
      </c>
      <c r="AB44" s="754"/>
      <c r="AC44" s="760">
        <f>AC40+AC42</f>
        <v>118947309.07000002</v>
      </c>
      <c r="AD44" s="753"/>
      <c r="AE44" s="754"/>
      <c r="AF44" s="754"/>
      <c r="AG44" s="754"/>
      <c r="AH44" s="754"/>
      <c r="AI44" s="754"/>
      <c r="AJ44" s="753"/>
      <c r="AK44" s="753"/>
      <c r="AL44" s="753"/>
      <c r="AM44" s="771"/>
      <c r="AN44" s="771"/>
      <c r="AO44" s="772"/>
      <c r="AP44" s="776"/>
      <c r="AQ44" s="771"/>
      <c r="AR44" s="771"/>
      <c r="AS44" s="772"/>
      <c r="AT44" s="772"/>
      <c r="AU44" s="772"/>
      <c r="AV44" s="772"/>
      <c r="AW44" s="772"/>
      <c r="AX44" s="772"/>
      <c r="AY44" s="772"/>
    </row>
    <row r="45" spans="2:51" ht="14.25" customHeight="1" x14ac:dyDescent="0.25">
      <c r="B45" s="62" t="s">
        <v>65</v>
      </c>
      <c r="C45" s="364">
        <v>6413421</v>
      </c>
      <c r="D45" s="433">
        <f t="shared" ref="D45:D54" si="14">+C45/12</f>
        <v>534451.75</v>
      </c>
      <c r="E45" s="433">
        <v>488080</v>
      </c>
      <c r="F45" s="364">
        <v>488080</v>
      </c>
      <c r="G45" s="364">
        <v>627190</v>
      </c>
      <c r="H45" s="364">
        <v>534352</v>
      </c>
      <c r="I45" s="364"/>
      <c r="J45" s="364"/>
      <c r="K45" s="364"/>
      <c r="L45" s="364"/>
      <c r="M45" s="364"/>
      <c r="N45" s="365"/>
      <c r="O45" s="365"/>
      <c r="P45" s="365"/>
      <c r="Q45" s="364">
        <f t="shared" si="1"/>
        <v>2137807</v>
      </c>
      <c r="R45" s="364">
        <f t="shared" si="13"/>
        <v>2137702</v>
      </c>
      <c r="S45" s="655">
        <f t="shared" ref="S45:S53" si="15">+Q45-R45</f>
        <v>105</v>
      </c>
      <c r="T45" s="656">
        <f t="shared" si="4"/>
        <v>105</v>
      </c>
      <c r="Z45" s="753"/>
      <c r="AA45" s="753"/>
      <c r="AB45" s="753"/>
      <c r="AC45" s="753"/>
      <c r="AD45" s="753"/>
      <c r="AE45" s="754"/>
      <c r="AF45" s="754"/>
      <c r="AG45" s="754"/>
      <c r="AH45" s="754"/>
      <c r="AI45" s="754"/>
      <c r="AJ45" s="756"/>
      <c r="AK45" s="756"/>
      <c r="AL45" s="756"/>
      <c r="AM45" s="775"/>
      <c r="AN45" s="771"/>
      <c r="AO45" s="772"/>
      <c r="AP45" s="776"/>
      <c r="AQ45" s="775"/>
      <c r="AR45" s="775"/>
      <c r="AS45" s="772"/>
      <c r="AT45" s="772"/>
      <c r="AU45" s="772"/>
      <c r="AV45" s="772"/>
      <c r="AW45" s="772"/>
      <c r="AX45" s="772"/>
      <c r="AY45" s="772"/>
    </row>
    <row r="46" spans="2:51" x14ac:dyDescent="0.25">
      <c r="B46" s="684" t="s">
        <v>106</v>
      </c>
      <c r="C46" s="686">
        <v>534465</v>
      </c>
      <c r="D46" s="685">
        <f t="shared" si="14"/>
        <v>44538.75</v>
      </c>
      <c r="E46" s="685">
        <v>0</v>
      </c>
      <c r="F46" s="686">
        <v>0</v>
      </c>
      <c r="G46" s="686">
        <v>0</v>
      </c>
      <c r="H46" s="686">
        <v>0</v>
      </c>
      <c r="I46" s="686"/>
      <c r="J46" s="686"/>
      <c r="K46" s="686"/>
      <c r="L46" s="686"/>
      <c r="M46" s="686"/>
      <c r="N46" s="687"/>
      <c r="O46" s="687"/>
      <c r="P46" s="687"/>
      <c r="Q46" s="686">
        <f t="shared" si="1"/>
        <v>178155</v>
      </c>
      <c r="R46" s="686">
        <f t="shared" si="13"/>
        <v>0</v>
      </c>
      <c r="S46" s="688">
        <f t="shared" si="15"/>
        <v>178155</v>
      </c>
      <c r="T46" s="689">
        <f t="shared" si="4"/>
        <v>178155</v>
      </c>
      <c r="Z46" s="753"/>
      <c r="AA46" s="753"/>
      <c r="AB46" s="753"/>
      <c r="AC46" s="753"/>
      <c r="AD46" s="753"/>
      <c r="AE46" s="754"/>
      <c r="AF46" s="754"/>
      <c r="AG46" s="754"/>
      <c r="AH46" s="754"/>
      <c r="AI46" s="754"/>
      <c r="AJ46" s="753"/>
      <c r="AK46" s="753"/>
      <c r="AL46" s="753"/>
      <c r="AM46" s="771"/>
      <c r="AN46" s="771"/>
      <c r="AO46" s="772"/>
      <c r="AP46" s="777"/>
      <c r="AQ46" s="771"/>
      <c r="AR46" s="771"/>
      <c r="AS46" s="772"/>
      <c r="AT46" s="772"/>
      <c r="AU46" s="772"/>
      <c r="AV46" s="772"/>
      <c r="AW46" s="772"/>
      <c r="AX46" s="772"/>
      <c r="AY46" s="772"/>
    </row>
    <row r="47" spans="2:51" x14ac:dyDescent="0.25">
      <c r="B47" s="62" t="s">
        <v>107</v>
      </c>
      <c r="C47" s="364">
        <v>603903</v>
      </c>
      <c r="D47" s="433">
        <f t="shared" si="14"/>
        <v>50325.25</v>
      </c>
      <c r="E47" s="433">
        <v>50344</v>
      </c>
      <c r="F47" s="364">
        <v>50344</v>
      </c>
      <c r="G47" s="364">
        <v>50344</v>
      </c>
      <c r="H47" s="364">
        <v>50344</v>
      </c>
      <c r="I47" s="364"/>
      <c r="J47" s="364"/>
      <c r="K47" s="364"/>
      <c r="L47" s="364"/>
      <c r="M47" s="364"/>
      <c r="N47" s="365"/>
      <c r="O47" s="365"/>
      <c r="P47" s="365"/>
      <c r="Q47" s="364">
        <f t="shared" si="1"/>
        <v>201301</v>
      </c>
      <c r="R47" s="364">
        <f t="shared" si="13"/>
        <v>201376</v>
      </c>
      <c r="S47" s="655">
        <f t="shared" si="15"/>
        <v>-75</v>
      </c>
      <c r="T47" s="656">
        <f t="shared" si="4"/>
        <v>-75</v>
      </c>
      <c r="Z47" s="756"/>
      <c r="AA47" s="756"/>
      <c r="AB47" s="756"/>
      <c r="AC47" s="753"/>
      <c r="AD47" s="753"/>
      <c r="AE47" s="754"/>
      <c r="AF47" s="754"/>
      <c r="AG47" s="754"/>
      <c r="AH47" s="754"/>
      <c r="AI47" s="754"/>
      <c r="AJ47" s="753"/>
      <c r="AK47" s="753"/>
      <c r="AL47" s="753"/>
      <c r="AM47" s="771"/>
      <c r="AN47" s="771"/>
      <c r="AO47" s="772"/>
      <c r="AP47" s="776"/>
      <c r="AQ47" s="771"/>
      <c r="AR47" s="771"/>
      <c r="AS47" s="772"/>
      <c r="AT47" s="772"/>
      <c r="AU47" s="772"/>
      <c r="AV47" s="772"/>
      <c r="AW47" s="772"/>
      <c r="AX47" s="772"/>
      <c r="AY47" s="772"/>
    </row>
    <row r="48" spans="2:51" x14ac:dyDescent="0.25">
      <c r="B48" s="684" t="s">
        <v>108</v>
      </c>
      <c r="C48" s="686">
        <v>200000</v>
      </c>
      <c r="D48" s="685">
        <f t="shared" si="14"/>
        <v>16666.666666666668</v>
      </c>
      <c r="E48" s="685">
        <v>0</v>
      </c>
      <c r="F48" s="686">
        <v>0</v>
      </c>
      <c r="G48" s="686">
        <v>10000</v>
      </c>
      <c r="H48" s="686">
        <v>10000</v>
      </c>
      <c r="I48" s="686"/>
      <c r="J48" s="686"/>
      <c r="K48" s="686"/>
      <c r="L48" s="686"/>
      <c r="M48" s="686"/>
      <c r="N48" s="687"/>
      <c r="O48" s="687"/>
      <c r="P48" s="687"/>
      <c r="Q48" s="686">
        <f t="shared" si="1"/>
        <v>66666.666666666672</v>
      </c>
      <c r="R48" s="686">
        <f t="shared" si="13"/>
        <v>20000</v>
      </c>
      <c r="S48" s="688">
        <f t="shared" si="15"/>
        <v>46666.666666666672</v>
      </c>
      <c r="T48" s="689">
        <f t="shared" si="4"/>
        <v>46666.666666666672</v>
      </c>
      <c r="Z48" s="753"/>
      <c r="AA48" s="753"/>
      <c r="AB48" s="753"/>
      <c r="AC48" s="753"/>
      <c r="AD48" s="753"/>
      <c r="AE48" s="754"/>
      <c r="AF48" s="754"/>
      <c r="AG48" s="754"/>
      <c r="AH48" s="754"/>
      <c r="AI48" s="754"/>
      <c r="AJ48" s="753"/>
      <c r="AK48" s="753"/>
      <c r="AL48" s="753"/>
      <c r="AM48" s="771"/>
      <c r="AN48" s="774"/>
      <c r="AO48" s="772"/>
      <c r="AP48" s="779"/>
      <c r="AQ48" s="771"/>
      <c r="AR48" s="771"/>
      <c r="AS48" s="772"/>
      <c r="AT48" s="772"/>
      <c r="AU48" s="772"/>
      <c r="AV48" s="772"/>
      <c r="AW48" s="772"/>
      <c r="AX48" s="772"/>
      <c r="AY48" s="772"/>
    </row>
    <row r="49" spans="2:57" x14ac:dyDescent="0.25">
      <c r="B49" s="62" t="s">
        <v>109</v>
      </c>
      <c r="C49" s="364">
        <v>360000</v>
      </c>
      <c r="D49" s="433">
        <f t="shared" si="14"/>
        <v>30000</v>
      </c>
      <c r="E49" s="433">
        <v>0</v>
      </c>
      <c r="F49" s="364">
        <v>0</v>
      </c>
      <c r="G49" s="364">
        <v>26640</v>
      </c>
      <c r="H49" s="364">
        <v>4390</v>
      </c>
      <c r="I49" s="364"/>
      <c r="J49" s="364"/>
      <c r="K49" s="364"/>
      <c r="L49" s="364"/>
      <c r="M49" s="364"/>
      <c r="N49" s="365"/>
      <c r="O49" s="365"/>
      <c r="P49" s="365"/>
      <c r="Q49" s="364">
        <f t="shared" si="1"/>
        <v>120000</v>
      </c>
      <c r="R49" s="364">
        <f t="shared" si="13"/>
        <v>31030</v>
      </c>
      <c r="S49" s="655">
        <f t="shared" si="15"/>
        <v>88970</v>
      </c>
      <c r="T49" s="656">
        <f t="shared" si="4"/>
        <v>88970</v>
      </c>
      <c r="Z49" s="753"/>
      <c r="AA49" s="753"/>
      <c r="AB49" s="753"/>
      <c r="AC49" s="753"/>
      <c r="AD49" s="753"/>
      <c r="AE49" s="754"/>
      <c r="AF49" s="754"/>
      <c r="AG49" s="754"/>
      <c r="AH49" s="754"/>
      <c r="AI49" s="754"/>
      <c r="AJ49" s="753"/>
      <c r="AK49" s="753"/>
      <c r="AL49" s="753"/>
      <c r="AM49" s="771"/>
      <c r="AN49" s="774"/>
      <c r="AO49" s="772"/>
      <c r="AP49" s="777"/>
      <c r="AQ49" s="771"/>
      <c r="AR49" s="772"/>
      <c r="AS49" s="772"/>
      <c r="AT49" s="772"/>
      <c r="AU49" s="772"/>
      <c r="AV49" s="772"/>
      <c r="AW49" s="772"/>
      <c r="AX49" s="772"/>
      <c r="AY49" s="772"/>
    </row>
    <row r="50" spans="2:57" x14ac:dyDescent="0.25">
      <c r="B50" s="684" t="s">
        <v>110</v>
      </c>
      <c r="C50" s="686">
        <v>150000</v>
      </c>
      <c r="D50" s="685">
        <f t="shared" si="14"/>
        <v>12500</v>
      </c>
      <c r="E50" s="685">
        <v>0</v>
      </c>
      <c r="F50" s="686">
        <v>0</v>
      </c>
      <c r="G50" s="686">
        <v>4500</v>
      </c>
      <c r="H50" s="686">
        <v>0</v>
      </c>
      <c r="I50" s="686"/>
      <c r="J50" s="686"/>
      <c r="K50" s="686"/>
      <c r="L50" s="686"/>
      <c r="M50" s="686"/>
      <c r="N50" s="687"/>
      <c r="O50" s="687"/>
      <c r="P50" s="687"/>
      <c r="Q50" s="686">
        <f t="shared" si="1"/>
        <v>50000</v>
      </c>
      <c r="R50" s="686">
        <f t="shared" si="13"/>
        <v>4500</v>
      </c>
      <c r="S50" s="688">
        <f t="shared" si="15"/>
        <v>45500</v>
      </c>
      <c r="T50" s="689">
        <f t="shared" si="4"/>
        <v>45500</v>
      </c>
      <c r="Z50" s="756"/>
      <c r="AA50" s="756"/>
      <c r="AB50" s="756"/>
      <c r="AC50" s="756"/>
      <c r="AD50" s="756"/>
      <c r="AE50" s="754"/>
      <c r="AF50" s="754"/>
      <c r="AG50" s="754"/>
      <c r="AH50" s="754"/>
      <c r="AI50" s="754"/>
      <c r="AJ50" s="753"/>
      <c r="AK50" s="753"/>
      <c r="AL50" s="753"/>
      <c r="AM50" s="771"/>
      <c r="AN50" s="776"/>
      <c r="AO50" s="772"/>
      <c r="AP50" s="776"/>
      <c r="AQ50" s="771"/>
      <c r="AR50" s="771"/>
      <c r="AS50" s="772"/>
      <c r="AT50" s="772"/>
      <c r="AU50" s="772"/>
      <c r="AV50" s="772"/>
      <c r="AW50" s="772"/>
      <c r="AX50" s="772"/>
      <c r="AY50" s="772"/>
    </row>
    <row r="51" spans="2:57" x14ac:dyDescent="0.25">
      <c r="B51" s="62" t="s">
        <v>111</v>
      </c>
      <c r="C51" s="364">
        <v>2700000</v>
      </c>
      <c r="D51" s="433">
        <f t="shared" si="14"/>
        <v>225000</v>
      </c>
      <c r="E51" s="433">
        <v>191152.44</v>
      </c>
      <c r="F51" s="364">
        <v>189522.6</v>
      </c>
      <c r="G51" s="364">
        <v>196603.1</v>
      </c>
      <c r="H51" s="364">
        <v>179705.1</v>
      </c>
      <c r="I51" s="364"/>
      <c r="J51" s="364"/>
      <c r="K51" s="364"/>
      <c r="L51" s="364"/>
      <c r="M51" s="364"/>
      <c r="N51" s="365"/>
      <c r="O51" s="365"/>
      <c r="P51" s="365"/>
      <c r="Q51" s="364">
        <f t="shared" si="1"/>
        <v>900000</v>
      </c>
      <c r="R51" s="364">
        <f t="shared" si="13"/>
        <v>756983.24</v>
      </c>
      <c r="S51" s="655">
        <f t="shared" si="15"/>
        <v>143016.76</v>
      </c>
      <c r="T51" s="656">
        <f t="shared" si="4"/>
        <v>143016.76</v>
      </c>
      <c r="Z51" s="754"/>
      <c r="AA51" s="754"/>
      <c r="AB51" s="754"/>
      <c r="AC51" s="754"/>
      <c r="AD51" s="754"/>
      <c r="AE51" s="754"/>
      <c r="AF51" s="754"/>
      <c r="AG51" s="754"/>
      <c r="AH51" s="754"/>
      <c r="AI51" s="754"/>
      <c r="AJ51" s="756"/>
      <c r="AK51" s="756"/>
      <c r="AL51" s="756" t="s">
        <v>783</v>
      </c>
      <c r="AM51" s="775"/>
      <c r="AN51" s="771"/>
      <c r="AO51" s="772"/>
      <c r="AP51" s="776"/>
      <c r="AQ51" s="775"/>
      <c r="AR51" s="775" t="s">
        <v>784</v>
      </c>
      <c r="AS51" s="772"/>
      <c r="AT51" s="772"/>
      <c r="AU51" s="772"/>
      <c r="AV51" s="772"/>
      <c r="AW51" s="772"/>
      <c r="AX51" s="772"/>
      <c r="AY51" s="772"/>
    </row>
    <row r="52" spans="2:57" ht="12.5" customHeight="1" x14ac:dyDescent="0.25">
      <c r="B52" s="684" t="s">
        <v>68</v>
      </c>
      <c r="C52" s="717">
        <v>0</v>
      </c>
      <c r="D52" s="694">
        <f t="shared" si="14"/>
        <v>0</v>
      </c>
      <c r="E52" s="685">
        <v>0</v>
      </c>
      <c r="F52" s="686">
        <v>0</v>
      </c>
      <c r="G52" s="718">
        <v>1227</v>
      </c>
      <c r="H52" s="718">
        <v>5</v>
      </c>
      <c r="I52" s="718"/>
      <c r="J52" s="718"/>
      <c r="K52" s="718"/>
      <c r="L52" s="718"/>
      <c r="M52" s="718"/>
      <c r="N52" s="719"/>
      <c r="O52" s="718"/>
      <c r="P52" s="718"/>
      <c r="Q52" s="686">
        <f t="shared" si="1"/>
        <v>0</v>
      </c>
      <c r="R52" s="686">
        <f t="shared" si="13"/>
        <v>1232</v>
      </c>
      <c r="S52" s="688"/>
      <c r="T52" s="689">
        <f t="shared" si="4"/>
        <v>-1232</v>
      </c>
      <c r="Z52" s="754"/>
      <c r="AA52" s="754"/>
      <c r="AB52" s="754"/>
      <c r="AC52" s="754"/>
      <c r="AD52" s="754"/>
      <c r="AE52" s="754"/>
      <c r="AF52" s="754"/>
      <c r="AG52" s="754"/>
      <c r="AH52" s="754"/>
      <c r="AI52" s="754"/>
      <c r="AJ52" s="753"/>
      <c r="AK52" s="753"/>
      <c r="AL52" s="753"/>
      <c r="AM52" s="771"/>
      <c r="AN52" s="776"/>
      <c r="AO52" s="772"/>
      <c r="AP52" s="776"/>
      <c r="AQ52" s="771"/>
      <c r="AR52" s="771"/>
      <c r="AS52" s="772"/>
      <c r="AT52" s="772"/>
      <c r="AU52" s="772"/>
      <c r="AV52" s="772"/>
      <c r="AW52" s="772"/>
      <c r="AX52" s="772"/>
      <c r="AY52" s="772"/>
    </row>
    <row r="53" spans="2:57" ht="12.5" customHeight="1" x14ac:dyDescent="0.25">
      <c r="B53" s="62" t="s">
        <v>112</v>
      </c>
      <c r="C53" s="660">
        <v>0</v>
      </c>
      <c r="D53" s="723">
        <f t="shared" si="14"/>
        <v>0</v>
      </c>
      <c r="E53" s="433"/>
      <c r="F53" s="364"/>
      <c r="G53" s="364"/>
      <c r="H53" s="364"/>
      <c r="I53" s="364"/>
      <c r="J53" s="364"/>
      <c r="K53" s="364"/>
      <c r="L53" s="364"/>
      <c r="M53" s="364"/>
      <c r="N53" s="365"/>
      <c r="O53" s="365"/>
      <c r="P53" s="365"/>
      <c r="Q53" s="364">
        <f t="shared" si="1"/>
        <v>0</v>
      </c>
      <c r="R53" s="364">
        <f t="shared" si="13"/>
        <v>0</v>
      </c>
      <c r="S53" s="655">
        <f t="shared" si="15"/>
        <v>0</v>
      </c>
      <c r="T53" s="656">
        <f t="shared" si="4"/>
        <v>0</v>
      </c>
      <c r="Z53" s="754"/>
      <c r="AA53" s="754"/>
      <c r="AB53" s="754"/>
      <c r="AC53" s="754"/>
      <c r="AD53" s="754"/>
      <c r="AE53" s="754"/>
      <c r="AF53" s="754"/>
      <c r="AG53" s="754"/>
      <c r="AH53" s="754"/>
      <c r="AI53" s="754"/>
      <c r="AJ53" s="753"/>
      <c r="AK53" s="753"/>
      <c r="AL53" s="755" t="str">
        <f>Q34</f>
        <v xml:space="preserve"> </v>
      </c>
      <c r="AM53" s="352"/>
      <c r="AQ53" s="352"/>
      <c r="AR53" s="353">
        <f>Q60</f>
        <v>0</v>
      </c>
    </row>
    <row r="54" spans="2:57" x14ac:dyDescent="0.25">
      <c r="B54" s="684" t="s">
        <v>269</v>
      </c>
      <c r="C54" s="686">
        <v>0</v>
      </c>
      <c r="D54" s="720">
        <f t="shared" si="14"/>
        <v>0</v>
      </c>
      <c r="E54" s="685">
        <v>0</v>
      </c>
      <c r="F54" s="686">
        <v>350000</v>
      </c>
      <c r="G54" s="686"/>
      <c r="H54" s="686"/>
      <c r="I54" s="686"/>
      <c r="J54" s="686"/>
      <c r="K54" s="686"/>
      <c r="L54" s="686"/>
      <c r="M54" s="686"/>
      <c r="N54" s="687"/>
      <c r="O54" s="687"/>
      <c r="P54" s="687"/>
      <c r="Q54" s="686">
        <f t="shared" si="1"/>
        <v>0</v>
      </c>
      <c r="R54" s="686">
        <f t="shared" si="13"/>
        <v>350000</v>
      </c>
      <c r="S54" s="688">
        <f>+Q54-R54</f>
        <v>-350000</v>
      </c>
      <c r="T54" s="689">
        <f t="shared" si="4"/>
        <v>-350000</v>
      </c>
      <c r="Z54" s="754"/>
      <c r="AA54" s="754"/>
      <c r="AB54" s="754"/>
      <c r="AC54" s="754"/>
      <c r="AD54" s="754"/>
      <c r="AE54" s="754"/>
      <c r="AF54" s="754"/>
      <c r="AG54" s="754"/>
      <c r="AH54" s="754"/>
      <c r="AI54" s="754"/>
      <c r="AJ54" s="770"/>
      <c r="AK54" s="770"/>
      <c r="AL54" s="753"/>
      <c r="AM54" s="352"/>
      <c r="AP54" s="352"/>
      <c r="AQ54" s="352"/>
      <c r="AR54" s="352"/>
      <c r="AV54" s="352"/>
      <c r="AW54" s="352"/>
      <c r="AX54" s="352"/>
      <c r="AY54" s="352"/>
      <c r="AZ54" s="352"/>
      <c r="BA54" s="352"/>
      <c r="BB54" s="352" t="s">
        <v>782</v>
      </c>
      <c r="BC54" s="352" t="s">
        <v>780</v>
      </c>
      <c r="BD54" s="454"/>
      <c r="BE54" s="454"/>
    </row>
    <row r="55" spans="2:57" ht="13" x14ac:dyDescent="0.3">
      <c r="B55" s="721" t="s">
        <v>113</v>
      </c>
      <c r="C55" s="722">
        <f>SUM(C44:C53)</f>
        <v>41759636</v>
      </c>
      <c r="D55" s="722">
        <f>SUM(D44:D53)</f>
        <v>3479969.6666666665</v>
      </c>
      <c r="E55" s="722">
        <f>SUM(E44:E54)</f>
        <v>3073400.44</v>
      </c>
      <c r="F55" s="722">
        <f>SUM(F44:F54)</f>
        <v>3421770.6</v>
      </c>
      <c r="G55" s="722">
        <f>SUM(G44:G54)</f>
        <v>3260328.1</v>
      </c>
      <c r="H55" s="722">
        <f>SUM(H44:H54)</f>
        <v>4013875.1</v>
      </c>
      <c r="I55" s="722"/>
      <c r="J55" s="722"/>
      <c r="K55" s="722"/>
      <c r="L55" s="722"/>
      <c r="M55" s="722"/>
      <c r="N55" s="722"/>
      <c r="O55" s="722"/>
      <c r="P55" s="722"/>
      <c r="Q55" s="686">
        <f t="shared" si="1"/>
        <v>13919878.666666666</v>
      </c>
      <c r="R55" s="722">
        <f>SUM(R44:R54)</f>
        <v>13769374.24</v>
      </c>
      <c r="S55" s="695">
        <f>SUM(S44:S54)</f>
        <v>151736.4266666667</v>
      </c>
      <c r="T55" s="696">
        <f t="shared" si="4"/>
        <v>150504.42666666582</v>
      </c>
      <c r="Z55" s="754"/>
      <c r="AA55" s="754"/>
      <c r="AB55" s="754"/>
      <c r="AC55" s="754"/>
      <c r="AD55" s="754"/>
      <c r="AE55" s="754"/>
      <c r="AF55" s="754"/>
      <c r="AG55" s="754"/>
      <c r="AH55" s="754"/>
      <c r="AI55" s="754"/>
      <c r="AJ55" s="753"/>
      <c r="AK55" s="753"/>
      <c r="AL55" s="755" t="str">
        <f>R34</f>
        <v xml:space="preserve"> </v>
      </c>
      <c r="AM55" s="352"/>
      <c r="AP55" s="352"/>
      <c r="AQ55" s="352"/>
      <c r="AR55" s="353"/>
      <c r="AV55" s="352"/>
      <c r="BE55" s="352"/>
    </row>
    <row r="56" spans="2:57" x14ac:dyDescent="0.25">
      <c r="B56" s="741" t="s">
        <v>118</v>
      </c>
      <c r="C56" s="742">
        <f>+C55+C42+C29+C33+C18</f>
        <v>356841927.21000004</v>
      </c>
      <c r="D56" s="743">
        <f>+D55+D42+D29+D18</f>
        <v>29736827.267500002</v>
      </c>
      <c r="E56" s="743">
        <f t="shared" ref="E56:P56" si="16">+E55+E42+E29+E33+E18</f>
        <v>29096206.32</v>
      </c>
      <c r="F56" s="744">
        <f t="shared" si="16"/>
        <v>28666715.600000001</v>
      </c>
      <c r="G56" s="742">
        <f t="shared" si="16"/>
        <v>29124953.100000001</v>
      </c>
      <c r="H56" s="742">
        <f>+H55+H42+H29+H33+H18</f>
        <v>26968598.100000001</v>
      </c>
      <c r="I56" s="742">
        <f t="shared" si="16"/>
        <v>0</v>
      </c>
      <c r="J56" s="742">
        <f t="shared" si="16"/>
        <v>0</v>
      </c>
      <c r="K56" s="742">
        <f t="shared" si="16"/>
        <v>0</v>
      </c>
      <c r="L56" s="742">
        <f t="shared" si="16"/>
        <v>0</v>
      </c>
      <c r="M56" s="742">
        <f t="shared" si="16"/>
        <v>0</v>
      </c>
      <c r="N56" s="742">
        <f t="shared" si="16"/>
        <v>0</v>
      </c>
      <c r="O56" s="742">
        <f t="shared" si="16"/>
        <v>0</v>
      </c>
      <c r="P56" s="742">
        <f t="shared" si="16"/>
        <v>0</v>
      </c>
      <c r="Q56" s="744">
        <f>+D56*$B$5</f>
        <v>118947309.07000001</v>
      </c>
      <c r="R56" s="742">
        <f>+R55+R42+R29+R33+R18</f>
        <v>113856473.12</v>
      </c>
      <c r="S56" s="742" t="e">
        <f>+S55+S42+S29+S33+S18</f>
        <v>#REF!</v>
      </c>
      <c r="T56" s="742">
        <f>+T55+T42+T29+T33+T18</f>
        <v>5090835.9500000142</v>
      </c>
      <c r="AJ56" s="352"/>
      <c r="AK56" s="352"/>
      <c r="AL56" s="352"/>
      <c r="AM56" s="352"/>
      <c r="AN56" s="352"/>
      <c r="AO56" s="353"/>
      <c r="AP56" s="352"/>
      <c r="AQ56" s="352"/>
      <c r="AR56" s="352"/>
      <c r="AV56" s="352"/>
      <c r="BE56" s="352"/>
    </row>
    <row r="57" spans="2:57" ht="13" x14ac:dyDescent="0.3">
      <c r="B57" s="52"/>
      <c r="C57" s="383"/>
      <c r="D57" s="435"/>
      <c r="E57" s="362"/>
      <c r="F57" s="382"/>
      <c r="G57" s="382"/>
      <c r="H57" s="382"/>
      <c r="I57" s="665"/>
      <c r="J57" s="665"/>
      <c r="K57" s="665"/>
      <c r="L57" s="665"/>
      <c r="M57" s="665"/>
      <c r="N57" s="666"/>
      <c r="O57" s="666"/>
      <c r="P57" s="666"/>
      <c r="Q57" s="373"/>
      <c r="R57" s="378"/>
      <c r="S57" s="662"/>
      <c r="T57" s="667"/>
      <c r="Z57" s="772"/>
      <c r="AA57" s="772"/>
      <c r="AB57" s="774" t="s">
        <v>1237</v>
      </c>
      <c r="AC57" s="772"/>
      <c r="AE57" s="784" t="s">
        <v>1239</v>
      </c>
      <c r="AF57" s="785"/>
      <c r="AG57" s="785"/>
      <c r="AH57" s="785"/>
      <c r="AI57" s="785"/>
      <c r="AJ57" s="786"/>
      <c r="AK57" s="786"/>
      <c r="AL57" s="786"/>
      <c r="AM57" s="454"/>
      <c r="AN57" s="454"/>
      <c r="AO57" s="454"/>
      <c r="AP57" s="454"/>
      <c r="AQ57" s="454"/>
      <c r="AR57" s="454"/>
      <c r="AV57" s="352"/>
      <c r="BE57" s="352"/>
    </row>
    <row r="58" spans="2:57" ht="13" x14ac:dyDescent="0.3">
      <c r="B58" s="724" t="s">
        <v>219</v>
      </c>
      <c r="C58" s="725">
        <f>SUM(C59:C63)</f>
        <v>0</v>
      </c>
      <c r="D58" s="726"/>
      <c r="E58" s="726">
        <f t="shared" ref="E58:J58" si="17">SUM(E59:E63)</f>
        <v>451228.69</v>
      </c>
      <c r="F58" s="727">
        <f>SUM(F59:F63)</f>
        <v>472103.33999999997</v>
      </c>
      <c r="G58" s="727">
        <f t="shared" si="17"/>
        <v>455679.26</v>
      </c>
      <c r="H58" s="727">
        <f t="shared" si="17"/>
        <v>411197.13</v>
      </c>
      <c r="I58" s="727">
        <f t="shared" si="17"/>
        <v>0</v>
      </c>
      <c r="J58" s="727">
        <f t="shared" si="17"/>
        <v>0</v>
      </c>
      <c r="K58" s="727">
        <f t="shared" ref="K58:S58" si="18">SUM(K59:K63)</f>
        <v>0</v>
      </c>
      <c r="L58" s="727">
        <f t="shared" si="18"/>
        <v>0</v>
      </c>
      <c r="M58" s="727">
        <f t="shared" si="18"/>
        <v>0</v>
      </c>
      <c r="N58" s="728">
        <f t="shared" si="18"/>
        <v>0</v>
      </c>
      <c r="O58" s="728">
        <f t="shared" si="18"/>
        <v>0</v>
      </c>
      <c r="P58" s="728">
        <f t="shared" si="18"/>
        <v>0</v>
      </c>
      <c r="Q58" s="727">
        <f>SUM(Q59:Q63)</f>
        <v>0</v>
      </c>
      <c r="R58" s="727">
        <f>SUM(R59:R63)</f>
        <v>1790208.42</v>
      </c>
      <c r="S58" s="729">
        <f t="shared" si="18"/>
        <v>-1790208.42</v>
      </c>
      <c r="T58" s="730">
        <f>+R58</f>
        <v>1790208.42</v>
      </c>
      <c r="Z58" s="771" t="s">
        <v>785</v>
      </c>
      <c r="AA58" s="780"/>
      <c r="AB58" s="781">
        <f>R18/Q18</f>
        <v>0.92708709902762265</v>
      </c>
      <c r="AC58" s="776" t="str">
        <f>R34</f>
        <v xml:space="preserve"> </v>
      </c>
      <c r="AD58" s="352"/>
      <c r="AE58" s="787" t="s">
        <v>785</v>
      </c>
      <c r="AF58" s="787"/>
      <c r="AG58" s="788">
        <f>R18/R8</f>
        <v>0.16025186355848939</v>
      </c>
      <c r="AH58" s="785"/>
      <c r="AI58" s="785"/>
      <c r="AJ58" s="787"/>
      <c r="AK58" s="787"/>
      <c r="AL58" s="787"/>
      <c r="AM58" s="352"/>
      <c r="AN58" s="352"/>
      <c r="AO58" s="352"/>
      <c r="AP58" s="352"/>
      <c r="AQ58" s="352"/>
      <c r="AR58" s="352"/>
      <c r="AV58" s="352"/>
      <c r="BE58" s="352"/>
    </row>
    <row r="59" spans="2:57" ht="13" x14ac:dyDescent="0.3">
      <c r="B59" s="731" t="s">
        <v>121</v>
      </c>
      <c r="C59" s="732"/>
      <c r="D59" s="733"/>
      <c r="E59" s="733">
        <v>69013</v>
      </c>
      <c r="F59" s="734">
        <v>95407</v>
      </c>
      <c r="G59" s="735">
        <v>139518</v>
      </c>
      <c r="H59" s="735">
        <v>92495</v>
      </c>
      <c r="I59" s="735"/>
      <c r="J59" s="735"/>
      <c r="K59" s="735"/>
      <c r="L59" s="735"/>
      <c r="M59" s="735"/>
      <c r="N59" s="736"/>
      <c r="O59" s="736"/>
      <c r="P59" s="736"/>
      <c r="Q59" s="735">
        <v>0</v>
      </c>
      <c r="R59" s="737">
        <f>SUM(E59:P59)</f>
        <v>396433</v>
      </c>
      <c r="S59" s="738">
        <f>+Q59-R59</f>
        <v>-396433</v>
      </c>
      <c r="T59" s="739"/>
      <c r="Z59" s="771"/>
      <c r="AA59" s="780"/>
      <c r="AB59" s="781"/>
      <c r="AC59" s="771"/>
      <c r="AD59" s="352"/>
      <c r="AE59" s="787"/>
      <c r="AF59" s="787"/>
      <c r="AG59" s="788"/>
      <c r="AH59" s="785"/>
      <c r="AI59" s="785"/>
      <c r="AJ59" s="787"/>
      <c r="AK59" s="787"/>
      <c r="AL59" s="787"/>
      <c r="AM59" s="352"/>
      <c r="AN59" s="352"/>
      <c r="AO59" s="352"/>
      <c r="AP59" s="352"/>
      <c r="AQ59" s="352"/>
      <c r="AR59" s="352"/>
      <c r="AV59" s="352"/>
      <c r="BE59" s="352"/>
    </row>
    <row r="60" spans="2:57" x14ac:dyDescent="0.25">
      <c r="B60" s="731" t="s">
        <v>122</v>
      </c>
      <c r="C60" s="732"/>
      <c r="D60" s="733"/>
      <c r="E60" s="733">
        <f>669.24+123715.45</f>
        <v>124384.69</v>
      </c>
      <c r="F60" s="734">
        <f>52094.04+1011.3</f>
        <v>53105.340000000004</v>
      </c>
      <c r="G60" s="734">
        <f>57021.36+1056.9</f>
        <v>58078.26</v>
      </c>
      <c r="H60" s="734">
        <f>1143+59728.13</f>
        <v>60871.13</v>
      </c>
      <c r="I60" s="734"/>
      <c r="J60" s="734"/>
      <c r="K60" s="734"/>
      <c r="L60" s="734"/>
      <c r="M60" s="734"/>
      <c r="N60" s="740"/>
      <c r="O60" s="740"/>
      <c r="P60" s="740"/>
      <c r="Q60" s="735">
        <v>0</v>
      </c>
      <c r="R60" s="734">
        <f>SUM(E60:P60)</f>
        <v>296439.42</v>
      </c>
      <c r="S60" s="738">
        <f>+Q60-R60</f>
        <v>-296439.42</v>
      </c>
      <c r="T60" s="739"/>
      <c r="Z60" s="771" t="s">
        <v>786</v>
      </c>
      <c r="AA60" s="780"/>
      <c r="AB60" s="781">
        <f>R29/Q29</f>
        <v>0.97981923523851744</v>
      </c>
      <c r="AC60" s="776"/>
      <c r="AD60" s="352"/>
      <c r="AE60" s="787" t="s">
        <v>786</v>
      </c>
      <c r="AF60" s="788"/>
      <c r="AG60" s="788">
        <f>R29/R8</f>
        <v>0.52235986015946412</v>
      </c>
      <c r="AH60" s="785"/>
      <c r="AI60" s="785"/>
      <c r="AJ60" s="787"/>
      <c r="AK60" s="787"/>
      <c r="AL60" s="787"/>
      <c r="AM60" s="352"/>
      <c r="AN60" s="352"/>
      <c r="AO60" s="352"/>
      <c r="AP60" s="352"/>
      <c r="AQ60" s="352"/>
      <c r="AR60" s="352"/>
      <c r="AV60" s="454"/>
      <c r="BE60" s="454"/>
    </row>
    <row r="61" spans="2:57" ht="13" x14ac:dyDescent="0.3">
      <c r="B61" s="731" t="s">
        <v>1227</v>
      </c>
      <c r="C61" s="732"/>
      <c r="D61" s="733"/>
      <c r="E61" s="733"/>
      <c r="F61" s="734">
        <v>0</v>
      </c>
      <c r="G61" s="735"/>
      <c r="H61" s="735"/>
      <c r="I61" s="735">
        <v>0</v>
      </c>
      <c r="J61" s="735">
        <v>0</v>
      </c>
      <c r="K61" s="735">
        <v>0</v>
      </c>
      <c r="L61" s="735"/>
      <c r="M61" s="735"/>
      <c r="N61" s="736"/>
      <c r="O61" s="736"/>
      <c r="P61" s="736"/>
      <c r="Q61" s="735">
        <v>0</v>
      </c>
      <c r="R61" s="737">
        <f>SUM(E61:H61)</f>
        <v>0</v>
      </c>
      <c r="S61" s="738">
        <f>+Q61-R61</f>
        <v>0</v>
      </c>
      <c r="T61" s="739"/>
      <c r="Z61" s="771"/>
      <c r="AA61" s="780"/>
      <c r="AB61" s="781"/>
      <c r="AC61" s="771"/>
      <c r="AD61" s="352"/>
      <c r="AE61" s="787"/>
      <c r="AF61" s="788"/>
      <c r="AG61" s="788"/>
      <c r="AH61" s="785"/>
      <c r="AI61" s="785"/>
      <c r="AJ61" s="787"/>
      <c r="AK61" s="787"/>
      <c r="AL61" s="787"/>
      <c r="AM61" s="353"/>
      <c r="AN61" s="352"/>
      <c r="AO61" s="352"/>
      <c r="AP61" s="352"/>
      <c r="AQ61" s="352"/>
      <c r="AR61" s="352"/>
      <c r="AV61" s="352"/>
      <c r="BE61" s="352"/>
    </row>
    <row r="62" spans="2:57" x14ac:dyDescent="0.25">
      <c r="B62" s="731" t="s">
        <v>123</v>
      </c>
      <c r="C62" s="732"/>
      <c r="D62" s="733"/>
      <c r="E62" s="733">
        <v>257831</v>
      </c>
      <c r="F62" s="734">
        <v>323591</v>
      </c>
      <c r="G62" s="734">
        <v>257831</v>
      </c>
      <c r="H62" s="734">
        <v>257831</v>
      </c>
      <c r="I62" s="734"/>
      <c r="J62" s="734"/>
      <c r="K62" s="734"/>
      <c r="L62" s="734"/>
      <c r="M62" s="734"/>
      <c r="N62" s="740"/>
      <c r="O62" s="740"/>
      <c r="P62" s="740"/>
      <c r="Q62" s="735">
        <v>0</v>
      </c>
      <c r="R62" s="734">
        <f>SUM(E62:P62)</f>
        <v>1097084</v>
      </c>
      <c r="S62" s="738">
        <f>+Q62-R62</f>
        <v>-1097084</v>
      </c>
      <c r="T62" s="739"/>
      <c r="Z62" s="771" t="s">
        <v>98</v>
      </c>
      <c r="AA62" s="780"/>
      <c r="AB62" s="781">
        <f>R56/Q56</f>
        <v>0.95720091534812224</v>
      </c>
      <c r="AC62" s="776"/>
      <c r="AD62" s="352"/>
      <c r="AE62" s="787" t="s">
        <v>98</v>
      </c>
      <c r="AF62" s="788"/>
      <c r="AG62" s="788">
        <f>R42/R8</f>
        <v>0.15601691125353381</v>
      </c>
      <c r="AH62" s="785"/>
      <c r="AI62" s="785"/>
      <c r="AJ62" s="787"/>
      <c r="AK62" s="787"/>
      <c r="AL62" s="789"/>
      <c r="AM62" s="352"/>
      <c r="AN62" s="353"/>
      <c r="AO62" s="352"/>
      <c r="AP62" s="352"/>
      <c r="AQ62" s="352"/>
      <c r="AR62" s="352"/>
      <c r="AV62" s="352"/>
      <c r="BE62" s="352"/>
    </row>
    <row r="63" spans="2:57" ht="12.5" hidden="1" customHeight="1" x14ac:dyDescent="0.25">
      <c r="B63" s="106" t="s">
        <v>124</v>
      </c>
      <c r="C63" s="376"/>
      <c r="D63" s="361"/>
      <c r="E63" s="361"/>
      <c r="F63" s="364"/>
      <c r="G63" s="382">
        <v>252</v>
      </c>
      <c r="H63" s="382"/>
      <c r="I63" s="382"/>
      <c r="J63" s="665"/>
      <c r="K63" s="665"/>
      <c r="L63" s="665"/>
      <c r="M63" s="665"/>
      <c r="N63" s="666"/>
      <c r="O63" s="666"/>
      <c r="P63" s="666"/>
      <c r="Q63" s="382">
        <v>0</v>
      </c>
      <c r="R63" s="370">
        <f>SUM(E63:P63)</f>
        <v>252</v>
      </c>
      <c r="S63" s="668">
        <f>+Q63-R63</f>
        <v>-252</v>
      </c>
      <c r="T63" s="657"/>
      <c r="Z63" s="775"/>
      <c r="AA63" s="782"/>
      <c r="AB63" s="783"/>
      <c r="AC63" s="775"/>
      <c r="AD63" s="454"/>
      <c r="AE63" s="786"/>
      <c r="AF63" s="788"/>
      <c r="AG63" s="791"/>
      <c r="AH63" s="785"/>
      <c r="AI63" s="785"/>
      <c r="AJ63" s="787"/>
      <c r="AK63" s="787"/>
      <c r="AL63" s="789"/>
      <c r="AM63" s="454"/>
      <c r="AN63" s="454"/>
      <c r="AO63" s="454"/>
      <c r="AP63" s="454"/>
      <c r="AQ63" s="454"/>
      <c r="AR63" s="454"/>
      <c r="AV63" s="352"/>
      <c r="BE63" s="352"/>
    </row>
    <row r="64" spans="2:57" x14ac:dyDescent="0.25">
      <c r="B64" s="271" t="s">
        <v>566</v>
      </c>
      <c r="C64" s="384">
        <f>+C8-C56</f>
        <v>-0.21000003814697266</v>
      </c>
      <c r="D64" s="385">
        <f>+D8-D56</f>
        <v>-1.7500001937150955E-2</v>
      </c>
      <c r="E64" s="669">
        <f t="shared" ref="E64:K64" si="19">+E8-E56+E58</f>
        <v>56589.369999999704</v>
      </c>
      <c r="F64" s="669">
        <f t="shared" si="19"/>
        <v>506954.73999999848</v>
      </c>
      <c r="G64" s="385">
        <f t="shared" si="19"/>
        <v>32293.159999998519</v>
      </c>
      <c r="H64" s="385">
        <f>+H8-H56+H58</f>
        <v>6280234.0299999984</v>
      </c>
      <c r="I64" s="385">
        <f t="shared" si="19"/>
        <v>0</v>
      </c>
      <c r="J64" s="385">
        <f t="shared" si="19"/>
        <v>0</v>
      </c>
      <c r="K64" s="385">
        <f t="shared" si="19"/>
        <v>0</v>
      </c>
      <c r="L64" s="385"/>
      <c r="M64" s="385">
        <f>+M8-M56+M58</f>
        <v>0</v>
      </c>
      <c r="N64" s="386">
        <f>+N8-N56+N58</f>
        <v>0</v>
      </c>
      <c r="O64" s="386">
        <f>+O8-O56+O58</f>
        <v>0</v>
      </c>
      <c r="P64" s="386">
        <f>+P8-P56+P58</f>
        <v>0</v>
      </c>
      <c r="Q64" s="382">
        <v>0</v>
      </c>
      <c r="R64" s="670">
        <f>+R8-R56+R58</f>
        <v>6876071.2999999952</v>
      </c>
      <c r="S64" s="670" t="e">
        <f>+S8-S56+S58</f>
        <v>#REF!</v>
      </c>
      <c r="T64" s="670">
        <f>+T56-T8+T58</f>
        <v>6876071.3700000141</v>
      </c>
      <c r="Z64" s="771"/>
      <c r="AA64" s="780"/>
      <c r="AB64" s="781"/>
      <c r="AC64" s="776"/>
      <c r="AD64" s="352"/>
      <c r="AE64" s="787"/>
      <c r="AF64" s="788"/>
      <c r="AG64" s="788"/>
      <c r="AH64" s="785"/>
      <c r="AI64" s="785"/>
      <c r="AJ64" s="786"/>
      <c r="AK64" s="786"/>
      <c r="AL64" s="786"/>
      <c r="AM64" s="352"/>
      <c r="AN64" s="352"/>
      <c r="AO64" s="352"/>
      <c r="AP64" s="352"/>
      <c r="AQ64" s="352"/>
      <c r="AR64" s="352"/>
      <c r="AV64" s="352"/>
      <c r="BE64" s="352"/>
    </row>
    <row r="65" spans="2:57" x14ac:dyDescent="0.25">
      <c r="B65" s="415"/>
      <c r="C65" s="353"/>
      <c r="D65" s="353"/>
      <c r="E65" s="353"/>
      <c r="F65" s="387">
        <f>SUM(E64:F64)</f>
        <v>563544.10999999824</v>
      </c>
      <c r="G65" s="387">
        <f>SUM(E64:G64)</f>
        <v>595837.26999999676</v>
      </c>
      <c r="H65" s="387">
        <f>SUM(E64:H64)</f>
        <v>6876071.2999999952</v>
      </c>
      <c r="I65" s="387">
        <f>SUM(E64:I64)</f>
        <v>6876071.2999999952</v>
      </c>
      <c r="O65" s="388"/>
      <c r="P65" s="388"/>
      <c r="R65" s="671"/>
      <c r="T65" s="667"/>
      <c r="Z65" s="771" t="s">
        <v>104</v>
      </c>
      <c r="AA65" s="780"/>
      <c r="AB65" s="781">
        <f>R55/Q55</f>
        <v>0.98918780613892332</v>
      </c>
      <c r="AC65" s="771"/>
      <c r="AD65" s="352"/>
      <c r="AE65" s="787" t="s">
        <v>104</v>
      </c>
      <c r="AF65" s="788"/>
      <c r="AG65" s="788">
        <f>R55/R8</f>
        <v>0.11576512369825998</v>
      </c>
      <c r="AH65" s="785"/>
      <c r="AI65" s="785"/>
      <c r="AJ65" s="787"/>
      <c r="AK65" s="787"/>
      <c r="AL65" s="787"/>
      <c r="AM65" s="352"/>
      <c r="AN65" s="352"/>
      <c r="AO65" s="352"/>
      <c r="AP65" s="352"/>
      <c r="AQ65" s="352"/>
      <c r="AR65" s="352"/>
      <c r="AV65" s="352"/>
      <c r="BE65" s="352"/>
    </row>
    <row r="66" spans="2:57" x14ac:dyDescent="0.25">
      <c r="B66" s="672"/>
      <c r="C66" s="408"/>
      <c r="D66" s="408"/>
      <c r="E66" s="408"/>
      <c r="F66" s="408"/>
      <c r="G66" s="408"/>
      <c r="H66" s="408"/>
      <c r="I66" s="408"/>
      <c r="J66" s="408"/>
      <c r="K66" s="408"/>
      <c r="L66" s="408"/>
      <c r="M66" s="408"/>
      <c r="N66" s="673" t="s">
        <v>33</v>
      </c>
      <c r="O66" s="407" t="s">
        <v>33</v>
      </c>
      <c r="P66" s="407"/>
      <c r="Q66" s="356"/>
      <c r="R66" s="370"/>
      <c r="S66" s="389" t="e">
        <f>+R64+S64</f>
        <v>#REF!</v>
      </c>
      <c r="T66" s="44"/>
      <c r="Z66" s="771"/>
      <c r="AA66" s="780"/>
      <c r="AB66" s="771"/>
      <c r="AC66" s="776"/>
      <c r="AD66" s="352"/>
      <c r="AE66" s="789"/>
      <c r="AF66" s="788"/>
      <c r="AG66" s="788"/>
      <c r="AH66" s="785"/>
      <c r="AI66" s="785"/>
      <c r="AJ66" s="787"/>
      <c r="AK66" s="787"/>
      <c r="AL66" s="787"/>
      <c r="AM66" s="352"/>
      <c r="AN66" s="352"/>
      <c r="AO66" s="352"/>
      <c r="AP66" s="352"/>
      <c r="AQ66" s="352"/>
      <c r="AR66" s="352"/>
      <c r="AV66" s="454"/>
      <c r="BE66" s="352"/>
    </row>
    <row r="67" spans="2:57" x14ac:dyDescent="0.25">
      <c r="B67" s="289" t="s">
        <v>456</v>
      </c>
      <c r="C67" s="474"/>
      <c r="D67" s="474"/>
      <c r="E67" s="474"/>
      <c r="F67" s="674" t="s">
        <v>40</v>
      </c>
      <c r="G67" s="474"/>
      <c r="H67" s="474"/>
      <c r="I67" s="474"/>
      <c r="J67" s="474"/>
      <c r="K67" s="404" t="s">
        <v>40</v>
      </c>
      <c r="L67" s="474"/>
      <c r="M67" s="440"/>
      <c r="N67" s="664"/>
      <c r="O67" s="474"/>
      <c r="P67" s="474"/>
      <c r="Q67" s="440"/>
      <c r="R67" s="440"/>
      <c r="S67" s="405"/>
      <c r="T67" s="145"/>
      <c r="Z67" s="771" t="s">
        <v>1238</v>
      </c>
      <c r="AA67" s="780"/>
      <c r="AB67" s="781">
        <f>R56/Q56</f>
        <v>0.95720091534812224</v>
      </c>
      <c r="AC67" s="771"/>
      <c r="AD67" s="352"/>
      <c r="AE67" s="787"/>
      <c r="AF67" s="788"/>
      <c r="AG67" s="787"/>
      <c r="AH67" s="785"/>
      <c r="AI67" s="785"/>
      <c r="AJ67" s="787"/>
      <c r="AK67" s="787"/>
      <c r="AL67" s="787"/>
      <c r="AM67" s="352"/>
      <c r="AN67" s="352"/>
      <c r="AO67" s="352"/>
      <c r="AP67" s="352"/>
      <c r="AQ67" s="352"/>
      <c r="AR67" s="352"/>
      <c r="AV67" s="352"/>
      <c r="BE67" s="454"/>
    </row>
    <row r="68" spans="2:57" x14ac:dyDescent="0.25">
      <c r="B68" s="289" t="s">
        <v>119</v>
      </c>
      <c r="C68" s="474"/>
      <c r="D68" s="474"/>
      <c r="E68" s="474"/>
      <c r="F68" s="474" t="s">
        <v>48</v>
      </c>
      <c r="G68" s="474"/>
      <c r="H68" s="474"/>
      <c r="I68" s="474"/>
      <c r="J68" s="440"/>
      <c r="K68" s="675" t="s">
        <v>48</v>
      </c>
      <c r="L68" s="440"/>
      <c r="M68" s="474"/>
      <c r="N68" s="664"/>
      <c r="O68" s="474" t="s">
        <v>33</v>
      </c>
      <c r="P68" s="474"/>
      <c r="Q68" s="474"/>
      <c r="R68" s="440" t="s">
        <v>33</v>
      </c>
      <c r="S68" s="405"/>
      <c r="T68" s="145"/>
      <c r="Z68" s="774"/>
      <c r="AA68" s="780"/>
      <c r="AB68" s="772"/>
      <c r="AC68" s="778"/>
      <c r="AD68" s="352"/>
      <c r="AE68" s="789"/>
      <c r="AF68" s="788"/>
      <c r="AG68" s="787"/>
      <c r="AH68" s="787"/>
      <c r="AI68" s="787"/>
      <c r="AJ68" s="787"/>
      <c r="AK68" s="787"/>
      <c r="AL68" s="787"/>
      <c r="AM68" s="454"/>
      <c r="AN68" s="454"/>
      <c r="AO68" s="454"/>
      <c r="AP68" s="454"/>
      <c r="AQ68" s="454"/>
      <c r="AR68" s="454"/>
      <c r="AV68" s="352"/>
      <c r="BE68" s="352"/>
    </row>
    <row r="69" spans="2:57" x14ac:dyDescent="0.25">
      <c r="B69" s="2" t="s">
        <v>456</v>
      </c>
      <c r="F69" s="391" t="s">
        <v>40</v>
      </c>
      <c r="K69" s="3" t="s">
        <v>40</v>
      </c>
      <c r="M69" s="353"/>
      <c r="Q69" s="353"/>
      <c r="R69" s="353">
        <v>-41875789.93</v>
      </c>
      <c r="Z69" s="454"/>
      <c r="AA69" s="457"/>
      <c r="AB69" s="454"/>
      <c r="AC69" s="454"/>
      <c r="AD69" s="454"/>
      <c r="AE69" s="787"/>
      <c r="AF69" s="790"/>
      <c r="AG69" s="787"/>
      <c r="AH69" s="786"/>
      <c r="AI69" s="786"/>
      <c r="AJ69" s="786"/>
      <c r="AK69" s="786"/>
      <c r="AL69" s="786"/>
      <c r="AM69" s="352"/>
      <c r="AN69" s="352"/>
      <c r="AO69" s="352"/>
      <c r="AP69" s="352"/>
      <c r="AQ69" s="352"/>
      <c r="AR69" s="352"/>
      <c r="AV69" s="352"/>
      <c r="AW69" s="352"/>
      <c r="AX69" s="352"/>
      <c r="AY69" s="352"/>
      <c r="AZ69" s="353"/>
      <c r="BA69" s="352"/>
      <c r="BB69" s="352"/>
      <c r="BC69" s="352"/>
      <c r="BD69" s="352"/>
      <c r="BE69" s="352"/>
    </row>
    <row r="70" spans="2:57" x14ac:dyDescent="0.25">
      <c r="B70" s="2" t="s">
        <v>119</v>
      </c>
      <c r="F70" s="352" t="s">
        <v>48</v>
      </c>
      <c r="J70" s="353"/>
      <c r="K70" s="1" t="s">
        <v>48</v>
      </c>
      <c r="L70" s="353"/>
      <c r="O70" s="352" t="s">
        <v>33</v>
      </c>
      <c r="R70" s="353" t="e">
        <f>+R68-R69</f>
        <v>#VALUE!</v>
      </c>
      <c r="Z70" s="352"/>
      <c r="AA70" s="457"/>
      <c r="AB70" s="352"/>
      <c r="AC70" s="352"/>
      <c r="AD70" s="352"/>
      <c r="AE70" s="787"/>
      <c r="AF70" s="790"/>
      <c r="AG70" s="786"/>
      <c r="AH70" s="787"/>
      <c r="AI70" s="787"/>
      <c r="AJ70" s="787"/>
      <c r="AK70" s="787"/>
      <c r="AL70" s="787"/>
      <c r="AM70" s="352"/>
      <c r="AN70" s="352"/>
      <c r="AO70" s="352"/>
      <c r="AP70" s="352"/>
      <c r="AQ70" s="352"/>
      <c r="AR70" s="352"/>
      <c r="AV70" s="352"/>
      <c r="AW70" s="352"/>
      <c r="AX70" s="352"/>
      <c r="AY70" s="352"/>
      <c r="AZ70" s="352"/>
      <c r="BA70" s="352"/>
      <c r="BB70" s="352"/>
      <c r="BC70" s="352"/>
      <c r="BD70" s="352"/>
      <c r="BE70" s="352"/>
    </row>
    <row r="71" spans="2:57" x14ac:dyDescent="0.25">
      <c r="I71" s="353"/>
      <c r="P71" s="370"/>
      <c r="R71" s="353" t="s">
        <v>33</v>
      </c>
      <c r="Z71" s="352"/>
      <c r="AA71" s="457"/>
      <c r="AB71" s="352"/>
      <c r="AC71" s="42"/>
      <c r="AD71" s="352"/>
      <c r="AE71" s="789"/>
      <c r="AF71" s="790"/>
      <c r="AG71" s="787"/>
      <c r="AH71" s="787"/>
      <c r="AI71" s="787"/>
      <c r="AJ71" s="787"/>
      <c r="AK71" s="787"/>
      <c r="AL71" s="787"/>
      <c r="AM71" s="352"/>
      <c r="AN71" s="352"/>
      <c r="AO71" s="352"/>
      <c r="AP71" s="352"/>
      <c r="AQ71" s="352"/>
      <c r="AR71" s="352"/>
    </row>
    <row r="72" spans="2:57" x14ac:dyDescent="0.25">
      <c r="O72" s="388" t="s">
        <v>33</v>
      </c>
      <c r="Z72" s="352"/>
      <c r="AC72" s="352"/>
      <c r="AD72" s="352"/>
      <c r="AE72" s="787"/>
      <c r="AF72" s="787"/>
      <c r="AG72" s="787"/>
      <c r="AH72" s="787"/>
      <c r="AI72" s="787"/>
      <c r="AJ72" s="787"/>
      <c r="AK72" s="787"/>
      <c r="AL72" s="787"/>
      <c r="AM72" s="352"/>
      <c r="AN72" s="352"/>
      <c r="AO72" s="352"/>
      <c r="AP72" s="352"/>
      <c r="AQ72" s="352"/>
      <c r="AR72" s="352"/>
    </row>
    <row r="73" spans="2:57" ht="17.5" hidden="1" x14ac:dyDescent="0.25">
      <c r="B73" s="49" t="s">
        <v>114</v>
      </c>
      <c r="C73" s="48"/>
      <c r="D73" s="436"/>
      <c r="E73" s="45"/>
      <c r="F73" s="46"/>
      <c r="G73" s="46"/>
      <c r="H73" s="392"/>
      <c r="I73" s="392"/>
      <c r="J73" s="392"/>
      <c r="K73" s="392"/>
      <c r="L73" s="392"/>
      <c r="M73" s="392"/>
      <c r="N73" s="393"/>
      <c r="O73" s="392"/>
      <c r="P73" s="392"/>
      <c r="Q73" s="392"/>
      <c r="R73" s="394"/>
      <c r="Z73" s="454"/>
      <c r="AC73" s="454"/>
      <c r="AD73" s="454"/>
      <c r="AE73" s="786"/>
      <c r="AF73" s="787"/>
      <c r="AG73" s="787"/>
      <c r="AH73" s="787"/>
      <c r="AI73" s="787"/>
      <c r="AJ73" s="787"/>
      <c r="AK73" s="787"/>
      <c r="AL73" s="787"/>
      <c r="AM73" s="454"/>
      <c r="AN73" s="454"/>
      <c r="AO73" s="454"/>
      <c r="AP73" s="454"/>
      <c r="AQ73" s="454"/>
      <c r="AR73" s="454"/>
    </row>
    <row r="74" spans="2:57" hidden="1" x14ac:dyDescent="0.25">
      <c r="B74" s="50" t="s">
        <v>89</v>
      </c>
      <c r="C74" s="47">
        <v>16288728</v>
      </c>
      <c r="D74" s="437">
        <v>16288728</v>
      </c>
      <c r="E74" s="45">
        <f>+D74/12</f>
        <v>1357394</v>
      </c>
      <c r="F74" s="46">
        <v>0</v>
      </c>
      <c r="G74" s="46">
        <v>0</v>
      </c>
      <c r="Z74" s="454"/>
      <c r="AC74" s="454"/>
      <c r="AD74" s="454"/>
      <c r="AE74" s="786"/>
      <c r="AF74" s="787"/>
      <c r="AG74" s="786"/>
      <c r="AH74" s="786"/>
      <c r="AI74" s="786"/>
      <c r="AJ74" s="786"/>
      <c r="AK74" s="786"/>
      <c r="AL74" s="786"/>
      <c r="AM74" s="454"/>
      <c r="AN74" s="454"/>
      <c r="AO74" s="454"/>
      <c r="AP74" s="454"/>
      <c r="AQ74" s="454"/>
      <c r="AR74" s="454"/>
    </row>
    <row r="75" spans="2:57" hidden="1" x14ac:dyDescent="0.25">
      <c r="B75" s="50" t="s">
        <v>115</v>
      </c>
      <c r="C75" s="47">
        <v>4784604</v>
      </c>
      <c r="D75" s="437">
        <v>4784604</v>
      </c>
      <c r="E75" s="45">
        <f>+D75/12</f>
        <v>398717</v>
      </c>
      <c r="F75" s="46">
        <v>1584693</v>
      </c>
      <c r="G75" s="46">
        <v>0</v>
      </c>
      <c r="H75" s="391"/>
      <c r="I75" s="391"/>
      <c r="J75" s="395"/>
      <c r="K75" s="391"/>
      <c r="L75" s="391"/>
      <c r="M75" s="391"/>
      <c r="P75" s="381"/>
      <c r="Z75" s="352"/>
      <c r="AC75" s="352"/>
      <c r="AD75" s="352"/>
      <c r="AE75" s="787"/>
      <c r="AF75" s="787"/>
      <c r="AG75" s="786"/>
      <c r="AH75" s="786"/>
      <c r="AI75" s="786"/>
      <c r="AJ75" s="786"/>
      <c r="AK75" s="786"/>
      <c r="AL75" s="786"/>
      <c r="AM75" s="352"/>
      <c r="AN75" s="352"/>
      <c r="AO75" s="352"/>
      <c r="AP75" s="352"/>
      <c r="AQ75" s="352"/>
      <c r="AR75" s="352"/>
    </row>
    <row r="76" spans="2:57" hidden="1" x14ac:dyDescent="0.25">
      <c r="B76" s="50" t="s">
        <v>116</v>
      </c>
      <c r="C76" s="47">
        <v>3000000</v>
      </c>
      <c r="D76" s="437">
        <v>3000000</v>
      </c>
      <c r="E76" s="45">
        <f>+D76/12</f>
        <v>250000</v>
      </c>
      <c r="F76" s="46">
        <v>0</v>
      </c>
      <c r="G76" s="46">
        <v>0</v>
      </c>
      <c r="J76" s="396"/>
      <c r="Z76" s="352"/>
      <c r="AC76" s="453"/>
      <c r="AD76" s="352"/>
      <c r="AE76" s="787"/>
      <c r="AF76" s="787"/>
      <c r="AG76" s="787"/>
      <c r="AH76" s="787"/>
      <c r="AI76" s="787"/>
      <c r="AJ76" s="787"/>
      <c r="AK76" s="787"/>
      <c r="AL76" s="787"/>
      <c r="AM76" s="352"/>
      <c r="AN76" s="352"/>
      <c r="AO76" s="352"/>
      <c r="AP76" s="352"/>
      <c r="AQ76" s="352"/>
      <c r="AR76" s="352"/>
    </row>
    <row r="77" spans="2:57" ht="13.5" hidden="1" x14ac:dyDescent="0.3">
      <c r="B77" s="51" t="s">
        <v>117</v>
      </c>
      <c r="C77" s="397">
        <f>SUM(C74:C76)</f>
        <v>24073332</v>
      </c>
      <c r="D77" s="438">
        <f>SUM(D74:D76)</f>
        <v>24073332</v>
      </c>
      <c r="E77" s="398">
        <f>SUM(E74:E76)</f>
        <v>2006111</v>
      </c>
      <c r="F77" s="398">
        <f>SUM(F74:F76)</f>
        <v>1584693</v>
      </c>
      <c r="G77" s="399">
        <f>SUM(G74:G76)</f>
        <v>0</v>
      </c>
      <c r="Z77" s="454"/>
      <c r="AC77" s="454"/>
      <c r="AD77" s="454"/>
      <c r="AE77" s="786"/>
      <c r="AF77" s="786"/>
      <c r="AG77" s="786"/>
      <c r="AH77" s="786"/>
      <c r="AI77" s="786"/>
      <c r="AJ77" s="786"/>
      <c r="AK77" s="786"/>
      <c r="AL77" s="786"/>
      <c r="AM77" s="454"/>
      <c r="AN77" s="454"/>
      <c r="AO77" s="454"/>
      <c r="AP77" s="454"/>
      <c r="AQ77" s="454"/>
      <c r="AR77" s="454"/>
    </row>
    <row r="78" spans="2:57" hidden="1" x14ac:dyDescent="0.25">
      <c r="Z78" s="454"/>
      <c r="AC78" s="454"/>
      <c r="AD78" s="454"/>
      <c r="AE78" s="786"/>
      <c r="AF78" s="786"/>
      <c r="AG78" s="786"/>
      <c r="AH78" s="786"/>
      <c r="AI78" s="786"/>
      <c r="AJ78" s="786"/>
      <c r="AK78" s="786"/>
      <c r="AL78" s="786"/>
      <c r="AM78" s="454"/>
      <c r="AN78" s="454"/>
      <c r="AO78" s="454"/>
      <c r="AP78" s="454"/>
      <c r="AQ78" s="454"/>
      <c r="AR78" s="454"/>
    </row>
    <row r="79" spans="2:57" hidden="1" x14ac:dyDescent="0.25">
      <c r="Z79" s="454"/>
      <c r="AC79" s="454"/>
      <c r="AD79" s="454"/>
      <c r="AE79" s="786"/>
      <c r="AF79" s="786"/>
      <c r="AG79" s="786"/>
      <c r="AH79" s="786"/>
      <c r="AI79" s="786"/>
      <c r="AJ79" s="786"/>
      <c r="AK79" s="786"/>
      <c r="AL79" s="786"/>
      <c r="AM79" s="454"/>
      <c r="AN79" s="454"/>
      <c r="AO79" s="454"/>
      <c r="AP79" s="454"/>
      <c r="AQ79" s="454"/>
      <c r="AR79" s="454"/>
    </row>
    <row r="80" spans="2:57" hidden="1" x14ac:dyDescent="0.25">
      <c r="Z80" s="454"/>
      <c r="AC80" s="456"/>
      <c r="AD80" s="454"/>
      <c r="AE80" s="786"/>
      <c r="AF80" s="786"/>
      <c r="AG80" s="786"/>
      <c r="AH80" s="786"/>
      <c r="AI80" s="786"/>
      <c r="AJ80" s="786"/>
      <c r="AK80" s="786"/>
      <c r="AL80" s="786"/>
      <c r="AM80" s="454"/>
      <c r="AN80" s="454"/>
      <c r="AO80" s="454"/>
      <c r="AP80" s="454"/>
      <c r="AQ80" s="454"/>
      <c r="AR80" s="454"/>
    </row>
    <row r="81" spans="16:44" x14ac:dyDescent="0.25">
      <c r="P81" s="388"/>
      <c r="Z81" s="454"/>
      <c r="AD81" s="454"/>
      <c r="AE81" s="786"/>
      <c r="AF81" s="786"/>
      <c r="AG81" s="786"/>
      <c r="AH81" s="786"/>
      <c r="AI81" s="786"/>
      <c r="AJ81" s="786"/>
      <c r="AK81" s="786"/>
      <c r="AL81" s="786"/>
      <c r="AM81" s="454"/>
      <c r="AN81" s="454"/>
      <c r="AO81" s="454"/>
      <c r="AP81" s="454"/>
      <c r="AQ81" s="454"/>
      <c r="AR81" s="454"/>
    </row>
    <row r="82" spans="16:44" x14ac:dyDescent="0.25">
      <c r="Z82" s="352"/>
      <c r="AC82" s="352"/>
      <c r="AD82" s="352"/>
      <c r="AE82" s="352"/>
      <c r="AF82" s="352"/>
      <c r="AG82" s="352"/>
      <c r="AH82" s="352"/>
      <c r="AI82" s="352"/>
      <c r="AJ82" s="352"/>
      <c r="AK82" s="352"/>
      <c r="AL82" s="352"/>
      <c r="AM82" s="352"/>
      <c r="AN82" s="352"/>
      <c r="AO82" s="352"/>
      <c r="AP82" s="352"/>
      <c r="AQ82" s="352"/>
      <c r="AR82" s="352"/>
    </row>
    <row r="83" spans="16:44" x14ac:dyDescent="0.25">
      <c r="Z83" s="454"/>
      <c r="AD83" s="454"/>
      <c r="AE83" s="454"/>
      <c r="AF83" s="454"/>
      <c r="AG83" s="454"/>
      <c r="AH83" s="454"/>
      <c r="AI83" s="454"/>
      <c r="AJ83" s="454"/>
      <c r="AK83" s="454"/>
      <c r="AL83" s="454"/>
      <c r="AM83" s="454"/>
      <c r="AN83" s="454"/>
      <c r="AO83" s="454"/>
      <c r="AP83" s="454"/>
      <c r="AQ83" s="454"/>
      <c r="AR83" s="454"/>
    </row>
    <row r="84" spans="16:44" x14ac:dyDescent="0.25">
      <c r="Z84" s="352"/>
      <c r="AD84" s="352"/>
      <c r="AE84" s="352"/>
      <c r="AF84" s="352"/>
      <c r="AG84" s="352"/>
      <c r="AH84" s="352"/>
      <c r="AI84" s="352"/>
      <c r="AJ84" s="352"/>
      <c r="AK84" s="352"/>
      <c r="AL84" s="352"/>
      <c r="AM84" s="352"/>
      <c r="AN84" s="352"/>
      <c r="AO84" s="352"/>
      <c r="AP84" s="352"/>
      <c r="AQ84" s="352"/>
      <c r="AR84" s="352"/>
    </row>
    <row r="85" spans="16:44" x14ac:dyDescent="0.25">
      <c r="Z85" s="460"/>
      <c r="AC85" s="459"/>
      <c r="AD85" s="460"/>
      <c r="AE85" s="460"/>
      <c r="AF85" s="460"/>
      <c r="AG85" s="460"/>
      <c r="AH85" s="460"/>
      <c r="AI85" s="460"/>
      <c r="AJ85" s="460"/>
      <c r="AK85" s="460"/>
      <c r="AL85" s="460"/>
      <c r="AM85" s="460"/>
      <c r="AN85" s="460"/>
      <c r="AO85" s="460"/>
      <c r="AP85" s="460"/>
      <c r="AQ85" s="460"/>
      <c r="AR85" s="460"/>
    </row>
    <row r="86" spans="16:44" x14ac:dyDescent="0.25">
      <c r="Z86" s="461"/>
      <c r="AD86" s="461"/>
      <c r="AE86" s="461"/>
      <c r="AF86" s="461"/>
      <c r="AG86" s="461"/>
      <c r="AH86" s="461"/>
      <c r="AI86" s="461"/>
      <c r="AJ86" s="461"/>
      <c r="AK86" s="461"/>
      <c r="AL86" s="461"/>
      <c r="AM86" s="461"/>
      <c r="AN86" s="461"/>
      <c r="AO86" s="461"/>
      <c r="AP86" s="461"/>
      <c r="AQ86" s="461"/>
      <c r="AR86" s="461"/>
    </row>
    <row r="87" spans="16:44" x14ac:dyDescent="0.25">
      <c r="Z87" s="461"/>
      <c r="AC87" s="459"/>
      <c r="AD87" s="461"/>
      <c r="AE87" s="461"/>
      <c r="AF87" s="461"/>
      <c r="AG87" s="461"/>
      <c r="AH87" s="461"/>
      <c r="AI87" s="461"/>
      <c r="AJ87" s="461"/>
      <c r="AK87" s="461"/>
      <c r="AL87" s="461"/>
      <c r="AM87" s="461"/>
      <c r="AN87" s="461"/>
      <c r="AO87" s="461"/>
      <c r="AP87" s="461"/>
      <c r="AQ87" s="461"/>
      <c r="AR87" s="461"/>
    </row>
    <row r="88" spans="16:44" x14ac:dyDescent="0.25">
      <c r="Z88" s="461"/>
      <c r="AD88" s="461"/>
      <c r="AE88" s="461"/>
      <c r="AF88" s="461"/>
      <c r="AG88" s="461"/>
      <c r="AH88" s="461"/>
      <c r="AI88" s="461"/>
      <c r="AJ88" s="461"/>
      <c r="AK88" s="461"/>
      <c r="AL88" s="461"/>
      <c r="AM88" s="461"/>
      <c r="AN88" s="461"/>
      <c r="AO88" s="461"/>
      <c r="AP88" s="461"/>
      <c r="AQ88" s="461"/>
      <c r="AR88" s="461"/>
    </row>
    <row r="89" spans="16:44" x14ac:dyDescent="0.25">
      <c r="Z89" s="461"/>
      <c r="AC89" s="461"/>
      <c r="AD89" s="461"/>
      <c r="AE89" s="461"/>
      <c r="AF89" s="461"/>
      <c r="AG89" s="461"/>
      <c r="AH89" s="461"/>
      <c r="AI89" s="461"/>
      <c r="AJ89" s="461"/>
      <c r="AK89" s="461"/>
      <c r="AL89" s="461"/>
      <c r="AM89" s="461"/>
      <c r="AN89" s="461"/>
      <c r="AO89" s="461"/>
      <c r="AP89" s="461"/>
      <c r="AQ89" s="461"/>
      <c r="AR89" s="461"/>
    </row>
    <row r="90" spans="16:44" x14ac:dyDescent="0.25">
      <c r="Z90" s="461"/>
      <c r="AC90" s="459"/>
      <c r="AD90" s="461"/>
      <c r="AE90" s="461"/>
      <c r="AF90" s="461"/>
      <c r="AG90" s="461"/>
      <c r="AH90" s="461"/>
      <c r="AI90" s="461"/>
      <c r="AJ90" s="461"/>
      <c r="AK90" s="461"/>
      <c r="AL90" s="461"/>
      <c r="AM90" s="461"/>
      <c r="AN90" s="461"/>
      <c r="AO90" s="461"/>
      <c r="AP90" s="461"/>
      <c r="AQ90" s="461"/>
      <c r="AR90" s="461"/>
    </row>
    <row r="91" spans="16:44" x14ac:dyDescent="0.25">
      <c r="Z91" s="461"/>
      <c r="AD91" s="461"/>
      <c r="AE91" s="461"/>
      <c r="AF91" s="461"/>
      <c r="AG91" s="461"/>
      <c r="AH91" s="461"/>
      <c r="AI91" s="461"/>
      <c r="AJ91" s="461"/>
      <c r="AK91" s="461"/>
      <c r="AL91" s="461"/>
      <c r="AM91" s="461"/>
      <c r="AN91" s="461"/>
      <c r="AO91" s="461"/>
      <c r="AP91" s="461"/>
      <c r="AQ91" s="461"/>
      <c r="AR91" s="461"/>
    </row>
    <row r="92" spans="16:44" x14ac:dyDescent="0.25">
      <c r="Z92" s="352"/>
      <c r="AC92" s="352"/>
      <c r="AD92" s="352"/>
      <c r="AE92" s="352"/>
      <c r="AF92" s="352"/>
      <c r="AG92" s="352"/>
      <c r="AH92" s="352"/>
      <c r="AI92" s="352"/>
      <c r="AJ92" s="352"/>
      <c r="AK92" s="352"/>
      <c r="AL92" s="352"/>
      <c r="AM92" s="352"/>
      <c r="AN92" s="352"/>
      <c r="AO92" s="352"/>
      <c r="AP92" s="352"/>
      <c r="AQ92" s="352"/>
      <c r="AR92" s="352"/>
    </row>
    <row r="93" spans="16:44" x14ac:dyDescent="0.25">
      <c r="Z93" s="352"/>
      <c r="AC93" s="352"/>
      <c r="AD93" s="352"/>
      <c r="AE93" s="352"/>
      <c r="AF93" s="352"/>
      <c r="AG93" s="352"/>
      <c r="AH93" s="352"/>
      <c r="AI93" s="352"/>
      <c r="AJ93" s="352"/>
      <c r="AK93" s="352"/>
      <c r="AL93" s="352"/>
      <c r="AM93" s="352"/>
      <c r="AN93" s="352"/>
      <c r="AO93" s="352"/>
      <c r="AP93" s="352"/>
      <c r="AQ93" s="352"/>
      <c r="AR93" s="352"/>
    </row>
    <row r="94" spans="16:44" x14ac:dyDescent="0.25">
      <c r="Z94" s="352"/>
      <c r="AC94" s="352"/>
      <c r="AD94" s="352"/>
      <c r="AE94" s="352"/>
      <c r="AF94" s="352"/>
      <c r="AG94" s="352"/>
      <c r="AH94" s="352"/>
      <c r="AI94" s="352"/>
      <c r="AJ94" s="352"/>
      <c r="AK94" s="352"/>
      <c r="AL94" s="352"/>
      <c r="AM94" s="352"/>
      <c r="AN94" s="352"/>
      <c r="AO94" s="352"/>
      <c r="AP94" s="352"/>
      <c r="AQ94" s="352"/>
      <c r="AR94" s="352"/>
    </row>
    <row r="95" spans="16:44" x14ac:dyDescent="0.25">
      <c r="Z95" s="352"/>
      <c r="AC95" s="352"/>
      <c r="AD95" s="352"/>
      <c r="AE95" s="352"/>
      <c r="AF95" s="352"/>
      <c r="AG95" s="352"/>
      <c r="AH95" s="352"/>
      <c r="AI95" s="352"/>
      <c r="AJ95" s="352"/>
      <c r="AK95" s="352"/>
      <c r="AL95" s="352"/>
      <c r="AM95" s="352"/>
      <c r="AN95" s="352"/>
      <c r="AO95" s="352"/>
      <c r="AP95" s="352"/>
      <c r="AQ95" s="352"/>
      <c r="AR95" s="352"/>
    </row>
    <row r="96" spans="16:44" x14ac:dyDescent="0.25">
      <c r="Z96" s="352"/>
      <c r="AC96" s="352"/>
      <c r="AD96" s="352"/>
      <c r="AE96" s="352"/>
      <c r="AF96" s="352"/>
      <c r="AG96" s="352"/>
      <c r="AH96" s="352"/>
      <c r="AI96" s="352"/>
      <c r="AJ96" s="352"/>
      <c r="AK96" s="352"/>
      <c r="AL96" s="352"/>
      <c r="AM96" s="352"/>
      <c r="AN96" s="352"/>
      <c r="AO96" s="352"/>
      <c r="AP96" s="352"/>
      <c r="AQ96" s="352"/>
      <c r="AR96" s="352"/>
    </row>
    <row r="97" spans="26:44" x14ac:dyDescent="0.25">
      <c r="Z97" s="352"/>
      <c r="AA97" s="352" t="s">
        <v>790</v>
      </c>
      <c r="AB97" s="353">
        <f>3454978+664608</f>
        <v>4119586</v>
      </c>
      <c r="AC97" s="352"/>
      <c r="AD97" s="352"/>
      <c r="AE97" s="352"/>
      <c r="AF97" s="352"/>
      <c r="AG97" s="352"/>
      <c r="AH97" s="352"/>
      <c r="AI97" s="352"/>
      <c r="AJ97" s="352"/>
      <c r="AK97" s="352"/>
      <c r="AL97" s="352"/>
      <c r="AM97" s="352"/>
      <c r="AN97" s="352"/>
      <c r="AO97" s="352"/>
      <c r="AP97" s="352"/>
      <c r="AQ97" s="352"/>
      <c r="AR97" s="352"/>
    </row>
    <row r="98" spans="26:44" x14ac:dyDescent="0.25">
      <c r="Z98" s="352"/>
      <c r="AA98" s="352"/>
      <c r="AB98" s="353"/>
      <c r="AC98" s="352"/>
      <c r="AD98" s="352"/>
      <c r="AE98" s="352"/>
      <c r="AF98" s="352"/>
      <c r="AG98" s="352"/>
      <c r="AH98" s="352"/>
      <c r="AI98" s="352"/>
      <c r="AJ98" s="352"/>
      <c r="AK98" s="352"/>
      <c r="AL98" s="352"/>
      <c r="AM98" s="352"/>
      <c r="AN98" s="352"/>
      <c r="AO98" s="352"/>
      <c r="AP98" s="352"/>
      <c r="AQ98" s="352"/>
      <c r="AR98" s="352"/>
    </row>
    <row r="99" spans="26:44" x14ac:dyDescent="0.25">
      <c r="Z99" s="352"/>
      <c r="AA99" s="352" t="s">
        <v>124</v>
      </c>
      <c r="AB99" s="353">
        <f>Q20</f>
        <v>52943464.050000012</v>
      </c>
      <c r="AC99" s="352"/>
      <c r="AD99" s="352"/>
      <c r="AE99" s="352"/>
      <c r="AF99" s="352"/>
      <c r="AG99" s="352"/>
      <c r="AH99" s="352"/>
      <c r="AI99" s="352"/>
      <c r="AJ99" s="352"/>
      <c r="AK99" s="352"/>
      <c r="AL99" s="352"/>
      <c r="AM99" s="352"/>
      <c r="AN99" s="352"/>
      <c r="AO99" s="352"/>
      <c r="AP99" s="352"/>
      <c r="AQ99" s="352"/>
      <c r="AR99" s="352"/>
    </row>
    <row r="100" spans="26:44" x14ac:dyDescent="0.25">
      <c r="Z100" s="352"/>
      <c r="AA100" s="352"/>
      <c r="AB100" s="353"/>
      <c r="AC100" s="352"/>
      <c r="AD100" s="352"/>
      <c r="AE100" s="352"/>
      <c r="AF100" s="352"/>
      <c r="AG100" s="352"/>
      <c r="AH100" s="352"/>
      <c r="AI100" s="352"/>
      <c r="AJ100" s="352"/>
      <c r="AK100" s="352"/>
      <c r="AL100" s="352"/>
      <c r="AM100" s="352"/>
      <c r="AN100" s="352"/>
      <c r="AO100" s="352"/>
      <c r="AP100" s="352"/>
      <c r="AQ100" s="352"/>
      <c r="AR100" s="352"/>
    </row>
    <row r="101" spans="26:44" x14ac:dyDescent="0.25">
      <c r="Z101" s="352"/>
      <c r="AA101" s="352" t="s">
        <v>791</v>
      </c>
      <c r="AB101" s="353">
        <f>5896446</f>
        <v>5896446</v>
      </c>
      <c r="AC101" s="352"/>
      <c r="AD101" s="352"/>
      <c r="AE101" s="352"/>
      <c r="AF101" s="352"/>
      <c r="AG101" s="352"/>
      <c r="AH101" s="352"/>
      <c r="AI101" s="352"/>
      <c r="AJ101" s="352"/>
      <c r="AK101" s="352"/>
      <c r="AL101" s="352"/>
      <c r="AM101" s="352"/>
      <c r="AN101" s="352"/>
      <c r="AO101" s="352"/>
      <c r="AP101" s="352"/>
      <c r="AQ101" s="352"/>
      <c r="AR101" s="352"/>
    </row>
    <row r="102" spans="26:44" x14ac:dyDescent="0.25">
      <c r="Z102" s="352"/>
      <c r="AA102" s="352"/>
      <c r="AB102" s="455">
        <f>SUM(AB87:AB101)</f>
        <v>62959496.050000012</v>
      </c>
      <c r="AC102" s="352"/>
      <c r="AD102" s="352"/>
      <c r="AE102" s="352"/>
      <c r="AF102" s="352"/>
      <c r="AG102" s="352"/>
      <c r="AH102" s="352"/>
      <c r="AI102" s="352"/>
      <c r="AJ102" s="352"/>
      <c r="AK102" s="352"/>
      <c r="AL102" s="352"/>
      <c r="AM102" s="352"/>
      <c r="AN102" s="352"/>
      <c r="AO102" s="352"/>
      <c r="AP102" s="352"/>
      <c r="AQ102" s="352"/>
      <c r="AR102" s="352"/>
    </row>
    <row r="103" spans="26:44" x14ac:dyDescent="0.25">
      <c r="Z103" s="352"/>
      <c r="AA103" s="1"/>
      <c r="AB103" s="462"/>
      <c r="AC103" s="1"/>
      <c r="AD103" s="1"/>
      <c r="AE103" s="352"/>
      <c r="AF103" s="352"/>
      <c r="AG103" s="352"/>
      <c r="AH103" s="352"/>
      <c r="AI103" s="352"/>
      <c r="AJ103" s="352"/>
      <c r="AK103" s="352"/>
      <c r="AL103" s="352"/>
      <c r="AM103" s="352"/>
      <c r="AN103" s="352"/>
      <c r="AO103" s="352"/>
      <c r="AP103" s="352"/>
      <c r="AQ103" s="352"/>
      <c r="AR103" s="352"/>
    </row>
    <row r="104" spans="26:44" x14ac:dyDescent="0.25">
      <c r="Z104" s="352"/>
      <c r="AA104" s="1663">
        <f>AP50</f>
        <v>0</v>
      </c>
      <c r="AB104" s="1663"/>
      <c r="AC104" s="1"/>
      <c r="AD104" s="1"/>
      <c r="AE104" s="352"/>
      <c r="AF104" s="352"/>
      <c r="AG104" s="454"/>
      <c r="AH104" s="454"/>
      <c r="AI104" s="352"/>
      <c r="AJ104" s="352"/>
      <c r="AK104" s="352"/>
      <c r="AL104" s="352"/>
      <c r="AM104" s="454"/>
      <c r="AN104" s="352"/>
      <c r="AO104" s="352"/>
      <c r="AP104" s="352"/>
      <c r="AQ104" s="352"/>
      <c r="AR104" s="352"/>
    </row>
    <row r="105" spans="26:44" x14ac:dyDescent="0.25">
      <c r="Z105" s="352"/>
      <c r="AA105" s="1664" t="s">
        <v>792</v>
      </c>
      <c r="AB105" s="1664"/>
      <c r="AC105" s="1"/>
      <c r="AD105" s="1"/>
      <c r="AE105" s="352"/>
      <c r="AF105" s="352"/>
      <c r="AG105" s="1663" t="str">
        <f>AE58</f>
        <v>Mantenimiento</v>
      </c>
      <c r="AH105" s="1663"/>
      <c r="AI105" s="352"/>
      <c r="AJ105" s="352"/>
      <c r="AK105" s="352"/>
      <c r="AL105" s="352"/>
      <c r="AM105" s="454"/>
      <c r="AN105" s="352"/>
      <c r="AO105" s="352"/>
      <c r="AP105" s="352"/>
      <c r="AQ105" s="352"/>
      <c r="AR105" s="352"/>
    </row>
    <row r="106" spans="26:44" x14ac:dyDescent="0.25">
      <c r="Z106" s="352"/>
      <c r="AA106" s="1"/>
      <c r="AB106" s="1"/>
      <c r="AC106" s="1"/>
      <c r="AD106" s="1"/>
      <c r="AE106" s="454"/>
      <c r="AF106" s="454"/>
      <c r="AG106" s="1664" t="s">
        <v>793</v>
      </c>
      <c r="AH106" s="1664"/>
      <c r="AI106" s="454"/>
      <c r="AJ106" s="454"/>
      <c r="AK106" s="454"/>
      <c r="AL106" s="454"/>
      <c r="AM106" s="454"/>
      <c r="AN106" s="352"/>
      <c r="AO106" s="352"/>
      <c r="AP106" s="352"/>
      <c r="AQ106" s="352"/>
      <c r="AR106" s="352"/>
    </row>
    <row r="107" spans="26:44" x14ac:dyDescent="0.25">
      <c r="Z107" s="352"/>
      <c r="AA107" s="1"/>
      <c r="AB107" s="1"/>
      <c r="AC107" s="1"/>
      <c r="AD107" s="1"/>
      <c r="AE107" s="454"/>
      <c r="AF107" s="454"/>
      <c r="AG107" s="1"/>
      <c r="AH107" s="1"/>
      <c r="AI107" s="454"/>
      <c r="AJ107" s="454"/>
      <c r="AK107" s="454"/>
      <c r="AL107" s="454"/>
      <c r="AM107" s="352"/>
      <c r="AN107" s="352"/>
      <c r="AO107" s="352"/>
      <c r="AP107" s="352"/>
      <c r="AQ107" s="352"/>
      <c r="AR107" s="352"/>
    </row>
    <row r="108" spans="26:44" x14ac:dyDescent="0.25">
      <c r="Z108" s="352"/>
      <c r="AA108" s="1663" t="s">
        <v>794</v>
      </c>
      <c r="AB108" s="1663"/>
      <c r="AC108" s="1"/>
      <c r="AD108" s="1"/>
      <c r="AE108" s="1667" t="s">
        <v>795</v>
      </c>
      <c r="AF108" s="454"/>
      <c r="AG108" s="1"/>
      <c r="AH108" s="1"/>
      <c r="AI108" s="463"/>
      <c r="AJ108" s="1"/>
      <c r="AK108" s="1"/>
      <c r="AL108" s="1668" t="e">
        <f>AG105+AG109+AG113+AG117+AG121+AG125+AG129+AG133</f>
        <v>#VALUE!</v>
      </c>
      <c r="AM108" s="352"/>
      <c r="AN108" s="352"/>
      <c r="AO108" s="352"/>
      <c r="AP108" s="352"/>
      <c r="AQ108" s="352"/>
      <c r="AR108" s="352"/>
    </row>
    <row r="109" spans="26:44" x14ac:dyDescent="0.25">
      <c r="Z109" s="352"/>
      <c r="AA109" s="1663">
        <f>AP51</f>
        <v>0</v>
      </c>
      <c r="AB109" s="1663"/>
      <c r="AC109" s="352"/>
      <c r="AD109" s="1669">
        <f>AA104+AA109+AA112+AA116+AA120+AA124+AA128+AA132+AA137+AB144</f>
        <v>95948754.823333353</v>
      </c>
      <c r="AE109" s="1667"/>
      <c r="AF109" s="352"/>
      <c r="AG109" s="1663" t="str">
        <f>AE60</f>
        <v>Riesgos y Seguridad</v>
      </c>
      <c r="AH109" s="1663"/>
      <c r="AI109" s="464"/>
      <c r="AJ109" s="1"/>
      <c r="AK109" s="1"/>
      <c r="AL109" s="1668"/>
      <c r="AM109" s="1665" t="s">
        <v>796</v>
      </c>
      <c r="AN109" s="352"/>
      <c r="AO109" s="352"/>
      <c r="AP109" s="352"/>
      <c r="AQ109" s="352"/>
      <c r="AR109" s="352"/>
    </row>
    <row r="110" spans="26:44" x14ac:dyDescent="0.25">
      <c r="Z110" s="352"/>
      <c r="AA110" s="1"/>
      <c r="AB110" s="1"/>
      <c r="AC110" s="1"/>
      <c r="AD110" s="1669"/>
      <c r="AE110" s="1667"/>
      <c r="AF110" s="352"/>
      <c r="AG110" s="1666" t="s">
        <v>797</v>
      </c>
      <c r="AH110" s="1666"/>
      <c r="AI110" s="1"/>
      <c r="AJ110" s="1"/>
      <c r="AK110" s="1"/>
      <c r="AL110" s="1668"/>
      <c r="AM110" s="1665"/>
      <c r="AN110" s="352"/>
      <c r="AO110" s="352"/>
      <c r="AP110" s="352"/>
      <c r="AQ110" s="352"/>
      <c r="AR110" s="352"/>
    </row>
    <row r="111" spans="26:44" x14ac:dyDescent="0.25">
      <c r="Z111" s="352"/>
      <c r="AA111" s="1"/>
      <c r="AB111" s="1"/>
      <c r="AC111" s="1"/>
      <c r="AD111" s="1669"/>
      <c r="AE111" s="1667"/>
      <c r="AF111" s="352"/>
      <c r="AG111" s="1"/>
      <c r="AH111" s="1"/>
      <c r="AI111" s="1"/>
      <c r="AJ111" s="1"/>
      <c r="AK111" s="1"/>
      <c r="AL111" s="1668"/>
      <c r="AM111" s="1665"/>
      <c r="AN111" s="352"/>
      <c r="AO111" s="352"/>
      <c r="AP111" s="352"/>
      <c r="AQ111" s="352"/>
      <c r="AR111" s="352"/>
    </row>
    <row r="112" spans="26:44" x14ac:dyDescent="0.25">
      <c r="Z112" s="352"/>
      <c r="AA112" s="1663">
        <f>Q14</f>
        <v>600000</v>
      </c>
      <c r="AB112" s="1663"/>
      <c r="AC112" s="1"/>
      <c r="AD112" s="1669"/>
      <c r="AE112" s="1667"/>
      <c r="AF112" s="352"/>
      <c r="AG112" s="1"/>
      <c r="AH112" s="352"/>
      <c r="AI112" s="463"/>
      <c r="AJ112" s="1"/>
      <c r="AK112" s="1"/>
      <c r="AL112" s="1668"/>
      <c r="AM112" s="1665"/>
      <c r="AN112" s="352"/>
      <c r="AO112" s="352"/>
      <c r="AP112" s="352"/>
      <c r="AQ112" s="352"/>
      <c r="AR112" s="352"/>
    </row>
    <row r="113" spans="26:44" x14ac:dyDescent="0.25">
      <c r="Z113" s="352"/>
      <c r="AA113" s="1666" t="s">
        <v>798</v>
      </c>
      <c r="AB113" s="1666"/>
      <c r="AC113" s="352"/>
      <c r="AD113" s="1669"/>
      <c r="AE113" s="1667"/>
      <c r="AF113" s="454"/>
      <c r="AG113" s="1663" t="str">
        <f>AE62</f>
        <v>Ambiental</v>
      </c>
      <c r="AH113" s="1663"/>
      <c r="AI113" s="465"/>
      <c r="AJ113" s="352"/>
      <c r="AK113" s="352"/>
      <c r="AL113" s="1668"/>
      <c r="AM113" s="1665"/>
      <c r="AN113" s="352"/>
      <c r="AO113" s="352"/>
      <c r="AP113" s="352"/>
      <c r="AQ113" s="352"/>
      <c r="AR113" s="352"/>
    </row>
    <row r="114" spans="26:44" x14ac:dyDescent="0.25">
      <c r="Z114" s="352"/>
      <c r="AA114" s="1"/>
      <c r="AB114" s="1"/>
      <c r="AC114" s="1"/>
      <c r="AD114" s="1669"/>
      <c r="AE114" s="1667"/>
      <c r="AF114" s="352"/>
      <c r="AG114" s="1664" t="s">
        <v>97</v>
      </c>
      <c r="AH114" s="1664"/>
      <c r="AI114" s="1"/>
      <c r="AJ114" s="1"/>
      <c r="AK114" s="1"/>
      <c r="AL114" s="1668"/>
      <c r="AM114" s="1665"/>
      <c r="AN114" s="352"/>
      <c r="AO114" s="352"/>
      <c r="AP114" s="352"/>
      <c r="AQ114" s="352"/>
      <c r="AR114" s="352"/>
    </row>
    <row r="115" spans="26:44" x14ac:dyDescent="0.25">
      <c r="Z115" s="352"/>
      <c r="AA115" s="1"/>
      <c r="AB115" s="352"/>
      <c r="AC115" s="1"/>
      <c r="AD115" s="1669"/>
      <c r="AE115" s="1667"/>
      <c r="AF115" s="352"/>
      <c r="AG115" s="1"/>
      <c r="AH115" s="1"/>
      <c r="AI115" s="352"/>
      <c r="AJ115" s="1"/>
      <c r="AK115" s="1"/>
      <c r="AL115" s="1668"/>
      <c r="AM115" s="1665"/>
      <c r="AN115" s="352"/>
      <c r="AO115" s="352"/>
      <c r="AP115" s="352"/>
      <c r="AQ115" s="352"/>
      <c r="AR115" s="352"/>
    </row>
    <row r="116" spans="26:44" x14ac:dyDescent="0.25">
      <c r="Z116" s="352"/>
      <c r="AA116" s="1663">
        <f>Q15</f>
        <v>3966666.6666666665</v>
      </c>
      <c r="AB116" s="1663"/>
      <c r="AC116" s="1"/>
      <c r="AD116" s="1669"/>
      <c r="AE116" s="1667"/>
      <c r="AF116" s="352"/>
      <c r="AG116" s="1"/>
      <c r="AH116" s="1"/>
      <c r="AI116" s="463"/>
      <c r="AJ116" s="1"/>
      <c r="AK116" s="1"/>
      <c r="AL116" s="1668"/>
      <c r="AM116" s="1665"/>
      <c r="AN116" s="352"/>
      <c r="AO116" s="352"/>
      <c r="AP116" s="352"/>
      <c r="AQ116" s="352"/>
      <c r="AR116" s="352"/>
    </row>
    <row r="117" spans="26:44" x14ac:dyDescent="0.25">
      <c r="Z117" s="352"/>
      <c r="AA117" s="1664" t="s">
        <v>799</v>
      </c>
      <c r="AB117" s="1664"/>
      <c r="AC117" s="1"/>
      <c r="AD117" s="1669"/>
      <c r="AE117" s="1667"/>
      <c r="AF117" s="352"/>
      <c r="AG117" s="1663">
        <f>AE64</f>
        <v>0</v>
      </c>
      <c r="AH117" s="1663"/>
      <c r="AI117" s="464"/>
      <c r="AJ117" s="1"/>
      <c r="AK117" s="1"/>
      <c r="AL117" s="1668"/>
      <c r="AM117" s="1665"/>
      <c r="AN117" s="352"/>
      <c r="AO117" s="352"/>
      <c r="AP117" s="352"/>
      <c r="AQ117" s="352"/>
      <c r="AR117" s="352"/>
    </row>
    <row r="118" spans="26:44" x14ac:dyDescent="0.25">
      <c r="Z118" s="352"/>
      <c r="AA118" s="1"/>
      <c r="AB118" s="1"/>
      <c r="AC118" s="1"/>
      <c r="AD118" s="1669"/>
      <c r="AE118" s="1667"/>
      <c r="AF118" s="352"/>
      <c r="AG118" s="1666" t="s">
        <v>800</v>
      </c>
      <c r="AH118" s="1666"/>
      <c r="AI118" s="1"/>
      <c r="AJ118" s="1"/>
      <c r="AK118" s="1"/>
      <c r="AL118" s="1668"/>
      <c r="AM118" s="1665"/>
      <c r="AN118" s="352"/>
      <c r="AO118" s="352"/>
      <c r="AP118" s="352"/>
      <c r="AQ118" s="352"/>
      <c r="AR118" s="352"/>
    </row>
    <row r="119" spans="26:44" x14ac:dyDescent="0.25">
      <c r="Z119" s="352"/>
      <c r="AA119" s="1"/>
      <c r="AB119" s="1"/>
      <c r="AC119" s="1"/>
      <c r="AD119" s="1669"/>
      <c r="AE119" s="1667"/>
      <c r="AF119" s="352"/>
      <c r="AG119" s="454"/>
      <c r="AH119" s="454"/>
      <c r="AI119" s="1"/>
      <c r="AJ119" s="1"/>
      <c r="AK119" s="1"/>
      <c r="AL119" s="1668"/>
      <c r="AM119" s="1665"/>
      <c r="AN119" s="352"/>
      <c r="AO119" s="352"/>
      <c r="AP119" s="352"/>
      <c r="AQ119" s="352"/>
      <c r="AR119" s="352"/>
    </row>
    <row r="120" spans="26:44" x14ac:dyDescent="0.25">
      <c r="Z120" s="352"/>
      <c r="AA120" s="1663">
        <f>Q18</f>
        <v>20559806.106666666</v>
      </c>
      <c r="AB120" s="1663"/>
      <c r="AC120" s="352"/>
      <c r="AD120" s="1669"/>
      <c r="AE120" s="1667"/>
      <c r="AF120" s="352"/>
      <c r="AG120" s="1"/>
      <c r="AH120" s="1"/>
      <c r="AI120" s="463"/>
      <c r="AJ120" s="352"/>
      <c r="AK120" s="352"/>
      <c r="AL120" s="1668"/>
      <c r="AM120" s="1665"/>
      <c r="AN120" s="352"/>
      <c r="AO120" s="352"/>
      <c r="AP120" s="352"/>
      <c r="AQ120" s="352"/>
      <c r="AR120" s="352"/>
    </row>
    <row r="121" spans="26:44" x14ac:dyDescent="0.25">
      <c r="Z121" s="352"/>
      <c r="AA121" s="1664" t="s">
        <v>801</v>
      </c>
      <c r="AB121" s="1664"/>
      <c r="AC121" s="352"/>
      <c r="AD121" s="1669"/>
      <c r="AE121" s="1667"/>
      <c r="AF121" s="352"/>
      <c r="AG121" s="1663">
        <f>AE66</f>
        <v>0</v>
      </c>
      <c r="AH121" s="1663"/>
      <c r="AI121" s="465"/>
      <c r="AJ121" s="352"/>
      <c r="AK121" s="352"/>
      <c r="AL121" s="1668"/>
      <c r="AM121" s="1665"/>
      <c r="AN121" s="352"/>
      <c r="AO121" s="352"/>
      <c r="AP121" s="352"/>
      <c r="AQ121" s="352"/>
      <c r="AR121" s="352"/>
    </row>
    <row r="122" spans="26:44" x14ac:dyDescent="0.25">
      <c r="Z122" s="352"/>
      <c r="AA122" s="454"/>
      <c r="AB122" s="454"/>
      <c r="AC122" s="454"/>
      <c r="AD122" s="1669"/>
      <c r="AE122" s="1667"/>
      <c r="AF122" s="454"/>
      <c r="AG122" s="1663" t="s">
        <v>113</v>
      </c>
      <c r="AH122" s="1663"/>
      <c r="AI122" s="454"/>
      <c r="AJ122" s="454"/>
      <c r="AK122" s="454"/>
      <c r="AL122" s="1668"/>
      <c r="AM122" s="1665"/>
      <c r="AN122" s="352"/>
      <c r="AO122" s="352"/>
      <c r="AP122" s="352"/>
      <c r="AQ122" s="352"/>
      <c r="AR122" s="352"/>
    </row>
    <row r="123" spans="26:44" x14ac:dyDescent="0.25">
      <c r="Z123" s="352"/>
      <c r="AA123" s="1"/>
      <c r="AB123" s="1"/>
      <c r="AC123" s="352"/>
      <c r="AD123" s="1669"/>
      <c r="AE123" s="1667"/>
      <c r="AF123" s="352"/>
      <c r="AG123" s="352"/>
      <c r="AH123" s="352"/>
      <c r="AI123" s="1"/>
      <c r="AJ123" s="352"/>
      <c r="AK123" s="352"/>
      <c r="AL123" s="1668"/>
      <c r="AM123" s="1665"/>
      <c r="AN123" s="352"/>
      <c r="AO123" s="352"/>
      <c r="AP123" s="352"/>
      <c r="AQ123" s="352"/>
      <c r="AR123" s="352"/>
    </row>
    <row r="124" spans="26:44" x14ac:dyDescent="0.25">
      <c r="Z124" s="352"/>
      <c r="AA124" s="1663">
        <f>AP52</f>
        <v>0</v>
      </c>
      <c r="AB124" s="1663"/>
      <c r="AC124" s="352"/>
      <c r="AD124" s="1669"/>
      <c r="AE124" s="1667"/>
      <c r="AF124" s="352"/>
      <c r="AG124" s="454"/>
      <c r="AH124" s="454"/>
      <c r="AI124" s="463"/>
      <c r="AJ124" s="352"/>
      <c r="AK124" s="352"/>
      <c r="AL124" s="1668"/>
      <c r="AM124" s="1665"/>
      <c r="AN124" s="352"/>
      <c r="AO124" s="352"/>
      <c r="AP124" s="352"/>
      <c r="AQ124" s="352"/>
      <c r="AR124" s="352"/>
    </row>
    <row r="125" spans="26:44" x14ac:dyDescent="0.25">
      <c r="Z125" s="352"/>
      <c r="AA125" s="1663" t="s">
        <v>802</v>
      </c>
      <c r="AB125" s="1663"/>
      <c r="AC125" s="352"/>
      <c r="AD125" s="466"/>
      <c r="AE125" s="1667"/>
      <c r="AF125" s="352"/>
      <c r="AG125" s="1670">
        <v>7358809</v>
      </c>
      <c r="AH125" s="1670"/>
      <c r="AI125" s="463"/>
      <c r="AJ125" s="352"/>
      <c r="AK125" s="352"/>
      <c r="AL125" s="1668"/>
      <c r="AM125" s="352"/>
      <c r="AN125" s="352"/>
      <c r="AO125" s="352"/>
      <c r="AP125" s="352"/>
      <c r="AQ125" s="352"/>
      <c r="AR125" s="352"/>
    </row>
    <row r="126" spans="26:44" x14ac:dyDescent="0.25">
      <c r="Z126" s="352"/>
      <c r="AA126" s="1671"/>
      <c r="AB126" s="1671"/>
      <c r="AC126" s="352"/>
      <c r="AD126" s="352"/>
      <c r="AE126" s="352"/>
      <c r="AF126" s="352"/>
      <c r="AG126" s="1663" t="s">
        <v>803</v>
      </c>
      <c r="AH126" s="1663"/>
      <c r="AI126" s="352"/>
      <c r="AJ126" s="352"/>
      <c r="AK126" s="352"/>
      <c r="AL126" s="466"/>
      <c r="AM126" s="352"/>
      <c r="AN126" s="352"/>
      <c r="AO126" s="352"/>
      <c r="AP126" s="352"/>
      <c r="AQ126" s="352"/>
      <c r="AR126" s="352"/>
    </row>
    <row r="127" spans="26:44" x14ac:dyDescent="0.25">
      <c r="Z127" s="352"/>
      <c r="AA127" s="459"/>
      <c r="AB127" s="454"/>
      <c r="AC127" s="454"/>
      <c r="AD127" s="454"/>
      <c r="AE127" s="468">
        <v>45200</v>
      </c>
      <c r="AF127" s="454"/>
      <c r="AG127" s="352"/>
      <c r="AH127" s="352"/>
      <c r="AI127" s="454"/>
      <c r="AJ127" s="454"/>
      <c r="AK127" s="454"/>
      <c r="AL127" s="454"/>
      <c r="AM127" s="468">
        <v>45200</v>
      </c>
      <c r="AN127" s="352"/>
      <c r="AO127" s="352"/>
      <c r="AP127" s="352"/>
      <c r="AQ127" s="352"/>
      <c r="AR127" s="352"/>
    </row>
    <row r="128" spans="26:44" x14ac:dyDescent="0.25">
      <c r="Z128" s="1"/>
      <c r="AA128" s="469">
        <f>Q20</f>
        <v>52943464.050000012</v>
      </c>
      <c r="AB128" s="1"/>
      <c r="AC128" s="352"/>
      <c r="AD128" s="352"/>
      <c r="AE128" s="352"/>
      <c r="AF128" s="352"/>
      <c r="AG128" s="352"/>
      <c r="AH128" s="352"/>
      <c r="AI128" s="467"/>
      <c r="AJ128" s="352"/>
      <c r="AK128" s="352"/>
      <c r="AL128" s="352"/>
      <c r="AM128" s="352"/>
      <c r="AN128" s="352"/>
      <c r="AO128" s="352"/>
      <c r="AP128" s="352"/>
      <c r="AQ128" s="352"/>
      <c r="AR128" s="352"/>
    </row>
    <row r="129" spans="26:44" x14ac:dyDescent="0.25">
      <c r="Z129" s="470"/>
      <c r="AA129" s="1672" t="s">
        <v>124</v>
      </c>
      <c r="AB129" s="1672"/>
      <c r="AC129" s="352"/>
      <c r="AD129" s="352"/>
      <c r="AE129" s="352"/>
      <c r="AF129" s="352"/>
      <c r="AG129" s="1663">
        <v>3039759</v>
      </c>
      <c r="AH129" s="1663"/>
      <c r="AI129" s="352"/>
      <c r="AJ129" s="352"/>
      <c r="AK129" s="352"/>
      <c r="AL129" s="352"/>
      <c r="AM129" s="352"/>
      <c r="AN129" s="352"/>
      <c r="AO129" s="352"/>
      <c r="AP129" s="352"/>
      <c r="AQ129" s="352"/>
      <c r="AR129" s="352"/>
    </row>
    <row r="130" spans="26:44" x14ac:dyDescent="0.25">
      <c r="Z130" s="352"/>
      <c r="AA130" s="352"/>
      <c r="AB130" s="352"/>
      <c r="AC130" s="352"/>
      <c r="AD130" s="352"/>
      <c r="AE130" s="352"/>
      <c r="AF130" s="352"/>
      <c r="AG130" s="1657" t="s">
        <v>804</v>
      </c>
      <c r="AH130" s="1657"/>
      <c r="AI130" s="352"/>
      <c r="AJ130" s="352"/>
      <c r="AK130" s="352"/>
      <c r="AL130" s="352"/>
      <c r="AM130" s="352"/>
      <c r="AN130" s="352"/>
      <c r="AO130" s="352"/>
      <c r="AP130" s="352"/>
      <c r="AQ130" s="352"/>
      <c r="AR130" s="352"/>
    </row>
    <row r="131" spans="26:44" x14ac:dyDescent="0.25">
      <c r="Z131" s="352"/>
      <c r="AA131" s="1670" t="s">
        <v>791</v>
      </c>
      <c r="AB131" s="1670"/>
      <c r="AC131" s="352"/>
      <c r="AD131" s="352"/>
      <c r="AE131" s="352"/>
      <c r="AF131" s="352"/>
      <c r="AG131" s="352"/>
      <c r="AH131" s="352"/>
      <c r="AI131" s="352"/>
      <c r="AJ131" s="352"/>
      <c r="AK131" s="352"/>
      <c r="AL131" s="352"/>
      <c r="AM131" s="352"/>
      <c r="AN131" s="352"/>
      <c r="AO131" s="352"/>
      <c r="AP131" s="352"/>
      <c r="AQ131" s="352"/>
      <c r="AR131" s="352"/>
    </row>
    <row r="132" spans="26:44" x14ac:dyDescent="0.25">
      <c r="Z132" s="352"/>
      <c r="AA132" s="1663">
        <v>7063111</v>
      </c>
      <c r="AB132" s="1663"/>
      <c r="AC132" s="352"/>
      <c r="AD132" s="352"/>
      <c r="AE132" s="352"/>
      <c r="AF132" s="352"/>
      <c r="AG132" s="471"/>
      <c r="AH132" s="471"/>
      <c r="AI132" s="467"/>
      <c r="AJ132" s="352"/>
      <c r="AK132" s="352"/>
      <c r="AL132" s="352"/>
      <c r="AM132" s="352"/>
      <c r="AN132" s="352"/>
      <c r="AO132" s="352"/>
      <c r="AP132" s="352"/>
      <c r="AQ132" s="352"/>
      <c r="AR132" s="352"/>
    </row>
    <row r="133" spans="26:44" x14ac:dyDescent="0.25">
      <c r="Z133" s="352"/>
      <c r="AA133" s="352"/>
      <c r="AB133" s="352"/>
      <c r="AC133" s="352"/>
      <c r="AD133" s="352"/>
      <c r="AE133" s="352"/>
      <c r="AF133" s="352"/>
      <c r="AG133" s="1673">
        <v>6685800</v>
      </c>
      <c r="AH133" s="1673"/>
      <c r="AI133" s="452"/>
      <c r="AJ133" s="352"/>
      <c r="AK133" s="352"/>
      <c r="AL133" s="352"/>
      <c r="AM133" s="352"/>
      <c r="AN133" s="352"/>
      <c r="AO133" s="352"/>
      <c r="AP133" s="352"/>
      <c r="AQ133" s="352"/>
      <c r="AR133" s="352"/>
    </row>
    <row r="134" spans="26:44" x14ac:dyDescent="0.25">
      <c r="Z134" s="352"/>
      <c r="AA134" s="352"/>
      <c r="AB134" s="352"/>
      <c r="AC134" s="352"/>
      <c r="AD134" s="352"/>
      <c r="AE134" s="352"/>
      <c r="AF134" s="352"/>
      <c r="AG134" s="1674" t="s">
        <v>805</v>
      </c>
      <c r="AH134" s="1674"/>
      <c r="AI134" s="352"/>
      <c r="AJ134" s="352"/>
      <c r="AK134" s="352"/>
      <c r="AL134" s="352"/>
      <c r="AM134" s="352"/>
      <c r="AN134" s="352"/>
      <c r="AO134" s="352"/>
      <c r="AP134" s="352"/>
      <c r="AQ134" s="352"/>
      <c r="AR134" s="352"/>
    </row>
    <row r="135" spans="26:44" x14ac:dyDescent="0.25">
      <c r="Z135" s="352"/>
      <c r="AA135" s="352"/>
      <c r="AB135" s="352"/>
      <c r="AC135" s="352"/>
      <c r="AD135" s="352"/>
      <c r="AE135" s="352"/>
      <c r="AF135" s="352"/>
      <c r="AG135" s="1674"/>
      <c r="AH135" s="1674"/>
      <c r="AI135" s="352"/>
      <c r="AJ135" s="352"/>
      <c r="AK135" s="352"/>
      <c r="AL135" s="352"/>
      <c r="AM135" s="352"/>
      <c r="AN135" s="352"/>
      <c r="AO135" s="352"/>
      <c r="AP135" s="352"/>
      <c r="AQ135" s="352"/>
      <c r="AR135" s="352"/>
    </row>
    <row r="136" spans="26:44" x14ac:dyDescent="0.25">
      <c r="Z136" s="352"/>
      <c r="AA136" s="1657" t="s">
        <v>806</v>
      </c>
      <c r="AB136" s="1657"/>
      <c r="AC136" s="352"/>
      <c r="AD136" s="352"/>
      <c r="AE136" s="352"/>
      <c r="AF136" s="352"/>
      <c r="AG136" s="471"/>
      <c r="AH136" s="471"/>
      <c r="AI136" s="352"/>
      <c r="AJ136" s="352"/>
      <c r="AK136" s="352"/>
      <c r="AL136" s="352"/>
      <c r="AM136" s="352"/>
      <c r="AN136" s="352"/>
      <c r="AO136" s="352"/>
      <c r="AP136" s="352"/>
      <c r="AQ136" s="352"/>
      <c r="AR136" s="352"/>
    </row>
    <row r="137" spans="26:44" x14ac:dyDescent="0.25">
      <c r="Z137" s="352"/>
      <c r="AA137" s="1670">
        <v>7358809</v>
      </c>
      <c r="AB137" s="1670"/>
      <c r="AC137" s="352"/>
      <c r="AD137" s="352"/>
      <c r="AE137" s="352"/>
      <c r="AF137" s="352"/>
      <c r="AG137" s="471"/>
      <c r="AH137" s="471"/>
      <c r="AI137" s="352"/>
      <c r="AJ137" s="352"/>
      <c r="AK137" s="352"/>
      <c r="AL137" s="352"/>
      <c r="AM137" s="352"/>
      <c r="AN137" s="352"/>
      <c r="AO137" s="352"/>
      <c r="AP137" s="352"/>
      <c r="AQ137" s="352"/>
      <c r="AR137" s="352"/>
    </row>
    <row r="138" spans="26:44" x14ac:dyDescent="0.25">
      <c r="Z138" s="352"/>
      <c r="AA138" s="352"/>
      <c r="AB138" s="352"/>
      <c r="AC138" s="352"/>
      <c r="AD138" s="352"/>
      <c r="AE138" s="352"/>
      <c r="AF138" s="352"/>
      <c r="AG138" s="1675">
        <v>1541050</v>
      </c>
      <c r="AH138" s="1675"/>
      <c r="AI138" s="352"/>
      <c r="AJ138" s="352"/>
      <c r="AK138" s="352"/>
      <c r="AL138" s="352"/>
      <c r="AM138" s="352"/>
      <c r="AN138" s="352"/>
      <c r="AO138" s="352"/>
      <c r="AP138" s="352"/>
      <c r="AQ138" s="352"/>
      <c r="AR138" s="352"/>
    </row>
    <row r="139" spans="26:44" x14ac:dyDescent="0.25">
      <c r="Z139" s="352"/>
      <c r="AA139" s="352"/>
      <c r="AB139" s="352"/>
      <c r="AC139" s="352"/>
      <c r="AD139" s="352"/>
      <c r="AE139" s="352"/>
      <c r="AF139" s="352"/>
      <c r="AG139" s="1676" t="s">
        <v>807</v>
      </c>
      <c r="AH139" s="1676"/>
      <c r="AI139" s="352"/>
      <c r="AJ139" s="352"/>
      <c r="AK139" s="352"/>
      <c r="AL139" s="352"/>
      <c r="AM139" s="352"/>
      <c r="AN139" s="352"/>
      <c r="AO139" s="352"/>
      <c r="AP139" s="352"/>
      <c r="AQ139" s="352"/>
      <c r="AR139" s="352"/>
    </row>
    <row r="140" spans="26:44" x14ac:dyDescent="0.25">
      <c r="Z140" s="352"/>
      <c r="AA140" s="352"/>
      <c r="AB140" s="352"/>
      <c r="AC140" s="352"/>
      <c r="AD140" s="352"/>
      <c r="AE140" s="352"/>
      <c r="AF140" s="352"/>
      <c r="AG140" s="1676"/>
      <c r="AH140" s="1676"/>
      <c r="AI140" s="352"/>
      <c r="AJ140" s="352"/>
      <c r="AK140" s="352"/>
      <c r="AL140" s="352"/>
      <c r="AM140" s="352"/>
      <c r="AN140" s="352"/>
      <c r="AO140" s="352"/>
      <c r="AP140" s="352"/>
      <c r="AQ140" s="352"/>
      <c r="AR140" s="352"/>
    </row>
    <row r="141" spans="26:44" x14ac:dyDescent="0.25">
      <c r="Z141" s="352"/>
      <c r="AA141" s="1657" t="s">
        <v>808</v>
      </c>
      <c r="AB141" s="1657"/>
      <c r="AC141" s="352"/>
      <c r="AD141" s="352"/>
      <c r="AE141" s="352"/>
      <c r="AF141" s="352"/>
      <c r="AG141" s="1676"/>
      <c r="AH141" s="1676"/>
      <c r="AI141" s="352"/>
      <c r="AJ141" s="352"/>
      <c r="AK141" s="352"/>
      <c r="AL141" s="352"/>
      <c r="AM141" s="352"/>
      <c r="AN141" s="352"/>
      <c r="AO141" s="352"/>
      <c r="AP141" s="352"/>
      <c r="AQ141" s="352"/>
      <c r="AR141" s="352"/>
    </row>
    <row r="142" spans="26:44" x14ac:dyDescent="0.25">
      <c r="Z142" s="352"/>
      <c r="AA142" s="1677" t="s">
        <v>809</v>
      </c>
      <c r="AB142" s="1677"/>
      <c r="AC142" s="352"/>
      <c r="AD142" s="352"/>
      <c r="AE142" s="352"/>
      <c r="AF142" s="352"/>
      <c r="AG142" s="471"/>
      <c r="AH142" s="471"/>
      <c r="AI142" s="352"/>
      <c r="AJ142" s="352"/>
      <c r="AK142" s="352"/>
      <c r="AL142" s="352"/>
      <c r="AM142" s="352"/>
      <c r="AN142" s="352"/>
      <c r="AO142" s="352"/>
      <c r="AP142" s="352"/>
      <c r="AQ142" s="352"/>
      <c r="AR142" s="352"/>
    </row>
    <row r="143" spans="26:44" x14ac:dyDescent="0.25">
      <c r="Z143" s="352"/>
      <c r="AA143" s="1677"/>
      <c r="AB143" s="1677"/>
      <c r="AC143" s="352"/>
      <c r="AD143" s="352"/>
      <c r="AE143" s="352"/>
      <c r="AF143" s="352"/>
      <c r="AG143" s="352"/>
      <c r="AH143" s="352"/>
      <c r="AI143" s="352"/>
      <c r="AJ143" s="352"/>
      <c r="AK143" s="352"/>
      <c r="AL143" s="352"/>
      <c r="AM143" s="352"/>
      <c r="AN143" s="352"/>
      <c r="AO143" s="352"/>
      <c r="AP143" s="352"/>
      <c r="AQ143" s="352"/>
      <c r="AR143" s="352"/>
    </row>
    <row r="144" spans="26:44" x14ac:dyDescent="0.25">
      <c r="Z144" s="352"/>
      <c r="AA144" s="472" t="s">
        <v>810</v>
      </c>
      <c r="AB144" s="473">
        <f>10142698-6685800</f>
        <v>3456898</v>
      </c>
      <c r="AC144" s="352"/>
      <c r="AD144" s="352"/>
      <c r="AE144" s="352"/>
      <c r="AF144" s="352"/>
      <c r="AG144" s="352"/>
      <c r="AH144" s="352"/>
      <c r="AI144" s="352"/>
      <c r="AJ144" s="352"/>
      <c r="AK144" s="352"/>
      <c r="AL144" s="352"/>
      <c r="AM144" s="352"/>
      <c r="AN144" s="352"/>
      <c r="AO144" s="352"/>
      <c r="AP144" s="352"/>
      <c r="AQ144" s="352"/>
      <c r="AR144" s="352"/>
    </row>
    <row r="145" spans="26:44" x14ac:dyDescent="0.25">
      <c r="Z145" s="352"/>
      <c r="AA145" s="352"/>
      <c r="AB145" s="352"/>
      <c r="AC145" s="352"/>
      <c r="AD145" s="352"/>
      <c r="AE145" s="352"/>
      <c r="AF145" s="352"/>
      <c r="AG145" s="352"/>
      <c r="AH145" s="352"/>
      <c r="AI145" s="352"/>
      <c r="AJ145" s="352"/>
      <c r="AK145" s="352"/>
      <c r="AL145" s="352"/>
      <c r="AM145" s="352"/>
      <c r="AN145" s="352"/>
      <c r="AO145" s="352"/>
      <c r="AP145" s="352"/>
      <c r="AQ145" s="352"/>
      <c r="AR145" s="352"/>
    </row>
    <row r="146" spans="26:44" x14ac:dyDescent="0.25">
      <c r="Z146" s="352"/>
      <c r="AA146" s="352"/>
      <c r="AB146" s="352"/>
      <c r="AC146" s="352"/>
      <c r="AD146" s="352"/>
      <c r="AE146" s="352"/>
      <c r="AF146" s="352"/>
      <c r="AG146" s="352"/>
      <c r="AH146" s="352"/>
      <c r="AI146" s="352"/>
      <c r="AJ146" s="352"/>
      <c r="AK146" s="352"/>
      <c r="AL146" s="352"/>
      <c r="AM146" s="352"/>
      <c r="AN146" s="352"/>
      <c r="AO146" s="352"/>
      <c r="AP146" s="352"/>
      <c r="AQ146" s="352"/>
      <c r="AR146" s="352"/>
    </row>
    <row r="147" spans="26:44" x14ac:dyDescent="0.25">
      <c r="Z147" s="352"/>
      <c r="AA147" s="352"/>
      <c r="AB147" s="352"/>
      <c r="AC147" s="352"/>
      <c r="AD147" s="352"/>
      <c r="AE147" s="352"/>
      <c r="AF147" s="352"/>
      <c r="AG147" s="352"/>
      <c r="AH147" s="352"/>
      <c r="AI147" s="352"/>
      <c r="AJ147" s="352"/>
      <c r="AK147" s="352"/>
      <c r="AL147" s="352"/>
      <c r="AM147" s="352"/>
      <c r="AN147" s="352"/>
      <c r="AO147" s="352"/>
      <c r="AP147" s="352"/>
      <c r="AQ147" s="352"/>
      <c r="AR147" s="352"/>
    </row>
    <row r="148" spans="26:44" x14ac:dyDescent="0.25">
      <c r="Z148" s="352"/>
      <c r="AA148" s="352"/>
      <c r="AB148" s="352"/>
      <c r="AC148" s="352"/>
      <c r="AD148" s="352"/>
      <c r="AE148" s="352"/>
      <c r="AF148" s="352"/>
      <c r="AG148" s="352"/>
      <c r="AH148" s="352"/>
      <c r="AI148" s="352"/>
      <c r="AJ148" s="352"/>
      <c r="AK148" s="352"/>
      <c r="AL148" s="352"/>
      <c r="AM148" s="352"/>
      <c r="AN148" s="352"/>
      <c r="AO148" s="352"/>
      <c r="AP148" s="352"/>
      <c r="AQ148" s="352"/>
      <c r="AR148" s="352"/>
    </row>
    <row r="149" spans="26:44" x14ac:dyDescent="0.25">
      <c r="Z149" s="352"/>
      <c r="AA149" s="352"/>
      <c r="AB149" s="352"/>
      <c r="AC149" s="352"/>
      <c r="AD149" s="352"/>
      <c r="AE149" s="352"/>
      <c r="AF149" s="352"/>
      <c r="AG149" s="352"/>
      <c r="AH149" s="352"/>
      <c r="AI149" s="352"/>
      <c r="AJ149" s="352"/>
      <c r="AK149" s="352"/>
      <c r="AL149" s="352"/>
      <c r="AM149" s="352"/>
      <c r="AN149" s="352"/>
      <c r="AO149" s="352"/>
      <c r="AP149" s="352"/>
      <c r="AQ149" s="352"/>
      <c r="AR149" s="352"/>
    </row>
    <row r="150" spans="26:44" x14ac:dyDescent="0.25">
      <c r="Z150" s="352"/>
      <c r="AA150" s="352"/>
      <c r="AB150" s="352"/>
      <c r="AC150" s="352"/>
      <c r="AD150" s="352"/>
      <c r="AE150" s="352"/>
      <c r="AF150" s="352"/>
      <c r="AG150" s="352"/>
      <c r="AH150" s="352"/>
      <c r="AI150" s="352"/>
      <c r="AJ150" s="352"/>
      <c r="AK150" s="352"/>
      <c r="AL150" s="352"/>
      <c r="AM150" s="352"/>
      <c r="AN150" s="352"/>
      <c r="AO150" s="352"/>
      <c r="AP150" s="352"/>
      <c r="AQ150" s="352"/>
      <c r="AR150" s="352"/>
    </row>
  </sheetData>
  <mergeCells count="49">
    <mergeCell ref="Z32:Z33"/>
    <mergeCell ref="B3:S3"/>
    <mergeCell ref="B1:S1"/>
    <mergeCell ref="AA7:AD7"/>
    <mergeCell ref="Z15:Z16"/>
    <mergeCell ref="AG117:AH117"/>
    <mergeCell ref="AG118:AH118"/>
    <mergeCell ref="AG15:AG16"/>
    <mergeCell ref="AA104:AB104"/>
    <mergeCell ref="AA105:AB105"/>
    <mergeCell ref="AG105:AH105"/>
    <mergeCell ref="AG106:AH106"/>
    <mergeCell ref="AL108:AL125"/>
    <mergeCell ref="AA109:AB109"/>
    <mergeCell ref="AD109:AD124"/>
    <mergeCell ref="AG109:AH109"/>
    <mergeCell ref="AM109:AM124"/>
    <mergeCell ref="AG110:AH110"/>
    <mergeCell ref="AA112:AB112"/>
    <mergeCell ref="AA113:AB113"/>
    <mergeCell ref="AG113:AH113"/>
    <mergeCell ref="AG114:AH114"/>
    <mergeCell ref="AG122:AH122"/>
    <mergeCell ref="AA124:AB124"/>
    <mergeCell ref="AA108:AB108"/>
    <mergeCell ref="AE108:AE125"/>
    <mergeCell ref="AA116:AB116"/>
    <mergeCell ref="AA117:AB117"/>
    <mergeCell ref="AA136:AB136"/>
    <mergeCell ref="AA125:AB125"/>
    <mergeCell ref="AG125:AH125"/>
    <mergeCell ref="AA126:AB126"/>
    <mergeCell ref="AG126:AH126"/>
    <mergeCell ref="AM14:AM15"/>
    <mergeCell ref="AA142:AB143"/>
    <mergeCell ref="AG130:AH130"/>
    <mergeCell ref="AA131:AB131"/>
    <mergeCell ref="AA132:AB132"/>
    <mergeCell ref="AG133:AH133"/>
    <mergeCell ref="AG134:AH135"/>
    <mergeCell ref="AA129:AB129"/>
    <mergeCell ref="AG129:AH129"/>
    <mergeCell ref="AA137:AB137"/>
    <mergeCell ref="AG138:AH138"/>
    <mergeCell ref="AG139:AH141"/>
    <mergeCell ref="AA141:AB141"/>
    <mergeCell ref="AA120:AB120"/>
    <mergeCell ref="AA121:AB121"/>
    <mergeCell ref="AG121:AH121"/>
  </mergeCells>
  <printOptions horizontalCentered="1"/>
  <pageMargins left="0" right="0" top="0" bottom="0" header="0" footer="0"/>
  <pageSetup scale="55" orientation="landscape" r:id="rId1"/>
  <drawing r:id="rId2"/>
  <legacyDrawing r:id="rId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4248-A647-4FA0-8A9E-A30593B58766}">
  <sheetPr>
    <tabColor rgb="FFFFFF00"/>
    <pageSetUpPr fitToPage="1"/>
  </sheetPr>
  <dimension ref="A1:N61"/>
  <sheetViews>
    <sheetView zoomScale="112" zoomScaleNormal="112" workbookViewId="0">
      <selection activeCell="I8" sqref="I8"/>
    </sheetView>
  </sheetViews>
  <sheetFormatPr baseColWidth="10" defaultColWidth="11.453125" defaultRowHeight="11.5" x14ac:dyDescent="0.25"/>
  <cols>
    <col min="1" max="1" width="4.1796875" style="352" customWidth="1"/>
    <col min="2" max="2" width="33.26953125" style="352" customWidth="1"/>
    <col min="3" max="3" width="11.54296875" style="352" bestFit="1" customWidth="1"/>
    <col min="4" max="4" width="14.54296875" style="352" customWidth="1"/>
    <col min="5" max="5" width="14.1796875" style="352" customWidth="1"/>
    <col min="6" max="6" width="13" style="352" hidden="1" customWidth="1"/>
    <col min="7" max="7" width="14.54296875" style="472" hidden="1" customWidth="1"/>
    <col min="8" max="8" width="11.453125" style="472" bestFit="1"/>
    <col min="9" max="16384" width="11.453125" style="352"/>
  </cols>
  <sheetData>
    <row r="1" spans="2:14" x14ac:dyDescent="0.25">
      <c r="B1" s="458"/>
      <c r="C1" s="390"/>
      <c r="D1" s="390"/>
      <c r="E1" s="390"/>
      <c r="F1" s="390"/>
      <c r="G1" s="792"/>
      <c r="H1" s="793"/>
    </row>
    <row r="2" spans="2:14" x14ac:dyDescent="0.25">
      <c r="B2" s="1748" t="s">
        <v>218</v>
      </c>
      <c r="C2" s="1749"/>
      <c r="D2" s="1749"/>
      <c r="E2" s="1749"/>
      <c r="F2" s="1749"/>
      <c r="G2" s="1750"/>
      <c r="H2" s="794"/>
      <c r="I2" s="795"/>
      <c r="J2" s="795"/>
      <c r="K2" s="795"/>
      <c r="L2" s="795"/>
      <c r="M2" s="795"/>
      <c r="N2" s="795"/>
    </row>
    <row r="3" spans="2:14" ht="11.25" customHeight="1" x14ac:dyDescent="0.25">
      <c r="B3" s="796"/>
      <c r="C3" s="797"/>
      <c r="D3" s="797"/>
      <c r="E3" s="797"/>
      <c r="F3" s="797"/>
      <c r="G3" s="798"/>
      <c r="H3" s="799"/>
    </row>
    <row r="4" spans="2:14" ht="12" x14ac:dyDescent="0.3">
      <c r="B4" s="1751" t="s">
        <v>1240</v>
      </c>
      <c r="C4" s="1752"/>
      <c r="D4" s="1752"/>
      <c r="E4" s="1752"/>
      <c r="F4" s="1752"/>
      <c r="G4" s="1753"/>
      <c r="H4" s="799"/>
    </row>
    <row r="5" spans="2:14" ht="9" customHeight="1" x14ac:dyDescent="0.25">
      <c r="B5" s="800">
        <v>2</v>
      </c>
      <c r="C5" s="801"/>
      <c r="D5" s="801"/>
      <c r="E5" s="801"/>
      <c r="F5" s="801"/>
      <c r="G5" s="802"/>
      <c r="H5" s="802"/>
    </row>
    <row r="6" spans="2:14" ht="33.75" customHeight="1" x14ac:dyDescent="0.25">
      <c r="B6" s="803" t="s">
        <v>47</v>
      </c>
      <c r="C6" s="804" t="s">
        <v>56</v>
      </c>
      <c r="D6" s="805" t="s">
        <v>27</v>
      </c>
      <c r="E6" s="806" t="s">
        <v>1241</v>
      </c>
      <c r="F6" s="806" t="s">
        <v>28</v>
      </c>
      <c r="G6" s="807" t="s">
        <v>29</v>
      </c>
      <c r="H6" s="793" t="s">
        <v>1242</v>
      </c>
    </row>
    <row r="7" spans="2:14" x14ac:dyDescent="0.25">
      <c r="B7" s="808" t="s">
        <v>79</v>
      </c>
      <c r="C7" s="809">
        <f>+'[12]ESTADO DE RESULTADOS'!D11</f>
        <v>2766619.86</v>
      </c>
      <c r="D7" s="810">
        <f>+C7*12</f>
        <v>33199438.32</v>
      </c>
      <c r="E7" s="810">
        <f>+'[12]ESTADO DE RESULTADOS'!R11</f>
        <v>11066476</v>
      </c>
      <c r="F7" s="810">
        <f>+D7-E7</f>
        <v>22132962.32</v>
      </c>
      <c r="G7" s="811">
        <f>+E7/D7</f>
        <v>0.33333322971712254</v>
      </c>
      <c r="H7" s="812">
        <f>+E7/D7</f>
        <v>0.33333322971712254</v>
      </c>
    </row>
    <row r="8" spans="2:14" x14ac:dyDescent="0.25">
      <c r="B8" s="808" t="s">
        <v>80</v>
      </c>
      <c r="C8" s="809">
        <f>+'[12]ESTADO DE RESULTADOS'!D12</f>
        <v>105000</v>
      </c>
      <c r="D8" s="810">
        <f t="shared" ref="D8:D51" si="0">+C8*12</f>
        <v>1260000</v>
      </c>
      <c r="E8" s="810">
        <f>+'[12]ESTADO DE RESULTADOS'!R12</f>
        <v>774333</v>
      </c>
      <c r="F8" s="810">
        <f t="shared" ref="F8:F42" si="1">+D8-E8</f>
        <v>485667</v>
      </c>
      <c r="G8" s="811">
        <f t="shared" ref="G8:G39" si="2">+E8/D8</f>
        <v>0.61455000000000004</v>
      </c>
      <c r="H8" s="813">
        <f t="shared" ref="H8:H47" si="3">+E8/D8</f>
        <v>0.61455000000000004</v>
      </c>
    </row>
    <row r="9" spans="2:14" x14ac:dyDescent="0.25">
      <c r="B9" s="808" t="s">
        <v>81</v>
      </c>
      <c r="C9" s="809">
        <f>+'[12]ESTADO DE RESULTADOS'!D13</f>
        <v>875000</v>
      </c>
      <c r="D9" s="810">
        <f t="shared" si="0"/>
        <v>10500000</v>
      </c>
      <c r="E9" s="810">
        <f>+'[12]ESTADO DE RESULTADOS'!R13</f>
        <v>2444083</v>
      </c>
      <c r="F9" s="810">
        <f t="shared" si="1"/>
        <v>8055917</v>
      </c>
      <c r="G9" s="811">
        <f t="shared" si="2"/>
        <v>0.23276980952380952</v>
      </c>
      <c r="H9" s="812">
        <f t="shared" si="3"/>
        <v>0.23276980952380952</v>
      </c>
    </row>
    <row r="10" spans="2:14" x14ac:dyDescent="0.25">
      <c r="B10" s="808" t="s">
        <v>82</v>
      </c>
      <c r="C10" s="809">
        <f>+'[12]ESTADO DE RESULTADOS'!D14</f>
        <v>150000</v>
      </c>
      <c r="D10" s="810">
        <f t="shared" si="0"/>
        <v>1800000</v>
      </c>
      <c r="E10" s="810">
        <f>+'[12]ESTADO DE RESULTADOS'!R14</f>
        <v>700038</v>
      </c>
      <c r="F10" s="810">
        <f t="shared" si="1"/>
        <v>1099962</v>
      </c>
      <c r="G10" s="811">
        <f t="shared" si="2"/>
        <v>0.38890999999999998</v>
      </c>
      <c r="H10" s="813">
        <f t="shared" si="3"/>
        <v>0.38890999999999998</v>
      </c>
    </row>
    <row r="11" spans="2:14" x14ac:dyDescent="0.25">
      <c r="B11" s="808" t="s">
        <v>83</v>
      </c>
      <c r="C11" s="809">
        <f>+'[12]ESTADO DE RESULTADOS'!D15</f>
        <v>991666.66666666663</v>
      </c>
      <c r="D11" s="810">
        <f t="shared" si="0"/>
        <v>11900000</v>
      </c>
      <c r="E11" s="810">
        <f>+'[12]ESTADO DE RESULTADOS'!R15</f>
        <v>2939771</v>
      </c>
      <c r="F11" s="810">
        <f t="shared" si="1"/>
        <v>8960229</v>
      </c>
      <c r="G11" s="814">
        <f>+E11/D11</f>
        <v>0.24703957983193278</v>
      </c>
      <c r="H11" s="812">
        <f t="shared" si="3"/>
        <v>0.24703957983193278</v>
      </c>
    </row>
    <row r="12" spans="2:14" x14ac:dyDescent="0.25">
      <c r="B12" s="808" t="s">
        <v>84</v>
      </c>
      <c r="C12" s="809">
        <f>+'[12]ESTADO DE RESULTADOS'!D16</f>
        <v>49166.666666666664</v>
      </c>
      <c r="D12" s="810">
        <f t="shared" si="0"/>
        <v>590000</v>
      </c>
      <c r="E12" s="810">
        <f>+'[12]ESTADO DE RESULTADOS'!R16</f>
        <v>140000</v>
      </c>
      <c r="F12" s="810">
        <f t="shared" si="1"/>
        <v>450000</v>
      </c>
      <c r="G12" s="811">
        <f>+E12/D12</f>
        <v>0.23728813559322035</v>
      </c>
      <c r="H12" s="812">
        <f t="shared" si="3"/>
        <v>0.23728813559322035</v>
      </c>
    </row>
    <row r="13" spans="2:14" x14ac:dyDescent="0.25">
      <c r="B13" s="808" t="s">
        <v>85</v>
      </c>
      <c r="C13" s="809">
        <f>+'[12]ESTADO DE RESULTADOS'!D17</f>
        <v>202498.33333333334</v>
      </c>
      <c r="D13" s="810">
        <f t="shared" si="0"/>
        <v>2429980</v>
      </c>
      <c r="E13" s="810">
        <f>+'[12]ESTADO DE RESULTADOS'!R17</f>
        <v>996030</v>
      </c>
      <c r="F13" s="810">
        <f t="shared" si="1"/>
        <v>1433950</v>
      </c>
      <c r="G13" s="814">
        <f>+E13/D13</f>
        <v>0.40989226248775712</v>
      </c>
      <c r="H13" s="813">
        <f t="shared" si="3"/>
        <v>0.40989226248775712</v>
      </c>
    </row>
    <row r="14" spans="2:14" ht="13" x14ac:dyDescent="0.25">
      <c r="B14" s="63" t="s">
        <v>86</v>
      </c>
      <c r="C14" s="809">
        <f>+'[12]ESTADO DE RESULTADOS'!D18</f>
        <v>5139951.5266666664</v>
      </c>
      <c r="D14" s="810">
        <f t="shared" si="0"/>
        <v>61679418.319999993</v>
      </c>
      <c r="E14" s="810">
        <f>+'[12]ESTADO DE RESULTADOS'!R18</f>
        <v>19060731</v>
      </c>
      <c r="F14" s="810">
        <f t="shared" si="1"/>
        <v>42618687.319999993</v>
      </c>
      <c r="G14" s="811">
        <f t="shared" si="2"/>
        <v>0.30902903300920759</v>
      </c>
      <c r="H14" s="812">
        <f t="shared" si="3"/>
        <v>0.30902903300920759</v>
      </c>
    </row>
    <row r="15" spans="2:14" x14ac:dyDescent="0.25">
      <c r="B15" s="815" t="s">
        <v>87</v>
      </c>
      <c r="C15" s="809">
        <f>+'[12]ESTADO DE RESULTADOS'!D19</f>
        <v>0</v>
      </c>
      <c r="D15" s="810">
        <f t="shared" si="0"/>
        <v>0</v>
      </c>
      <c r="E15" s="810">
        <f>+'[12]ESTADO DE RESULTADOS'!R19</f>
        <v>0</v>
      </c>
      <c r="F15" s="810">
        <f t="shared" si="1"/>
        <v>0</v>
      </c>
      <c r="G15" s="811" t="e">
        <f t="shared" si="2"/>
        <v>#DIV/0!</v>
      </c>
      <c r="H15" s="812" t="s">
        <v>33</v>
      </c>
    </row>
    <row r="16" spans="2:14" x14ac:dyDescent="0.25">
      <c r="B16" s="56" t="s">
        <v>88</v>
      </c>
      <c r="C16" s="809">
        <f>+'[12]ESTADO DE RESULTADOS'!D20</f>
        <v>13235866.012500003</v>
      </c>
      <c r="D16" s="810">
        <f t="shared" si="0"/>
        <v>158830392.15000004</v>
      </c>
      <c r="E16" s="810">
        <f>+'[12]ESTADO DE RESULTADOS'!R20</f>
        <v>52545974</v>
      </c>
      <c r="F16" s="810">
        <f t="shared" si="1"/>
        <v>106284418.15000004</v>
      </c>
      <c r="G16" s="814">
        <f>+E16/D16</f>
        <v>0.33083072634093469</v>
      </c>
      <c r="H16" s="812">
        <f t="shared" si="3"/>
        <v>0.33083072634093469</v>
      </c>
    </row>
    <row r="17" spans="2:8" x14ac:dyDescent="0.25">
      <c r="B17" s="56" t="s">
        <v>1224</v>
      </c>
      <c r="C17" s="809">
        <f>+'[12]ESTADO DE RESULTADOS'!D21</f>
        <v>331422.58333333331</v>
      </c>
      <c r="D17" s="810">
        <f t="shared" si="0"/>
        <v>3977071</v>
      </c>
      <c r="E17" s="810">
        <f>+'[12]ESTADO DE RESULTADOS'!R21</f>
        <v>1751531</v>
      </c>
      <c r="F17" s="810">
        <f t="shared" si="1"/>
        <v>2225540</v>
      </c>
      <c r="G17" s="811">
        <f t="shared" si="2"/>
        <v>0.44040727459982487</v>
      </c>
      <c r="H17" s="813">
        <f t="shared" si="3"/>
        <v>0.44040727459982487</v>
      </c>
    </row>
    <row r="18" spans="2:8" x14ac:dyDescent="0.25">
      <c r="B18" s="56" t="s">
        <v>89</v>
      </c>
      <c r="C18" s="809">
        <f>+'[12]ESTADO DE RESULTADOS'!D22</f>
        <v>1464796.5</v>
      </c>
      <c r="D18" s="810">
        <f t="shared" si="0"/>
        <v>17577558</v>
      </c>
      <c r="E18" s="810">
        <f>+'[12]ESTADO DE RESULTADOS'!R22</f>
        <v>5191916</v>
      </c>
      <c r="F18" s="810">
        <f t="shared" si="1"/>
        <v>12385642</v>
      </c>
      <c r="G18" s="811">
        <f t="shared" si="2"/>
        <v>0.29537185995915927</v>
      </c>
      <c r="H18" s="812">
        <f t="shared" si="3"/>
        <v>0.29537185995915927</v>
      </c>
    </row>
    <row r="19" spans="2:8" x14ac:dyDescent="0.25">
      <c r="B19" s="56" t="s">
        <v>90</v>
      </c>
      <c r="C19" s="809">
        <f>+'[12]ESTADO DE RESULTADOS'!D23</f>
        <v>111750.52</v>
      </c>
      <c r="D19" s="810">
        <f t="shared" si="0"/>
        <v>1341006.24</v>
      </c>
      <c r="E19" s="810">
        <f>+'[12]ESTADO DE RESULTADOS'!R23</f>
        <v>975360</v>
      </c>
      <c r="F19" s="810">
        <f t="shared" si="1"/>
        <v>365646.24</v>
      </c>
      <c r="G19" s="811">
        <f t="shared" si="2"/>
        <v>0.72733442314183416</v>
      </c>
      <c r="H19" s="813">
        <f t="shared" si="3"/>
        <v>0.72733442314183416</v>
      </c>
    </row>
    <row r="20" spans="2:8" x14ac:dyDescent="0.25">
      <c r="B20" s="56" t="s">
        <v>1243</v>
      </c>
      <c r="C20" s="809">
        <f>+'[12]ESTADO DE RESULTADOS'!D24</f>
        <v>162500</v>
      </c>
      <c r="D20" s="810">
        <f t="shared" si="0"/>
        <v>1950000</v>
      </c>
      <c r="E20" s="810">
        <f>+'[12]ESTADO DE RESULTADOS'!R24</f>
        <v>0</v>
      </c>
      <c r="F20" s="810">
        <f t="shared" si="1"/>
        <v>1950000</v>
      </c>
      <c r="G20" s="811">
        <f t="shared" si="2"/>
        <v>0</v>
      </c>
      <c r="H20" s="812">
        <f t="shared" si="3"/>
        <v>0</v>
      </c>
    </row>
    <row r="21" spans="2:8" x14ac:dyDescent="0.25">
      <c r="B21" s="56" t="s">
        <v>91</v>
      </c>
      <c r="C21" s="809">
        <f>+'[12]ESTADO DE RESULTADOS'!D25</f>
        <v>159166.66666666666</v>
      </c>
      <c r="D21" s="810">
        <f t="shared" si="0"/>
        <v>1910000</v>
      </c>
      <c r="E21" s="810">
        <f>+'[12]ESTADO DE RESULTADOS'!R25</f>
        <v>338000</v>
      </c>
      <c r="F21" s="810">
        <f t="shared" si="1"/>
        <v>1572000</v>
      </c>
      <c r="G21" s="811">
        <f>+E21/D21</f>
        <v>0.17696335078534031</v>
      </c>
      <c r="H21" s="812">
        <f t="shared" si="3"/>
        <v>0.17696335078534031</v>
      </c>
    </row>
    <row r="22" spans="2:8" x14ac:dyDescent="0.25">
      <c r="B22" s="56" t="s">
        <v>92</v>
      </c>
      <c r="C22" s="809">
        <f>+'[12]ESTADO DE RESULTADOS'!D26</f>
        <v>31000</v>
      </c>
      <c r="D22" s="810">
        <f t="shared" si="0"/>
        <v>372000</v>
      </c>
      <c r="E22" s="810">
        <f>+'[12]ESTADO DE RESULTADOS'!R26</f>
        <v>0</v>
      </c>
      <c r="F22" s="810">
        <f t="shared" si="1"/>
        <v>372000</v>
      </c>
      <c r="G22" s="811">
        <f t="shared" si="2"/>
        <v>0</v>
      </c>
      <c r="H22" s="812">
        <f t="shared" si="3"/>
        <v>0</v>
      </c>
    </row>
    <row r="23" spans="2:8" x14ac:dyDescent="0.25">
      <c r="B23" s="56" t="s">
        <v>93</v>
      </c>
      <c r="C23" s="809">
        <f>+'[12]ESTADO DE RESULTADOS'!D27</f>
        <v>61666.666666666664</v>
      </c>
      <c r="D23" s="810">
        <f t="shared" si="0"/>
        <v>740000</v>
      </c>
      <c r="E23" s="810">
        <f>+'[12]ESTADO DE RESULTADOS'!R27</f>
        <v>138500</v>
      </c>
      <c r="F23" s="810">
        <f t="shared" si="1"/>
        <v>601500</v>
      </c>
      <c r="G23" s="811" t="s">
        <v>1244</v>
      </c>
      <c r="H23" s="812">
        <f t="shared" si="3"/>
        <v>0.18716216216216217</v>
      </c>
    </row>
    <row r="24" spans="2:8" x14ac:dyDescent="0.25">
      <c r="B24" s="56" t="s">
        <v>126</v>
      </c>
      <c r="C24" s="809">
        <f>+'[12]ESTADO DE RESULTADOS'!D28</f>
        <v>294424</v>
      </c>
      <c r="D24" s="810">
        <f t="shared" si="0"/>
        <v>3533088</v>
      </c>
      <c r="E24" s="810">
        <f>+'[12]ESTADO DE RESULTADOS'!R28</f>
        <v>1189421</v>
      </c>
      <c r="F24" s="810">
        <f t="shared" si="1"/>
        <v>2343667</v>
      </c>
      <c r="G24" s="814" t="s">
        <v>62</v>
      </c>
      <c r="H24" s="812">
        <f t="shared" si="3"/>
        <v>0.33665195998514613</v>
      </c>
    </row>
    <row r="25" spans="2:8" ht="13" x14ac:dyDescent="0.25">
      <c r="B25" s="816" t="s">
        <v>94</v>
      </c>
      <c r="C25" s="809">
        <f>+'[12]ESTADO DE RESULTADOS'!D29</f>
        <v>15852592.94916667</v>
      </c>
      <c r="D25" s="810">
        <f t="shared" si="0"/>
        <v>190231115.39000005</v>
      </c>
      <c r="E25" s="810">
        <f>+'[12]ESTADO DE RESULTADOS'!R29</f>
        <v>62130702</v>
      </c>
      <c r="F25" s="810">
        <f t="shared" si="1"/>
        <v>128100413.39000005</v>
      </c>
      <c r="G25" s="814" t="s">
        <v>62</v>
      </c>
      <c r="H25" s="812">
        <f t="shared" si="3"/>
        <v>0.32660641174617244</v>
      </c>
    </row>
    <row r="26" spans="2:8" ht="13.5" customHeight="1" x14ac:dyDescent="0.25">
      <c r="B26" s="65" t="s">
        <v>95</v>
      </c>
      <c r="C26" s="809">
        <f>+'[12]ESTADO DE RESULTADOS'!D30</f>
        <v>0</v>
      </c>
      <c r="D26" s="810">
        <f t="shared" si="0"/>
        <v>0</v>
      </c>
      <c r="E26" s="810" t="str">
        <f>+'[12]ESTADO DE RESULTADOS'!R30</f>
        <v xml:space="preserve"> </v>
      </c>
      <c r="F26" s="810" t="e">
        <f t="shared" si="1"/>
        <v>#VALUE!</v>
      </c>
      <c r="G26" s="814" t="e">
        <f>+E26/D26</f>
        <v>#VALUE!</v>
      </c>
      <c r="H26" s="812" t="s">
        <v>33</v>
      </c>
    </row>
    <row r="27" spans="2:8" ht="13.5" customHeight="1" x14ac:dyDescent="0.25">
      <c r="B27" s="62" t="s">
        <v>759</v>
      </c>
      <c r="C27" s="809">
        <f>+'[12]ESTADO DE RESULTADOS'!D31</f>
        <v>0</v>
      </c>
      <c r="D27" s="810">
        <f t="shared" si="0"/>
        <v>0</v>
      </c>
      <c r="E27" s="810">
        <f>+'[12]ESTADO DE RESULTADOS'!R31</f>
        <v>0</v>
      </c>
      <c r="F27" s="810">
        <f t="shared" si="1"/>
        <v>0</v>
      </c>
      <c r="G27" s="811" t="e">
        <f t="shared" si="2"/>
        <v>#DIV/0!</v>
      </c>
      <c r="H27" s="812" t="s">
        <v>62</v>
      </c>
    </row>
    <row r="28" spans="2:8" ht="13.5" customHeight="1" x14ac:dyDescent="0.25">
      <c r="B28" s="62" t="s">
        <v>96</v>
      </c>
      <c r="C28" s="809">
        <f>+'[12]ESTADO DE RESULTADOS'!D32</f>
        <v>0</v>
      </c>
      <c r="D28" s="810">
        <f t="shared" si="0"/>
        <v>0</v>
      </c>
      <c r="E28" s="810">
        <f>+'[12]ESTADO DE RESULTADOS'!R32</f>
        <v>338650</v>
      </c>
      <c r="F28" s="810">
        <f t="shared" si="1"/>
        <v>-338650</v>
      </c>
      <c r="G28" s="811" t="e">
        <f t="shared" si="2"/>
        <v>#DIV/0!</v>
      </c>
      <c r="H28" s="812" t="s">
        <v>62</v>
      </c>
    </row>
    <row r="29" spans="2:8" ht="13.5" customHeight="1" x14ac:dyDescent="0.25">
      <c r="B29" s="63" t="s">
        <v>97</v>
      </c>
      <c r="C29" s="809">
        <f>+'[12]ESTADO DE RESULTADOS'!D33</f>
        <v>0</v>
      </c>
      <c r="D29" s="810">
        <f t="shared" si="0"/>
        <v>0</v>
      </c>
      <c r="E29" s="810">
        <f>+'[12]ESTADO DE RESULTADOS'!R33</f>
        <v>338650</v>
      </c>
      <c r="F29" s="810">
        <f t="shared" si="1"/>
        <v>-338650</v>
      </c>
      <c r="G29" s="814" t="e">
        <f t="shared" si="2"/>
        <v>#DIV/0!</v>
      </c>
      <c r="H29" s="812" t="s">
        <v>33</v>
      </c>
    </row>
    <row r="30" spans="2:8" ht="13.5" customHeight="1" x14ac:dyDescent="0.25">
      <c r="B30" s="57" t="s">
        <v>98</v>
      </c>
      <c r="C30" s="809">
        <f>+'[12]ESTADO DE RESULTADOS'!D34</f>
        <v>0</v>
      </c>
      <c r="D30" s="810">
        <f t="shared" si="0"/>
        <v>0</v>
      </c>
      <c r="E30" s="810" t="str">
        <f>+'[12]ESTADO DE RESULTADOS'!R34</f>
        <v xml:space="preserve"> </v>
      </c>
      <c r="F30" s="810" t="e">
        <f t="shared" si="1"/>
        <v>#VALUE!</v>
      </c>
      <c r="G30" s="811" t="e">
        <f t="shared" si="2"/>
        <v>#VALUE!</v>
      </c>
      <c r="H30" s="812" t="s">
        <v>33</v>
      </c>
    </row>
    <row r="31" spans="2:8" ht="13.5" customHeight="1" x14ac:dyDescent="0.25">
      <c r="B31" s="58" t="s">
        <v>67</v>
      </c>
      <c r="C31" s="809">
        <f>+'[12]ESTADO DE RESULTADOS'!D35</f>
        <v>214000.125</v>
      </c>
      <c r="D31" s="810">
        <f t="shared" si="0"/>
        <v>2568001.5</v>
      </c>
      <c r="E31" s="810">
        <f>+'[12]ESTADO DE RESULTADOS'!R35</f>
        <v>595450</v>
      </c>
      <c r="F31" s="810">
        <f t="shared" si="1"/>
        <v>1972551.5</v>
      </c>
      <c r="G31" s="811">
        <f t="shared" si="2"/>
        <v>0.23187291751971328</v>
      </c>
      <c r="H31" s="812">
        <f t="shared" si="3"/>
        <v>0.23187291751971328</v>
      </c>
    </row>
    <row r="32" spans="2:8" ht="13.5" customHeight="1" x14ac:dyDescent="0.25">
      <c r="B32" s="57" t="s">
        <v>66</v>
      </c>
      <c r="C32" s="809">
        <f>+'[12]ESTADO DE RESULTADOS'!D36</f>
        <v>3186458.3333333335</v>
      </c>
      <c r="D32" s="810">
        <f t="shared" si="0"/>
        <v>38237500</v>
      </c>
      <c r="E32" s="810">
        <f>+'[12]ESTADO DE RESULTADOS'!R36</f>
        <v>11014163.879999999</v>
      </c>
      <c r="F32" s="810">
        <f t="shared" si="1"/>
        <v>27223336.120000001</v>
      </c>
      <c r="G32" s="811">
        <f t="shared" si="2"/>
        <v>0.28804612958483161</v>
      </c>
      <c r="H32" s="812">
        <f t="shared" si="3"/>
        <v>0.28804612958483161</v>
      </c>
    </row>
    <row r="33" spans="1:8" ht="13.5" customHeight="1" x14ac:dyDescent="0.25">
      <c r="B33" s="58" t="s">
        <v>99</v>
      </c>
      <c r="C33" s="809">
        <f>+'[12]ESTADO DE RESULTADOS'!D37</f>
        <v>291666.66666666669</v>
      </c>
      <c r="D33" s="810">
        <f t="shared" si="0"/>
        <v>3500000</v>
      </c>
      <c r="E33" s="810">
        <f>+'[12]ESTADO DE RESULTADOS'!R37</f>
        <v>872419</v>
      </c>
      <c r="F33" s="810">
        <f t="shared" si="1"/>
        <v>2627581</v>
      </c>
      <c r="G33" s="811">
        <f t="shared" si="2"/>
        <v>0.24926257142857142</v>
      </c>
      <c r="H33" s="812">
        <f t="shared" si="3"/>
        <v>0.24926257142857142</v>
      </c>
    </row>
    <row r="34" spans="1:8" ht="13.5" customHeight="1" x14ac:dyDescent="0.25">
      <c r="B34" s="57" t="s">
        <v>100</v>
      </c>
      <c r="C34" s="809">
        <f>+'[12]ESTADO DE RESULTADOS'!D38</f>
        <v>50333.333333333336</v>
      </c>
      <c r="D34" s="810">
        <f t="shared" si="0"/>
        <v>604000</v>
      </c>
      <c r="E34" s="810">
        <f>+'[12]ESTADO DE RESULTADOS'!R38</f>
        <v>212387</v>
      </c>
      <c r="F34" s="810">
        <f t="shared" si="1"/>
        <v>391613</v>
      </c>
      <c r="G34" s="811">
        <f t="shared" si="2"/>
        <v>0.3516341059602649</v>
      </c>
      <c r="H34" s="812">
        <f t="shared" si="3"/>
        <v>0.3516341059602649</v>
      </c>
    </row>
    <row r="35" spans="1:8" ht="13.5" customHeight="1" x14ac:dyDescent="0.25">
      <c r="B35" s="57" t="s">
        <v>1226</v>
      </c>
      <c r="C35" s="809">
        <f>+'[12]ESTADO DE RESULTADOS'!D39</f>
        <v>100988</v>
      </c>
      <c r="D35" s="810">
        <f t="shared" si="0"/>
        <v>1211856</v>
      </c>
      <c r="E35" s="810">
        <f>+'[12]ESTADO DE RESULTADOS'!R39</f>
        <v>55250</v>
      </c>
      <c r="F35" s="810">
        <f t="shared" si="1"/>
        <v>1156606</v>
      </c>
      <c r="G35" s="811">
        <f t="shared" si="2"/>
        <v>4.5591225360108789E-2</v>
      </c>
      <c r="H35" s="812">
        <f t="shared" si="3"/>
        <v>4.5591225360108789E-2</v>
      </c>
    </row>
    <row r="36" spans="1:8" ht="13.5" customHeight="1" x14ac:dyDescent="0.25">
      <c r="B36" s="57" t="s">
        <v>101</v>
      </c>
      <c r="C36" s="809">
        <f>+'[12]ESTADO DE RESULTADOS'!D40</f>
        <v>66666.666666666672</v>
      </c>
      <c r="D36" s="810">
        <f t="shared" si="0"/>
        <v>800000</v>
      </c>
      <c r="E36" s="810">
        <f>+'[12]ESTADO DE RESULTADOS'!R40</f>
        <v>390546</v>
      </c>
      <c r="F36" s="810">
        <f t="shared" si="1"/>
        <v>409454</v>
      </c>
      <c r="G36" s="814">
        <f t="shared" si="2"/>
        <v>0.48818250000000002</v>
      </c>
      <c r="H36" s="813">
        <f t="shared" si="3"/>
        <v>0.48818250000000002</v>
      </c>
    </row>
    <row r="37" spans="1:8" ht="13.5" customHeight="1" x14ac:dyDescent="0.25">
      <c r="B37" s="58" t="s">
        <v>102</v>
      </c>
      <c r="C37" s="809">
        <f>+'[12]ESTADO DE RESULTADOS'!D41</f>
        <v>1354200</v>
      </c>
      <c r="D37" s="810">
        <f t="shared" si="0"/>
        <v>16250400</v>
      </c>
      <c r="E37" s="810">
        <f>+'[12]ESTADO DE RESULTADOS'!R41</f>
        <v>5416800</v>
      </c>
      <c r="F37" s="810">
        <f t="shared" si="1"/>
        <v>10833600</v>
      </c>
      <c r="G37" s="811">
        <f t="shared" si="2"/>
        <v>0.33333333333333331</v>
      </c>
      <c r="H37" s="812">
        <f t="shared" si="3"/>
        <v>0.33333333333333331</v>
      </c>
    </row>
    <row r="38" spans="1:8" ht="13.5" customHeight="1" x14ac:dyDescent="0.25">
      <c r="B38" s="63" t="s">
        <v>103</v>
      </c>
      <c r="C38" s="809">
        <f>+'[12]ESTADO DE RESULTADOS'!D42</f>
        <v>5264313.125</v>
      </c>
      <c r="D38" s="810">
        <f t="shared" si="0"/>
        <v>63171757.5</v>
      </c>
      <c r="E38" s="810">
        <f>+'[12]ESTADO DE RESULTADOS'!R42</f>
        <v>18557015.879999999</v>
      </c>
      <c r="F38" s="810">
        <f t="shared" si="1"/>
        <v>44614741.620000005</v>
      </c>
      <c r="G38" s="811">
        <f t="shared" si="2"/>
        <v>0.2937549407264789</v>
      </c>
      <c r="H38" s="812">
        <f t="shared" si="3"/>
        <v>0.2937549407264789</v>
      </c>
    </row>
    <row r="39" spans="1:8" ht="13.5" customHeight="1" x14ac:dyDescent="0.25">
      <c r="B39" s="66" t="s">
        <v>104</v>
      </c>
      <c r="C39" s="809" t="str">
        <f>+'[12]ESTADO DE RESULTADOS'!D43</f>
        <v xml:space="preserve"> </v>
      </c>
      <c r="D39" s="810"/>
      <c r="E39" s="810" t="s">
        <v>33</v>
      </c>
      <c r="F39" s="810" t="e">
        <f t="shared" si="1"/>
        <v>#VALUE!</v>
      </c>
      <c r="G39" s="811" t="e">
        <f t="shared" si="2"/>
        <v>#VALUE!</v>
      </c>
      <c r="H39" s="812" t="s">
        <v>33</v>
      </c>
    </row>
    <row r="40" spans="1:8" ht="13.5" customHeight="1" x14ac:dyDescent="0.25">
      <c r="B40" s="66" t="s">
        <v>105</v>
      </c>
      <c r="C40" s="809">
        <f>+'[12]ESTADO DE RESULTADOS'!D44</f>
        <v>2566487.25</v>
      </c>
      <c r="D40" s="810">
        <f t="shared" si="0"/>
        <v>30797847</v>
      </c>
      <c r="E40" s="810">
        <f>+'[12]ESTADO DE RESULTADOS'!R44</f>
        <v>10266551</v>
      </c>
      <c r="F40" s="810">
        <v>680000</v>
      </c>
      <c r="G40" s="814" t="s">
        <v>62</v>
      </c>
      <c r="H40" s="812">
        <f t="shared" si="3"/>
        <v>0.33335288015425235</v>
      </c>
    </row>
    <row r="41" spans="1:8" ht="11.25" customHeight="1" x14ac:dyDescent="0.25">
      <c r="B41" s="66" t="s">
        <v>65</v>
      </c>
      <c r="C41" s="809">
        <f>+'[12]ESTADO DE RESULTADOS'!D45</f>
        <v>534451.75</v>
      </c>
      <c r="D41" s="810">
        <f t="shared" si="0"/>
        <v>6413421</v>
      </c>
      <c r="E41" s="810">
        <f>+'[12]ESTADO DE RESULTADOS'!R45</f>
        <v>2137702</v>
      </c>
      <c r="F41" s="809">
        <v>0</v>
      </c>
      <c r="G41" s="811" t="s">
        <v>62</v>
      </c>
      <c r="H41" s="812">
        <f t="shared" si="3"/>
        <v>0.33331696141575612</v>
      </c>
    </row>
    <row r="42" spans="1:8" ht="13.5" customHeight="1" x14ac:dyDescent="0.25">
      <c r="B42" s="66" t="s">
        <v>106</v>
      </c>
      <c r="C42" s="809">
        <f>+'[12]ESTADO DE RESULTADOS'!D46</f>
        <v>44538.75</v>
      </c>
      <c r="D42" s="810">
        <f t="shared" si="0"/>
        <v>534465</v>
      </c>
      <c r="E42" s="810">
        <f>+'[12]ESTADO DE RESULTADOS'!R46</f>
        <v>0</v>
      </c>
      <c r="F42" s="810">
        <f t="shared" si="1"/>
        <v>534465</v>
      </c>
      <c r="G42" s="814" t="s">
        <v>62</v>
      </c>
      <c r="H42" s="812">
        <f t="shared" si="3"/>
        <v>0</v>
      </c>
    </row>
    <row r="43" spans="1:8" ht="13.5" customHeight="1" x14ac:dyDescent="0.25">
      <c r="B43" s="66" t="s">
        <v>107</v>
      </c>
      <c r="C43" s="809">
        <f>+'[12]ESTADO DE RESULTADOS'!D47</f>
        <v>50325.25</v>
      </c>
      <c r="D43" s="810">
        <f t="shared" si="0"/>
        <v>603903</v>
      </c>
      <c r="E43" s="810">
        <f>+'[12]ESTADO DE RESULTADOS'!R47</f>
        <v>201376</v>
      </c>
      <c r="F43" s="817" t="e">
        <f>SUM(F7:F42)</f>
        <v>#VALUE!</v>
      </c>
      <c r="G43" s="818">
        <f>+E43/D43</f>
        <v>0.33345752546352642</v>
      </c>
      <c r="H43" s="812">
        <f t="shared" si="3"/>
        <v>0.33345752546352642</v>
      </c>
    </row>
    <row r="44" spans="1:8" x14ac:dyDescent="0.25">
      <c r="A44" s="810"/>
      <c r="B44" s="66" t="s">
        <v>108</v>
      </c>
      <c r="C44" s="809">
        <f>+'[12]ESTADO DE RESULTADOS'!D48</f>
        <v>16666.666666666668</v>
      </c>
      <c r="D44" s="810">
        <f t="shared" si="0"/>
        <v>200000</v>
      </c>
      <c r="E44" s="810">
        <f>+'[12]ESTADO DE RESULTADOS'!R48</f>
        <v>20000</v>
      </c>
      <c r="F44" s="810"/>
      <c r="G44" s="810"/>
      <c r="H44" s="812">
        <f t="shared" si="3"/>
        <v>0.1</v>
      </c>
    </row>
    <row r="45" spans="1:8" x14ac:dyDescent="0.25">
      <c r="A45" s="810"/>
      <c r="B45" s="66" t="s">
        <v>109</v>
      </c>
      <c r="C45" s="809">
        <f>+'[12]ESTADO DE RESULTADOS'!D49</f>
        <v>30000</v>
      </c>
      <c r="D45" s="810">
        <f t="shared" si="0"/>
        <v>360000</v>
      </c>
      <c r="E45" s="810">
        <f>+'[12]ESTADO DE RESULTADOS'!R49</f>
        <v>31030</v>
      </c>
      <c r="F45" s="810"/>
      <c r="G45" s="810"/>
      <c r="H45" s="812">
        <f t="shared" si="3"/>
        <v>8.6194444444444449E-2</v>
      </c>
    </row>
    <row r="46" spans="1:8" x14ac:dyDescent="0.25">
      <c r="A46" s="810"/>
      <c r="B46" s="66" t="s">
        <v>110</v>
      </c>
      <c r="C46" s="809">
        <f>+'[12]ESTADO DE RESULTADOS'!D50</f>
        <v>12500</v>
      </c>
      <c r="D46" s="810">
        <f t="shared" si="0"/>
        <v>150000</v>
      </c>
      <c r="E46" s="810">
        <f>+'[12]ESTADO DE RESULTADOS'!R50</f>
        <v>4500</v>
      </c>
      <c r="F46" s="810"/>
      <c r="G46" s="810"/>
      <c r="H46" s="812">
        <f t="shared" si="3"/>
        <v>0.03</v>
      </c>
    </row>
    <row r="47" spans="1:8" x14ac:dyDescent="0.25">
      <c r="A47" s="810"/>
      <c r="B47" s="66" t="s">
        <v>111</v>
      </c>
      <c r="C47" s="809">
        <f>+'[12]ESTADO DE RESULTADOS'!D51</f>
        <v>225000</v>
      </c>
      <c r="D47" s="810">
        <f t="shared" si="0"/>
        <v>2700000</v>
      </c>
      <c r="E47" s="810">
        <f>+'[12]ESTADO DE RESULTADOS'!R51</f>
        <v>756983.24</v>
      </c>
      <c r="F47" s="810"/>
      <c r="G47" s="810"/>
      <c r="H47" s="812">
        <f t="shared" si="3"/>
        <v>0.28036416296296296</v>
      </c>
    </row>
    <row r="48" spans="1:8" x14ac:dyDescent="0.25">
      <c r="A48" s="810"/>
      <c r="B48" s="66" t="s">
        <v>68</v>
      </c>
      <c r="C48" s="809">
        <f>+'[12]ESTADO DE RESULTADOS'!D52</f>
        <v>0</v>
      </c>
      <c r="D48" s="810">
        <f t="shared" si="0"/>
        <v>0</v>
      </c>
      <c r="E48" s="810">
        <f>+'[12]ESTADO DE RESULTADOS'!R52</f>
        <v>1232</v>
      </c>
      <c r="F48" s="810"/>
      <c r="G48" s="810"/>
      <c r="H48" s="812" t="s">
        <v>62</v>
      </c>
    </row>
    <row r="49" spans="1:13" x14ac:dyDescent="0.25">
      <c r="A49" s="810"/>
      <c r="B49" s="66" t="s">
        <v>112</v>
      </c>
      <c r="C49" s="809">
        <f>+'[12]ESTADO DE RESULTADOS'!D53</f>
        <v>0</v>
      </c>
      <c r="D49" s="810">
        <f t="shared" si="0"/>
        <v>0</v>
      </c>
      <c r="E49" s="810">
        <f>+'[12]ESTADO DE RESULTADOS'!R53</f>
        <v>0</v>
      </c>
      <c r="F49" s="810"/>
      <c r="G49" s="810"/>
      <c r="H49" s="812" t="s">
        <v>62</v>
      </c>
    </row>
    <row r="50" spans="1:13" x14ac:dyDescent="0.25">
      <c r="A50" s="810"/>
      <c r="B50" s="66" t="s">
        <v>269</v>
      </c>
      <c r="C50" s="809">
        <f>+'[12]ESTADO DE RESULTADOS'!D54</f>
        <v>0</v>
      </c>
      <c r="D50" s="810">
        <f t="shared" si="0"/>
        <v>0</v>
      </c>
      <c r="E50" s="810">
        <f>+'[12]ESTADO DE RESULTADOS'!R54</f>
        <v>350000</v>
      </c>
      <c r="F50" s="810"/>
      <c r="G50" s="810"/>
      <c r="H50" s="812" t="s">
        <v>62</v>
      </c>
    </row>
    <row r="51" spans="1:13" ht="13" x14ac:dyDescent="0.25">
      <c r="A51" s="810"/>
      <c r="B51" s="67" t="s">
        <v>113</v>
      </c>
      <c r="C51" s="810">
        <f>SUM(C40:C50)</f>
        <v>3479969.6666666665</v>
      </c>
      <c r="D51" s="810">
        <f t="shared" si="0"/>
        <v>41759636</v>
      </c>
      <c r="E51" s="810">
        <f>+'[12]ESTADO DE RESULTADOS'!R55</f>
        <v>13769374.24</v>
      </c>
      <c r="F51" s="810"/>
      <c r="G51" s="810"/>
      <c r="H51" s="812">
        <f>+E51/D51</f>
        <v>0.32972926871297442</v>
      </c>
    </row>
    <row r="52" spans="1:13" x14ac:dyDescent="0.25">
      <c r="A52" s="810"/>
      <c r="B52" s="68" t="s">
        <v>118</v>
      </c>
      <c r="C52" s="819">
        <f>+C51+C38+C25+C14</f>
        <v>29736827.267500002</v>
      </c>
      <c r="D52" s="819">
        <f>+D51+D38+D25+D14</f>
        <v>356841927.21000004</v>
      </c>
      <c r="E52" s="819">
        <f>+E51+E38+E25+E14+E29</f>
        <v>113856473.12</v>
      </c>
      <c r="F52" s="819">
        <f>+F51+F38+F25+F14</f>
        <v>215333842.33000004</v>
      </c>
      <c r="G52" s="819" t="e">
        <f>+G51+G38+G25+G14</f>
        <v>#VALUE!</v>
      </c>
      <c r="H52" s="820">
        <f>+E52/D52</f>
        <v>0.31906697178270738</v>
      </c>
    </row>
    <row r="53" spans="1:13" x14ac:dyDescent="0.25">
      <c r="A53" s="810"/>
      <c r="B53" s="810"/>
      <c r="C53" s="810"/>
      <c r="D53" s="810"/>
      <c r="E53" s="810"/>
      <c r="F53" s="810"/>
      <c r="G53" s="810"/>
    </row>
    <row r="54" spans="1:13" x14ac:dyDescent="0.25">
      <c r="A54" s="810"/>
      <c r="B54" s="810"/>
      <c r="C54" s="810"/>
      <c r="D54" s="810"/>
      <c r="E54" s="810">
        <f>-'[12]ESTADO DE RESULTADOS'!R56</f>
        <v>-113856473.12</v>
      </c>
      <c r="F54" s="810"/>
      <c r="G54" s="810"/>
    </row>
    <row r="55" spans="1:13" x14ac:dyDescent="0.25">
      <c r="A55" s="810"/>
      <c r="B55" s="821" t="s">
        <v>1245</v>
      </c>
      <c r="C55" s="810"/>
      <c r="D55" s="810"/>
      <c r="E55" s="810"/>
      <c r="F55" s="810"/>
      <c r="G55" s="810"/>
    </row>
    <row r="56" spans="1:13" x14ac:dyDescent="0.25">
      <c r="B56" s="1754" t="s">
        <v>30</v>
      </c>
      <c r="C56" s="1754"/>
      <c r="D56" s="1754"/>
      <c r="E56" s="1754"/>
      <c r="F56" s="810"/>
      <c r="G56" s="810"/>
    </row>
    <row r="57" spans="1:13" x14ac:dyDescent="0.25">
      <c r="B57" s="822"/>
      <c r="C57" s="822"/>
      <c r="D57" s="822"/>
      <c r="E57" s="822" t="s">
        <v>33</v>
      </c>
      <c r="F57" s="810"/>
      <c r="G57" s="810"/>
    </row>
    <row r="58" spans="1:13" x14ac:dyDescent="0.25">
      <c r="D58" s="810"/>
      <c r="E58" s="810"/>
      <c r="F58" s="810"/>
      <c r="G58" s="810"/>
    </row>
    <row r="59" spans="1:13" x14ac:dyDescent="0.25">
      <c r="A59" s="810"/>
      <c r="B59" s="810"/>
      <c r="C59" s="810"/>
      <c r="D59" s="810"/>
      <c r="E59" s="810"/>
      <c r="F59" s="810"/>
      <c r="G59" s="810"/>
    </row>
    <row r="60" spans="1:13" x14ac:dyDescent="0.25">
      <c r="B60" s="352" t="s">
        <v>456</v>
      </c>
      <c r="D60" s="395"/>
      <c r="E60" s="391" t="s">
        <v>40</v>
      </c>
      <c r="F60" s="391"/>
      <c r="G60" s="823"/>
      <c r="H60" s="824"/>
      <c r="K60" s="381"/>
      <c r="M60" s="391"/>
    </row>
    <row r="61" spans="1:13" x14ac:dyDescent="0.25">
      <c r="B61" s="352" t="s">
        <v>119</v>
      </c>
      <c r="D61" s="396"/>
      <c r="E61" s="352" t="s">
        <v>48</v>
      </c>
      <c r="H61" s="824"/>
    </row>
  </sheetData>
  <mergeCells count="3">
    <mergeCell ref="B4:G4"/>
    <mergeCell ref="B2:G2"/>
    <mergeCell ref="B56:E56"/>
  </mergeCells>
  <printOptions horizontalCentered="1"/>
  <pageMargins left="0.19685039370078741" right="0.19685039370078741" top="0" bottom="0" header="0.31496062992125984" footer="0.31496062992125984"/>
  <pageSetup scale="97" orientation="portrait" r:id="rId1"/>
  <legacy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B13D6-96D8-445A-926B-8F7B37A52B39}">
  <sheetPr>
    <tabColor rgb="FFFFFF00"/>
    <pageSetUpPr fitToPage="1"/>
  </sheetPr>
  <dimension ref="A1:U57"/>
  <sheetViews>
    <sheetView workbookViewId="0">
      <selection activeCell="B23" sqref="B23"/>
    </sheetView>
  </sheetViews>
  <sheetFormatPr baseColWidth="10" defaultRowHeight="12.5" x14ac:dyDescent="0.25"/>
  <cols>
    <col min="1" max="1" width="11.453125" style="115" customWidth="1"/>
    <col min="6" max="6" width="12" bestFit="1" customWidth="1"/>
    <col min="14" max="14" width="12" bestFit="1" customWidth="1"/>
    <col min="16" max="16" width="9" bestFit="1" customWidth="1"/>
    <col min="17" max="17" width="8.54296875" bestFit="1" customWidth="1"/>
    <col min="18" max="18" width="10" bestFit="1" customWidth="1"/>
    <col min="19" max="19" width="12.7265625" customWidth="1"/>
    <col min="20" max="20" width="4.54296875" bestFit="1" customWidth="1"/>
    <col min="21" max="21" width="8.54296875" bestFit="1" customWidth="1"/>
  </cols>
  <sheetData>
    <row r="1" spans="1:21" ht="15.5" x14ac:dyDescent="0.35">
      <c r="A1" s="1759" t="s">
        <v>163</v>
      </c>
      <c r="B1" s="1759"/>
      <c r="C1" s="1759"/>
      <c r="D1" s="1759"/>
      <c r="E1" s="1759"/>
      <c r="F1" s="1759"/>
      <c r="G1" s="1759"/>
      <c r="H1" s="1759"/>
      <c r="I1" s="1759"/>
      <c r="J1" s="1759"/>
      <c r="K1" s="1759"/>
      <c r="L1" s="1759"/>
      <c r="M1" s="1759"/>
      <c r="N1" s="1759"/>
      <c r="O1" s="1759"/>
      <c r="P1" s="1759"/>
      <c r="Q1" s="1759"/>
      <c r="R1" s="1759"/>
    </row>
    <row r="2" spans="1:21" ht="15.5" x14ac:dyDescent="0.35">
      <c r="A2" s="1760" t="s">
        <v>164</v>
      </c>
      <c r="B2" s="1760"/>
      <c r="C2" s="1760"/>
      <c r="D2" s="1760"/>
      <c r="E2" s="1760"/>
      <c r="F2" s="1760"/>
      <c r="G2" s="1760"/>
      <c r="H2" s="1760"/>
      <c r="I2" s="1760"/>
      <c r="J2" s="1760"/>
      <c r="K2" s="1760"/>
      <c r="L2" s="1760"/>
      <c r="M2" s="1760"/>
      <c r="N2" s="1760"/>
      <c r="O2" s="1760"/>
      <c r="P2" s="1760"/>
      <c r="Q2" s="1760"/>
      <c r="R2" s="1760"/>
    </row>
    <row r="3" spans="1:21" ht="13" x14ac:dyDescent="0.3">
      <c r="A3" s="111"/>
      <c r="B3" s="70"/>
      <c r="C3" s="70"/>
      <c r="D3" s="71"/>
      <c r="E3" s="70"/>
      <c r="F3" s="72"/>
      <c r="G3" s="70"/>
      <c r="H3" s="70"/>
      <c r="I3" s="70"/>
      <c r="J3" s="70"/>
      <c r="K3" s="70"/>
      <c r="L3" s="70"/>
      <c r="M3" s="70"/>
      <c r="N3" s="70"/>
      <c r="O3" s="70"/>
      <c r="P3" s="70"/>
      <c r="Q3" s="70"/>
      <c r="R3" s="70"/>
    </row>
    <row r="4" spans="1:21" ht="13" x14ac:dyDescent="0.25">
      <c r="A4" s="1761"/>
      <c r="B4" s="1761"/>
      <c r="C4" s="1762" t="s">
        <v>165</v>
      </c>
      <c r="D4" s="1763"/>
      <c r="E4" s="1763" t="s">
        <v>166</v>
      </c>
      <c r="F4" s="1763"/>
      <c r="G4" s="1763"/>
      <c r="H4" s="1763"/>
      <c r="I4" s="1763"/>
      <c r="J4" s="1763"/>
      <c r="K4" s="635"/>
      <c r="L4" s="635"/>
      <c r="M4" s="635"/>
      <c r="N4" s="635"/>
      <c r="O4" s="635"/>
      <c r="P4" s="635"/>
      <c r="Q4" s="635"/>
      <c r="R4" s="73"/>
      <c r="S4" s="73"/>
      <c r="T4" s="73"/>
      <c r="U4" s="73"/>
    </row>
    <row r="5" spans="1:21" ht="39.5" thickBot="1" x14ac:dyDescent="0.3">
      <c r="A5" s="112" t="s">
        <v>167</v>
      </c>
      <c r="B5" s="74" t="s">
        <v>168</v>
      </c>
      <c r="C5" s="340" t="s">
        <v>169</v>
      </c>
      <c r="D5" s="76" t="s">
        <v>170</v>
      </c>
      <c r="E5" s="77" t="s">
        <v>171</v>
      </c>
      <c r="F5" s="279" t="s">
        <v>172</v>
      </c>
      <c r="G5" s="78" t="s">
        <v>171</v>
      </c>
      <c r="H5" s="280" t="s">
        <v>173</v>
      </c>
      <c r="I5" s="79" t="s">
        <v>171</v>
      </c>
      <c r="J5" s="80" t="s">
        <v>174</v>
      </c>
      <c r="K5" s="80" t="s">
        <v>169</v>
      </c>
      <c r="L5" s="80" t="s">
        <v>31</v>
      </c>
      <c r="M5" s="75" t="s">
        <v>175</v>
      </c>
      <c r="N5" s="75" t="s">
        <v>176</v>
      </c>
      <c r="O5" s="75" t="s">
        <v>177</v>
      </c>
      <c r="P5" s="75" t="s">
        <v>178</v>
      </c>
      <c r="Q5" s="75" t="s">
        <v>179</v>
      </c>
      <c r="R5" s="75" t="s">
        <v>180</v>
      </c>
      <c r="S5" s="825" t="s">
        <v>1246</v>
      </c>
      <c r="T5" s="826" t="s">
        <v>1247</v>
      </c>
      <c r="U5" s="826" t="s">
        <v>1248</v>
      </c>
    </row>
    <row r="6" spans="1:21" ht="20.25" customHeight="1" thickBot="1" x14ac:dyDescent="0.3">
      <c r="A6" s="1757" t="s">
        <v>1249</v>
      </c>
      <c r="B6" s="1758"/>
      <c r="C6" s="81"/>
      <c r="D6" s="81"/>
      <c r="E6" s="81"/>
      <c r="F6" s="81"/>
      <c r="G6" s="81"/>
      <c r="H6" s="81"/>
      <c r="I6" s="81"/>
      <c r="J6" s="81"/>
      <c r="K6" s="81"/>
      <c r="L6" s="81"/>
      <c r="M6" s="81"/>
      <c r="N6" s="81"/>
      <c r="O6" s="81"/>
      <c r="P6" s="81"/>
      <c r="Q6" s="81"/>
      <c r="R6" s="82"/>
      <c r="S6" s="82"/>
      <c r="T6" s="82"/>
      <c r="U6" s="82"/>
    </row>
    <row r="7" spans="1:21" ht="26" hidden="1" x14ac:dyDescent="0.3">
      <c r="A7" s="113" t="s">
        <v>69</v>
      </c>
      <c r="B7" s="83" t="s">
        <v>181</v>
      </c>
      <c r="C7" s="339">
        <v>24</v>
      </c>
      <c r="D7" s="84">
        <v>55531</v>
      </c>
      <c r="E7" s="85">
        <v>2423</v>
      </c>
      <c r="F7" s="85">
        <v>1818558</v>
      </c>
      <c r="G7" s="86">
        <v>313</v>
      </c>
      <c r="H7" s="87">
        <v>234919</v>
      </c>
      <c r="I7" s="88">
        <v>636</v>
      </c>
      <c r="J7" s="88">
        <v>477343</v>
      </c>
      <c r="K7" s="88">
        <v>3</v>
      </c>
      <c r="L7" s="88">
        <f>35289+24007</f>
        <v>59296</v>
      </c>
      <c r="M7" s="89">
        <f t="shared" ref="M7:N22" si="0">+E7+G7+I7</f>
        <v>3372</v>
      </c>
      <c r="N7" s="90">
        <f t="shared" si="0"/>
        <v>2530820</v>
      </c>
      <c r="O7" s="91">
        <v>39710</v>
      </c>
      <c r="P7" s="89">
        <f>+K7</f>
        <v>3</v>
      </c>
      <c r="Q7" s="89">
        <f>+L7</f>
        <v>59296</v>
      </c>
      <c r="R7" s="92">
        <f t="shared" ref="R7:R17" si="1">+N7+O7+Q7</f>
        <v>2629826</v>
      </c>
    </row>
    <row r="8" spans="1:21" ht="26" hidden="1" x14ac:dyDescent="0.3">
      <c r="A8" s="113" t="s">
        <v>70</v>
      </c>
      <c r="B8" s="83" t="s">
        <v>181</v>
      </c>
      <c r="C8" s="338">
        <v>35</v>
      </c>
      <c r="D8" s="84">
        <v>81600</v>
      </c>
      <c r="E8" s="85">
        <v>1937</v>
      </c>
      <c r="F8" s="85">
        <v>1464992</v>
      </c>
      <c r="G8" s="86">
        <v>360</v>
      </c>
      <c r="H8" s="87">
        <v>272275</v>
      </c>
      <c r="I8" s="88">
        <v>606</v>
      </c>
      <c r="J8" s="88">
        <v>458330</v>
      </c>
      <c r="K8" s="88">
        <v>8</v>
      </c>
      <c r="L8" s="88">
        <f>70713+50950</f>
        <v>121663</v>
      </c>
      <c r="M8" s="89">
        <f t="shared" si="0"/>
        <v>2903</v>
      </c>
      <c r="N8" s="90">
        <f t="shared" si="0"/>
        <v>2195597</v>
      </c>
      <c r="O8" s="91">
        <v>39644</v>
      </c>
      <c r="P8" s="89">
        <f t="shared" ref="P8:Q19" si="2">+K8</f>
        <v>8</v>
      </c>
      <c r="Q8" s="89">
        <f t="shared" si="2"/>
        <v>121663</v>
      </c>
      <c r="R8" s="92">
        <f t="shared" si="1"/>
        <v>2356904</v>
      </c>
    </row>
    <row r="9" spans="1:21" ht="26" hidden="1" x14ac:dyDescent="0.3">
      <c r="A9" s="113" t="s">
        <v>182</v>
      </c>
      <c r="B9" s="83" t="s">
        <v>183</v>
      </c>
      <c r="C9" s="339">
        <v>65</v>
      </c>
      <c r="D9" s="84">
        <v>167528</v>
      </c>
      <c r="E9" s="85">
        <v>1760</v>
      </c>
      <c r="F9" s="85">
        <v>1242224</v>
      </c>
      <c r="G9" s="86">
        <v>302</v>
      </c>
      <c r="H9" s="87">
        <v>217636</v>
      </c>
      <c r="I9" s="88">
        <v>606</v>
      </c>
      <c r="J9" s="88">
        <v>379695</v>
      </c>
      <c r="K9" s="88">
        <v>4</v>
      </c>
      <c r="L9" s="88">
        <v>71515</v>
      </c>
      <c r="M9" s="89">
        <f t="shared" si="0"/>
        <v>2668</v>
      </c>
      <c r="N9" s="90">
        <f t="shared" si="0"/>
        <v>1839555</v>
      </c>
      <c r="O9" s="91">
        <v>39644</v>
      </c>
      <c r="P9" s="89">
        <f t="shared" si="2"/>
        <v>4</v>
      </c>
      <c r="Q9" s="89">
        <f t="shared" si="2"/>
        <v>71515</v>
      </c>
      <c r="R9" s="92">
        <f t="shared" si="1"/>
        <v>1950714</v>
      </c>
    </row>
    <row r="10" spans="1:21" ht="26" hidden="1" x14ac:dyDescent="0.3">
      <c r="A10" s="113" t="s">
        <v>184</v>
      </c>
      <c r="B10" s="83" t="s">
        <v>185</v>
      </c>
      <c r="C10" s="339">
        <v>22</v>
      </c>
      <c r="D10" s="84">
        <v>67865</v>
      </c>
      <c r="E10" s="85">
        <v>1485</v>
      </c>
      <c r="F10" s="85">
        <f>1071976</f>
        <v>1071976</v>
      </c>
      <c r="G10" s="86">
        <v>285</v>
      </c>
      <c r="H10" s="87">
        <v>206251</v>
      </c>
      <c r="I10" s="88">
        <v>551</v>
      </c>
      <c r="J10" s="88">
        <v>402723</v>
      </c>
      <c r="K10" s="88">
        <v>11</v>
      </c>
      <c r="L10" s="88">
        <v>166313</v>
      </c>
      <c r="M10" s="89">
        <f t="shared" si="0"/>
        <v>2321</v>
      </c>
      <c r="N10" s="90">
        <f t="shared" si="0"/>
        <v>1680950</v>
      </c>
      <c r="O10" s="91">
        <v>38378</v>
      </c>
      <c r="P10" s="89">
        <f t="shared" si="2"/>
        <v>11</v>
      </c>
      <c r="Q10" s="89">
        <f t="shared" si="2"/>
        <v>166313</v>
      </c>
      <c r="R10" s="92">
        <f t="shared" si="1"/>
        <v>1885641</v>
      </c>
    </row>
    <row r="11" spans="1:21" ht="26" hidden="1" x14ac:dyDescent="0.3">
      <c r="A11" s="113" t="s">
        <v>186</v>
      </c>
      <c r="B11" s="83" t="s">
        <v>187</v>
      </c>
      <c r="C11" s="339">
        <v>22</v>
      </c>
      <c r="D11" s="84">
        <v>67865</v>
      </c>
      <c r="E11" s="85">
        <v>1485</v>
      </c>
      <c r="F11" s="85">
        <f>1071976</f>
        <v>1071976</v>
      </c>
      <c r="G11" s="86">
        <v>285</v>
      </c>
      <c r="H11" s="87">
        <v>206251</v>
      </c>
      <c r="I11" s="88">
        <v>551</v>
      </c>
      <c r="J11" s="88">
        <v>402723</v>
      </c>
      <c r="K11" s="88">
        <v>11</v>
      </c>
      <c r="L11" s="88">
        <v>166313</v>
      </c>
      <c r="M11" s="89">
        <f t="shared" si="0"/>
        <v>2321</v>
      </c>
      <c r="N11" s="90">
        <f t="shared" si="0"/>
        <v>1680950</v>
      </c>
      <c r="O11" s="91">
        <v>38378</v>
      </c>
      <c r="P11" s="89">
        <f t="shared" si="2"/>
        <v>11</v>
      </c>
      <c r="Q11" s="89">
        <f t="shared" si="2"/>
        <v>166313</v>
      </c>
      <c r="R11" s="92">
        <f t="shared" si="1"/>
        <v>1885641</v>
      </c>
    </row>
    <row r="12" spans="1:21" ht="13" hidden="1" x14ac:dyDescent="0.3">
      <c r="A12" s="113" t="s">
        <v>188</v>
      </c>
      <c r="B12" s="83" t="s">
        <v>189</v>
      </c>
      <c r="C12" s="339">
        <v>23</v>
      </c>
      <c r="D12" s="84">
        <v>57800</v>
      </c>
      <c r="E12" s="85">
        <v>2146</v>
      </c>
      <c r="F12" s="85">
        <v>1718390</v>
      </c>
      <c r="G12" s="86">
        <v>303</v>
      </c>
      <c r="H12" s="87">
        <v>242624</v>
      </c>
      <c r="I12" s="88">
        <v>554</v>
      </c>
      <c r="J12" s="88">
        <v>443610</v>
      </c>
      <c r="K12" s="88">
        <v>12</v>
      </c>
      <c r="L12" s="88">
        <f>59128+41980</f>
        <v>101108</v>
      </c>
      <c r="M12" s="89">
        <f t="shared" si="0"/>
        <v>3003</v>
      </c>
      <c r="N12" s="90">
        <f t="shared" si="0"/>
        <v>2404624</v>
      </c>
      <c r="O12" s="91">
        <v>42267</v>
      </c>
      <c r="P12" s="89">
        <f t="shared" si="2"/>
        <v>12</v>
      </c>
      <c r="Q12" s="89">
        <f t="shared" si="2"/>
        <v>101108</v>
      </c>
      <c r="R12" s="92">
        <f t="shared" si="1"/>
        <v>2547999</v>
      </c>
    </row>
    <row r="13" spans="1:21" ht="13" hidden="1" x14ac:dyDescent="0.3">
      <c r="A13" s="114" t="s">
        <v>190</v>
      </c>
      <c r="B13" s="93" t="s">
        <v>191</v>
      </c>
      <c r="C13" s="339">
        <v>0</v>
      </c>
      <c r="D13" s="84">
        <v>23691</v>
      </c>
      <c r="E13" s="85">
        <v>1935</v>
      </c>
      <c r="F13" s="85">
        <f>1601805-42700</f>
        <v>1559105</v>
      </c>
      <c r="G13" s="86">
        <v>305</v>
      </c>
      <c r="H13" s="87">
        <v>246132</v>
      </c>
      <c r="I13" s="88">
        <v>530</v>
      </c>
      <c r="J13" s="88">
        <v>427705</v>
      </c>
      <c r="K13" s="88">
        <v>0</v>
      </c>
      <c r="L13" s="88">
        <f>451395-J13</f>
        <v>23690</v>
      </c>
      <c r="M13" s="89">
        <f t="shared" si="0"/>
        <v>2770</v>
      </c>
      <c r="N13" s="90">
        <f t="shared" si="0"/>
        <v>2232942</v>
      </c>
      <c r="O13" s="91">
        <v>42700</v>
      </c>
      <c r="P13" s="89">
        <f t="shared" si="2"/>
        <v>0</v>
      </c>
      <c r="Q13" s="89">
        <f t="shared" si="2"/>
        <v>23690</v>
      </c>
      <c r="R13" s="94">
        <f t="shared" si="1"/>
        <v>2299332</v>
      </c>
    </row>
    <row r="14" spans="1:21" ht="13" hidden="1" x14ac:dyDescent="0.3">
      <c r="A14" s="114" t="s">
        <v>192</v>
      </c>
      <c r="B14" s="93" t="s">
        <v>193</v>
      </c>
      <c r="C14" s="339">
        <v>48</v>
      </c>
      <c r="D14" s="84">
        <v>122529</v>
      </c>
      <c r="E14" s="85">
        <v>1724</v>
      </c>
      <c r="F14" s="85">
        <v>1383907</v>
      </c>
      <c r="G14" s="86">
        <v>367</v>
      </c>
      <c r="H14" s="87">
        <v>295389</v>
      </c>
      <c r="I14" s="88">
        <v>528</v>
      </c>
      <c r="J14" s="88">
        <v>424535</v>
      </c>
      <c r="K14" s="88">
        <v>0</v>
      </c>
      <c r="L14" s="88">
        <f>15198+8942</f>
        <v>24140</v>
      </c>
      <c r="M14" s="89">
        <f t="shared" si="0"/>
        <v>2619</v>
      </c>
      <c r="N14" s="90">
        <f t="shared" si="0"/>
        <v>2103831</v>
      </c>
      <c r="O14" s="91">
        <v>42700</v>
      </c>
      <c r="P14" s="89">
        <f t="shared" si="2"/>
        <v>0</v>
      </c>
      <c r="Q14" s="89">
        <f t="shared" si="2"/>
        <v>24140</v>
      </c>
      <c r="R14" s="92">
        <f>+N14+O14+Q14</f>
        <v>2170671</v>
      </c>
    </row>
    <row r="15" spans="1:21" ht="26" hidden="1" x14ac:dyDescent="0.3">
      <c r="A15" s="114" t="s">
        <v>194</v>
      </c>
      <c r="B15" s="93" t="s">
        <v>195</v>
      </c>
      <c r="C15" s="339">
        <v>24</v>
      </c>
      <c r="D15" s="84">
        <v>59965</v>
      </c>
      <c r="E15" s="85">
        <v>1516</v>
      </c>
      <c r="F15" s="85">
        <v>1209753</v>
      </c>
      <c r="G15" s="86">
        <v>309</v>
      </c>
      <c r="H15" s="87">
        <v>247242</v>
      </c>
      <c r="I15" s="88">
        <v>560</v>
      </c>
      <c r="J15" s="88">
        <v>447504</v>
      </c>
      <c r="K15" s="88">
        <v>10</v>
      </c>
      <c r="L15" s="88">
        <f>91882+66779</f>
        <v>158661</v>
      </c>
      <c r="M15" s="89">
        <f t="shared" si="0"/>
        <v>2385</v>
      </c>
      <c r="N15" s="90">
        <f t="shared" si="0"/>
        <v>1904499</v>
      </c>
      <c r="O15" s="91">
        <v>41448</v>
      </c>
      <c r="P15" s="89">
        <f t="shared" si="2"/>
        <v>10</v>
      </c>
      <c r="Q15" s="89">
        <f t="shared" si="2"/>
        <v>158661</v>
      </c>
      <c r="R15" s="332">
        <f>+N15+O15+Q15</f>
        <v>2104608</v>
      </c>
      <c r="S15" s="99" t="s">
        <v>205</v>
      </c>
      <c r="T15" s="100" t="s">
        <v>206</v>
      </c>
      <c r="U15" s="333">
        <v>23691</v>
      </c>
    </row>
    <row r="16" spans="1:21" ht="13" hidden="1" x14ac:dyDescent="0.3">
      <c r="A16" s="116" t="s">
        <v>196</v>
      </c>
      <c r="B16" s="93" t="s">
        <v>197</v>
      </c>
      <c r="C16" s="339">
        <v>22</v>
      </c>
      <c r="D16" s="84">
        <v>55635</v>
      </c>
      <c r="E16" s="85">
        <v>2248</v>
      </c>
      <c r="F16" s="85">
        <v>1782652</v>
      </c>
      <c r="G16" s="86">
        <v>259</v>
      </c>
      <c r="H16" s="87">
        <v>206270</v>
      </c>
      <c r="I16" s="88">
        <v>540</v>
      </c>
      <c r="J16" s="88">
        <v>428977</v>
      </c>
      <c r="K16" s="88">
        <v>4</v>
      </c>
      <c r="L16" s="88">
        <v>91395</v>
      </c>
      <c r="M16" s="89">
        <f t="shared" si="0"/>
        <v>3047</v>
      </c>
      <c r="N16" s="90">
        <f t="shared" si="0"/>
        <v>2417899</v>
      </c>
      <c r="O16" s="91">
        <v>40651</v>
      </c>
      <c r="P16" s="89">
        <f t="shared" si="2"/>
        <v>4</v>
      </c>
      <c r="Q16" s="334">
        <f t="shared" si="2"/>
        <v>91395</v>
      </c>
      <c r="R16" s="101">
        <f t="shared" si="1"/>
        <v>2549945</v>
      </c>
      <c r="S16" s="264" t="s">
        <v>207</v>
      </c>
      <c r="T16" s="14">
        <v>4</v>
      </c>
      <c r="U16" s="101">
        <v>77694</v>
      </c>
    </row>
    <row r="17" spans="1:21" ht="13" hidden="1" x14ac:dyDescent="0.3">
      <c r="A17" s="116" t="s">
        <v>198</v>
      </c>
      <c r="B17" s="93" t="s">
        <v>199</v>
      </c>
      <c r="C17" s="339">
        <v>22</v>
      </c>
      <c r="D17" s="84">
        <v>55635</v>
      </c>
      <c r="E17" s="85">
        <v>2564</v>
      </c>
      <c r="F17" s="85">
        <v>2046328</v>
      </c>
      <c r="G17" s="86">
        <v>320</v>
      </c>
      <c r="H17" s="87">
        <v>255392</v>
      </c>
      <c r="I17" s="88">
        <v>576</v>
      </c>
      <c r="J17" s="88">
        <v>459706</v>
      </c>
      <c r="K17" s="88">
        <v>1</v>
      </c>
      <c r="L17" s="88">
        <f>22875+14316</f>
        <v>37191</v>
      </c>
      <c r="M17" s="89">
        <f t="shared" si="0"/>
        <v>3460</v>
      </c>
      <c r="N17" s="90">
        <f t="shared" si="0"/>
        <v>2761426</v>
      </c>
      <c r="O17" s="91">
        <v>40291</v>
      </c>
      <c r="P17" s="89">
        <f t="shared" si="2"/>
        <v>1</v>
      </c>
      <c r="Q17" s="334">
        <f t="shared" si="2"/>
        <v>37191</v>
      </c>
      <c r="R17" s="101">
        <f t="shared" si="1"/>
        <v>2838908</v>
      </c>
      <c r="S17" s="264" t="str">
        <f t="shared" ref="S17:S25" si="3">+S16</f>
        <v>CONTRATO 3437395</v>
      </c>
      <c r="T17" s="14">
        <v>4</v>
      </c>
      <c r="U17" s="101">
        <v>44694</v>
      </c>
    </row>
    <row r="18" spans="1:21" ht="13" x14ac:dyDescent="0.3">
      <c r="A18" s="116" t="s">
        <v>200</v>
      </c>
      <c r="B18" s="93" t="s">
        <v>201</v>
      </c>
      <c r="C18" s="339"/>
      <c r="D18" s="84">
        <v>15910</v>
      </c>
      <c r="E18" s="85">
        <v>2568</v>
      </c>
      <c r="F18" s="85">
        <v>2206496</v>
      </c>
      <c r="G18" s="86">
        <v>308</v>
      </c>
      <c r="H18" s="87">
        <v>259879</v>
      </c>
      <c r="I18" s="88">
        <v>582</v>
      </c>
      <c r="J18" s="88">
        <v>490504</v>
      </c>
      <c r="K18" s="88">
        <v>5</v>
      </c>
      <c r="L18" s="88">
        <f>37930+53838</f>
        <v>91768</v>
      </c>
      <c r="M18" s="89">
        <f t="shared" si="0"/>
        <v>3458</v>
      </c>
      <c r="N18" s="90">
        <f>+F18+H18+J18</f>
        <v>2956879</v>
      </c>
      <c r="O18" s="91">
        <v>40291</v>
      </c>
      <c r="P18" s="89">
        <f t="shared" si="2"/>
        <v>5</v>
      </c>
      <c r="Q18" s="334">
        <f>+L18+D18+U18</f>
        <v>172209</v>
      </c>
      <c r="R18" s="827">
        <f>+N18+Q18</f>
        <v>3129088</v>
      </c>
      <c r="S18" s="13" t="s">
        <v>1250</v>
      </c>
      <c r="T18" s="264">
        <v>3</v>
      </c>
      <c r="U18" s="101">
        <f>38376+26155</f>
        <v>64531</v>
      </c>
    </row>
    <row r="19" spans="1:21" ht="13" x14ac:dyDescent="0.3">
      <c r="A19" s="117">
        <v>45292</v>
      </c>
      <c r="B19" s="93" t="s">
        <v>202</v>
      </c>
      <c r="C19" s="339">
        <v>1317</v>
      </c>
      <c r="D19" s="84">
        <f>48698-15910</f>
        <v>32788</v>
      </c>
      <c r="E19" s="85">
        <v>3066</v>
      </c>
      <c r="F19" s="85">
        <v>2713196</v>
      </c>
      <c r="G19" s="86">
        <v>329</v>
      </c>
      <c r="H19" s="87">
        <v>291142</v>
      </c>
      <c r="I19" s="88">
        <v>604</v>
      </c>
      <c r="J19" s="88">
        <v>534497</v>
      </c>
      <c r="K19" s="88">
        <v>8</v>
      </c>
      <c r="L19" s="88">
        <f>77005+55594</f>
        <v>132599</v>
      </c>
      <c r="M19" s="89">
        <f t="shared" si="0"/>
        <v>3999</v>
      </c>
      <c r="N19" s="90">
        <f t="shared" si="0"/>
        <v>3538835</v>
      </c>
      <c r="O19" s="91">
        <v>40291</v>
      </c>
      <c r="P19" s="89">
        <f t="shared" si="2"/>
        <v>8</v>
      </c>
      <c r="Q19" s="334">
        <f t="shared" ref="Q19:Q53" si="4">+L19+D19+U19</f>
        <v>189078</v>
      </c>
      <c r="R19" s="827">
        <f t="shared" ref="R19:R52" si="5">+N19+Q19</f>
        <v>3727913</v>
      </c>
      <c r="S19" s="13" t="str">
        <f t="shared" si="3"/>
        <v>CONT.3437395</v>
      </c>
      <c r="T19" s="264">
        <v>0</v>
      </c>
      <c r="U19" s="101">
        <v>23691</v>
      </c>
    </row>
    <row r="20" spans="1:21" ht="13" x14ac:dyDescent="0.3">
      <c r="A20" s="117">
        <v>45323</v>
      </c>
      <c r="B20" s="93" t="s">
        <v>203</v>
      </c>
      <c r="C20" s="339">
        <v>1330</v>
      </c>
      <c r="D20" s="84">
        <v>39508</v>
      </c>
      <c r="E20" s="85">
        <v>2801</v>
      </c>
      <c r="F20" s="85">
        <v>2488604</v>
      </c>
      <c r="G20" s="86">
        <v>401</v>
      </c>
      <c r="H20" s="87">
        <v>356276</v>
      </c>
      <c r="I20" s="88">
        <v>616</v>
      </c>
      <c r="J20" s="88">
        <v>547297</v>
      </c>
      <c r="K20" s="88">
        <v>6</v>
      </c>
      <c r="L20" s="88">
        <f>63534+45227</f>
        <v>108761</v>
      </c>
      <c r="M20" s="89">
        <f t="shared" si="0"/>
        <v>3818</v>
      </c>
      <c r="N20" s="90">
        <f t="shared" si="0"/>
        <v>3392177</v>
      </c>
      <c r="O20" s="91">
        <v>40291</v>
      </c>
      <c r="P20" s="89">
        <f>+K20+T20</f>
        <v>27</v>
      </c>
      <c r="Q20" s="334">
        <f t="shared" si="4"/>
        <v>467797</v>
      </c>
      <c r="R20" s="827">
        <f t="shared" si="5"/>
        <v>3859974</v>
      </c>
      <c r="S20" s="13" t="str">
        <f t="shared" si="3"/>
        <v>CONT.3437395</v>
      </c>
      <c r="T20" s="264">
        <v>21</v>
      </c>
      <c r="U20" s="101">
        <v>319528</v>
      </c>
    </row>
    <row r="21" spans="1:21" ht="13" x14ac:dyDescent="0.3">
      <c r="A21" s="117">
        <v>45352</v>
      </c>
      <c r="B21" s="93" t="s">
        <v>204</v>
      </c>
      <c r="C21" s="339">
        <v>14</v>
      </c>
      <c r="D21" s="84">
        <v>41874</v>
      </c>
      <c r="E21" s="85">
        <v>2520</v>
      </c>
      <c r="F21" s="85">
        <v>2265102</v>
      </c>
      <c r="G21" s="86">
        <v>314</v>
      </c>
      <c r="H21" s="87">
        <v>282239</v>
      </c>
      <c r="I21" s="88">
        <v>248</v>
      </c>
      <c r="J21" s="88">
        <f>28+222915</f>
        <v>222943</v>
      </c>
      <c r="K21" s="88">
        <v>6</v>
      </c>
      <c r="L21" s="88">
        <f>63543+45228</f>
        <v>108771</v>
      </c>
      <c r="M21" s="89">
        <f t="shared" si="0"/>
        <v>3082</v>
      </c>
      <c r="N21" s="90">
        <f t="shared" si="0"/>
        <v>2770284</v>
      </c>
      <c r="O21" s="91">
        <v>43807</v>
      </c>
      <c r="P21" s="89">
        <f>+K21</f>
        <v>6</v>
      </c>
      <c r="Q21" s="334">
        <f t="shared" si="4"/>
        <v>175131</v>
      </c>
      <c r="R21" s="827">
        <f t="shared" si="5"/>
        <v>2945415</v>
      </c>
      <c r="S21" s="13" t="str">
        <f t="shared" si="3"/>
        <v>CONT.3437395</v>
      </c>
      <c r="T21" s="110">
        <v>0</v>
      </c>
      <c r="U21" s="101">
        <v>24486</v>
      </c>
    </row>
    <row r="22" spans="1:21" ht="13" x14ac:dyDescent="0.3">
      <c r="A22" s="117">
        <v>45383</v>
      </c>
      <c r="B22" s="93" t="s">
        <v>229</v>
      </c>
      <c r="C22" s="339">
        <v>11</v>
      </c>
      <c r="D22" s="84">
        <v>48851</v>
      </c>
      <c r="E22" s="85">
        <v>2445</v>
      </c>
      <c r="F22" s="85">
        <f>2128250</f>
        <v>2128250</v>
      </c>
      <c r="G22" s="86">
        <v>356</v>
      </c>
      <c r="H22" s="87">
        <v>309880</v>
      </c>
      <c r="I22" s="88">
        <v>565</v>
      </c>
      <c r="J22" s="88">
        <v>491804</v>
      </c>
      <c r="K22" s="88">
        <v>5</v>
      </c>
      <c r="L22" s="88">
        <f>55567+39151</f>
        <v>94718</v>
      </c>
      <c r="M22" s="89">
        <f t="shared" si="0"/>
        <v>3366</v>
      </c>
      <c r="N22" s="90">
        <f t="shared" si="0"/>
        <v>2929934</v>
      </c>
      <c r="O22" s="91">
        <v>49090</v>
      </c>
      <c r="P22" s="89">
        <f>+K22+T22</f>
        <v>17</v>
      </c>
      <c r="Q22" s="334">
        <f t="shared" si="4"/>
        <v>336664</v>
      </c>
      <c r="R22" s="827">
        <f t="shared" si="5"/>
        <v>3266598</v>
      </c>
      <c r="S22" s="13" t="str">
        <f t="shared" si="3"/>
        <v>CONT.3437395</v>
      </c>
      <c r="T22" s="110">
        <v>12</v>
      </c>
      <c r="U22" s="101">
        <v>193095</v>
      </c>
    </row>
    <row r="23" spans="1:21" ht="13" x14ac:dyDescent="0.3">
      <c r="A23" s="117">
        <v>45413</v>
      </c>
      <c r="B23" s="93" t="s">
        <v>273</v>
      </c>
      <c r="C23" s="339">
        <v>17</v>
      </c>
      <c r="D23" s="84">
        <v>48972</v>
      </c>
      <c r="E23" s="85">
        <v>1797</v>
      </c>
      <c r="F23" s="85">
        <v>1588925</v>
      </c>
      <c r="G23" s="86">
        <v>302</v>
      </c>
      <c r="H23" s="87">
        <v>267031</v>
      </c>
      <c r="I23" s="146">
        <v>551</v>
      </c>
      <c r="J23" s="146">
        <v>487200</v>
      </c>
      <c r="K23" s="146">
        <v>10</v>
      </c>
      <c r="L23" s="146">
        <f>95444+69539</f>
        <v>164983</v>
      </c>
      <c r="M23" s="147">
        <f t="shared" ref="M23:N38" si="6">+E23+G23+I23</f>
        <v>2650</v>
      </c>
      <c r="N23" s="90">
        <f t="shared" si="6"/>
        <v>2343156</v>
      </c>
      <c r="O23" s="148">
        <v>48304</v>
      </c>
      <c r="P23" s="147">
        <f>+K23+T23</f>
        <v>12</v>
      </c>
      <c r="Q23" s="334">
        <f t="shared" si="4"/>
        <v>266516</v>
      </c>
      <c r="R23" s="827">
        <f t="shared" si="5"/>
        <v>2609672</v>
      </c>
      <c r="S23" s="13" t="str">
        <f t="shared" si="3"/>
        <v>CONT.3437395</v>
      </c>
      <c r="T23" s="110">
        <v>2</v>
      </c>
      <c r="U23" s="101">
        <v>52561</v>
      </c>
    </row>
    <row r="24" spans="1:21" ht="13" x14ac:dyDescent="0.3">
      <c r="A24" s="117">
        <v>45444</v>
      </c>
      <c r="B24" s="93" t="s">
        <v>353</v>
      </c>
      <c r="C24" s="339">
        <v>2</v>
      </c>
      <c r="D24" s="84">
        <v>17387</v>
      </c>
      <c r="E24" s="85">
        <v>1897</v>
      </c>
      <c r="F24" s="85">
        <v>1706352</v>
      </c>
      <c r="G24" s="86">
        <v>266</v>
      </c>
      <c r="H24" s="87">
        <v>268951</v>
      </c>
      <c r="I24" s="146">
        <v>561</v>
      </c>
      <c r="J24" s="146">
        <v>504520</v>
      </c>
      <c r="K24" s="146">
        <v>7</v>
      </c>
      <c r="L24" s="146">
        <f>626572-J24</f>
        <v>122052</v>
      </c>
      <c r="M24" s="147">
        <f t="shared" si="6"/>
        <v>2724</v>
      </c>
      <c r="N24" s="90">
        <f t="shared" si="6"/>
        <v>2479823</v>
      </c>
      <c r="O24" s="148">
        <v>48308</v>
      </c>
      <c r="P24" s="147">
        <f>+K24+T24</f>
        <v>15</v>
      </c>
      <c r="Q24" s="334">
        <f t="shared" si="4"/>
        <v>280676</v>
      </c>
      <c r="R24" s="827">
        <f t="shared" si="5"/>
        <v>2760499</v>
      </c>
      <c r="S24" s="13" t="str">
        <f t="shared" si="3"/>
        <v>CONT.3437395</v>
      </c>
      <c r="T24" s="110">
        <v>8</v>
      </c>
      <c r="U24" s="101">
        <v>141237</v>
      </c>
    </row>
    <row r="25" spans="1:21" ht="13" x14ac:dyDescent="0.3">
      <c r="A25" s="117">
        <v>45474</v>
      </c>
      <c r="B25" s="93" t="s">
        <v>442</v>
      </c>
      <c r="C25" s="339">
        <v>11</v>
      </c>
      <c r="D25" s="84">
        <v>49972</v>
      </c>
      <c r="E25" s="85">
        <v>2285</v>
      </c>
      <c r="F25" s="85">
        <v>2156416</v>
      </c>
      <c r="G25" s="86">
        <v>240</v>
      </c>
      <c r="H25" s="87">
        <v>226498</v>
      </c>
      <c r="I25" s="146">
        <v>528</v>
      </c>
      <c r="J25" s="146">
        <v>498295</v>
      </c>
      <c r="K25" s="146">
        <v>7</v>
      </c>
      <c r="L25" s="146">
        <f>76197+54005</f>
        <v>130202</v>
      </c>
      <c r="M25" s="147">
        <f>+E25+G25+I25</f>
        <v>3053</v>
      </c>
      <c r="N25" s="90">
        <f t="shared" si="6"/>
        <v>2881209</v>
      </c>
      <c r="O25" s="148">
        <v>49349</v>
      </c>
      <c r="P25" s="147">
        <f>+K25+T25</f>
        <v>7</v>
      </c>
      <c r="Q25" s="334">
        <f t="shared" si="4"/>
        <v>205412</v>
      </c>
      <c r="R25" s="827">
        <f t="shared" si="5"/>
        <v>3086621</v>
      </c>
      <c r="S25" s="13" t="str">
        <f t="shared" si="3"/>
        <v>CONT.3437395</v>
      </c>
      <c r="T25" s="110">
        <v>0</v>
      </c>
      <c r="U25" s="101">
        <v>25238</v>
      </c>
    </row>
    <row r="26" spans="1:21" ht="13" x14ac:dyDescent="0.3">
      <c r="A26" s="117">
        <v>45505</v>
      </c>
      <c r="B26" s="93" t="s">
        <v>459</v>
      </c>
      <c r="C26" s="339">
        <v>4</v>
      </c>
      <c r="D26" s="84">
        <v>22000</v>
      </c>
      <c r="E26" s="85">
        <v>1938</v>
      </c>
      <c r="F26" s="85">
        <v>1682997</v>
      </c>
      <c r="G26" s="86">
        <v>361</v>
      </c>
      <c r="H26" s="87">
        <v>304272</v>
      </c>
      <c r="I26" s="146">
        <v>566</v>
      </c>
      <c r="J26" s="146">
        <v>477068.76</v>
      </c>
      <c r="K26" s="146">
        <v>2</v>
      </c>
      <c r="L26" s="146">
        <f>32141+21362</f>
        <v>53503</v>
      </c>
      <c r="M26" s="147">
        <f>+E26+G26+I26</f>
        <v>2865</v>
      </c>
      <c r="N26" s="90">
        <f t="shared" si="6"/>
        <v>2464337.7599999998</v>
      </c>
      <c r="O26" s="148">
        <v>49349</v>
      </c>
      <c r="P26" s="147">
        <f>+K26+T26</f>
        <v>2</v>
      </c>
      <c r="Q26" s="334">
        <f t="shared" si="4"/>
        <v>100741</v>
      </c>
      <c r="R26" s="827">
        <f t="shared" si="5"/>
        <v>2565078.7599999998</v>
      </c>
      <c r="S26" s="828" t="str">
        <f>+S25</f>
        <v>CONT.3437395</v>
      </c>
      <c r="T26" s="319">
        <v>0</v>
      </c>
      <c r="U26" s="101">
        <v>25238</v>
      </c>
    </row>
    <row r="27" spans="1:21" ht="13" hidden="1" x14ac:dyDescent="0.3">
      <c r="A27" s="337"/>
      <c r="B27" s="336"/>
      <c r="C27" s="95"/>
      <c r="D27" s="96"/>
      <c r="E27" s="95"/>
      <c r="F27" s="97"/>
      <c r="G27" s="95"/>
      <c r="H27" s="95"/>
      <c r="I27" s="95"/>
      <c r="J27" s="95"/>
      <c r="K27" s="95"/>
      <c r="L27" s="95"/>
      <c r="M27" s="95"/>
      <c r="N27" s="90">
        <f t="shared" si="6"/>
        <v>0</v>
      </c>
      <c r="O27" s="95"/>
      <c r="P27" s="95"/>
      <c r="Q27" s="334">
        <f t="shared" si="4"/>
        <v>0</v>
      </c>
      <c r="R27" s="827">
        <f t="shared" si="5"/>
        <v>0</v>
      </c>
      <c r="S27" s="13"/>
      <c r="T27" s="14"/>
      <c r="U27" s="101"/>
    </row>
    <row r="28" spans="1:21" ht="13" hidden="1" x14ac:dyDescent="0.3">
      <c r="A28" s="337"/>
      <c r="B28" s="336"/>
      <c r="C28" s="95"/>
      <c r="D28" s="96"/>
      <c r="E28" s="95"/>
      <c r="F28" s="97"/>
      <c r="G28" s="95"/>
      <c r="H28" s="95"/>
      <c r="I28" s="95"/>
      <c r="J28" s="95"/>
      <c r="K28" s="95"/>
      <c r="L28" s="95"/>
      <c r="M28" s="95"/>
      <c r="N28" s="90">
        <f t="shared" si="6"/>
        <v>0</v>
      </c>
      <c r="O28" s="95"/>
      <c r="P28" s="95"/>
      <c r="Q28" s="334">
        <f t="shared" si="4"/>
        <v>0</v>
      </c>
      <c r="R28" s="827">
        <f t="shared" si="5"/>
        <v>0</v>
      </c>
      <c r="S28" s="13"/>
      <c r="T28" s="14"/>
      <c r="U28" s="101"/>
    </row>
    <row r="29" spans="1:21" ht="13" hidden="1" x14ac:dyDescent="0.3">
      <c r="A29" s="337"/>
      <c r="B29" s="336"/>
      <c r="C29" s="95"/>
      <c r="D29" s="96"/>
      <c r="E29" s="95"/>
      <c r="F29" s="97"/>
      <c r="G29" s="95"/>
      <c r="H29" s="95"/>
      <c r="I29" s="95"/>
      <c r="J29" s="95"/>
      <c r="K29" s="95"/>
      <c r="L29" s="95"/>
      <c r="M29" s="95"/>
      <c r="N29" s="90">
        <f t="shared" si="6"/>
        <v>0</v>
      </c>
      <c r="O29" s="95"/>
      <c r="P29" s="95"/>
      <c r="Q29" s="334">
        <f t="shared" si="4"/>
        <v>0</v>
      </c>
      <c r="R29" s="827">
        <f t="shared" si="5"/>
        <v>0</v>
      </c>
      <c r="S29" s="13"/>
      <c r="T29" s="14"/>
      <c r="U29" s="101"/>
    </row>
    <row r="30" spans="1:21" ht="13" hidden="1" x14ac:dyDescent="0.3">
      <c r="A30" s="337"/>
      <c r="B30" s="336"/>
      <c r="C30" s="95"/>
      <c r="D30" s="96"/>
      <c r="E30" s="95"/>
      <c r="F30" s="97"/>
      <c r="G30" s="95"/>
      <c r="H30" s="95"/>
      <c r="I30" s="95"/>
      <c r="J30" s="95"/>
      <c r="K30" s="95"/>
      <c r="L30" s="95"/>
      <c r="M30" s="95"/>
      <c r="N30" s="90">
        <f t="shared" si="6"/>
        <v>0</v>
      </c>
      <c r="O30" s="95"/>
      <c r="P30" s="95"/>
      <c r="Q30" s="334">
        <f t="shared" si="4"/>
        <v>0</v>
      </c>
      <c r="R30" s="827">
        <f t="shared" si="5"/>
        <v>0</v>
      </c>
      <c r="S30" s="13"/>
      <c r="T30" s="14"/>
      <c r="U30" s="101"/>
    </row>
    <row r="31" spans="1:21" ht="13" hidden="1" x14ac:dyDescent="0.3">
      <c r="A31" s="337"/>
      <c r="B31" s="336"/>
      <c r="C31" s="95"/>
      <c r="D31" s="96"/>
      <c r="E31" s="95"/>
      <c r="F31" s="97"/>
      <c r="G31" s="95"/>
      <c r="H31" s="95"/>
      <c r="I31" s="95"/>
      <c r="J31" s="95"/>
      <c r="K31" s="95"/>
      <c r="L31" s="95"/>
      <c r="M31" s="95"/>
      <c r="N31" s="90">
        <f t="shared" si="6"/>
        <v>0</v>
      </c>
      <c r="O31" s="95"/>
      <c r="P31" s="95"/>
      <c r="Q31" s="334">
        <f t="shared" si="4"/>
        <v>0</v>
      </c>
      <c r="R31" s="827">
        <f t="shared" si="5"/>
        <v>0</v>
      </c>
      <c r="S31" s="13"/>
      <c r="T31" s="14"/>
      <c r="U31" s="101"/>
    </row>
    <row r="32" spans="1:21" ht="13" hidden="1" x14ac:dyDescent="0.3">
      <c r="A32" s="337"/>
      <c r="B32" s="336"/>
      <c r="C32" s="95"/>
      <c r="D32" s="96"/>
      <c r="E32" s="95"/>
      <c r="F32" s="97"/>
      <c r="G32" s="95"/>
      <c r="H32" s="95"/>
      <c r="I32" s="95"/>
      <c r="J32" s="95"/>
      <c r="K32" s="95"/>
      <c r="L32" s="95"/>
      <c r="M32" s="95"/>
      <c r="N32" s="90">
        <f t="shared" si="6"/>
        <v>0</v>
      </c>
      <c r="O32" s="95"/>
      <c r="P32" s="95"/>
      <c r="Q32" s="334">
        <f t="shared" si="4"/>
        <v>0</v>
      </c>
      <c r="R32" s="827">
        <f t="shared" si="5"/>
        <v>0</v>
      </c>
      <c r="S32" s="13"/>
      <c r="T32" s="14"/>
      <c r="U32" s="101"/>
    </row>
    <row r="33" spans="1:21" ht="13" hidden="1" x14ac:dyDescent="0.3">
      <c r="A33" s="337"/>
      <c r="B33" s="336"/>
      <c r="C33" s="95"/>
      <c r="D33" s="96"/>
      <c r="E33" s="95"/>
      <c r="F33" s="97"/>
      <c r="G33" s="95"/>
      <c r="H33" s="95"/>
      <c r="I33" s="95"/>
      <c r="J33" s="95"/>
      <c r="K33" s="95"/>
      <c r="L33" s="95"/>
      <c r="M33" s="95"/>
      <c r="N33" s="90">
        <f t="shared" si="6"/>
        <v>0</v>
      </c>
      <c r="O33" s="95"/>
      <c r="P33" s="95"/>
      <c r="Q33" s="334">
        <f t="shared" si="4"/>
        <v>0</v>
      </c>
      <c r="R33" s="827">
        <f t="shared" si="5"/>
        <v>0</v>
      </c>
      <c r="S33" s="13"/>
      <c r="T33" s="14"/>
      <c r="U33" s="101"/>
    </row>
    <row r="34" spans="1:21" ht="13" hidden="1" x14ac:dyDescent="0.3">
      <c r="A34" s="337"/>
      <c r="B34" s="336"/>
      <c r="C34" s="95"/>
      <c r="D34" s="96"/>
      <c r="E34" s="95"/>
      <c r="F34" s="97"/>
      <c r="G34" s="95"/>
      <c r="H34" s="95"/>
      <c r="I34" s="95"/>
      <c r="J34" s="95"/>
      <c r="K34" s="95"/>
      <c r="L34" s="95"/>
      <c r="M34" s="95"/>
      <c r="N34" s="90">
        <f t="shared" si="6"/>
        <v>0</v>
      </c>
      <c r="O34" s="95"/>
      <c r="P34" s="95"/>
      <c r="Q34" s="334">
        <f t="shared" si="4"/>
        <v>0</v>
      </c>
      <c r="R34" s="827">
        <f t="shared" si="5"/>
        <v>0</v>
      </c>
      <c r="S34" s="13"/>
      <c r="T34" s="14"/>
      <c r="U34" s="101"/>
    </row>
    <row r="35" spans="1:21" ht="13" hidden="1" x14ac:dyDescent="0.3">
      <c r="A35" s="337"/>
      <c r="B35" s="336"/>
      <c r="C35" s="95"/>
      <c r="D35" s="96"/>
      <c r="E35" s="95"/>
      <c r="F35" s="97"/>
      <c r="G35" s="95"/>
      <c r="H35" s="95"/>
      <c r="I35" s="95"/>
      <c r="J35" s="95"/>
      <c r="K35" s="95"/>
      <c r="L35" s="95"/>
      <c r="M35" s="95"/>
      <c r="N35" s="90">
        <f t="shared" si="6"/>
        <v>0</v>
      </c>
      <c r="O35" s="95"/>
      <c r="P35" s="95"/>
      <c r="Q35" s="334">
        <f t="shared" si="4"/>
        <v>0</v>
      </c>
      <c r="R35" s="827">
        <f t="shared" si="5"/>
        <v>0</v>
      </c>
      <c r="S35" s="13"/>
      <c r="T35" s="14"/>
      <c r="U35" s="101"/>
    </row>
    <row r="36" spans="1:21" ht="13" hidden="1" x14ac:dyDescent="0.3">
      <c r="A36" s="337"/>
      <c r="B36" s="336"/>
      <c r="C36" s="95"/>
      <c r="D36" s="96"/>
      <c r="E36" s="95"/>
      <c r="F36" s="97"/>
      <c r="G36" s="95"/>
      <c r="H36" s="95"/>
      <c r="I36" s="95"/>
      <c r="J36" s="95"/>
      <c r="K36" s="95"/>
      <c r="L36" s="95"/>
      <c r="M36" s="95"/>
      <c r="N36" s="90">
        <f t="shared" si="6"/>
        <v>0</v>
      </c>
      <c r="O36" s="95"/>
      <c r="P36" s="95"/>
      <c r="Q36" s="334">
        <f t="shared" si="4"/>
        <v>0</v>
      </c>
      <c r="R36" s="827">
        <f t="shared" si="5"/>
        <v>0</v>
      </c>
      <c r="S36" s="13"/>
      <c r="T36" s="14"/>
      <c r="U36" s="101"/>
    </row>
    <row r="37" spans="1:21" ht="13" hidden="1" x14ac:dyDescent="0.3">
      <c r="A37" s="337"/>
      <c r="B37" s="336"/>
      <c r="C37" s="95"/>
      <c r="D37" s="96"/>
      <c r="E37" s="95"/>
      <c r="F37" s="97"/>
      <c r="G37" s="95"/>
      <c r="H37" s="95"/>
      <c r="I37" s="95"/>
      <c r="J37" s="95"/>
      <c r="K37" s="95"/>
      <c r="L37" s="95"/>
      <c r="M37" s="95"/>
      <c r="N37" s="90">
        <f t="shared" si="6"/>
        <v>0</v>
      </c>
      <c r="O37" s="95"/>
      <c r="P37" s="95"/>
      <c r="Q37" s="334">
        <f t="shared" si="4"/>
        <v>0</v>
      </c>
      <c r="R37" s="827">
        <f t="shared" si="5"/>
        <v>0</v>
      </c>
      <c r="S37" s="13"/>
      <c r="T37" s="14"/>
      <c r="U37" s="101"/>
    </row>
    <row r="38" spans="1:21" ht="13" hidden="1" x14ac:dyDescent="0.3">
      <c r="A38" s="335"/>
      <c r="B38" s="43"/>
      <c r="N38" s="90">
        <f t="shared" si="6"/>
        <v>0</v>
      </c>
      <c r="Q38" s="334">
        <f t="shared" si="4"/>
        <v>0</v>
      </c>
      <c r="R38" s="827">
        <f t="shared" si="5"/>
        <v>0</v>
      </c>
      <c r="S38" s="13"/>
      <c r="T38" s="14"/>
      <c r="U38" s="101"/>
    </row>
    <row r="39" spans="1:21" ht="13" hidden="1" x14ac:dyDescent="0.3">
      <c r="A39" s="335"/>
      <c r="B39" s="43"/>
      <c r="N39" s="90">
        <f t="shared" ref="N39:N54" si="7">+F39+H39+J39</f>
        <v>0</v>
      </c>
      <c r="Q39" s="334">
        <f t="shared" si="4"/>
        <v>0</v>
      </c>
      <c r="R39" s="827">
        <f t="shared" si="5"/>
        <v>0</v>
      </c>
      <c r="S39" s="13"/>
      <c r="T39" s="14"/>
      <c r="U39" s="101"/>
    </row>
    <row r="40" spans="1:21" ht="13" hidden="1" x14ac:dyDescent="0.3">
      <c r="A40" s="335"/>
      <c r="B40" s="43"/>
      <c r="N40" s="90">
        <f t="shared" si="7"/>
        <v>0</v>
      </c>
      <c r="Q40" s="334">
        <f t="shared" si="4"/>
        <v>0</v>
      </c>
      <c r="R40" s="827">
        <f t="shared" si="5"/>
        <v>0</v>
      </c>
      <c r="S40" s="13"/>
      <c r="T40" s="14"/>
      <c r="U40" s="101"/>
    </row>
    <row r="41" spans="1:21" ht="13" hidden="1" x14ac:dyDescent="0.3">
      <c r="A41" s="335"/>
      <c r="B41" s="43"/>
      <c r="N41" s="90">
        <f t="shared" si="7"/>
        <v>0</v>
      </c>
      <c r="Q41" s="334">
        <f t="shared" si="4"/>
        <v>0</v>
      </c>
      <c r="R41" s="827">
        <f t="shared" si="5"/>
        <v>0</v>
      </c>
      <c r="S41" s="13"/>
      <c r="T41" s="14"/>
      <c r="U41" s="101"/>
    </row>
    <row r="42" spans="1:21" ht="13" hidden="1" x14ac:dyDescent="0.3">
      <c r="A42" s="335"/>
      <c r="B42" s="43"/>
      <c r="N42" s="90">
        <f t="shared" si="7"/>
        <v>0</v>
      </c>
      <c r="Q42" s="334">
        <f t="shared" si="4"/>
        <v>0</v>
      </c>
      <c r="R42" s="827">
        <f t="shared" si="5"/>
        <v>0</v>
      </c>
      <c r="S42" s="13"/>
      <c r="T42" s="14"/>
      <c r="U42" s="101"/>
    </row>
    <row r="43" spans="1:21" ht="13" hidden="1" x14ac:dyDescent="0.3">
      <c r="A43" s="335"/>
      <c r="B43" s="43"/>
      <c r="N43" s="90">
        <f t="shared" si="7"/>
        <v>0</v>
      </c>
      <c r="Q43" s="334">
        <f t="shared" si="4"/>
        <v>0</v>
      </c>
      <c r="R43" s="827">
        <f t="shared" si="5"/>
        <v>0</v>
      </c>
      <c r="S43" s="13"/>
      <c r="T43" s="14"/>
      <c r="U43" s="101"/>
    </row>
    <row r="44" spans="1:21" ht="13" hidden="1" x14ac:dyDescent="0.3">
      <c r="A44" s="335"/>
      <c r="B44" s="43"/>
      <c r="N44" s="90">
        <f t="shared" si="7"/>
        <v>0</v>
      </c>
      <c r="Q44" s="334">
        <f t="shared" si="4"/>
        <v>0</v>
      </c>
      <c r="R44" s="827">
        <f t="shared" si="5"/>
        <v>0</v>
      </c>
      <c r="S44" s="13"/>
      <c r="T44" s="14"/>
      <c r="U44" s="101"/>
    </row>
    <row r="45" spans="1:21" ht="13" hidden="1" x14ac:dyDescent="0.3">
      <c r="A45" s="335"/>
      <c r="B45" s="43"/>
      <c r="N45" s="90">
        <f t="shared" si="7"/>
        <v>0</v>
      </c>
      <c r="Q45" s="334">
        <f t="shared" si="4"/>
        <v>0</v>
      </c>
      <c r="R45" s="827">
        <f t="shared" si="5"/>
        <v>0</v>
      </c>
      <c r="S45" s="13"/>
      <c r="T45" s="14"/>
      <c r="U45" s="101"/>
    </row>
    <row r="46" spans="1:21" ht="13" hidden="1" x14ac:dyDescent="0.3">
      <c r="A46" s="335"/>
      <c r="B46" s="43"/>
      <c r="N46" s="90">
        <f t="shared" si="7"/>
        <v>0</v>
      </c>
      <c r="Q46" s="334">
        <f t="shared" si="4"/>
        <v>0</v>
      </c>
      <c r="R46" s="827">
        <f t="shared" si="5"/>
        <v>0</v>
      </c>
      <c r="S46" s="13"/>
      <c r="T46" s="14"/>
      <c r="U46" s="101"/>
    </row>
    <row r="47" spans="1:21" ht="13" hidden="1" x14ac:dyDescent="0.3">
      <c r="A47" s="335"/>
      <c r="B47" s="43"/>
      <c r="N47" s="90">
        <f t="shared" si="7"/>
        <v>0</v>
      </c>
      <c r="Q47" s="334">
        <f t="shared" si="4"/>
        <v>0</v>
      </c>
      <c r="R47" s="827">
        <f t="shared" si="5"/>
        <v>0</v>
      </c>
      <c r="S47" s="13"/>
      <c r="T47" s="14"/>
      <c r="U47" s="101"/>
    </row>
    <row r="48" spans="1:21" ht="13" x14ac:dyDescent="0.3">
      <c r="A48" s="117">
        <v>45536</v>
      </c>
      <c r="B48" s="93" t="s">
        <v>501</v>
      </c>
      <c r="C48" s="339">
        <v>34</v>
      </c>
      <c r="D48" s="84">
        <v>96017</v>
      </c>
      <c r="E48" s="85">
        <v>1992</v>
      </c>
      <c r="F48" s="85">
        <f>+'[12]ESTADO DE RESULTADOS'!M36</f>
        <v>0</v>
      </c>
      <c r="G48" s="86">
        <v>346</v>
      </c>
      <c r="H48" s="87">
        <f>+'[13]SEPTIEMBRE 2024'!$I$132</f>
        <v>293595</v>
      </c>
      <c r="I48" s="146">
        <v>532</v>
      </c>
      <c r="J48" s="146">
        <f>+'[13]SEPTIEMBRE 2024'!$I$130</f>
        <v>451423</v>
      </c>
      <c r="K48" s="146">
        <v>0</v>
      </c>
      <c r="L48" s="146">
        <f>+'[13]SEPTIEMBRE 2024'!$I$128+'[13]SEPTIEMBRE 2024'!$I$129</f>
        <v>25239</v>
      </c>
      <c r="M48" s="147">
        <f t="shared" ref="M48:M53" si="8">+E48+G48+I48</f>
        <v>2870</v>
      </c>
      <c r="N48" s="90">
        <f t="shared" si="7"/>
        <v>745018</v>
      </c>
      <c r="O48" s="148">
        <f>+'[12]ESTADO DE RESULTADOS'!M38</f>
        <v>0</v>
      </c>
      <c r="P48" s="147">
        <f t="shared" ref="P48:P53" si="9">+K48+T48</f>
        <v>0</v>
      </c>
      <c r="Q48" s="334">
        <f t="shared" si="4"/>
        <v>146494</v>
      </c>
      <c r="R48" s="827">
        <f t="shared" si="5"/>
        <v>891512</v>
      </c>
      <c r="S48" s="828" t="str">
        <f>+S26</f>
        <v>CONT.3437395</v>
      </c>
      <c r="T48" s="319">
        <v>0</v>
      </c>
      <c r="U48" s="101">
        <v>25238</v>
      </c>
    </row>
    <row r="49" spans="1:21" s="145" customFormat="1" ht="13" x14ac:dyDescent="0.3">
      <c r="A49" s="117">
        <v>45566</v>
      </c>
      <c r="B49" s="93" t="s">
        <v>567</v>
      </c>
      <c r="C49" s="339">
        <v>36</v>
      </c>
      <c r="D49" s="84">
        <v>101965</v>
      </c>
      <c r="E49" s="85">
        <v>2361</v>
      </c>
      <c r="F49" s="85">
        <v>2068155</v>
      </c>
      <c r="G49" s="86">
        <v>314</v>
      </c>
      <c r="H49" s="87">
        <v>268388</v>
      </c>
      <c r="I49" s="146">
        <v>585</v>
      </c>
      <c r="J49" s="146">
        <v>500022</v>
      </c>
      <c r="K49" s="146">
        <v>1</v>
      </c>
      <c r="L49" s="146">
        <f>24166+115204</f>
        <v>139370</v>
      </c>
      <c r="M49" s="147">
        <f t="shared" si="8"/>
        <v>3260</v>
      </c>
      <c r="N49" s="90">
        <f t="shared" si="7"/>
        <v>2836565</v>
      </c>
      <c r="O49" s="148">
        <v>50111</v>
      </c>
      <c r="P49" s="147">
        <f t="shared" si="9"/>
        <v>2</v>
      </c>
      <c r="Q49" s="334">
        <f t="shared" si="4"/>
        <v>280706</v>
      </c>
      <c r="R49" s="827">
        <f t="shared" si="5"/>
        <v>3117271</v>
      </c>
      <c r="S49" s="828" t="str">
        <f t="shared" ref="S49:S56" si="10">+S48</f>
        <v>CONT.3437395</v>
      </c>
      <c r="T49" s="319">
        <v>1</v>
      </c>
      <c r="U49" s="101">
        <v>39371</v>
      </c>
    </row>
    <row r="50" spans="1:21" s="145" customFormat="1" ht="13" x14ac:dyDescent="0.3">
      <c r="A50" s="117">
        <v>45597</v>
      </c>
      <c r="B50" s="93" t="s">
        <v>750</v>
      </c>
      <c r="C50" s="339">
        <v>18</v>
      </c>
      <c r="D50" s="84">
        <f>18603+2039+13738</f>
        <v>34380</v>
      </c>
      <c r="E50" s="85">
        <v>2384</v>
      </c>
      <c r="F50" s="85">
        <v>2068155</v>
      </c>
      <c r="G50" s="86">
        <v>253</v>
      </c>
      <c r="H50" s="87">
        <v>196585</v>
      </c>
      <c r="I50" s="146">
        <v>559</v>
      </c>
      <c r="J50" s="146">
        <v>445448</v>
      </c>
      <c r="K50" s="146">
        <v>4</v>
      </c>
      <c r="L50" s="146">
        <f>48124+33650</f>
        <v>81774</v>
      </c>
      <c r="M50" s="147">
        <f t="shared" si="8"/>
        <v>3196</v>
      </c>
      <c r="N50" s="90">
        <f t="shared" si="7"/>
        <v>2710188</v>
      </c>
      <c r="O50" s="148">
        <f>+'[12]ESTADO DE RESULTADOS'!M41</f>
        <v>0</v>
      </c>
      <c r="P50" s="147">
        <f t="shared" si="9"/>
        <v>9</v>
      </c>
      <c r="Q50" s="334">
        <f t="shared" si="4"/>
        <v>212061</v>
      </c>
      <c r="R50" s="827">
        <f t="shared" si="5"/>
        <v>2922249</v>
      </c>
      <c r="S50" s="828" t="str">
        <f t="shared" si="10"/>
        <v>CONT.3437395</v>
      </c>
      <c r="T50" s="319">
        <v>5</v>
      </c>
      <c r="U50" s="101">
        <v>95907</v>
      </c>
    </row>
    <row r="51" spans="1:21" s="1" customFormat="1" ht="13" x14ac:dyDescent="0.3">
      <c r="A51" s="117">
        <v>45627</v>
      </c>
      <c r="B51" s="93" t="s">
        <v>201</v>
      </c>
      <c r="C51" s="339">
        <v>38</v>
      </c>
      <c r="D51" s="84">
        <v>101913</v>
      </c>
      <c r="E51" s="85">
        <v>2192</v>
      </c>
      <c r="F51" s="85">
        <v>1920499</v>
      </c>
      <c r="G51" s="86">
        <v>291</v>
      </c>
      <c r="H51" s="87">
        <v>254957</v>
      </c>
      <c r="I51" s="146">
        <v>546</v>
      </c>
      <c r="J51" s="146">
        <v>478372</v>
      </c>
      <c r="K51" s="146">
        <v>5</v>
      </c>
      <c r="L51" s="146">
        <f>57206+39537</f>
        <v>96743</v>
      </c>
      <c r="M51" s="147">
        <f t="shared" si="8"/>
        <v>3029</v>
      </c>
      <c r="N51" s="90">
        <f t="shared" si="7"/>
        <v>2653828</v>
      </c>
      <c r="O51" s="148">
        <v>50111</v>
      </c>
      <c r="P51" s="147">
        <f t="shared" si="9"/>
        <v>5</v>
      </c>
      <c r="Q51" s="334">
        <f t="shared" si="4"/>
        <v>223894</v>
      </c>
      <c r="R51" s="827">
        <f t="shared" si="5"/>
        <v>2877722</v>
      </c>
      <c r="S51" s="828" t="str">
        <f t="shared" si="10"/>
        <v>CONT.3437395</v>
      </c>
      <c r="T51" s="319">
        <v>0</v>
      </c>
      <c r="U51" s="101">
        <v>25238</v>
      </c>
    </row>
    <row r="52" spans="1:21" s="1" customFormat="1" ht="13" x14ac:dyDescent="0.3">
      <c r="A52" s="117" t="s">
        <v>1251</v>
      </c>
      <c r="B52" s="93" t="s">
        <v>1252</v>
      </c>
      <c r="C52" s="339">
        <v>23</v>
      </c>
      <c r="D52" s="84">
        <v>64929</v>
      </c>
      <c r="E52" s="85">
        <v>2668</v>
      </c>
      <c r="F52" s="85">
        <v>2377119</v>
      </c>
      <c r="G52" s="86">
        <v>323</v>
      </c>
      <c r="H52" s="87">
        <v>292690</v>
      </c>
      <c r="I52" s="146">
        <v>629</v>
      </c>
      <c r="J52" s="146">
        <v>569974</v>
      </c>
      <c r="K52" s="146">
        <v>0</v>
      </c>
      <c r="L52" s="146">
        <f>16191+9048</f>
        <v>25239</v>
      </c>
      <c r="M52" s="147">
        <f t="shared" si="8"/>
        <v>3620</v>
      </c>
      <c r="N52" s="90">
        <f t="shared" si="7"/>
        <v>3239783</v>
      </c>
      <c r="O52" s="148">
        <v>50100</v>
      </c>
      <c r="P52" s="147">
        <f t="shared" si="9"/>
        <v>1</v>
      </c>
      <c r="Q52" s="334">
        <f t="shared" si="4"/>
        <v>129707</v>
      </c>
      <c r="R52" s="827">
        <f t="shared" si="5"/>
        <v>3369490</v>
      </c>
      <c r="S52" s="828" t="str">
        <f t="shared" si="10"/>
        <v>CONT.3437395</v>
      </c>
      <c r="T52" s="319">
        <v>1</v>
      </c>
      <c r="U52" s="101">
        <v>39539</v>
      </c>
    </row>
    <row r="53" spans="1:21" ht="13" x14ac:dyDescent="0.3">
      <c r="A53" s="117" t="s">
        <v>1253</v>
      </c>
      <c r="B53" s="93" t="s">
        <v>1254</v>
      </c>
      <c r="C53" s="339">
        <v>24</v>
      </c>
      <c r="D53" s="84">
        <v>63482</v>
      </c>
      <c r="E53" s="85">
        <v>1982</v>
      </c>
      <c r="F53" s="85">
        <v>1816255</v>
      </c>
      <c r="G53" s="86">
        <v>382</v>
      </c>
      <c r="H53" s="87">
        <v>340396</v>
      </c>
      <c r="I53" s="146">
        <v>586</v>
      </c>
      <c r="J53" s="146">
        <v>522178</v>
      </c>
      <c r="K53" s="146">
        <v>6</v>
      </c>
      <c r="L53" s="146">
        <f>65409+45640</f>
        <v>111049</v>
      </c>
      <c r="M53" s="147">
        <f t="shared" si="8"/>
        <v>2950</v>
      </c>
      <c r="N53" s="90">
        <f t="shared" si="7"/>
        <v>2678829</v>
      </c>
      <c r="O53" s="148">
        <v>50115</v>
      </c>
      <c r="P53" s="147">
        <f t="shared" si="9"/>
        <v>8</v>
      </c>
      <c r="Q53" s="334">
        <f t="shared" si="4"/>
        <v>233099</v>
      </c>
      <c r="R53" s="829">
        <f>+N53+Q53</f>
        <v>2911928</v>
      </c>
      <c r="S53" s="828" t="str">
        <f t="shared" si="10"/>
        <v>CONT.3437395</v>
      </c>
      <c r="T53" s="319">
        <v>2</v>
      </c>
      <c r="U53" s="101">
        <v>58568</v>
      </c>
    </row>
    <row r="54" spans="1:21" ht="13" x14ac:dyDescent="0.3">
      <c r="A54" s="117" t="s">
        <v>1255</v>
      </c>
      <c r="B54" s="93" t="s">
        <v>1254</v>
      </c>
      <c r="C54" s="339">
        <v>26</v>
      </c>
      <c r="D54" s="84">
        <v>57888</v>
      </c>
      <c r="E54" s="85">
        <v>2146</v>
      </c>
      <c r="F54" s="85">
        <v>1820183</v>
      </c>
      <c r="G54" s="86">
        <v>318</v>
      </c>
      <c r="H54" s="87">
        <v>273014</v>
      </c>
      <c r="I54" s="146">
        <v>543</v>
      </c>
      <c r="J54" s="146">
        <v>461694</v>
      </c>
      <c r="K54" s="146">
        <v>0</v>
      </c>
      <c r="L54" s="146">
        <f>16735+9351</f>
        <v>26086</v>
      </c>
      <c r="M54" s="147">
        <f>+E54+G54+I54</f>
        <v>3007</v>
      </c>
      <c r="N54" s="90">
        <f t="shared" si="7"/>
        <v>2554891</v>
      </c>
      <c r="O54" s="148">
        <v>56103</v>
      </c>
      <c r="P54" s="147">
        <f>+K54+T54</f>
        <v>0</v>
      </c>
      <c r="Q54" s="334">
        <f>+L54+D54+U54+U55</f>
        <v>304718</v>
      </c>
      <c r="R54" s="829">
        <f>+N54+Q54</f>
        <v>2859609</v>
      </c>
      <c r="S54" s="828" t="str">
        <f t="shared" si="10"/>
        <v>CONT.3437395</v>
      </c>
      <c r="T54" s="319">
        <v>0</v>
      </c>
      <c r="U54" s="101">
        <f>16191+9047</f>
        <v>25238</v>
      </c>
    </row>
    <row r="55" spans="1:21" ht="13" x14ac:dyDescent="0.3">
      <c r="A55" s="22" t="s">
        <v>33</v>
      </c>
      <c r="O55" s="1" t="s">
        <v>1256</v>
      </c>
      <c r="S55" s="1" t="s">
        <v>1257</v>
      </c>
      <c r="U55" s="101">
        <v>195506</v>
      </c>
    </row>
    <row r="56" spans="1:21" ht="13" x14ac:dyDescent="0.3">
      <c r="A56" s="117" t="s">
        <v>1258</v>
      </c>
      <c r="B56" s="93" t="s">
        <v>1254</v>
      </c>
      <c r="C56" s="339">
        <v>2</v>
      </c>
      <c r="D56" s="84">
        <v>20553</v>
      </c>
      <c r="E56" s="85">
        <v>1945</v>
      </c>
      <c r="F56" s="85">
        <v>1789089</v>
      </c>
      <c r="G56" s="86">
        <v>352</v>
      </c>
      <c r="H56" s="87">
        <v>323784</v>
      </c>
      <c r="I56" s="146">
        <v>574</v>
      </c>
      <c r="J56" s="146">
        <v>527988</v>
      </c>
      <c r="K56" s="146">
        <v>0</v>
      </c>
      <c r="L56" s="146">
        <f>16191+9047</f>
        <v>25238</v>
      </c>
      <c r="M56" s="147">
        <f>+E56+G56+I56</f>
        <v>2871</v>
      </c>
      <c r="N56" s="90">
        <f>+F56+H56+J56</f>
        <v>2640861</v>
      </c>
      <c r="O56" s="148">
        <v>56070</v>
      </c>
      <c r="P56" s="147">
        <f>+K56+T56</f>
        <v>9</v>
      </c>
      <c r="Q56" s="334">
        <f>+L56+D56+U56+U57</f>
        <v>204896</v>
      </c>
      <c r="R56" s="829">
        <f>+N56+Q56</f>
        <v>2845757</v>
      </c>
      <c r="S56" s="828" t="str">
        <f t="shared" si="10"/>
        <v>ajuste consumo</v>
      </c>
      <c r="T56" s="319">
        <v>9</v>
      </c>
      <c r="U56" s="101">
        <v>159105</v>
      </c>
    </row>
    <row r="57" spans="1:21" x14ac:dyDescent="0.25">
      <c r="A57" s="22" t="s">
        <v>33</v>
      </c>
    </row>
  </sheetData>
  <mergeCells count="6">
    <mergeCell ref="A6:B6"/>
    <mergeCell ref="A1:R1"/>
    <mergeCell ref="A2:R2"/>
    <mergeCell ref="A4:B4"/>
    <mergeCell ref="C4:D4"/>
    <mergeCell ref="E4:J4"/>
  </mergeCells>
  <pageMargins left="0.70866141732283472" right="0.70866141732283472" top="0.74803149606299213" bottom="0.74803149606299213" header="0.31496062992125984" footer="0.31496062992125984"/>
  <pageSetup scale="48"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FB168-B42A-43D9-841B-D89E9218BE37}">
  <sheetPr>
    <tabColor rgb="FFFFFF00"/>
  </sheetPr>
  <dimension ref="B1:G98"/>
  <sheetViews>
    <sheetView topLeftCell="A2" workbookViewId="0">
      <selection activeCell="E31" sqref="E31"/>
    </sheetView>
  </sheetViews>
  <sheetFormatPr baseColWidth="10" defaultRowHeight="12.5" x14ac:dyDescent="0.25"/>
  <cols>
    <col min="3" max="3" width="58.54296875" bestFit="1" customWidth="1"/>
    <col min="4" max="4" width="18.36328125" bestFit="1" customWidth="1"/>
    <col min="5" max="5" width="26.90625" bestFit="1" customWidth="1"/>
    <col min="6" max="6" width="12.453125" bestFit="1" customWidth="1"/>
  </cols>
  <sheetData>
    <row r="1" spans="2:6" x14ac:dyDescent="0.25">
      <c r="B1" s="1767" t="s">
        <v>218</v>
      </c>
      <c r="C1" s="1768"/>
      <c r="D1" s="1768"/>
      <c r="E1" s="1768"/>
      <c r="F1" s="1769"/>
    </row>
    <row r="2" spans="2:6" x14ac:dyDescent="0.25">
      <c r="B2" s="1784" t="s">
        <v>1421</v>
      </c>
      <c r="C2" s="1785"/>
      <c r="D2" s="1785"/>
      <c r="E2" s="1785"/>
      <c r="F2" s="1786"/>
    </row>
    <row r="3" spans="2:6" ht="14" x14ac:dyDescent="0.4">
      <c r="B3" s="930"/>
      <c r="C3" s="931" t="s">
        <v>1422</v>
      </c>
      <c r="D3" s="931" t="s">
        <v>1423</v>
      </c>
      <c r="E3" s="932" t="s">
        <v>31</v>
      </c>
      <c r="F3" s="934"/>
    </row>
    <row r="4" spans="2:6" x14ac:dyDescent="0.25">
      <c r="B4" s="930"/>
      <c r="C4" s="943" t="s">
        <v>1424</v>
      </c>
      <c r="D4" s="944" t="s">
        <v>1425</v>
      </c>
      <c r="E4" s="942">
        <v>0</v>
      </c>
      <c r="F4" s="934" t="s">
        <v>33</v>
      </c>
    </row>
    <row r="5" spans="2:6" x14ac:dyDescent="0.25">
      <c r="B5" s="930"/>
      <c r="C5" s="943" t="s">
        <v>1426</v>
      </c>
      <c r="D5" s="944" t="s">
        <v>1427</v>
      </c>
      <c r="E5" s="942">
        <v>534352</v>
      </c>
      <c r="F5" s="934"/>
    </row>
    <row r="6" spans="2:6" x14ac:dyDescent="0.25">
      <c r="B6" s="930"/>
      <c r="C6" s="943" t="s">
        <v>1428</v>
      </c>
      <c r="D6" s="944" t="s">
        <v>1429</v>
      </c>
      <c r="E6" s="942">
        <v>50000</v>
      </c>
      <c r="F6" s="934"/>
    </row>
    <row r="7" spans="2:6" x14ac:dyDescent="0.25">
      <c r="B7" s="930"/>
      <c r="C7" s="943" t="s">
        <v>237</v>
      </c>
      <c r="D7" s="944" t="s">
        <v>1430</v>
      </c>
      <c r="E7" s="942">
        <v>542530</v>
      </c>
      <c r="F7" s="934"/>
    </row>
    <row r="8" spans="2:6" x14ac:dyDescent="0.25">
      <c r="B8" s="930"/>
      <c r="C8" s="943" t="s">
        <v>1431</v>
      </c>
      <c r="D8" s="944" t="s">
        <v>1432</v>
      </c>
      <c r="E8" s="942">
        <v>102902.06</v>
      </c>
      <c r="F8" s="934"/>
    </row>
    <row r="9" spans="2:6" ht="14.5" x14ac:dyDescent="0.35">
      <c r="B9" s="933"/>
      <c r="C9" s="956" t="s">
        <v>1433</v>
      </c>
      <c r="D9" s="957" t="s">
        <v>33</v>
      </c>
      <c r="E9" s="986">
        <v>1229784.06</v>
      </c>
      <c r="F9" s="935"/>
    </row>
    <row r="10" spans="2:6" x14ac:dyDescent="0.25">
      <c r="B10" s="973"/>
      <c r="C10" s="927"/>
      <c r="D10" s="927"/>
      <c r="E10" s="974" t="s">
        <v>33</v>
      </c>
      <c r="F10" s="934"/>
    </row>
    <row r="11" spans="2:6" x14ac:dyDescent="0.25">
      <c r="B11" s="929"/>
      <c r="C11" s="1777" t="s">
        <v>225</v>
      </c>
      <c r="D11" s="1777"/>
      <c r="E11" s="1777"/>
      <c r="F11" s="937"/>
    </row>
    <row r="12" spans="2:6" ht="13" x14ac:dyDescent="0.3">
      <c r="B12" s="936" t="s">
        <v>53</v>
      </c>
      <c r="C12" s="936" t="s">
        <v>54</v>
      </c>
      <c r="D12" s="936" t="s">
        <v>63</v>
      </c>
      <c r="E12" s="949" t="s">
        <v>226</v>
      </c>
      <c r="F12" s="938" t="s">
        <v>72</v>
      </c>
    </row>
    <row r="13" spans="2:6" ht="13" x14ac:dyDescent="0.3">
      <c r="B13" s="948" t="s">
        <v>127</v>
      </c>
      <c r="C13" s="928" t="s">
        <v>836</v>
      </c>
      <c r="D13" s="988">
        <v>1593320</v>
      </c>
      <c r="E13" s="990">
        <v>1593320</v>
      </c>
      <c r="F13" s="942">
        <v>0</v>
      </c>
    </row>
    <row r="14" spans="2:6" ht="13" x14ac:dyDescent="0.3">
      <c r="B14" s="948" t="s">
        <v>128</v>
      </c>
      <c r="C14" s="928" t="s">
        <v>837</v>
      </c>
      <c r="D14" s="988">
        <v>0</v>
      </c>
      <c r="E14" s="991">
        <v>0</v>
      </c>
      <c r="F14" s="942">
        <v>0</v>
      </c>
    </row>
    <row r="15" spans="2:6" ht="13" x14ac:dyDescent="0.3">
      <c r="B15" s="948" t="s">
        <v>129</v>
      </c>
      <c r="C15" s="928" t="s">
        <v>838</v>
      </c>
      <c r="D15" s="988">
        <v>0</v>
      </c>
      <c r="E15" s="991">
        <v>0</v>
      </c>
      <c r="F15" s="942">
        <v>0</v>
      </c>
    </row>
    <row r="16" spans="2:6" ht="13" x14ac:dyDescent="0.3">
      <c r="B16" s="948" t="s">
        <v>130</v>
      </c>
      <c r="C16" s="928" t="s">
        <v>839</v>
      </c>
      <c r="D16" s="988">
        <v>0</v>
      </c>
      <c r="E16" s="991">
        <v>0</v>
      </c>
      <c r="F16" s="942">
        <v>0</v>
      </c>
    </row>
    <row r="17" spans="2:7" ht="13" x14ac:dyDescent="0.3">
      <c r="B17" s="948" t="s">
        <v>131</v>
      </c>
      <c r="C17" s="928" t="s">
        <v>840</v>
      </c>
      <c r="D17" s="988">
        <v>9461</v>
      </c>
      <c r="E17" s="990">
        <v>9461</v>
      </c>
      <c r="F17" s="942">
        <v>0</v>
      </c>
      <c r="G17" s="927"/>
    </row>
    <row r="18" spans="2:7" ht="13" x14ac:dyDescent="0.3">
      <c r="B18" s="948" t="s">
        <v>132</v>
      </c>
      <c r="C18" s="928" t="s">
        <v>841</v>
      </c>
      <c r="D18" s="988">
        <v>0</v>
      </c>
      <c r="E18" s="991">
        <v>0</v>
      </c>
      <c r="F18" s="942">
        <v>0</v>
      </c>
      <c r="G18" s="927"/>
    </row>
    <row r="19" spans="2:7" ht="13" x14ac:dyDescent="0.3">
      <c r="B19" s="948" t="s">
        <v>133</v>
      </c>
      <c r="C19" s="928" t="s">
        <v>842</v>
      </c>
      <c r="D19" s="988">
        <v>-39735</v>
      </c>
      <c r="E19" s="990">
        <v>-39735</v>
      </c>
      <c r="F19" s="942">
        <v>0</v>
      </c>
      <c r="G19" s="989" t="s">
        <v>33</v>
      </c>
    </row>
    <row r="20" spans="2:7" ht="13" x14ac:dyDescent="0.3">
      <c r="B20" s="948" t="s">
        <v>134</v>
      </c>
      <c r="C20" s="928" t="s">
        <v>843</v>
      </c>
      <c r="D20" s="988">
        <v>-1634864</v>
      </c>
      <c r="E20" s="990">
        <v>-1634864</v>
      </c>
      <c r="F20" s="942">
        <v>0</v>
      </c>
      <c r="G20" s="927"/>
    </row>
    <row r="21" spans="2:7" ht="13" x14ac:dyDescent="0.3">
      <c r="B21" s="948" t="s">
        <v>135</v>
      </c>
      <c r="C21" s="928" t="s">
        <v>844</v>
      </c>
      <c r="D21" s="988">
        <v>0</v>
      </c>
      <c r="E21" s="991">
        <v>0</v>
      </c>
      <c r="F21" s="942">
        <v>0</v>
      </c>
      <c r="G21" s="927"/>
    </row>
    <row r="22" spans="2:7" ht="13" x14ac:dyDescent="0.3">
      <c r="B22" s="948" t="s">
        <v>136</v>
      </c>
      <c r="C22" s="928" t="s">
        <v>845</v>
      </c>
      <c r="D22" s="988">
        <v>0</v>
      </c>
      <c r="E22" s="991">
        <v>0</v>
      </c>
      <c r="F22" s="942">
        <v>0</v>
      </c>
      <c r="G22" s="927"/>
    </row>
    <row r="23" spans="2:7" ht="13" x14ac:dyDescent="0.3">
      <c r="B23" s="948" t="s">
        <v>137</v>
      </c>
      <c r="C23" s="928" t="s">
        <v>846</v>
      </c>
      <c r="D23" s="988">
        <v>554504</v>
      </c>
      <c r="E23" s="990">
        <v>554504</v>
      </c>
      <c r="F23" s="942">
        <v>0</v>
      </c>
      <c r="G23" s="927"/>
    </row>
    <row r="24" spans="2:7" ht="13" x14ac:dyDescent="0.3">
      <c r="B24" s="948" t="s">
        <v>138</v>
      </c>
      <c r="C24" s="928" t="s">
        <v>847</v>
      </c>
      <c r="D24" s="988">
        <v>-267539</v>
      </c>
      <c r="E24" s="990">
        <v>-267539</v>
      </c>
      <c r="F24" s="942">
        <v>0</v>
      </c>
      <c r="G24" s="927"/>
    </row>
    <row r="25" spans="2:7" ht="13" x14ac:dyDescent="0.3">
      <c r="B25" s="948" t="s">
        <v>139</v>
      </c>
      <c r="C25" s="928" t="s">
        <v>848</v>
      </c>
      <c r="D25" s="988">
        <v>0</v>
      </c>
      <c r="E25" s="991">
        <v>0</v>
      </c>
      <c r="F25" s="942">
        <v>0</v>
      </c>
      <c r="G25" s="927"/>
    </row>
    <row r="26" spans="2:7" ht="13" x14ac:dyDescent="0.3">
      <c r="B26" s="948" t="s">
        <v>140</v>
      </c>
      <c r="C26" s="928" t="s">
        <v>849</v>
      </c>
      <c r="D26" s="988">
        <v>0</v>
      </c>
      <c r="E26" s="991">
        <v>0</v>
      </c>
      <c r="F26" s="942">
        <v>0</v>
      </c>
      <c r="G26" s="927"/>
    </row>
    <row r="27" spans="2:7" ht="13" x14ac:dyDescent="0.3">
      <c r="B27" s="948" t="s">
        <v>141</v>
      </c>
      <c r="C27" s="928" t="s">
        <v>850</v>
      </c>
      <c r="D27" s="988">
        <v>1490118</v>
      </c>
      <c r="E27" s="990">
        <v>1490118</v>
      </c>
      <c r="F27" s="942">
        <v>0</v>
      </c>
      <c r="G27" s="927"/>
    </row>
    <row r="28" spans="2:7" ht="13" x14ac:dyDescent="0.3">
      <c r="B28" s="948" t="s">
        <v>142</v>
      </c>
      <c r="C28" s="928" t="s">
        <v>851</v>
      </c>
      <c r="D28" s="988">
        <v>0</v>
      </c>
      <c r="E28" s="991">
        <v>0</v>
      </c>
      <c r="F28" s="942">
        <v>0</v>
      </c>
      <c r="G28" s="927"/>
    </row>
    <row r="29" spans="2:7" ht="13" x14ac:dyDescent="0.3">
      <c r="B29" s="948" t="s">
        <v>143</v>
      </c>
      <c r="C29" s="928" t="s">
        <v>852</v>
      </c>
      <c r="D29" s="988">
        <v>-37458</v>
      </c>
      <c r="E29" s="990">
        <v>-37458</v>
      </c>
      <c r="F29" s="942">
        <v>0</v>
      </c>
      <c r="G29" s="927"/>
    </row>
    <row r="30" spans="2:7" ht="13" x14ac:dyDescent="0.3">
      <c r="B30" s="948" t="s">
        <v>144</v>
      </c>
      <c r="C30" s="928" t="s">
        <v>853</v>
      </c>
      <c r="D30" s="988">
        <v>0</v>
      </c>
      <c r="E30" s="991">
        <v>0</v>
      </c>
      <c r="F30" s="942">
        <v>0</v>
      </c>
      <c r="G30" s="927"/>
    </row>
    <row r="31" spans="2:7" ht="13" x14ac:dyDescent="0.3">
      <c r="B31" s="948" t="s">
        <v>145</v>
      </c>
      <c r="C31" s="928" t="s">
        <v>854</v>
      </c>
      <c r="D31" s="988">
        <v>1333938</v>
      </c>
      <c r="E31" s="990">
        <v>1333938</v>
      </c>
      <c r="F31" s="942">
        <v>0</v>
      </c>
      <c r="G31" s="927"/>
    </row>
    <row r="32" spans="2:7" ht="13" x14ac:dyDescent="0.3">
      <c r="B32" s="948" t="s">
        <v>146</v>
      </c>
      <c r="C32" s="928" t="s">
        <v>855</v>
      </c>
      <c r="D32" s="988">
        <v>292815</v>
      </c>
      <c r="E32" s="991">
        <v>0</v>
      </c>
      <c r="F32" s="942">
        <v>292815</v>
      </c>
      <c r="G32" s="927" t="s">
        <v>1434</v>
      </c>
    </row>
    <row r="33" spans="2:7" ht="13" x14ac:dyDescent="0.3">
      <c r="B33" s="948" t="s">
        <v>147</v>
      </c>
      <c r="C33" s="928" t="s">
        <v>856</v>
      </c>
      <c r="D33" s="988">
        <v>-32345</v>
      </c>
      <c r="E33" s="990">
        <v>-32345</v>
      </c>
      <c r="F33" s="942">
        <v>0</v>
      </c>
      <c r="G33" s="927"/>
    </row>
    <row r="34" spans="2:7" ht="13" x14ac:dyDescent="0.3">
      <c r="B34" s="948" t="s">
        <v>148</v>
      </c>
      <c r="C34" s="928" t="s">
        <v>857</v>
      </c>
      <c r="D34" s="988">
        <v>0</v>
      </c>
      <c r="E34" s="991">
        <v>0</v>
      </c>
      <c r="F34" s="942">
        <v>0</v>
      </c>
      <c r="G34" s="927" t="s">
        <v>33</v>
      </c>
    </row>
    <row r="35" spans="2:7" ht="13" x14ac:dyDescent="0.3">
      <c r="B35" s="948" t="s">
        <v>149</v>
      </c>
      <c r="C35" s="928" t="s">
        <v>858</v>
      </c>
      <c r="D35" s="988">
        <v>0</v>
      </c>
      <c r="E35" s="991">
        <v>0</v>
      </c>
      <c r="F35" s="942">
        <v>0</v>
      </c>
      <c r="G35" s="927" t="s">
        <v>33</v>
      </c>
    </row>
    <row r="36" spans="2:7" ht="13" x14ac:dyDescent="0.3">
      <c r="B36" s="948" t="s">
        <v>150</v>
      </c>
      <c r="C36" s="928" t="s">
        <v>1435</v>
      </c>
      <c r="D36" s="988">
        <v>0</v>
      </c>
      <c r="E36" s="991">
        <v>0</v>
      </c>
      <c r="F36" s="942">
        <v>0</v>
      </c>
      <c r="G36" s="927"/>
    </row>
    <row r="37" spans="2:7" ht="13" x14ac:dyDescent="0.3">
      <c r="B37" s="948" t="s">
        <v>151</v>
      </c>
      <c r="C37" s="928" t="s">
        <v>860</v>
      </c>
      <c r="D37" s="988">
        <v>679927</v>
      </c>
      <c r="E37" s="990">
        <v>679927</v>
      </c>
      <c r="F37" s="942">
        <v>0</v>
      </c>
      <c r="G37" s="927"/>
    </row>
    <row r="38" spans="2:7" ht="13" x14ac:dyDescent="0.3">
      <c r="B38" s="948" t="s">
        <v>152</v>
      </c>
      <c r="C38" s="928" t="s">
        <v>861</v>
      </c>
      <c r="D38" s="988">
        <v>0</v>
      </c>
      <c r="E38" s="991">
        <v>0</v>
      </c>
      <c r="F38" s="942">
        <v>0</v>
      </c>
      <c r="G38" s="927"/>
    </row>
    <row r="39" spans="2:7" ht="13" x14ac:dyDescent="0.3">
      <c r="B39" s="948" t="s">
        <v>153</v>
      </c>
      <c r="C39" s="928" t="s">
        <v>862</v>
      </c>
      <c r="D39" s="988">
        <v>0</v>
      </c>
      <c r="E39" s="991">
        <v>0</v>
      </c>
      <c r="F39" s="942">
        <v>0</v>
      </c>
      <c r="G39" s="927"/>
    </row>
    <row r="40" spans="2:7" ht="13" x14ac:dyDescent="0.3">
      <c r="B40" s="948" t="s">
        <v>154</v>
      </c>
      <c r="C40" s="928" t="s">
        <v>863</v>
      </c>
      <c r="D40" s="988">
        <v>0</v>
      </c>
      <c r="E40" s="991">
        <v>0</v>
      </c>
      <c r="F40" s="942">
        <v>0</v>
      </c>
      <c r="G40" s="927"/>
    </row>
    <row r="41" spans="2:7" ht="13" x14ac:dyDescent="0.3">
      <c r="B41" s="948" t="s">
        <v>155</v>
      </c>
      <c r="C41" s="928" t="s">
        <v>864</v>
      </c>
      <c r="D41" s="988">
        <v>0</v>
      </c>
      <c r="E41" s="991">
        <v>0</v>
      </c>
      <c r="F41" s="942">
        <v>0</v>
      </c>
      <c r="G41" s="927"/>
    </row>
    <row r="42" spans="2:7" ht="13" x14ac:dyDescent="0.3">
      <c r="B42" s="958"/>
      <c r="C42" s="959" t="s">
        <v>64</v>
      </c>
      <c r="D42" s="960">
        <v>3942142</v>
      </c>
      <c r="E42" s="990">
        <v>3649327</v>
      </c>
      <c r="F42" s="960">
        <v>292815</v>
      </c>
      <c r="G42" s="927"/>
    </row>
    <row r="43" spans="2:7" x14ac:dyDescent="0.25">
      <c r="B43" s="981"/>
      <c r="C43" s="982"/>
      <c r="D43" s="983"/>
      <c r="E43" s="983"/>
      <c r="F43" s="984"/>
      <c r="G43" s="927"/>
    </row>
    <row r="44" spans="2:7" ht="14" x14ac:dyDescent="0.3">
      <c r="B44" s="961"/>
      <c r="C44" s="962" t="s">
        <v>270</v>
      </c>
      <c r="D44" s="963"/>
      <c r="E44" s="963">
        <v>0</v>
      </c>
      <c r="F44" s="964"/>
      <c r="G44" s="927"/>
    </row>
    <row r="45" spans="2:7" x14ac:dyDescent="0.25">
      <c r="B45" s="973"/>
      <c r="C45" s="940"/>
      <c r="D45" s="941"/>
      <c r="E45" s="941"/>
      <c r="F45" s="975"/>
      <c r="G45" s="927"/>
    </row>
    <row r="46" spans="2:7" x14ac:dyDescent="0.25">
      <c r="B46" s="1770" t="s">
        <v>498</v>
      </c>
      <c r="C46" s="1771"/>
      <c r="D46" s="1771"/>
      <c r="E46" s="1771"/>
      <c r="F46" s="1772"/>
      <c r="G46" s="927"/>
    </row>
    <row r="47" spans="2:7" x14ac:dyDescent="0.25">
      <c r="B47" s="1773" t="s">
        <v>1436</v>
      </c>
      <c r="C47" s="1774"/>
      <c r="D47" s="1774"/>
      <c r="E47" s="1774"/>
      <c r="F47" s="1775"/>
      <c r="G47" s="927"/>
    </row>
    <row r="48" spans="2:7" x14ac:dyDescent="0.25">
      <c r="B48" s="952" t="s">
        <v>499</v>
      </c>
      <c r="C48" s="953" t="s">
        <v>460</v>
      </c>
      <c r="D48" s="954" t="s">
        <v>1437</v>
      </c>
      <c r="E48" s="953" t="s">
        <v>461</v>
      </c>
      <c r="F48" s="976" t="s">
        <v>1438</v>
      </c>
      <c r="G48" s="927"/>
    </row>
    <row r="49" spans="2:6" x14ac:dyDescent="0.25">
      <c r="B49" s="944" t="s">
        <v>570</v>
      </c>
      <c r="C49" s="944" t="s">
        <v>571</v>
      </c>
      <c r="D49" s="939" t="s">
        <v>127</v>
      </c>
      <c r="E49" s="944" t="s">
        <v>572</v>
      </c>
      <c r="F49" s="942">
        <v>1950549</v>
      </c>
    </row>
    <row r="50" spans="2:6" x14ac:dyDescent="0.25">
      <c r="B50" s="944" t="s">
        <v>570</v>
      </c>
      <c r="C50" s="944" t="s">
        <v>571</v>
      </c>
      <c r="D50" s="939" t="s">
        <v>128</v>
      </c>
      <c r="E50" s="944" t="s">
        <v>573</v>
      </c>
      <c r="F50" s="942">
        <v>1824816</v>
      </c>
    </row>
    <row r="51" spans="2:6" x14ac:dyDescent="0.25">
      <c r="B51" s="944" t="s">
        <v>570</v>
      </c>
      <c r="C51" s="944" t="s">
        <v>571</v>
      </c>
      <c r="D51" s="939" t="s">
        <v>129</v>
      </c>
      <c r="E51" s="944" t="s">
        <v>574</v>
      </c>
      <c r="F51" s="942">
        <v>1806129</v>
      </c>
    </row>
    <row r="52" spans="2:6" x14ac:dyDescent="0.25">
      <c r="B52" s="944" t="s">
        <v>570</v>
      </c>
      <c r="C52" s="944" t="s">
        <v>571</v>
      </c>
      <c r="D52" s="939" t="s">
        <v>130</v>
      </c>
      <c r="E52" s="944" t="s">
        <v>575</v>
      </c>
      <c r="F52" s="942">
        <v>1772712</v>
      </c>
    </row>
    <row r="53" spans="2:6" x14ac:dyDescent="0.25">
      <c r="B53" s="944" t="s">
        <v>570</v>
      </c>
      <c r="C53" s="944" t="s">
        <v>571</v>
      </c>
      <c r="D53" s="939" t="s">
        <v>131</v>
      </c>
      <c r="E53" s="944" t="s">
        <v>576</v>
      </c>
      <c r="F53" s="942">
        <v>1737030</v>
      </c>
    </row>
    <row r="54" spans="2:6" x14ac:dyDescent="0.25">
      <c r="B54" s="944" t="s">
        <v>570</v>
      </c>
      <c r="C54" s="944" t="s">
        <v>571</v>
      </c>
      <c r="D54" s="939" t="s">
        <v>132</v>
      </c>
      <c r="E54" s="944" t="s">
        <v>577</v>
      </c>
      <c r="F54" s="942">
        <v>1714377</v>
      </c>
    </row>
    <row r="55" spans="2:6" x14ac:dyDescent="0.25">
      <c r="B55" s="944" t="s">
        <v>570</v>
      </c>
      <c r="C55" s="944" t="s">
        <v>571</v>
      </c>
      <c r="D55" s="939" t="s">
        <v>133</v>
      </c>
      <c r="E55" s="944" t="s">
        <v>578</v>
      </c>
      <c r="F55" s="942">
        <v>1588644</v>
      </c>
    </row>
    <row r="56" spans="2:6" x14ac:dyDescent="0.25">
      <c r="B56" s="944" t="s">
        <v>570</v>
      </c>
      <c r="C56" s="944" t="s">
        <v>571</v>
      </c>
      <c r="D56" s="939" t="s">
        <v>134</v>
      </c>
      <c r="E56" s="944" t="s">
        <v>579</v>
      </c>
      <c r="F56" s="942">
        <v>1557240</v>
      </c>
    </row>
    <row r="57" spans="2:6" x14ac:dyDescent="0.25">
      <c r="B57" s="944" t="s">
        <v>570</v>
      </c>
      <c r="C57" s="944" t="s">
        <v>571</v>
      </c>
      <c r="D57" s="939" t="s">
        <v>135</v>
      </c>
      <c r="E57" s="944" t="s">
        <v>1439</v>
      </c>
      <c r="F57" s="942">
        <v>1658874</v>
      </c>
    </row>
    <row r="58" spans="2:6" x14ac:dyDescent="0.25">
      <c r="B58" s="944" t="s">
        <v>570</v>
      </c>
      <c r="C58" s="944" t="s">
        <v>571</v>
      </c>
      <c r="D58" s="939" t="s">
        <v>136</v>
      </c>
      <c r="E58" s="944" t="s">
        <v>580</v>
      </c>
      <c r="F58" s="942">
        <v>1816323</v>
      </c>
    </row>
    <row r="59" spans="2:6" x14ac:dyDescent="0.25">
      <c r="B59" s="944" t="s">
        <v>570</v>
      </c>
      <c r="C59" s="944" t="s">
        <v>571</v>
      </c>
      <c r="D59" s="939" t="s">
        <v>137</v>
      </c>
      <c r="E59" s="944" t="s">
        <v>581</v>
      </c>
      <c r="F59" s="942">
        <v>1734201</v>
      </c>
    </row>
    <row r="60" spans="2:6" x14ac:dyDescent="0.25">
      <c r="B60" s="944" t="s">
        <v>570</v>
      </c>
      <c r="C60" s="944" t="s">
        <v>571</v>
      </c>
      <c r="D60" s="939" t="s">
        <v>138</v>
      </c>
      <c r="E60" s="944" t="s">
        <v>582</v>
      </c>
      <c r="F60" s="942">
        <v>1958478</v>
      </c>
    </row>
    <row r="61" spans="2:6" x14ac:dyDescent="0.25">
      <c r="B61" s="944" t="s">
        <v>570</v>
      </c>
      <c r="C61" s="944" t="s">
        <v>571</v>
      </c>
      <c r="D61" s="939" t="s">
        <v>139</v>
      </c>
      <c r="E61" s="944" t="s">
        <v>583</v>
      </c>
      <c r="F61" s="942">
        <v>1958478</v>
      </c>
    </row>
    <row r="62" spans="2:6" x14ac:dyDescent="0.25">
      <c r="B62" s="944" t="s">
        <v>570</v>
      </c>
      <c r="C62" s="944" t="s">
        <v>571</v>
      </c>
      <c r="D62" s="939" t="s">
        <v>140</v>
      </c>
      <c r="E62" s="944" t="s">
        <v>1440</v>
      </c>
      <c r="F62" s="942">
        <v>1958478</v>
      </c>
    </row>
    <row r="63" spans="2:6" x14ac:dyDescent="0.25">
      <c r="B63" s="944" t="s">
        <v>570</v>
      </c>
      <c r="C63" s="944" t="s">
        <v>571</v>
      </c>
      <c r="D63" s="939" t="s">
        <v>141</v>
      </c>
      <c r="E63" s="944" t="s">
        <v>584</v>
      </c>
      <c r="F63" s="942">
        <v>1958478</v>
      </c>
    </row>
    <row r="64" spans="2:6" x14ac:dyDescent="0.25">
      <c r="B64" s="944" t="s">
        <v>570</v>
      </c>
      <c r="C64" s="944" t="s">
        <v>571</v>
      </c>
      <c r="D64" s="939" t="s">
        <v>142</v>
      </c>
      <c r="E64" s="944" t="s">
        <v>585</v>
      </c>
      <c r="F64" s="942">
        <v>1958478</v>
      </c>
    </row>
    <row r="65" spans="2:6" x14ac:dyDescent="0.25">
      <c r="B65" s="944" t="s">
        <v>570</v>
      </c>
      <c r="C65" s="944" t="s">
        <v>571</v>
      </c>
      <c r="D65" s="939" t="s">
        <v>143</v>
      </c>
      <c r="E65" s="944" t="s">
        <v>1441</v>
      </c>
      <c r="F65" s="942">
        <v>1833312</v>
      </c>
    </row>
    <row r="66" spans="2:6" x14ac:dyDescent="0.25">
      <c r="B66" s="944" t="s">
        <v>570</v>
      </c>
      <c r="C66" s="944" t="s">
        <v>571</v>
      </c>
      <c r="D66" s="939" t="s">
        <v>144</v>
      </c>
      <c r="E66" s="944" t="s">
        <v>586</v>
      </c>
      <c r="F66" s="942">
        <v>1910904</v>
      </c>
    </row>
    <row r="67" spans="2:6" x14ac:dyDescent="0.25">
      <c r="B67" s="944" t="s">
        <v>570</v>
      </c>
      <c r="C67" s="944" t="s">
        <v>571</v>
      </c>
      <c r="D67" s="939" t="s">
        <v>145</v>
      </c>
      <c r="E67" s="944" t="s">
        <v>1442</v>
      </c>
      <c r="F67" s="942">
        <v>2540700</v>
      </c>
    </row>
    <row r="68" spans="2:6" x14ac:dyDescent="0.25">
      <c r="B68" s="944" t="s">
        <v>570</v>
      </c>
      <c r="C68" s="944" t="s">
        <v>571</v>
      </c>
      <c r="D68" s="939" t="s">
        <v>146</v>
      </c>
      <c r="E68" s="944" t="s">
        <v>1443</v>
      </c>
      <c r="F68" s="942">
        <v>2256951</v>
      </c>
    </row>
    <row r="69" spans="2:6" x14ac:dyDescent="0.25">
      <c r="B69" s="944" t="s">
        <v>570</v>
      </c>
      <c r="C69" s="944" t="s">
        <v>571</v>
      </c>
      <c r="D69" s="939" t="s">
        <v>147</v>
      </c>
      <c r="E69" s="944" t="s">
        <v>433</v>
      </c>
      <c r="F69" s="942">
        <v>2353233</v>
      </c>
    </row>
    <row r="70" spans="2:6" x14ac:dyDescent="0.25">
      <c r="B70" s="944" t="s">
        <v>570</v>
      </c>
      <c r="C70" s="944" t="s">
        <v>571</v>
      </c>
      <c r="D70" s="939" t="s">
        <v>148</v>
      </c>
      <c r="E70" s="944" t="s">
        <v>1444</v>
      </c>
      <c r="F70" s="942">
        <v>2266014</v>
      </c>
    </row>
    <row r="71" spans="2:6" x14ac:dyDescent="0.25">
      <c r="B71" s="944" t="s">
        <v>570</v>
      </c>
      <c r="C71" s="944" t="s">
        <v>571</v>
      </c>
      <c r="D71" s="939" t="s">
        <v>149</v>
      </c>
      <c r="E71" s="944" t="s">
        <v>587</v>
      </c>
      <c r="F71" s="942">
        <v>2124990</v>
      </c>
    </row>
    <row r="72" spans="2:6" x14ac:dyDescent="0.25">
      <c r="B72" s="944" t="s">
        <v>570</v>
      </c>
      <c r="C72" s="944" t="s">
        <v>571</v>
      </c>
      <c r="D72" s="939" t="s">
        <v>150</v>
      </c>
      <c r="E72" s="944" t="s">
        <v>588</v>
      </c>
      <c r="F72" s="942">
        <v>2186724</v>
      </c>
    </row>
    <row r="73" spans="2:6" x14ac:dyDescent="0.25">
      <c r="B73" s="944" t="s">
        <v>570</v>
      </c>
      <c r="C73" s="944" t="s">
        <v>571</v>
      </c>
      <c r="D73" s="939" t="s">
        <v>151</v>
      </c>
      <c r="E73" s="944" t="s">
        <v>589</v>
      </c>
      <c r="F73" s="942">
        <v>2823312</v>
      </c>
    </row>
    <row r="74" spans="2:6" x14ac:dyDescent="0.25">
      <c r="B74" s="944" t="s">
        <v>570</v>
      </c>
      <c r="C74" s="944" t="s">
        <v>571</v>
      </c>
      <c r="D74" s="939" t="s">
        <v>152</v>
      </c>
      <c r="E74" s="944" t="s">
        <v>590</v>
      </c>
      <c r="F74" s="942">
        <v>2045700</v>
      </c>
    </row>
    <row r="75" spans="2:6" x14ac:dyDescent="0.25">
      <c r="B75" s="944" t="s">
        <v>570</v>
      </c>
      <c r="C75" s="944" t="s">
        <v>571</v>
      </c>
      <c r="D75" s="939" t="s">
        <v>153</v>
      </c>
      <c r="E75" s="944" t="s">
        <v>591</v>
      </c>
      <c r="F75" s="942">
        <v>1735332</v>
      </c>
    </row>
    <row r="76" spans="2:6" x14ac:dyDescent="0.25">
      <c r="B76" s="944" t="s">
        <v>570</v>
      </c>
      <c r="C76" s="944" t="s">
        <v>571</v>
      </c>
      <c r="D76" s="939" t="s">
        <v>154</v>
      </c>
      <c r="E76" s="944" t="s">
        <v>592</v>
      </c>
      <c r="F76" s="942">
        <v>1744959</v>
      </c>
    </row>
    <row r="77" spans="2:6" x14ac:dyDescent="0.25">
      <c r="B77" s="944" t="s">
        <v>570</v>
      </c>
      <c r="C77" s="944" t="s">
        <v>571</v>
      </c>
      <c r="D77" s="939" t="s">
        <v>155</v>
      </c>
      <c r="E77" s="944" t="s">
        <v>593</v>
      </c>
      <c r="F77" s="942">
        <v>1861065</v>
      </c>
    </row>
    <row r="78" spans="2:6" x14ac:dyDescent="0.25">
      <c r="B78" s="1781" t="s">
        <v>1445</v>
      </c>
      <c r="C78" s="1782"/>
      <c r="D78" s="1782"/>
      <c r="E78" s="1783"/>
      <c r="F78" s="977">
        <v>56636481</v>
      </c>
    </row>
    <row r="79" spans="2:6" x14ac:dyDescent="0.25">
      <c r="B79" s="1764" t="s">
        <v>1446</v>
      </c>
      <c r="C79" s="1765"/>
      <c r="D79" s="1765"/>
      <c r="E79" s="1765"/>
      <c r="F79" s="1766"/>
    </row>
    <row r="80" spans="2:6" x14ac:dyDescent="0.25">
      <c r="B80" s="945" t="s">
        <v>1447</v>
      </c>
      <c r="C80" s="969" t="s">
        <v>1448</v>
      </c>
      <c r="D80" s="947"/>
      <c r="E80" s="945" t="s">
        <v>448</v>
      </c>
      <c r="F80" s="946">
        <v>1467000</v>
      </c>
    </row>
    <row r="81" spans="2:6" x14ac:dyDescent="0.25">
      <c r="B81" s="945" t="s">
        <v>1449</v>
      </c>
      <c r="C81" s="969" t="s">
        <v>1450</v>
      </c>
      <c r="D81" s="947"/>
      <c r="E81" s="945" t="s">
        <v>448</v>
      </c>
      <c r="F81" s="946">
        <v>266000</v>
      </c>
    </row>
    <row r="82" spans="2:6" x14ac:dyDescent="0.25">
      <c r="B82" s="950" t="s">
        <v>1451</v>
      </c>
      <c r="C82" s="970" t="s">
        <v>1452</v>
      </c>
      <c r="D82" s="945" t="s">
        <v>1453</v>
      </c>
      <c r="E82" s="945" t="s">
        <v>391</v>
      </c>
      <c r="F82" s="946">
        <v>2132350</v>
      </c>
    </row>
    <row r="83" spans="2:6" x14ac:dyDescent="0.25">
      <c r="B83" s="950" t="s">
        <v>1451</v>
      </c>
      <c r="C83" s="970" t="s">
        <v>1452</v>
      </c>
      <c r="D83" s="950" t="s">
        <v>1454</v>
      </c>
      <c r="E83" s="945" t="s">
        <v>391</v>
      </c>
      <c r="F83" s="951">
        <v>-1184249</v>
      </c>
    </row>
    <row r="84" spans="2:6" x14ac:dyDescent="0.25">
      <c r="B84" s="950" t="s">
        <v>1451</v>
      </c>
      <c r="C84" s="970" t="s">
        <v>1452</v>
      </c>
      <c r="D84" s="950" t="s">
        <v>1455</v>
      </c>
      <c r="E84" s="945" t="s">
        <v>391</v>
      </c>
      <c r="F84" s="951">
        <v>1115699</v>
      </c>
    </row>
    <row r="85" spans="2:6" x14ac:dyDescent="0.25">
      <c r="B85" s="950" t="s">
        <v>1451</v>
      </c>
      <c r="C85" s="970" t="s">
        <v>1452</v>
      </c>
      <c r="D85" s="950" t="s">
        <v>1456</v>
      </c>
      <c r="E85" s="945" t="s">
        <v>391</v>
      </c>
      <c r="F85" s="951">
        <v>25300</v>
      </c>
    </row>
    <row r="86" spans="2:6" x14ac:dyDescent="0.25">
      <c r="B86" s="950" t="s">
        <v>1451</v>
      </c>
      <c r="C86" s="970" t="s">
        <v>1457</v>
      </c>
      <c r="D86" s="950" t="s">
        <v>1458</v>
      </c>
      <c r="E86" s="950" t="s">
        <v>391</v>
      </c>
      <c r="F86" s="951">
        <v>196899</v>
      </c>
    </row>
    <row r="87" spans="2:6" x14ac:dyDescent="0.25">
      <c r="B87" s="950" t="s">
        <v>1459</v>
      </c>
      <c r="C87" s="971" t="s">
        <v>1460</v>
      </c>
      <c r="D87" s="966" t="s">
        <v>1461</v>
      </c>
      <c r="E87" s="967" t="s">
        <v>1462</v>
      </c>
      <c r="F87" s="968">
        <v>1900000</v>
      </c>
    </row>
    <row r="88" spans="2:6" x14ac:dyDescent="0.25">
      <c r="B88" s="950" t="s">
        <v>1459</v>
      </c>
      <c r="C88" s="970" t="s">
        <v>1463</v>
      </c>
      <c r="D88" s="950" t="s">
        <v>1464</v>
      </c>
      <c r="E88" s="944" t="s">
        <v>1465</v>
      </c>
      <c r="F88" s="951">
        <v>1678300</v>
      </c>
    </row>
    <row r="89" spans="2:6" x14ac:dyDescent="0.25">
      <c r="B89" s="987" t="s">
        <v>1466</v>
      </c>
      <c r="C89" s="978"/>
      <c r="D89" s="978"/>
      <c r="E89" s="979"/>
      <c r="F89" s="951"/>
    </row>
    <row r="90" spans="2:6" x14ac:dyDescent="0.25">
      <c r="B90" s="955" t="s">
        <v>1467</v>
      </c>
      <c r="C90" s="980">
        <v>3903</v>
      </c>
      <c r="D90" s="979" t="s">
        <v>1468</v>
      </c>
      <c r="E90" s="944" t="s">
        <v>1469</v>
      </c>
      <c r="F90" s="951">
        <v>2600000</v>
      </c>
    </row>
    <row r="91" spans="2:6" x14ac:dyDescent="0.25">
      <c r="B91" s="955" t="s">
        <v>1467</v>
      </c>
      <c r="C91" s="980">
        <v>3903</v>
      </c>
      <c r="D91" s="979" t="s">
        <v>1468</v>
      </c>
      <c r="E91" s="944" t="s">
        <v>1470</v>
      </c>
      <c r="F91" s="951">
        <v>1020000</v>
      </c>
    </row>
    <row r="92" spans="2:6" x14ac:dyDescent="0.25">
      <c r="B92" s="955" t="s">
        <v>1467</v>
      </c>
      <c r="C92" s="980">
        <v>3870</v>
      </c>
      <c r="D92" s="979" t="s">
        <v>632</v>
      </c>
      <c r="E92" s="944" t="s">
        <v>1271</v>
      </c>
      <c r="F92" s="951">
        <v>443150</v>
      </c>
    </row>
    <row r="93" spans="2:6" x14ac:dyDescent="0.25">
      <c r="B93" s="955" t="s">
        <v>1467</v>
      </c>
      <c r="C93" s="980">
        <v>3882</v>
      </c>
      <c r="D93" s="979" t="s">
        <v>1471</v>
      </c>
      <c r="E93" s="944" t="s">
        <v>1271</v>
      </c>
      <c r="F93" s="951">
        <v>105199</v>
      </c>
    </row>
    <row r="94" spans="2:6" ht="14.5" x14ac:dyDescent="0.35">
      <c r="B94" s="1778" t="s">
        <v>1472</v>
      </c>
      <c r="C94" s="1779"/>
      <c r="D94" s="1779"/>
      <c r="E94" s="1780"/>
      <c r="F94" s="965">
        <v>11765648</v>
      </c>
    </row>
    <row r="95" spans="2:6" ht="14.5" x14ac:dyDescent="0.35">
      <c r="B95" s="1778" t="s">
        <v>1473</v>
      </c>
      <c r="C95" s="1779"/>
      <c r="D95" s="1779"/>
      <c r="E95" s="1780"/>
      <c r="F95" s="985">
        <v>44870833</v>
      </c>
    </row>
    <row r="96" spans="2:6" x14ac:dyDescent="0.25">
      <c r="B96" s="973"/>
      <c r="C96" s="927"/>
      <c r="D96" s="927"/>
      <c r="E96" s="974"/>
      <c r="F96" s="934"/>
    </row>
    <row r="97" spans="2:6" ht="14.5" x14ac:dyDescent="0.35">
      <c r="B97" s="1776" t="s">
        <v>1474</v>
      </c>
      <c r="C97" s="1776"/>
      <c r="D97" s="1776"/>
      <c r="E97" s="1776"/>
      <c r="F97" s="1776"/>
    </row>
    <row r="98" spans="2:6" ht="14.5" x14ac:dyDescent="0.35">
      <c r="B98" s="972"/>
      <c r="C98" s="972" t="s">
        <v>1475</v>
      </c>
      <c r="D98" s="972"/>
      <c r="E98" s="972"/>
      <c r="F98" s="985">
        <v>0</v>
      </c>
    </row>
  </sheetData>
  <mergeCells count="10">
    <mergeCell ref="B79:F79"/>
    <mergeCell ref="B1:F1"/>
    <mergeCell ref="B46:F46"/>
    <mergeCell ref="B47:F47"/>
    <mergeCell ref="B97:F97"/>
    <mergeCell ref="C11:E11"/>
    <mergeCell ref="B94:E94"/>
    <mergeCell ref="B95:E95"/>
    <mergeCell ref="B78:E78"/>
    <mergeCell ref="B2:F2"/>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C6A1A-CEAC-4E10-943D-29D87711A67E}">
  <sheetPr>
    <tabColor rgb="FFFFFF00"/>
    <pageSetUpPr fitToPage="1"/>
  </sheetPr>
  <dimension ref="B1:F185"/>
  <sheetViews>
    <sheetView topLeftCell="A91" zoomScaleNormal="100" workbookViewId="0">
      <selection activeCell="I150" sqref="I150"/>
    </sheetView>
  </sheetViews>
  <sheetFormatPr baseColWidth="10" defaultColWidth="11.453125" defaultRowHeight="10" x14ac:dyDescent="0.2"/>
  <cols>
    <col min="1" max="1" width="2.7265625" style="2" customWidth="1"/>
    <col min="2" max="2" width="25.7265625" style="126" customWidth="1"/>
    <col min="3" max="3" width="16.1796875" style="840" customWidth="1"/>
    <col min="4" max="4" width="27.26953125" style="2" customWidth="1"/>
    <col min="5" max="5" width="14.1796875" style="2" customWidth="1"/>
    <col min="6" max="6" width="13.453125" style="289" customWidth="1"/>
    <col min="7" max="16384" width="11.453125" style="2"/>
  </cols>
  <sheetData>
    <row r="1" spans="2:6" ht="10.5" hidden="1" x14ac:dyDescent="0.2">
      <c r="B1" s="1787" t="s">
        <v>498</v>
      </c>
      <c r="C1" s="1788"/>
      <c r="D1" s="1788"/>
      <c r="E1" s="1788"/>
      <c r="F1" s="1789"/>
    </row>
    <row r="2" spans="2:6" ht="10.5" hidden="1" x14ac:dyDescent="0.2">
      <c r="B2" s="1790" t="s">
        <v>1259</v>
      </c>
      <c r="C2" s="1791"/>
      <c r="D2" s="1791"/>
      <c r="E2" s="1791"/>
      <c r="F2" s="1792"/>
    </row>
    <row r="3" spans="2:6" ht="10.5" hidden="1" x14ac:dyDescent="0.25">
      <c r="B3" s="830" t="s">
        <v>47</v>
      </c>
      <c r="C3" s="830" t="s">
        <v>460</v>
      </c>
      <c r="D3" s="830" t="s">
        <v>462</v>
      </c>
      <c r="E3" s="830" t="s">
        <v>463</v>
      </c>
      <c r="F3" s="831" t="s">
        <v>1260</v>
      </c>
    </row>
    <row r="4" spans="2:6" hidden="1" x14ac:dyDescent="0.2">
      <c r="B4" s="272" t="s">
        <v>354</v>
      </c>
      <c r="C4" s="832" t="s">
        <v>355</v>
      </c>
      <c r="D4" s="272">
        <v>12025</v>
      </c>
      <c r="E4" s="272" t="s">
        <v>1261</v>
      </c>
      <c r="F4" s="833">
        <v>488080</v>
      </c>
    </row>
    <row r="5" spans="2:6" hidden="1" x14ac:dyDescent="0.2">
      <c r="B5" s="272" t="s">
        <v>357</v>
      </c>
      <c r="C5" s="832" t="s">
        <v>358</v>
      </c>
      <c r="D5" s="272">
        <v>12025</v>
      </c>
      <c r="E5" s="272" t="s">
        <v>524</v>
      </c>
      <c r="F5" s="833">
        <v>1357394</v>
      </c>
    </row>
    <row r="6" spans="2:6" hidden="1" x14ac:dyDescent="0.2">
      <c r="B6" s="272" t="s">
        <v>360</v>
      </c>
      <c r="C6" s="832" t="s">
        <v>361</v>
      </c>
      <c r="D6" s="272">
        <v>3883</v>
      </c>
      <c r="E6" s="272" t="s">
        <v>362</v>
      </c>
      <c r="F6" s="833">
        <v>13136493</v>
      </c>
    </row>
    <row r="7" spans="2:6" hidden="1" x14ac:dyDescent="0.2">
      <c r="B7" s="272" t="s">
        <v>363</v>
      </c>
      <c r="C7" s="832" t="s">
        <v>364</v>
      </c>
      <c r="D7" s="272">
        <v>3892</v>
      </c>
      <c r="E7" s="272" t="s">
        <v>365</v>
      </c>
      <c r="F7" s="833">
        <v>2766619</v>
      </c>
    </row>
    <row r="8" spans="2:6" hidden="1" x14ac:dyDescent="0.2">
      <c r="B8" s="272" t="s">
        <v>366</v>
      </c>
      <c r="C8" s="832" t="s">
        <v>367</v>
      </c>
      <c r="D8" s="272">
        <v>3878</v>
      </c>
      <c r="E8" s="272" t="s">
        <v>368</v>
      </c>
      <c r="F8" s="833">
        <v>50100</v>
      </c>
    </row>
    <row r="9" spans="2:6" hidden="1" x14ac:dyDescent="0.2">
      <c r="B9" s="272" t="s">
        <v>369</v>
      </c>
      <c r="C9" s="832" t="s">
        <v>293</v>
      </c>
      <c r="D9" s="272">
        <v>3902</v>
      </c>
      <c r="E9" s="272" t="s">
        <v>1262</v>
      </c>
      <c r="F9" s="833">
        <v>2343824</v>
      </c>
    </row>
    <row r="10" spans="2:6" hidden="1" x14ac:dyDescent="0.2">
      <c r="B10" s="272" t="s">
        <v>371</v>
      </c>
      <c r="C10" s="832" t="s">
        <v>372</v>
      </c>
      <c r="D10" s="272">
        <v>3895</v>
      </c>
      <c r="E10" s="272" t="s">
        <v>1263</v>
      </c>
      <c r="F10" s="833">
        <v>50344</v>
      </c>
    </row>
    <row r="11" spans="2:6" hidden="1" x14ac:dyDescent="0.2">
      <c r="B11" s="272" t="s">
        <v>374</v>
      </c>
      <c r="C11" s="832" t="s">
        <v>375</v>
      </c>
      <c r="D11" s="272">
        <v>3899</v>
      </c>
      <c r="E11" s="272" t="s">
        <v>1264</v>
      </c>
      <c r="F11" s="833">
        <v>64929</v>
      </c>
    </row>
    <row r="12" spans="2:6" hidden="1" x14ac:dyDescent="0.2">
      <c r="B12" s="272" t="s">
        <v>374</v>
      </c>
      <c r="C12" s="832" t="s">
        <v>367</v>
      </c>
      <c r="D12" s="272">
        <v>3879</v>
      </c>
      <c r="E12" s="272" t="s">
        <v>534</v>
      </c>
      <c r="F12" s="833">
        <v>16192</v>
      </c>
    </row>
    <row r="13" spans="2:6" hidden="1" x14ac:dyDescent="0.2">
      <c r="B13" s="272" t="s">
        <v>374</v>
      </c>
      <c r="C13" s="832" t="s">
        <v>367</v>
      </c>
      <c r="D13" s="272">
        <v>3879</v>
      </c>
      <c r="E13" s="272" t="s">
        <v>534</v>
      </c>
      <c r="F13" s="833">
        <v>9046</v>
      </c>
    </row>
    <row r="14" spans="2:6" hidden="1" x14ac:dyDescent="0.2">
      <c r="B14" s="272" t="s">
        <v>374</v>
      </c>
      <c r="C14" s="832" t="s">
        <v>367</v>
      </c>
      <c r="D14" s="272">
        <v>3881</v>
      </c>
      <c r="E14" s="272" t="s">
        <v>602</v>
      </c>
      <c r="F14" s="833">
        <v>24395</v>
      </c>
    </row>
    <row r="15" spans="2:6" hidden="1" x14ac:dyDescent="0.2">
      <c r="B15" s="272" t="s">
        <v>374</v>
      </c>
      <c r="C15" s="832" t="s">
        <v>367</v>
      </c>
      <c r="D15" s="272">
        <v>3881</v>
      </c>
      <c r="E15" s="272" t="s">
        <v>603</v>
      </c>
      <c r="F15" s="833">
        <v>15144</v>
      </c>
    </row>
    <row r="16" spans="2:6" hidden="1" x14ac:dyDescent="0.2">
      <c r="B16" s="272" t="s">
        <v>381</v>
      </c>
      <c r="C16" s="832" t="s">
        <v>367</v>
      </c>
      <c r="D16" s="272">
        <v>3878</v>
      </c>
      <c r="E16" s="272" t="s">
        <v>1265</v>
      </c>
      <c r="F16" s="833">
        <v>2327018.88</v>
      </c>
    </row>
    <row r="17" spans="2:6" hidden="1" x14ac:dyDescent="0.2">
      <c r="B17" s="272" t="s">
        <v>381</v>
      </c>
      <c r="C17" s="832" t="s">
        <v>367</v>
      </c>
      <c r="D17" s="272">
        <v>3879</v>
      </c>
      <c r="E17" s="272" t="s">
        <v>1266</v>
      </c>
      <c r="F17" s="833">
        <v>569975</v>
      </c>
    </row>
    <row r="18" spans="2:6" hidden="1" x14ac:dyDescent="0.2">
      <c r="B18" s="272" t="s">
        <v>381</v>
      </c>
      <c r="C18" s="832" t="s">
        <v>367</v>
      </c>
      <c r="D18" s="272">
        <v>3880</v>
      </c>
      <c r="E18" s="272" t="s">
        <v>1267</v>
      </c>
      <c r="F18" s="833">
        <v>292690</v>
      </c>
    </row>
    <row r="19" spans="2:6" hidden="1" x14ac:dyDescent="0.2">
      <c r="B19" s="272" t="s">
        <v>385</v>
      </c>
      <c r="C19" s="832" t="s">
        <v>386</v>
      </c>
      <c r="D19" s="272">
        <v>3896</v>
      </c>
      <c r="E19" s="272" t="s">
        <v>387</v>
      </c>
      <c r="F19" s="833">
        <v>87582</v>
      </c>
    </row>
    <row r="20" spans="2:6" hidden="1" x14ac:dyDescent="0.2">
      <c r="B20" s="272" t="s">
        <v>277</v>
      </c>
      <c r="C20" s="832" t="s">
        <v>388</v>
      </c>
      <c r="D20" s="272">
        <v>3888</v>
      </c>
      <c r="E20" s="272" t="s">
        <v>1268</v>
      </c>
      <c r="F20" s="833">
        <v>49000</v>
      </c>
    </row>
    <row r="21" spans="2:6" hidden="1" x14ac:dyDescent="0.2">
      <c r="B21" s="272" t="s">
        <v>277</v>
      </c>
      <c r="C21" s="832" t="s">
        <v>388</v>
      </c>
      <c r="D21" s="272">
        <v>3897</v>
      </c>
      <c r="E21" s="272" t="s">
        <v>1269</v>
      </c>
      <c r="F21" s="833">
        <v>137900</v>
      </c>
    </row>
    <row r="22" spans="2:6" hidden="1" x14ac:dyDescent="0.2">
      <c r="B22" s="272" t="s">
        <v>277</v>
      </c>
      <c r="C22" s="832" t="s">
        <v>388</v>
      </c>
      <c r="D22" s="272">
        <v>3897</v>
      </c>
      <c r="E22" s="272" t="s">
        <v>1270</v>
      </c>
      <c r="F22" s="833">
        <v>9000</v>
      </c>
    </row>
    <row r="23" spans="2:6" hidden="1" x14ac:dyDescent="0.2">
      <c r="B23" s="272" t="s">
        <v>277</v>
      </c>
      <c r="C23" s="832" t="s">
        <v>391</v>
      </c>
      <c r="D23" s="272">
        <v>3874</v>
      </c>
      <c r="E23" s="272" t="s">
        <v>1271</v>
      </c>
      <c r="F23" s="833">
        <v>283299</v>
      </c>
    </row>
    <row r="24" spans="2:6" hidden="1" x14ac:dyDescent="0.2">
      <c r="B24" s="272" t="s">
        <v>277</v>
      </c>
      <c r="C24" s="832" t="s">
        <v>1272</v>
      </c>
      <c r="D24" s="272">
        <v>3886</v>
      </c>
      <c r="E24" s="272" t="s">
        <v>1273</v>
      </c>
      <c r="F24" s="833">
        <v>78000</v>
      </c>
    </row>
    <row r="25" spans="2:6" hidden="1" x14ac:dyDescent="0.2">
      <c r="B25" s="272" t="s">
        <v>277</v>
      </c>
      <c r="C25" s="832" t="s">
        <v>1274</v>
      </c>
      <c r="D25" s="272">
        <v>3884</v>
      </c>
      <c r="E25" s="272" t="s">
        <v>1275</v>
      </c>
      <c r="F25" s="833">
        <v>153997</v>
      </c>
    </row>
    <row r="26" spans="2:6" hidden="1" x14ac:dyDescent="0.2">
      <c r="B26" s="272" t="s">
        <v>277</v>
      </c>
      <c r="C26" s="832" t="s">
        <v>1276</v>
      </c>
      <c r="D26" s="272">
        <v>3885</v>
      </c>
      <c r="E26" s="272" t="s">
        <v>1277</v>
      </c>
      <c r="F26" s="833">
        <v>204471</v>
      </c>
    </row>
    <row r="27" spans="2:6" hidden="1" x14ac:dyDescent="0.2">
      <c r="B27" s="272" t="s">
        <v>277</v>
      </c>
      <c r="C27" s="832" t="s">
        <v>1278</v>
      </c>
      <c r="D27" s="272">
        <v>3871</v>
      </c>
      <c r="E27" s="272" t="s">
        <v>1279</v>
      </c>
      <c r="F27" s="833">
        <v>391693</v>
      </c>
    </row>
    <row r="28" spans="2:6" hidden="1" x14ac:dyDescent="0.2">
      <c r="B28" s="272" t="s">
        <v>277</v>
      </c>
      <c r="C28" s="832" t="s">
        <v>1278</v>
      </c>
      <c r="D28" s="272">
        <v>3887</v>
      </c>
      <c r="E28" s="272" t="s">
        <v>1279</v>
      </c>
      <c r="F28" s="833">
        <v>274061</v>
      </c>
    </row>
    <row r="29" spans="2:6" hidden="1" x14ac:dyDescent="0.2">
      <c r="B29" s="272" t="s">
        <v>210</v>
      </c>
      <c r="C29" s="832" t="s">
        <v>237</v>
      </c>
      <c r="D29" s="272">
        <v>3894</v>
      </c>
      <c r="E29" s="272" t="s">
        <v>1280</v>
      </c>
      <c r="F29" s="833">
        <v>111750</v>
      </c>
    </row>
    <row r="30" spans="2:6" hidden="1" x14ac:dyDescent="0.2">
      <c r="B30" s="272" t="s">
        <v>210</v>
      </c>
      <c r="C30" s="832" t="s">
        <v>237</v>
      </c>
      <c r="D30" s="272">
        <v>16794</v>
      </c>
      <c r="E30" s="272" t="s">
        <v>1281</v>
      </c>
      <c r="F30" s="833">
        <v>528360</v>
      </c>
    </row>
    <row r="31" spans="2:6" hidden="1" x14ac:dyDescent="0.2">
      <c r="B31" s="272" t="s">
        <v>240</v>
      </c>
      <c r="C31" s="832" t="s">
        <v>241</v>
      </c>
      <c r="D31" s="272">
        <v>3893</v>
      </c>
      <c r="E31" s="272" t="s">
        <v>1282</v>
      </c>
      <c r="F31" s="833">
        <v>125300</v>
      </c>
    </row>
    <row r="32" spans="2:6" hidden="1" x14ac:dyDescent="0.2">
      <c r="B32" s="272" t="s">
        <v>240</v>
      </c>
      <c r="C32" s="832" t="s">
        <v>283</v>
      </c>
      <c r="D32" s="272">
        <v>3877</v>
      </c>
      <c r="E32" s="272" t="s">
        <v>1283</v>
      </c>
      <c r="F32" s="833">
        <v>104000</v>
      </c>
    </row>
    <row r="33" spans="2:6" hidden="1" x14ac:dyDescent="0.2">
      <c r="B33" s="272" t="s">
        <v>244</v>
      </c>
      <c r="C33" s="832" t="s">
        <v>245</v>
      </c>
      <c r="D33" s="272">
        <v>3900</v>
      </c>
      <c r="E33" s="272" t="s">
        <v>1284</v>
      </c>
      <c r="F33" s="833">
        <v>246330</v>
      </c>
    </row>
    <row r="34" spans="2:6" hidden="1" x14ac:dyDescent="0.2">
      <c r="B34" s="272" t="s">
        <v>247</v>
      </c>
      <c r="C34" s="832" t="s">
        <v>231</v>
      </c>
      <c r="D34" s="272">
        <v>3898</v>
      </c>
      <c r="E34" s="272" t="s">
        <v>398</v>
      </c>
      <c r="F34" s="833">
        <v>307000</v>
      </c>
    </row>
    <row r="35" spans="2:6" hidden="1" x14ac:dyDescent="0.2">
      <c r="B35" s="272" t="s">
        <v>247</v>
      </c>
      <c r="C35" s="832" t="s">
        <v>231</v>
      </c>
      <c r="D35" s="272">
        <v>3898</v>
      </c>
      <c r="E35" s="272" t="s">
        <v>248</v>
      </c>
      <c r="F35" s="833">
        <v>1047200</v>
      </c>
    </row>
    <row r="36" spans="2:6" hidden="1" x14ac:dyDescent="0.2">
      <c r="B36" s="272" t="s">
        <v>212</v>
      </c>
      <c r="C36" s="832" t="s">
        <v>213</v>
      </c>
      <c r="D36" s="272">
        <v>3890</v>
      </c>
      <c r="E36" s="272" t="s">
        <v>251</v>
      </c>
      <c r="F36" s="833">
        <v>240202</v>
      </c>
    </row>
    <row r="37" spans="2:6" hidden="1" x14ac:dyDescent="0.2">
      <c r="B37" s="272" t="s">
        <v>212</v>
      </c>
      <c r="C37" s="832" t="s">
        <v>717</v>
      </c>
      <c r="D37" s="272">
        <v>3889</v>
      </c>
      <c r="E37" s="272" t="s">
        <v>1285</v>
      </c>
      <c r="F37" s="833">
        <v>404600</v>
      </c>
    </row>
    <row r="38" spans="2:6" hidden="1" x14ac:dyDescent="0.2">
      <c r="B38" s="272" t="s">
        <v>212</v>
      </c>
      <c r="C38" s="832" t="s">
        <v>717</v>
      </c>
      <c r="D38" s="272">
        <v>3891</v>
      </c>
      <c r="E38" s="272" t="s">
        <v>1286</v>
      </c>
      <c r="F38" s="833">
        <v>178500</v>
      </c>
    </row>
    <row r="39" spans="2:6" hidden="1" x14ac:dyDescent="0.2">
      <c r="B39" s="272" t="s">
        <v>215</v>
      </c>
      <c r="C39" s="832" t="s">
        <v>400</v>
      </c>
      <c r="D39" s="272">
        <v>3872</v>
      </c>
      <c r="E39" s="272" t="s">
        <v>1287</v>
      </c>
      <c r="F39" s="833">
        <v>116400</v>
      </c>
    </row>
    <row r="40" spans="2:6" hidden="1" x14ac:dyDescent="0.2">
      <c r="B40" s="272" t="s">
        <v>215</v>
      </c>
      <c r="C40" s="832" t="s">
        <v>764</v>
      </c>
      <c r="D40" s="272" t="s">
        <v>392</v>
      </c>
      <c r="E40" s="272" t="s">
        <v>1288</v>
      </c>
      <c r="F40" s="833">
        <v>13150</v>
      </c>
    </row>
    <row r="41" spans="2:6" hidden="1" x14ac:dyDescent="0.2">
      <c r="B41" s="272" t="s">
        <v>215</v>
      </c>
      <c r="C41" s="832" t="s">
        <v>485</v>
      </c>
      <c r="D41" s="272">
        <v>3873</v>
      </c>
      <c r="E41" s="272" t="s">
        <v>615</v>
      </c>
      <c r="F41" s="833">
        <v>14000</v>
      </c>
    </row>
    <row r="42" spans="2:6" hidden="1" x14ac:dyDescent="0.2">
      <c r="B42" s="272" t="s">
        <v>432</v>
      </c>
      <c r="C42" s="832" t="s">
        <v>367</v>
      </c>
      <c r="D42" s="272">
        <v>3878</v>
      </c>
      <c r="E42" s="272" t="s">
        <v>1289</v>
      </c>
      <c r="F42" s="833">
        <v>0.12</v>
      </c>
    </row>
    <row r="43" spans="2:6" hidden="1" x14ac:dyDescent="0.2">
      <c r="B43" s="272" t="s">
        <v>217</v>
      </c>
      <c r="C43" s="832" t="s">
        <v>266</v>
      </c>
      <c r="D43" s="272">
        <v>12025</v>
      </c>
      <c r="E43" s="272" t="s">
        <v>405</v>
      </c>
      <c r="F43" s="833">
        <v>287015</v>
      </c>
    </row>
    <row r="44" spans="2:6" hidden="1" x14ac:dyDescent="0.2">
      <c r="B44" s="272" t="s">
        <v>302</v>
      </c>
      <c r="C44" s="832" t="s">
        <v>303</v>
      </c>
      <c r="D44" s="272">
        <v>12025</v>
      </c>
      <c r="E44" s="272" t="s">
        <v>304</v>
      </c>
      <c r="F44" s="833">
        <v>94604.44</v>
      </c>
    </row>
    <row r="45" spans="2:6" hidden="1" x14ac:dyDescent="0.2">
      <c r="B45" s="272" t="s">
        <v>305</v>
      </c>
      <c r="C45" s="832" t="s">
        <v>303</v>
      </c>
      <c r="D45" s="272">
        <v>12025</v>
      </c>
      <c r="E45" s="272" t="s">
        <v>272</v>
      </c>
      <c r="F45" s="833">
        <v>14200</v>
      </c>
    </row>
    <row r="46" spans="2:6" hidden="1" x14ac:dyDescent="0.2">
      <c r="B46" s="272" t="s">
        <v>305</v>
      </c>
      <c r="C46" s="832" t="s">
        <v>303</v>
      </c>
      <c r="D46" s="272">
        <v>12025</v>
      </c>
      <c r="E46" s="272" t="s">
        <v>306</v>
      </c>
      <c r="F46" s="833">
        <v>82348</v>
      </c>
    </row>
    <row r="47" spans="2:6" ht="11" hidden="1" thickBot="1" x14ac:dyDescent="0.3">
      <c r="B47" s="834"/>
      <c r="C47" s="835"/>
      <c r="D47" s="836"/>
      <c r="E47" s="836"/>
      <c r="F47" s="837">
        <f>SUM(F3:F46)</f>
        <v>29096206.440000001</v>
      </c>
    </row>
    <row r="48" spans="2:6" ht="10.5" hidden="1" x14ac:dyDescent="0.2">
      <c r="B48" s="1787" t="s">
        <v>498</v>
      </c>
      <c r="C48" s="1788"/>
      <c r="D48" s="1788"/>
      <c r="E48" s="1788"/>
      <c r="F48" s="1789"/>
    </row>
    <row r="49" spans="2:6" ht="10.5" hidden="1" x14ac:dyDescent="0.2">
      <c r="B49" s="1790" t="s">
        <v>1290</v>
      </c>
      <c r="C49" s="1791"/>
      <c r="D49" s="1791"/>
      <c r="E49" s="1791"/>
      <c r="F49" s="1792"/>
    </row>
    <row r="50" spans="2:6" ht="10.5" hidden="1" x14ac:dyDescent="0.25">
      <c r="B50" s="830" t="s">
        <v>47</v>
      </c>
      <c r="C50" s="830" t="s">
        <v>460</v>
      </c>
      <c r="D50" s="830" t="s">
        <v>462</v>
      </c>
      <c r="E50" s="830" t="s">
        <v>463</v>
      </c>
      <c r="F50" s="831" t="s">
        <v>1260</v>
      </c>
    </row>
    <row r="51" spans="2:6" hidden="1" x14ac:dyDescent="0.2">
      <c r="B51" s="446" t="s">
        <v>354</v>
      </c>
      <c r="C51" s="838" t="s">
        <v>355</v>
      </c>
      <c r="D51" s="448">
        <v>12025</v>
      </c>
      <c r="E51" s="446" t="s">
        <v>1261</v>
      </c>
      <c r="F51" s="839">
        <v>488080</v>
      </c>
    </row>
    <row r="52" spans="2:6" hidden="1" x14ac:dyDescent="0.2">
      <c r="B52" s="446" t="s">
        <v>357</v>
      </c>
      <c r="C52" s="838" t="s">
        <v>358</v>
      </c>
      <c r="D52" s="448">
        <v>22025</v>
      </c>
      <c r="E52" s="446" t="s">
        <v>524</v>
      </c>
      <c r="F52" s="839">
        <v>904930</v>
      </c>
    </row>
    <row r="53" spans="2:6" hidden="1" x14ac:dyDescent="0.2">
      <c r="B53" s="446" t="s">
        <v>360</v>
      </c>
      <c r="C53" s="838" t="s">
        <v>361</v>
      </c>
      <c r="D53" s="448">
        <v>3915</v>
      </c>
      <c r="E53" s="446" t="s">
        <v>1291</v>
      </c>
      <c r="F53" s="839">
        <v>13136493</v>
      </c>
    </row>
    <row r="54" spans="2:6" hidden="1" x14ac:dyDescent="0.2">
      <c r="B54" s="446" t="s">
        <v>360</v>
      </c>
      <c r="C54" s="838" t="s">
        <v>361</v>
      </c>
      <c r="D54" s="448">
        <v>3922</v>
      </c>
      <c r="E54" s="446" t="s">
        <v>1292</v>
      </c>
      <c r="F54" s="839">
        <v>1751531</v>
      </c>
    </row>
    <row r="55" spans="2:6" hidden="1" x14ac:dyDescent="0.2">
      <c r="B55" s="446" t="s">
        <v>363</v>
      </c>
      <c r="C55" s="838" t="s">
        <v>364</v>
      </c>
      <c r="D55" s="448">
        <v>3930</v>
      </c>
      <c r="E55" s="446" t="s">
        <v>1293</v>
      </c>
      <c r="F55" s="839">
        <v>2766619</v>
      </c>
    </row>
    <row r="56" spans="2:6" hidden="1" x14ac:dyDescent="0.2">
      <c r="B56" s="446" t="s">
        <v>366</v>
      </c>
      <c r="C56" s="838" t="s">
        <v>367</v>
      </c>
      <c r="D56" s="448">
        <v>3911</v>
      </c>
      <c r="E56" s="446" t="s">
        <v>368</v>
      </c>
      <c r="F56" s="839">
        <v>50115</v>
      </c>
    </row>
    <row r="57" spans="2:6" hidden="1" x14ac:dyDescent="0.2">
      <c r="B57" s="446" t="s">
        <v>369</v>
      </c>
      <c r="C57" s="838" t="s">
        <v>293</v>
      </c>
      <c r="D57" s="448">
        <v>3926</v>
      </c>
      <c r="E57" s="446" t="s">
        <v>1294</v>
      </c>
      <c r="F57" s="839">
        <v>2343824</v>
      </c>
    </row>
    <row r="58" spans="2:6" hidden="1" x14ac:dyDescent="0.2">
      <c r="B58" s="446" t="s">
        <v>371</v>
      </c>
      <c r="C58" s="838" t="s">
        <v>372</v>
      </c>
      <c r="D58" s="448">
        <v>3921</v>
      </c>
      <c r="E58" s="446" t="s">
        <v>1295</v>
      </c>
      <c r="F58" s="839">
        <v>50344</v>
      </c>
    </row>
    <row r="59" spans="2:6" hidden="1" x14ac:dyDescent="0.2">
      <c r="B59" s="446" t="s">
        <v>374</v>
      </c>
      <c r="C59" s="838" t="s">
        <v>375</v>
      </c>
      <c r="D59" s="448">
        <v>3912</v>
      </c>
      <c r="E59" s="446" t="s">
        <v>1296</v>
      </c>
      <c r="F59" s="839">
        <v>63482</v>
      </c>
    </row>
    <row r="60" spans="2:6" hidden="1" x14ac:dyDescent="0.2">
      <c r="B60" s="446" t="s">
        <v>374</v>
      </c>
      <c r="C60" s="838" t="s">
        <v>367</v>
      </c>
      <c r="D60" s="448">
        <v>3913</v>
      </c>
      <c r="E60" s="446" t="s">
        <v>1297</v>
      </c>
      <c r="F60" s="839">
        <v>35305</v>
      </c>
    </row>
    <row r="61" spans="2:6" hidden="1" x14ac:dyDescent="0.2">
      <c r="B61" s="446" t="s">
        <v>374</v>
      </c>
      <c r="C61" s="838" t="s">
        <v>367</v>
      </c>
      <c r="D61" s="448">
        <v>3913</v>
      </c>
      <c r="E61" s="446" t="s">
        <v>1298</v>
      </c>
      <c r="F61" s="839">
        <v>23263</v>
      </c>
    </row>
    <row r="62" spans="2:6" hidden="1" x14ac:dyDescent="0.2">
      <c r="B62" s="446" t="s">
        <v>374</v>
      </c>
      <c r="C62" s="838" t="s">
        <v>367</v>
      </c>
      <c r="D62" s="448">
        <v>5075088</v>
      </c>
      <c r="E62" s="446" t="s">
        <v>1299</v>
      </c>
      <c r="F62" s="839">
        <v>65409</v>
      </c>
    </row>
    <row r="63" spans="2:6" hidden="1" x14ac:dyDescent="0.2">
      <c r="B63" s="446" t="s">
        <v>374</v>
      </c>
      <c r="C63" s="838" t="s">
        <v>367</v>
      </c>
      <c r="D63" s="448">
        <v>5075088</v>
      </c>
      <c r="E63" s="446" t="s">
        <v>1300</v>
      </c>
      <c r="F63" s="839">
        <v>45640</v>
      </c>
    </row>
    <row r="64" spans="2:6" hidden="1" x14ac:dyDescent="0.2">
      <c r="B64" s="446" t="s">
        <v>381</v>
      </c>
      <c r="C64" s="838" t="s">
        <v>367</v>
      </c>
      <c r="D64" s="448">
        <v>3911</v>
      </c>
      <c r="E64" s="446" t="s">
        <v>1301</v>
      </c>
      <c r="F64" s="839">
        <v>1766140</v>
      </c>
    </row>
    <row r="65" spans="2:6" hidden="1" x14ac:dyDescent="0.2">
      <c r="B65" s="446" t="s">
        <v>381</v>
      </c>
      <c r="C65" s="838" t="s">
        <v>367</v>
      </c>
      <c r="D65" s="448">
        <v>5075088</v>
      </c>
      <c r="E65" s="446" t="s">
        <v>1302</v>
      </c>
      <c r="F65" s="839">
        <v>522189</v>
      </c>
    </row>
    <row r="66" spans="2:6" hidden="1" x14ac:dyDescent="0.2">
      <c r="B66" s="446" t="s">
        <v>381</v>
      </c>
      <c r="C66" s="838" t="s">
        <v>367</v>
      </c>
      <c r="D66" s="448">
        <v>5438972</v>
      </c>
      <c r="E66" s="446" t="s">
        <v>1303</v>
      </c>
      <c r="F66" s="839">
        <v>340398</v>
      </c>
    </row>
    <row r="67" spans="2:6" hidden="1" x14ac:dyDescent="0.2">
      <c r="B67" s="446" t="s">
        <v>385</v>
      </c>
      <c r="C67" s="838" t="s">
        <v>386</v>
      </c>
      <c r="D67" s="448">
        <v>3914</v>
      </c>
      <c r="E67" s="446" t="s">
        <v>387</v>
      </c>
      <c r="F67" s="839">
        <v>100988</v>
      </c>
    </row>
    <row r="68" spans="2:6" hidden="1" x14ac:dyDescent="0.2">
      <c r="B68" s="446" t="s">
        <v>210</v>
      </c>
      <c r="C68" s="838" t="s">
        <v>237</v>
      </c>
      <c r="D68" s="448">
        <v>3919</v>
      </c>
      <c r="E68" s="446" t="s">
        <v>1280</v>
      </c>
      <c r="F68" s="839">
        <v>111750</v>
      </c>
    </row>
    <row r="69" spans="2:6" hidden="1" x14ac:dyDescent="0.2">
      <c r="B69" s="446" t="s">
        <v>240</v>
      </c>
      <c r="C69" s="838" t="s">
        <v>283</v>
      </c>
      <c r="D69" s="448">
        <v>3904</v>
      </c>
      <c r="E69" s="446" t="s">
        <v>1283</v>
      </c>
      <c r="F69" s="839">
        <v>104000</v>
      </c>
    </row>
    <row r="70" spans="2:6" hidden="1" x14ac:dyDescent="0.2">
      <c r="B70" s="446" t="s">
        <v>247</v>
      </c>
      <c r="C70" s="838" t="s">
        <v>231</v>
      </c>
      <c r="D70" s="448">
        <v>3928</v>
      </c>
      <c r="E70" s="446" t="s">
        <v>398</v>
      </c>
      <c r="F70" s="839">
        <v>307000</v>
      </c>
    </row>
    <row r="71" spans="2:6" hidden="1" x14ac:dyDescent="0.2">
      <c r="B71" s="446" t="s">
        <v>247</v>
      </c>
      <c r="C71" s="838" t="s">
        <v>231</v>
      </c>
      <c r="D71" s="448">
        <v>3928</v>
      </c>
      <c r="E71" s="446" t="s">
        <v>248</v>
      </c>
      <c r="F71" s="839">
        <v>1047200</v>
      </c>
    </row>
    <row r="72" spans="2:6" hidden="1" x14ac:dyDescent="0.2">
      <c r="B72" s="446" t="s">
        <v>212</v>
      </c>
      <c r="C72" s="838" t="s">
        <v>1304</v>
      </c>
      <c r="D72" s="448">
        <v>3916</v>
      </c>
      <c r="E72" s="446" t="s">
        <v>251</v>
      </c>
      <c r="F72" s="839">
        <v>203409</v>
      </c>
    </row>
    <row r="73" spans="2:6" hidden="1" x14ac:dyDescent="0.2">
      <c r="B73" s="446" t="s">
        <v>212</v>
      </c>
      <c r="C73" s="838" t="s">
        <v>717</v>
      </c>
      <c r="D73" s="448">
        <v>3924</v>
      </c>
      <c r="E73" s="446" t="s">
        <v>1305</v>
      </c>
      <c r="F73" s="839">
        <v>416500</v>
      </c>
    </row>
    <row r="74" spans="2:6" hidden="1" x14ac:dyDescent="0.2">
      <c r="B74" s="446" t="s">
        <v>212</v>
      </c>
      <c r="C74" s="838" t="s">
        <v>717</v>
      </c>
      <c r="D74" s="448">
        <v>3929</v>
      </c>
      <c r="E74" s="446" t="s">
        <v>1306</v>
      </c>
      <c r="F74" s="839">
        <f>-133280+571200</f>
        <v>437920</v>
      </c>
    </row>
    <row r="75" spans="2:6" hidden="1" x14ac:dyDescent="0.2">
      <c r="B75" s="446" t="s">
        <v>212</v>
      </c>
      <c r="C75" s="838" t="s">
        <v>717</v>
      </c>
      <c r="D75" s="448">
        <v>3929</v>
      </c>
      <c r="E75" s="446" t="s">
        <v>1307</v>
      </c>
      <c r="F75" s="839">
        <v>77350</v>
      </c>
    </row>
    <row r="76" spans="2:6" hidden="1" x14ac:dyDescent="0.2">
      <c r="B76" s="446" t="s">
        <v>212</v>
      </c>
      <c r="C76" s="838" t="s">
        <v>717</v>
      </c>
      <c r="D76" s="448">
        <v>14826</v>
      </c>
      <c r="E76" s="446" t="s">
        <v>1308</v>
      </c>
      <c r="F76" s="839">
        <v>166600</v>
      </c>
    </row>
    <row r="77" spans="2:6" hidden="1" x14ac:dyDescent="0.2">
      <c r="B77" s="446" t="s">
        <v>1168</v>
      </c>
      <c r="C77" s="838" t="s">
        <v>556</v>
      </c>
      <c r="D77" s="448">
        <v>3927</v>
      </c>
      <c r="E77" s="446" t="s">
        <v>1309</v>
      </c>
      <c r="F77" s="839">
        <v>140000</v>
      </c>
    </row>
    <row r="78" spans="2:6" hidden="1" x14ac:dyDescent="0.2">
      <c r="B78" s="446" t="s">
        <v>298</v>
      </c>
      <c r="C78" s="838" t="s">
        <v>1310</v>
      </c>
      <c r="D78" s="448">
        <v>3925</v>
      </c>
      <c r="E78" s="446" t="s">
        <v>1311</v>
      </c>
      <c r="F78" s="839">
        <v>350000</v>
      </c>
    </row>
    <row r="79" spans="2:6" hidden="1" x14ac:dyDescent="0.2">
      <c r="B79" s="446" t="s">
        <v>215</v>
      </c>
      <c r="C79" s="838" t="s">
        <v>702</v>
      </c>
      <c r="D79" s="448">
        <v>3909</v>
      </c>
      <c r="E79" s="446" t="s">
        <v>1312</v>
      </c>
      <c r="F79" s="839">
        <v>145400</v>
      </c>
    </row>
    <row r="80" spans="2:6" hidden="1" x14ac:dyDescent="0.2">
      <c r="B80" s="446" t="s">
        <v>215</v>
      </c>
      <c r="C80" s="838" t="s">
        <v>290</v>
      </c>
      <c r="D80" s="448">
        <v>3905</v>
      </c>
      <c r="E80" s="446" t="s">
        <v>1313</v>
      </c>
      <c r="F80" s="839">
        <v>67469</v>
      </c>
    </row>
    <row r="81" spans="2:6" hidden="1" x14ac:dyDescent="0.2">
      <c r="B81" s="446" t="s">
        <v>215</v>
      </c>
      <c r="C81" s="838" t="s">
        <v>765</v>
      </c>
      <c r="D81" s="448">
        <v>3906</v>
      </c>
      <c r="E81" s="446" t="s">
        <v>1314</v>
      </c>
      <c r="F81" s="839">
        <v>18940</v>
      </c>
    </row>
    <row r="82" spans="2:6" hidden="1" x14ac:dyDescent="0.2">
      <c r="B82" s="446" t="s">
        <v>215</v>
      </c>
      <c r="C82" s="838" t="s">
        <v>765</v>
      </c>
      <c r="D82" s="448">
        <v>3907</v>
      </c>
      <c r="E82" s="446" t="s">
        <v>1315</v>
      </c>
      <c r="F82" s="839">
        <v>3390</v>
      </c>
    </row>
    <row r="83" spans="2:6" hidden="1" x14ac:dyDescent="0.2">
      <c r="B83" s="446" t="s">
        <v>295</v>
      </c>
      <c r="C83" s="838" t="s">
        <v>702</v>
      </c>
      <c r="D83" s="448">
        <v>3908</v>
      </c>
      <c r="E83" s="446" t="s">
        <v>1316</v>
      </c>
      <c r="F83" s="839">
        <v>138500</v>
      </c>
    </row>
    <row r="84" spans="2:6" hidden="1" x14ac:dyDescent="0.2">
      <c r="B84" s="446" t="s">
        <v>217</v>
      </c>
      <c r="C84" s="838" t="s">
        <v>266</v>
      </c>
      <c r="D84" s="448">
        <v>22025</v>
      </c>
      <c r="E84" s="446" t="s">
        <v>301</v>
      </c>
      <c r="F84" s="839">
        <v>287015</v>
      </c>
    </row>
    <row r="85" spans="2:6" hidden="1" x14ac:dyDescent="0.2">
      <c r="B85" s="446" t="s">
        <v>302</v>
      </c>
      <c r="C85" s="838" t="s">
        <v>303</v>
      </c>
      <c r="D85" s="448">
        <v>22025</v>
      </c>
      <c r="E85" s="446" t="s">
        <v>304</v>
      </c>
      <c r="F85" s="839">
        <v>88464.6</v>
      </c>
    </row>
    <row r="86" spans="2:6" hidden="1" x14ac:dyDescent="0.2">
      <c r="B86" s="446" t="s">
        <v>305</v>
      </c>
      <c r="C86" s="838" t="s">
        <v>303</v>
      </c>
      <c r="D86" s="448">
        <v>22025</v>
      </c>
      <c r="E86" s="446" t="s">
        <v>272</v>
      </c>
      <c r="F86" s="839">
        <v>14200</v>
      </c>
    </row>
    <row r="87" spans="2:6" hidden="1" x14ac:dyDescent="0.2">
      <c r="B87" s="446" t="s">
        <v>305</v>
      </c>
      <c r="C87" s="838" t="s">
        <v>303</v>
      </c>
      <c r="D87" s="448">
        <v>22025</v>
      </c>
      <c r="E87" s="446" t="s">
        <v>306</v>
      </c>
      <c r="F87" s="839">
        <v>86858</v>
      </c>
    </row>
    <row r="88" spans="2:6" ht="11" hidden="1" thickBot="1" x14ac:dyDescent="0.3">
      <c r="B88" s="834"/>
      <c r="C88" s="835"/>
      <c r="D88" s="836"/>
      <c r="E88" s="836"/>
      <c r="F88" s="837">
        <f>SUM(F51:F87)</f>
        <v>28666715.600000001</v>
      </c>
    </row>
    <row r="90" spans="2:6" ht="10.5" x14ac:dyDescent="0.2">
      <c r="B90" s="1787" t="s">
        <v>498</v>
      </c>
      <c r="C90" s="1788"/>
      <c r="D90" s="1788"/>
      <c r="E90" s="1788"/>
      <c r="F90" s="1789"/>
    </row>
    <row r="91" spans="2:6" ht="10.5" x14ac:dyDescent="0.2">
      <c r="B91" s="1790" t="s">
        <v>1317</v>
      </c>
      <c r="C91" s="1791"/>
      <c r="D91" s="1791"/>
      <c r="E91" s="1791"/>
      <c r="F91" s="1792"/>
    </row>
    <row r="92" spans="2:6" ht="10.5" hidden="1" x14ac:dyDescent="0.25">
      <c r="B92" s="830" t="s">
        <v>47</v>
      </c>
      <c r="C92" s="830" t="s">
        <v>460</v>
      </c>
      <c r="D92" s="830" t="s">
        <v>462</v>
      </c>
      <c r="E92" s="830" t="s">
        <v>463</v>
      </c>
      <c r="F92" s="831" t="s">
        <v>1260</v>
      </c>
    </row>
    <row r="93" spans="2:6" hidden="1" x14ac:dyDescent="0.2">
      <c r="B93" s="841" t="s">
        <v>354</v>
      </c>
      <c r="C93" s="838" t="s">
        <v>355</v>
      </c>
      <c r="D93" s="448">
        <v>32025</v>
      </c>
      <c r="E93" s="446" t="s">
        <v>1318</v>
      </c>
      <c r="F93" s="842">
        <v>627190</v>
      </c>
    </row>
    <row r="94" spans="2:6" hidden="1" x14ac:dyDescent="0.2">
      <c r="B94" s="841" t="s">
        <v>357</v>
      </c>
      <c r="C94" s="838" t="s">
        <v>358</v>
      </c>
      <c r="D94" s="448">
        <v>32025</v>
      </c>
      <c r="E94" s="446" t="s">
        <v>524</v>
      </c>
      <c r="F94" s="842">
        <v>1443315</v>
      </c>
    </row>
    <row r="95" spans="2:6" hidden="1" x14ac:dyDescent="0.2">
      <c r="B95" s="841" t="s">
        <v>360</v>
      </c>
      <c r="C95" s="838" t="s">
        <v>361</v>
      </c>
      <c r="D95" s="448">
        <v>16783</v>
      </c>
      <c r="E95" s="446" t="s">
        <v>362</v>
      </c>
      <c r="F95" s="842">
        <v>13136494</v>
      </c>
    </row>
    <row r="96" spans="2:6" hidden="1" x14ac:dyDescent="0.2">
      <c r="B96" s="841" t="s">
        <v>363</v>
      </c>
      <c r="C96" s="838" t="s">
        <v>364</v>
      </c>
      <c r="D96" s="448">
        <v>2301</v>
      </c>
      <c r="E96" s="446" t="s">
        <v>365</v>
      </c>
      <c r="F96" s="842">
        <v>2766619</v>
      </c>
    </row>
    <row r="97" spans="2:6" hidden="1" x14ac:dyDescent="0.2">
      <c r="B97" s="841" t="s">
        <v>366</v>
      </c>
      <c r="C97" s="838" t="s">
        <v>367</v>
      </c>
      <c r="D97" s="448">
        <v>6381842</v>
      </c>
      <c r="E97" s="446" t="s">
        <v>368</v>
      </c>
      <c r="F97" s="842">
        <v>56102</v>
      </c>
    </row>
    <row r="98" spans="2:6" hidden="1" x14ac:dyDescent="0.2">
      <c r="B98" s="841" t="s">
        <v>369</v>
      </c>
      <c r="C98" s="838" t="s">
        <v>293</v>
      </c>
      <c r="D98" s="448">
        <v>32025</v>
      </c>
      <c r="E98" s="446" t="s">
        <v>1319</v>
      </c>
      <c r="F98" s="842">
        <v>2343824</v>
      </c>
    </row>
    <row r="99" spans="2:6" hidden="1" x14ac:dyDescent="0.2">
      <c r="B99" s="841" t="s">
        <v>371</v>
      </c>
      <c r="C99" s="838" t="s">
        <v>372</v>
      </c>
      <c r="D99" s="448">
        <v>78821</v>
      </c>
      <c r="E99" s="446" t="s">
        <v>1320</v>
      </c>
      <c r="F99" s="842">
        <v>50344</v>
      </c>
    </row>
    <row r="100" spans="2:6" hidden="1" x14ac:dyDescent="0.2">
      <c r="B100" s="841" t="s">
        <v>374</v>
      </c>
      <c r="C100" s="838" t="s">
        <v>375</v>
      </c>
      <c r="D100" s="448">
        <v>19000009</v>
      </c>
      <c r="E100" s="446" t="s">
        <v>1321</v>
      </c>
      <c r="F100" s="842">
        <v>57888</v>
      </c>
    </row>
    <row r="101" spans="2:6" hidden="1" x14ac:dyDescent="0.2">
      <c r="B101" s="841" t="s">
        <v>374</v>
      </c>
      <c r="C101" s="838" t="s">
        <v>367</v>
      </c>
      <c r="D101" s="448">
        <v>5075088</v>
      </c>
      <c r="E101" s="446" t="s">
        <v>534</v>
      </c>
      <c r="F101" s="842">
        <v>16192</v>
      </c>
    </row>
    <row r="102" spans="2:6" hidden="1" x14ac:dyDescent="0.2">
      <c r="B102" s="841" t="s">
        <v>374</v>
      </c>
      <c r="C102" s="838" t="s">
        <v>367</v>
      </c>
      <c r="D102" s="448">
        <v>5075088</v>
      </c>
      <c r="E102" s="446" t="s">
        <v>534</v>
      </c>
      <c r="F102" s="842">
        <v>9046</v>
      </c>
    </row>
    <row r="103" spans="2:6" hidden="1" x14ac:dyDescent="0.2">
      <c r="B103" s="841" t="s">
        <v>374</v>
      </c>
      <c r="C103" s="838" t="s">
        <v>367</v>
      </c>
      <c r="D103" s="448">
        <v>3437395</v>
      </c>
      <c r="E103" s="446" t="s">
        <v>416</v>
      </c>
      <c r="F103" s="842">
        <v>16192</v>
      </c>
    </row>
    <row r="104" spans="2:6" hidden="1" x14ac:dyDescent="0.2">
      <c r="B104" s="841" t="s">
        <v>374</v>
      </c>
      <c r="C104" s="838" t="s">
        <v>367</v>
      </c>
      <c r="D104" s="448">
        <v>3437395</v>
      </c>
      <c r="E104" s="446" t="s">
        <v>417</v>
      </c>
      <c r="F104" s="842">
        <v>9046</v>
      </c>
    </row>
    <row r="105" spans="2:6" hidden="1" x14ac:dyDescent="0.2">
      <c r="B105" s="841" t="s">
        <v>374</v>
      </c>
      <c r="C105" s="838" t="s">
        <v>367</v>
      </c>
      <c r="D105" s="448">
        <v>3437395</v>
      </c>
      <c r="E105" s="446" t="s">
        <v>1322</v>
      </c>
      <c r="F105" s="842">
        <v>112133</v>
      </c>
    </row>
    <row r="106" spans="2:6" hidden="1" x14ac:dyDescent="0.2">
      <c r="B106" s="841" t="s">
        <v>374</v>
      </c>
      <c r="C106" s="838" t="s">
        <v>367</v>
      </c>
      <c r="D106" s="448">
        <v>3437395</v>
      </c>
      <c r="E106" s="446" t="s">
        <v>1322</v>
      </c>
      <c r="F106" s="842">
        <v>83373</v>
      </c>
    </row>
    <row r="107" spans="2:6" hidden="1" x14ac:dyDescent="0.2">
      <c r="B107" s="841" t="s">
        <v>381</v>
      </c>
      <c r="C107" s="838" t="s">
        <v>367</v>
      </c>
      <c r="D107" s="448">
        <v>6381842</v>
      </c>
      <c r="E107" s="446" t="s">
        <v>1323</v>
      </c>
      <c r="F107" s="842">
        <v>1820184</v>
      </c>
    </row>
    <row r="108" spans="2:6" hidden="1" x14ac:dyDescent="0.2">
      <c r="B108" s="841" t="s">
        <v>381</v>
      </c>
      <c r="C108" s="838" t="s">
        <v>367</v>
      </c>
      <c r="D108" s="448">
        <v>5075088</v>
      </c>
      <c r="E108" s="446" t="s">
        <v>1324</v>
      </c>
      <c r="F108" s="842">
        <v>461694</v>
      </c>
    </row>
    <row r="109" spans="2:6" hidden="1" x14ac:dyDescent="0.2">
      <c r="B109" s="841" t="s">
        <v>381</v>
      </c>
      <c r="C109" s="838" t="s">
        <v>367</v>
      </c>
      <c r="D109" s="448">
        <v>5438972</v>
      </c>
      <c r="E109" s="446" t="s">
        <v>1325</v>
      </c>
      <c r="F109" s="842">
        <v>273014</v>
      </c>
    </row>
    <row r="110" spans="2:6" hidden="1" x14ac:dyDescent="0.2">
      <c r="B110" s="841" t="s">
        <v>385</v>
      </c>
      <c r="C110" s="838" t="s">
        <v>386</v>
      </c>
      <c r="D110" s="448">
        <v>17361258</v>
      </c>
      <c r="E110" s="446" t="s">
        <v>387</v>
      </c>
      <c r="F110" s="842">
        <v>100988</v>
      </c>
    </row>
    <row r="111" spans="2:6" hidden="1" x14ac:dyDescent="0.2">
      <c r="B111" s="841" t="s">
        <v>274</v>
      </c>
      <c r="C111" s="838" t="s">
        <v>275</v>
      </c>
      <c r="D111" s="448">
        <v>23162</v>
      </c>
      <c r="E111" s="446" t="s">
        <v>1326</v>
      </c>
      <c r="F111" s="842">
        <v>595450</v>
      </c>
    </row>
    <row r="112" spans="2:6" hidden="1" x14ac:dyDescent="0.2">
      <c r="B112" s="841" t="s">
        <v>277</v>
      </c>
      <c r="C112" s="838" t="s">
        <v>388</v>
      </c>
      <c r="D112" s="448">
        <v>77052</v>
      </c>
      <c r="E112" s="446" t="s">
        <v>1327</v>
      </c>
      <c r="F112" s="842">
        <v>196100</v>
      </c>
    </row>
    <row r="113" spans="2:6" hidden="1" x14ac:dyDescent="0.2">
      <c r="B113" s="841" t="s">
        <v>277</v>
      </c>
      <c r="C113" s="838" t="s">
        <v>1328</v>
      </c>
      <c r="D113" s="448">
        <v>578</v>
      </c>
      <c r="E113" s="446" t="s">
        <v>1329</v>
      </c>
      <c r="F113" s="842">
        <v>200000</v>
      </c>
    </row>
    <row r="114" spans="2:6" hidden="1" x14ac:dyDescent="0.2">
      <c r="B114" s="841" t="s">
        <v>277</v>
      </c>
      <c r="C114" s="838" t="s">
        <v>1330</v>
      </c>
      <c r="D114" s="448">
        <v>27761</v>
      </c>
      <c r="E114" s="446" t="s">
        <v>1331</v>
      </c>
      <c r="F114" s="842">
        <v>50000</v>
      </c>
    </row>
    <row r="115" spans="2:6" hidden="1" x14ac:dyDescent="0.2">
      <c r="B115" s="841" t="s">
        <v>277</v>
      </c>
      <c r="C115" s="838" t="s">
        <v>1332</v>
      </c>
      <c r="D115" s="448">
        <v>326626</v>
      </c>
      <c r="E115" s="446" t="s">
        <v>1333</v>
      </c>
      <c r="F115" s="842">
        <v>77737</v>
      </c>
    </row>
    <row r="116" spans="2:6" hidden="1" x14ac:dyDescent="0.2">
      <c r="B116" s="841" t="s">
        <v>210</v>
      </c>
      <c r="C116" s="838" t="s">
        <v>237</v>
      </c>
      <c r="D116" s="448">
        <v>17476</v>
      </c>
      <c r="E116" s="446" t="s">
        <v>1280</v>
      </c>
      <c r="F116" s="842">
        <v>111750</v>
      </c>
    </row>
    <row r="117" spans="2:6" hidden="1" x14ac:dyDescent="0.2">
      <c r="B117" s="841" t="s">
        <v>240</v>
      </c>
      <c r="C117" s="838" t="s">
        <v>241</v>
      </c>
      <c r="D117" s="448">
        <v>4832</v>
      </c>
      <c r="E117" s="446" t="s">
        <v>1334</v>
      </c>
      <c r="F117" s="842">
        <v>161450</v>
      </c>
    </row>
    <row r="118" spans="2:6" hidden="1" x14ac:dyDescent="0.2">
      <c r="B118" s="841" t="s">
        <v>240</v>
      </c>
      <c r="C118" s="838" t="s">
        <v>283</v>
      </c>
      <c r="D118" s="448">
        <v>1031</v>
      </c>
      <c r="E118" s="446" t="s">
        <v>1335</v>
      </c>
      <c r="F118" s="842">
        <v>92000</v>
      </c>
    </row>
    <row r="119" spans="2:6" hidden="1" x14ac:dyDescent="0.2">
      <c r="B119" s="841" t="s">
        <v>240</v>
      </c>
      <c r="C119" s="838" t="s">
        <v>237</v>
      </c>
      <c r="D119" s="448">
        <v>17477</v>
      </c>
      <c r="E119" s="446" t="s">
        <v>1336</v>
      </c>
      <c r="F119" s="842">
        <v>113288</v>
      </c>
    </row>
    <row r="120" spans="2:6" hidden="1" x14ac:dyDescent="0.2">
      <c r="B120" s="841" t="s">
        <v>244</v>
      </c>
      <c r="C120" s="838" t="s">
        <v>245</v>
      </c>
      <c r="D120" s="448">
        <v>2161</v>
      </c>
      <c r="E120" s="446" t="s">
        <v>1337</v>
      </c>
      <c r="F120" s="842">
        <v>511700</v>
      </c>
    </row>
    <row r="121" spans="2:6" hidden="1" x14ac:dyDescent="0.2">
      <c r="B121" s="841" t="s">
        <v>244</v>
      </c>
      <c r="C121" s="838" t="s">
        <v>245</v>
      </c>
      <c r="D121" s="448">
        <v>2161</v>
      </c>
      <c r="E121" s="446" t="s">
        <v>1338</v>
      </c>
      <c r="F121" s="842">
        <v>238000</v>
      </c>
    </row>
    <row r="122" spans="2:6" hidden="1" x14ac:dyDescent="0.2">
      <c r="B122" s="841" t="s">
        <v>247</v>
      </c>
      <c r="C122" s="838" t="s">
        <v>231</v>
      </c>
      <c r="D122" s="448">
        <v>4795</v>
      </c>
      <c r="E122" s="446" t="s">
        <v>398</v>
      </c>
      <c r="F122" s="842">
        <v>307000</v>
      </c>
    </row>
    <row r="123" spans="2:6" hidden="1" x14ac:dyDescent="0.2">
      <c r="B123" s="841" t="s">
        <v>247</v>
      </c>
      <c r="C123" s="838" t="s">
        <v>231</v>
      </c>
      <c r="D123" s="448">
        <v>4795</v>
      </c>
      <c r="E123" s="446" t="s">
        <v>248</v>
      </c>
      <c r="F123" s="842">
        <v>1047200</v>
      </c>
    </row>
    <row r="124" spans="2:6" hidden="1" x14ac:dyDescent="0.2">
      <c r="B124" s="841" t="s">
        <v>212</v>
      </c>
      <c r="C124" s="838" t="s">
        <v>1304</v>
      </c>
      <c r="D124" s="448">
        <v>31511</v>
      </c>
      <c r="E124" s="446" t="s">
        <v>251</v>
      </c>
      <c r="F124" s="842">
        <v>203409</v>
      </c>
    </row>
    <row r="125" spans="2:6" hidden="1" x14ac:dyDescent="0.2">
      <c r="B125" s="841" t="s">
        <v>212</v>
      </c>
      <c r="C125" s="838" t="s">
        <v>715</v>
      </c>
      <c r="D125" s="448">
        <v>2053</v>
      </c>
      <c r="E125" s="446" t="s">
        <v>1339</v>
      </c>
      <c r="F125" s="842">
        <v>337662</v>
      </c>
    </row>
    <row r="126" spans="2:6" hidden="1" x14ac:dyDescent="0.2">
      <c r="B126" s="841" t="s">
        <v>212</v>
      </c>
      <c r="C126" s="838" t="s">
        <v>717</v>
      </c>
      <c r="D126" s="448">
        <v>14844</v>
      </c>
      <c r="E126" s="446" t="s">
        <v>1340</v>
      </c>
      <c r="F126" s="842">
        <v>70210</v>
      </c>
    </row>
    <row r="127" spans="2:6" hidden="1" x14ac:dyDescent="0.2">
      <c r="B127" s="841" t="s">
        <v>215</v>
      </c>
      <c r="C127" s="838" t="s">
        <v>290</v>
      </c>
      <c r="D127" s="448">
        <v>179888</v>
      </c>
      <c r="E127" s="446" t="s">
        <v>1341</v>
      </c>
      <c r="F127" s="842">
        <v>89574</v>
      </c>
    </row>
    <row r="128" spans="2:6" hidden="1" x14ac:dyDescent="0.2">
      <c r="B128" s="841" t="s">
        <v>215</v>
      </c>
      <c r="C128" s="838" t="s">
        <v>715</v>
      </c>
      <c r="D128" s="448">
        <v>2053</v>
      </c>
      <c r="E128" s="446" t="s">
        <v>1342</v>
      </c>
      <c r="F128" s="842">
        <v>130900</v>
      </c>
    </row>
    <row r="129" spans="2:6" hidden="1" x14ac:dyDescent="0.2">
      <c r="B129" s="841" t="s">
        <v>264</v>
      </c>
      <c r="C129" s="838" t="s">
        <v>290</v>
      </c>
      <c r="D129" s="448">
        <v>179689</v>
      </c>
      <c r="E129" s="446" t="s">
        <v>1343</v>
      </c>
      <c r="F129" s="842">
        <v>26640</v>
      </c>
    </row>
    <row r="130" spans="2:6" hidden="1" x14ac:dyDescent="0.2">
      <c r="B130" s="841" t="s">
        <v>401</v>
      </c>
      <c r="C130" s="838" t="s">
        <v>428</v>
      </c>
      <c r="D130" s="448">
        <v>65655</v>
      </c>
      <c r="E130" s="446" t="s">
        <v>1344</v>
      </c>
      <c r="F130" s="842">
        <v>10000</v>
      </c>
    </row>
    <row r="131" spans="2:6" hidden="1" x14ac:dyDescent="0.2">
      <c r="B131" s="841" t="s">
        <v>292</v>
      </c>
      <c r="C131" s="838" t="s">
        <v>1345</v>
      </c>
      <c r="D131" s="448">
        <v>260792</v>
      </c>
      <c r="E131" s="446" t="s">
        <v>1346</v>
      </c>
      <c r="F131" s="842">
        <v>4500</v>
      </c>
    </row>
    <row r="132" spans="2:6" hidden="1" x14ac:dyDescent="0.2">
      <c r="B132" s="841" t="s">
        <v>295</v>
      </c>
      <c r="C132" s="838" t="s">
        <v>1347</v>
      </c>
      <c r="D132" s="448">
        <v>5324</v>
      </c>
      <c r="E132" s="446" t="s">
        <v>1348</v>
      </c>
      <c r="F132" s="842">
        <v>118000</v>
      </c>
    </row>
    <row r="133" spans="2:6" hidden="1" x14ac:dyDescent="0.2">
      <c r="B133" s="841" t="s">
        <v>295</v>
      </c>
      <c r="C133" s="838" t="s">
        <v>1347</v>
      </c>
      <c r="D133" s="448">
        <v>5324</v>
      </c>
      <c r="E133" s="446" t="s">
        <v>1349</v>
      </c>
      <c r="F133" s="842">
        <v>170000</v>
      </c>
    </row>
    <row r="134" spans="2:6" hidden="1" x14ac:dyDescent="0.2">
      <c r="B134" s="841" t="s">
        <v>1186</v>
      </c>
      <c r="C134" s="838" t="s">
        <v>375</v>
      </c>
      <c r="D134" s="448">
        <v>37738</v>
      </c>
      <c r="E134" s="446" t="s">
        <v>1350</v>
      </c>
      <c r="F134" s="842">
        <v>55250</v>
      </c>
    </row>
    <row r="135" spans="2:6" hidden="1" x14ac:dyDescent="0.2">
      <c r="B135" s="841" t="s">
        <v>1189</v>
      </c>
      <c r="C135" s="838" t="s">
        <v>767</v>
      </c>
      <c r="D135" s="448">
        <v>16695</v>
      </c>
      <c r="E135" s="446" t="s">
        <v>1351</v>
      </c>
      <c r="F135" s="842">
        <v>46000</v>
      </c>
    </row>
    <row r="136" spans="2:6" hidden="1" x14ac:dyDescent="0.2">
      <c r="B136" s="841" t="s">
        <v>1189</v>
      </c>
      <c r="C136" s="838" t="s">
        <v>764</v>
      </c>
      <c r="D136" s="448">
        <v>107924</v>
      </c>
      <c r="E136" s="446" t="s">
        <v>1352</v>
      </c>
      <c r="F136" s="842">
        <v>17700</v>
      </c>
    </row>
    <row r="137" spans="2:6" hidden="1" x14ac:dyDescent="0.2">
      <c r="B137" s="841" t="s">
        <v>1189</v>
      </c>
      <c r="C137" s="838" t="s">
        <v>1353</v>
      </c>
      <c r="D137" s="448">
        <v>5629</v>
      </c>
      <c r="E137" s="446" t="s">
        <v>1354</v>
      </c>
      <c r="F137" s="842">
        <v>274950</v>
      </c>
    </row>
    <row r="138" spans="2:6" hidden="1" x14ac:dyDescent="0.2">
      <c r="B138" s="841" t="s">
        <v>217</v>
      </c>
      <c r="C138" s="838" t="s">
        <v>266</v>
      </c>
      <c r="D138" s="448">
        <v>32025</v>
      </c>
      <c r="E138" s="446" t="s">
        <v>405</v>
      </c>
      <c r="F138" s="842">
        <v>287015</v>
      </c>
    </row>
    <row r="139" spans="2:6" hidden="1" x14ac:dyDescent="0.2">
      <c r="B139" s="841" t="s">
        <v>302</v>
      </c>
      <c r="C139" s="838" t="s">
        <v>303</v>
      </c>
      <c r="D139" s="448">
        <v>32025</v>
      </c>
      <c r="E139" s="446" t="s">
        <v>304</v>
      </c>
      <c r="F139" s="842">
        <v>95545.1</v>
      </c>
    </row>
    <row r="140" spans="2:6" hidden="1" x14ac:dyDescent="0.2">
      <c r="B140" s="841" t="s">
        <v>305</v>
      </c>
      <c r="C140" s="838" t="s">
        <v>303</v>
      </c>
      <c r="D140" s="448">
        <v>32025</v>
      </c>
      <c r="E140" s="446" t="s">
        <v>272</v>
      </c>
      <c r="F140" s="842">
        <v>14200</v>
      </c>
    </row>
    <row r="141" spans="2:6" hidden="1" x14ac:dyDescent="0.2">
      <c r="B141" s="841" t="s">
        <v>305</v>
      </c>
      <c r="C141" s="838" t="s">
        <v>303</v>
      </c>
      <c r="D141" s="448">
        <v>32025</v>
      </c>
      <c r="E141" s="446" t="s">
        <v>306</v>
      </c>
      <c r="F141" s="842">
        <v>86858</v>
      </c>
    </row>
    <row r="142" spans="2:6" hidden="1" x14ac:dyDescent="0.2">
      <c r="B142" s="841" t="s">
        <v>1205</v>
      </c>
      <c r="C142" s="838" t="s">
        <v>1353</v>
      </c>
      <c r="D142" s="448">
        <v>5629</v>
      </c>
      <c r="E142" s="446" t="s">
        <v>1355</v>
      </c>
      <c r="F142" s="842">
        <v>1227</v>
      </c>
    </row>
    <row r="143" spans="2:6" hidden="1" x14ac:dyDescent="0.2">
      <c r="B143" s="843"/>
      <c r="C143" s="844"/>
      <c r="D143" s="845"/>
      <c r="E143" s="846" t="s">
        <v>1356</v>
      </c>
      <c r="F143" s="847">
        <f>SUM(F93:F142)</f>
        <v>29124953.100000001</v>
      </c>
    </row>
    <row r="144" spans="2:6" x14ac:dyDescent="0.2">
      <c r="B144" s="123"/>
      <c r="F144" s="848"/>
    </row>
    <row r="145" spans="2:6" ht="10.5" x14ac:dyDescent="0.25">
      <c r="B145" s="849" t="s">
        <v>460</v>
      </c>
      <c r="C145" s="850" t="s">
        <v>462</v>
      </c>
      <c r="D145" s="851" t="s">
        <v>463</v>
      </c>
      <c r="E145" s="852" t="s">
        <v>970</v>
      </c>
      <c r="F145" s="848"/>
    </row>
    <row r="146" spans="2:6" x14ac:dyDescent="0.2">
      <c r="B146" s="853" t="s">
        <v>354</v>
      </c>
      <c r="C146" s="854">
        <v>42025</v>
      </c>
      <c r="D146" s="853" t="s">
        <v>1357</v>
      </c>
      <c r="E146" s="156">
        <v>534352</v>
      </c>
      <c r="F146" s="848"/>
    </row>
    <row r="147" spans="2:6" x14ac:dyDescent="0.2">
      <c r="B147" s="853" t="s">
        <v>357</v>
      </c>
      <c r="C147" s="854">
        <v>42025</v>
      </c>
      <c r="D147" s="853" t="s">
        <v>524</v>
      </c>
      <c r="E147" s="156">
        <v>1486277</v>
      </c>
      <c r="F147" s="848"/>
    </row>
    <row r="148" spans="2:6" x14ac:dyDescent="0.2">
      <c r="B148" s="853" t="s">
        <v>360</v>
      </c>
      <c r="C148" s="854">
        <v>3979</v>
      </c>
      <c r="D148" s="853" t="s">
        <v>362</v>
      </c>
      <c r="E148" s="156">
        <v>13136494</v>
      </c>
      <c r="F148" s="848"/>
    </row>
    <row r="149" spans="2:6" x14ac:dyDescent="0.2">
      <c r="B149" s="853" t="s">
        <v>363</v>
      </c>
      <c r="C149" s="854">
        <v>3982</v>
      </c>
      <c r="D149" s="853" t="s">
        <v>365</v>
      </c>
      <c r="E149" s="156">
        <v>2766619</v>
      </c>
      <c r="F149" s="848"/>
    </row>
    <row r="150" spans="2:6" x14ac:dyDescent="0.2">
      <c r="B150" s="853" t="s">
        <v>366</v>
      </c>
      <c r="C150" s="854">
        <v>3972</v>
      </c>
      <c r="D150" s="853" t="s">
        <v>368</v>
      </c>
      <c r="E150" s="156">
        <v>56070</v>
      </c>
      <c r="F150" s="848"/>
    </row>
    <row r="151" spans="2:6" x14ac:dyDescent="0.2">
      <c r="B151" s="853" t="s">
        <v>369</v>
      </c>
      <c r="C151" s="854">
        <v>3985</v>
      </c>
      <c r="D151" s="853" t="s">
        <v>1358</v>
      </c>
      <c r="E151" s="156">
        <v>2566487</v>
      </c>
      <c r="F151" s="848"/>
    </row>
    <row r="152" spans="2:6" x14ac:dyDescent="0.2">
      <c r="B152" s="853" t="s">
        <v>369</v>
      </c>
      <c r="C152" s="854">
        <v>3985</v>
      </c>
      <c r="D152" s="853" t="s">
        <v>1359</v>
      </c>
      <c r="E152" s="156">
        <v>445728</v>
      </c>
      <c r="F152" s="848"/>
    </row>
    <row r="153" spans="2:6" x14ac:dyDescent="0.2">
      <c r="B153" s="853" t="s">
        <v>369</v>
      </c>
      <c r="C153" s="854">
        <v>3985</v>
      </c>
      <c r="D153" s="853" t="s">
        <v>1360</v>
      </c>
      <c r="E153" s="156">
        <v>222864</v>
      </c>
      <c r="F153" s="848"/>
    </row>
    <row r="154" spans="2:6" x14ac:dyDescent="0.2">
      <c r="B154" s="853" t="s">
        <v>371</v>
      </c>
      <c r="C154" s="854">
        <v>3981</v>
      </c>
      <c r="D154" s="853" t="s">
        <v>1361</v>
      </c>
      <c r="E154" s="156">
        <v>50344</v>
      </c>
      <c r="F154" s="848"/>
    </row>
    <row r="155" spans="2:6" x14ac:dyDescent="0.2">
      <c r="B155" s="853" t="s">
        <v>374</v>
      </c>
      <c r="C155" s="854">
        <v>3990</v>
      </c>
      <c r="D155" s="853" t="s">
        <v>1362</v>
      </c>
      <c r="E155" s="156">
        <v>20553</v>
      </c>
      <c r="F155" s="848"/>
    </row>
    <row r="156" spans="2:6" x14ac:dyDescent="0.2">
      <c r="B156" s="853" t="s">
        <v>374</v>
      </c>
      <c r="C156" s="854">
        <v>3973</v>
      </c>
      <c r="D156" s="853" t="s">
        <v>534</v>
      </c>
      <c r="E156" s="156">
        <v>16736</v>
      </c>
      <c r="F156" s="848"/>
    </row>
    <row r="157" spans="2:6" x14ac:dyDescent="0.2">
      <c r="B157" s="853" t="s">
        <v>374</v>
      </c>
      <c r="C157" s="854">
        <v>3973</v>
      </c>
      <c r="D157" s="853" t="s">
        <v>534</v>
      </c>
      <c r="E157" s="156">
        <v>9350</v>
      </c>
      <c r="F157" s="848"/>
    </row>
    <row r="158" spans="2:6" x14ac:dyDescent="0.2">
      <c r="B158" s="853" t="s">
        <v>374</v>
      </c>
      <c r="C158" s="854">
        <v>3975</v>
      </c>
      <c r="D158" s="853" t="s">
        <v>1363</v>
      </c>
      <c r="E158" s="156">
        <v>93028</v>
      </c>
      <c r="F158" s="848"/>
    </row>
    <row r="159" spans="2:6" x14ac:dyDescent="0.2">
      <c r="B159" s="853" t="s">
        <v>374</v>
      </c>
      <c r="C159" s="854">
        <v>3975</v>
      </c>
      <c r="D159" s="853" t="s">
        <v>1364</v>
      </c>
      <c r="E159" s="156">
        <v>66077</v>
      </c>
      <c r="F159" s="848"/>
    </row>
    <row r="160" spans="2:6" x14ac:dyDescent="0.2">
      <c r="B160" s="853" t="s">
        <v>381</v>
      </c>
      <c r="C160" s="854">
        <v>3972</v>
      </c>
      <c r="D160" s="853" t="s">
        <v>1365</v>
      </c>
      <c r="E160" s="156">
        <v>1789089</v>
      </c>
      <c r="F160" s="848"/>
    </row>
    <row r="161" spans="2:6" x14ac:dyDescent="0.2">
      <c r="B161" s="853" t="s">
        <v>381</v>
      </c>
      <c r="C161" s="854">
        <v>3973</v>
      </c>
      <c r="D161" s="853" t="s">
        <v>1366</v>
      </c>
      <c r="E161" s="156">
        <v>527988</v>
      </c>
      <c r="F161" s="848"/>
    </row>
    <row r="162" spans="2:6" x14ac:dyDescent="0.2">
      <c r="B162" s="853" t="s">
        <v>381</v>
      </c>
      <c r="C162" s="854">
        <v>3974</v>
      </c>
      <c r="D162" s="853" t="s">
        <v>1367</v>
      </c>
      <c r="E162" s="156">
        <v>323784</v>
      </c>
      <c r="F162" s="848"/>
    </row>
    <row r="163" spans="2:6" x14ac:dyDescent="0.2">
      <c r="B163" s="853" t="s">
        <v>385</v>
      </c>
      <c r="C163" s="854">
        <v>3978</v>
      </c>
      <c r="D163" s="853" t="s">
        <v>387</v>
      </c>
      <c r="E163" s="156">
        <v>100988</v>
      </c>
      <c r="F163" s="848"/>
    </row>
    <row r="164" spans="2:6" x14ac:dyDescent="0.2">
      <c r="B164" s="853" t="s">
        <v>277</v>
      </c>
      <c r="C164" s="854">
        <v>3986</v>
      </c>
      <c r="D164" s="853" t="s">
        <v>1368</v>
      </c>
      <c r="E164" s="156">
        <v>100000</v>
      </c>
      <c r="F164" s="848"/>
    </row>
    <row r="165" spans="2:6" x14ac:dyDescent="0.2">
      <c r="B165" s="853" t="s">
        <v>277</v>
      </c>
      <c r="C165" s="854">
        <v>3986</v>
      </c>
      <c r="D165" s="853" t="s">
        <v>1369</v>
      </c>
      <c r="E165" s="156">
        <v>16600</v>
      </c>
      <c r="F165" s="848"/>
    </row>
    <row r="166" spans="2:6" x14ac:dyDescent="0.2">
      <c r="B166" s="853" t="s">
        <v>277</v>
      </c>
      <c r="C166" s="854">
        <v>3964</v>
      </c>
      <c r="D166" s="853" t="s">
        <v>1370</v>
      </c>
      <c r="E166" s="156">
        <v>30000</v>
      </c>
      <c r="F166" s="848"/>
    </row>
    <row r="167" spans="2:6" x14ac:dyDescent="0.2">
      <c r="B167" s="853" t="s">
        <v>277</v>
      </c>
      <c r="C167" s="854">
        <v>3965</v>
      </c>
      <c r="D167" s="853" t="s">
        <v>1370</v>
      </c>
      <c r="E167" s="156">
        <v>30000</v>
      </c>
      <c r="F167" s="848"/>
    </row>
    <row r="168" spans="2:6" x14ac:dyDescent="0.2">
      <c r="B168" s="853" t="s">
        <v>277</v>
      </c>
      <c r="C168" s="854">
        <v>3986</v>
      </c>
      <c r="D168" s="853" t="s">
        <v>1369</v>
      </c>
      <c r="E168" s="156">
        <v>70000</v>
      </c>
      <c r="F168" s="848"/>
    </row>
    <row r="169" spans="2:6" x14ac:dyDescent="0.2">
      <c r="B169" s="853" t="s">
        <v>277</v>
      </c>
      <c r="C169" s="854">
        <v>3983</v>
      </c>
      <c r="D169" s="853" t="s">
        <v>1371</v>
      </c>
      <c r="E169" s="156">
        <v>92225</v>
      </c>
      <c r="F169" s="848"/>
    </row>
    <row r="170" spans="2:6" x14ac:dyDescent="0.2">
      <c r="B170" s="853" t="s">
        <v>210</v>
      </c>
      <c r="C170" s="854">
        <v>3984</v>
      </c>
      <c r="D170" s="853" t="s">
        <v>1280</v>
      </c>
      <c r="E170" s="156">
        <v>111750</v>
      </c>
      <c r="F170" s="848"/>
    </row>
    <row r="171" spans="2:6" x14ac:dyDescent="0.2">
      <c r="B171" s="853" t="s">
        <v>247</v>
      </c>
      <c r="C171" s="854">
        <v>3988</v>
      </c>
      <c r="D171" s="853" t="s">
        <v>398</v>
      </c>
      <c r="E171" s="156">
        <v>307000</v>
      </c>
      <c r="F171" s="848"/>
    </row>
    <row r="172" spans="2:6" x14ac:dyDescent="0.2">
      <c r="B172" s="853" t="s">
        <v>247</v>
      </c>
      <c r="C172" s="854">
        <v>3988</v>
      </c>
      <c r="D172" s="853" t="s">
        <v>248</v>
      </c>
      <c r="E172" s="156">
        <v>1047200</v>
      </c>
      <c r="F172" s="848"/>
    </row>
    <row r="173" spans="2:6" x14ac:dyDescent="0.2">
      <c r="B173" s="853" t="s">
        <v>212</v>
      </c>
      <c r="C173" s="854">
        <v>32092</v>
      </c>
      <c r="D173" s="853" t="s">
        <v>1372</v>
      </c>
      <c r="E173" s="156">
        <v>203409</v>
      </c>
      <c r="F173" s="848"/>
    </row>
    <row r="174" spans="2:6" x14ac:dyDescent="0.2">
      <c r="B174" s="853" t="s">
        <v>215</v>
      </c>
      <c r="C174" s="854">
        <v>3971</v>
      </c>
      <c r="D174" s="853" t="s">
        <v>1373</v>
      </c>
      <c r="E174" s="156">
        <v>101400</v>
      </c>
      <c r="F174" s="848"/>
    </row>
    <row r="175" spans="2:6" x14ac:dyDescent="0.2">
      <c r="B175" s="853" t="s">
        <v>215</v>
      </c>
      <c r="C175" s="854">
        <v>3963</v>
      </c>
      <c r="D175" s="853" t="s">
        <v>1373</v>
      </c>
      <c r="E175" s="156">
        <v>18210</v>
      </c>
      <c r="F175" s="848"/>
    </row>
    <row r="176" spans="2:6" x14ac:dyDescent="0.2">
      <c r="B176" s="853" t="s">
        <v>215</v>
      </c>
      <c r="C176" s="854">
        <v>3963</v>
      </c>
      <c r="D176" s="853" t="s">
        <v>1373</v>
      </c>
      <c r="E176" s="156">
        <v>55500</v>
      </c>
      <c r="F176" s="848"/>
    </row>
    <row r="177" spans="2:6" x14ac:dyDescent="0.2">
      <c r="B177" s="853" t="s">
        <v>264</v>
      </c>
      <c r="C177" s="854">
        <v>3970</v>
      </c>
      <c r="D177" s="853" t="s">
        <v>1374</v>
      </c>
      <c r="E177" s="156">
        <v>4390</v>
      </c>
      <c r="F177" s="848"/>
    </row>
    <row r="178" spans="2:6" x14ac:dyDescent="0.2">
      <c r="B178" s="853" t="s">
        <v>401</v>
      </c>
      <c r="C178" s="854">
        <v>3987</v>
      </c>
      <c r="D178" s="853" t="s">
        <v>1375</v>
      </c>
      <c r="E178" s="156">
        <v>10000</v>
      </c>
      <c r="F178" s="848"/>
    </row>
    <row r="179" spans="2:6" x14ac:dyDescent="0.2">
      <c r="B179" s="853" t="s">
        <v>295</v>
      </c>
      <c r="C179" s="854">
        <v>3977</v>
      </c>
      <c r="D179" s="853" t="s">
        <v>1376</v>
      </c>
      <c r="E179" s="156">
        <v>50000</v>
      </c>
      <c r="F179" s="848"/>
    </row>
    <row r="180" spans="2:6" x14ac:dyDescent="0.2">
      <c r="B180" s="853" t="s">
        <v>432</v>
      </c>
      <c r="C180" s="854">
        <v>3983</v>
      </c>
      <c r="D180" s="853" t="s">
        <v>1377</v>
      </c>
      <c r="E180" s="156">
        <v>5</v>
      </c>
      <c r="F180" s="848"/>
    </row>
    <row r="181" spans="2:6" x14ac:dyDescent="0.2">
      <c r="B181" s="853" t="s">
        <v>217</v>
      </c>
      <c r="C181" s="854">
        <v>42025</v>
      </c>
      <c r="D181" s="853" t="s">
        <v>405</v>
      </c>
      <c r="E181" s="156">
        <v>328376</v>
      </c>
      <c r="F181" s="848"/>
    </row>
    <row r="182" spans="2:6" x14ac:dyDescent="0.2">
      <c r="B182" s="853" t="s">
        <v>302</v>
      </c>
      <c r="C182" s="854">
        <v>42025</v>
      </c>
      <c r="D182" s="853" t="s">
        <v>304</v>
      </c>
      <c r="E182" s="156">
        <v>78647.100000000006</v>
      </c>
      <c r="F182" s="848"/>
    </row>
    <row r="183" spans="2:6" x14ac:dyDescent="0.2">
      <c r="B183" s="853" t="s">
        <v>305</v>
      </c>
      <c r="C183" s="854">
        <v>42025</v>
      </c>
      <c r="D183" s="853" t="s">
        <v>272</v>
      </c>
      <c r="E183" s="156">
        <v>14200</v>
      </c>
      <c r="F183" s="848"/>
    </row>
    <row r="184" spans="2:6" x14ac:dyDescent="0.2">
      <c r="B184" s="853" t="s">
        <v>305</v>
      </c>
      <c r="C184" s="854">
        <v>42025</v>
      </c>
      <c r="D184" s="853" t="s">
        <v>306</v>
      </c>
      <c r="E184" s="156">
        <v>86858</v>
      </c>
      <c r="F184" s="848"/>
    </row>
    <row r="185" spans="2:6" ht="13" x14ac:dyDescent="0.3">
      <c r="B185" s="855"/>
      <c r="C185" s="856"/>
      <c r="D185" s="857"/>
      <c r="E185" s="858">
        <f>SUM(E146:E184)</f>
        <v>26968598.100000001</v>
      </c>
      <c r="F185" s="859"/>
    </row>
  </sheetData>
  <mergeCells count="6">
    <mergeCell ref="B48:F48"/>
    <mergeCell ref="B49:F49"/>
    <mergeCell ref="B90:F90"/>
    <mergeCell ref="B91:F91"/>
    <mergeCell ref="B1:F1"/>
    <mergeCell ref="B2:F2"/>
  </mergeCells>
  <printOptions horizontalCentered="1"/>
  <pageMargins left="0" right="0" top="0" bottom="0" header="0.31496062992125984" footer="0.31496062992125984"/>
  <pageSetup scale="60"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8DC60-1D1B-48BE-AF1D-4EB2F38282CD}">
  <sheetPr>
    <tabColor rgb="FF7030A0"/>
    <pageSetUpPr fitToPage="1"/>
  </sheetPr>
  <dimension ref="B2:G62"/>
  <sheetViews>
    <sheetView topLeftCell="A28" workbookViewId="0">
      <selection activeCell="I28" sqref="I28"/>
    </sheetView>
  </sheetViews>
  <sheetFormatPr baseColWidth="10" defaultRowHeight="12.5" x14ac:dyDescent="0.25"/>
  <cols>
    <col min="1" max="1" width="3.7265625" customWidth="1"/>
    <col min="2" max="2" width="11.453125" style="2" hidden="1" customWidth="1"/>
    <col min="3" max="3" width="31.453125" customWidth="1"/>
    <col min="4" max="4" width="12.54296875" customWidth="1"/>
    <col min="5" max="5" width="15.54296875" style="18" customWidth="1"/>
    <col min="6" max="6" width="13.26953125" style="42" bestFit="1" customWidth="1"/>
  </cols>
  <sheetData>
    <row r="2" spans="2:7" x14ac:dyDescent="0.25">
      <c r="C2" s="1796" t="s">
        <v>218</v>
      </c>
      <c r="D2" s="1797"/>
      <c r="E2" s="1797"/>
      <c r="F2" s="1798"/>
      <c r="G2" s="39"/>
    </row>
    <row r="3" spans="2:7" ht="14.5" x14ac:dyDescent="0.35">
      <c r="C3" s="1793" t="s">
        <v>502</v>
      </c>
      <c r="D3" s="1794"/>
      <c r="E3" s="1794"/>
      <c r="F3" s="1795"/>
      <c r="G3" s="24"/>
    </row>
    <row r="4" spans="2:7" x14ac:dyDescent="0.25">
      <c r="C4" s="290"/>
      <c r="D4" s="291"/>
      <c r="E4" s="292"/>
      <c r="F4" s="293"/>
    </row>
    <row r="5" spans="2:7" x14ac:dyDescent="0.25">
      <c r="C5" s="294" t="s">
        <v>503</v>
      </c>
      <c r="D5" s="295"/>
      <c r="E5" s="296"/>
      <c r="F5" s="297">
        <f>+'ESFA abril 2025'!E11+'ESFA abril 2025'!E17</f>
        <v>16632365.949999999</v>
      </c>
    </row>
    <row r="6" spans="2:7" s="25" customFormat="1" x14ac:dyDescent="0.25">
      <c r="B6" s="27"/>
      <c r="C6" s="298" t="s">
        <v>41</v>
      </c>
      <c r="D6" s="299"/>
      <c r="E6" s="300"/>
      <c r="F6" s="301"/>
    </row>
    <row r="7" spans="2:7" x14ac:dyDescent="0.25">
      <c r="C7" s="302" t="s">
        <v>42</v>
      </c>
      <c r="D7" s="289" t="s">
        <v>505</v>
      </c>
      <c r="E7" s="303" t="s">
        <v>33</v>
      </c>
      <c r="F7" s="304">
        <v>42941597</v>
      </c>
    </row>
    <row r="8" spans="2:7" ht="13" x14ac:dyDescent="0.3">
      <c r="C8" s="305" t="s">
        <v>228</v>
      </c>
      <c r="D8" s="306"/>
      <c r="E8" s="307"/>
      <c r="F8" s="308">
        <f>SUM(E9:E10)</f>
        <v>0</v>
      </c>
    </row>
    <row r="9" spans="2:7" x14ac:dyDescent="0.25">
      <c r="C9" s="302" t="s">
        <v>504</v>
      </c>
      <c r="D9" s="289"/>
      <c r="E9" s="309">
        <f>+'ESTAD RESULT graf abr'!M59</f>
        <v>0</v>
      </c>
      <c r="F9" s="310"/>
    </row>
    <row r="10" spans="2:7" x14ac:dyDescent="0.25">
      <c r="C10" s="302" t="s">
        <v>33</v>
      </c>
      <c r="D10" s="289"/>
      <c r="E10" s="309" t="s">
        <v>33</v>
      </c>
      <c r="F10" s="304"/>
    </row>
    <row r="11" spans="2:7" x14ac:dyDescent="0.25">
      <c r="C11" s="302"/>
      <c r="D11" s="289"/>
      <c r="E11" s="309"/>
      <c r="F11" s="304"/>
    </row>
    <row r="12" spans="2:7" x14ac:dyDescent="0.25">
      <c r="C12" s="298" t="s">
        <v>52</v>
      </c>
      <c r="D12" s="289"/>
      <c r="E12" s="309"/>
      <c r="F12" s="297">
        <f>SUM(F5:F11)</f>
        <v>59573962.950000003</v>
      </c>
    </row>
    <row r="13" spans="2:7" x14ac:dyDescent="0.25">
      <c r="B13" s="12"/>
      <c r="C13" s="298" t="s">
        <v>51</v>
      </c>
      <c r="D13" s="299" t="s">
        <v>43</v>
      </c>
      <c r="E13" s="330" t="s">
        <v>31</v>
      </c>
      <c r="F13" s="304"/>
    </row>
    <row r="14" spans="2:7" x14ac:dyDescent="0.25">
      <c r="C14" s="302" t="s">
        <v>49</v>
      </c>
      <c r="D14" s="311"/>
      <c r="E14" s="309"/>
      <c r="F14" s="304"/>
    </row>
    <row r="15" spans="2:7" x14ac:dyDescent="0.25">
      <c r="C15" s="302" t="s">
        <v>506</v>
      </c>
      <c r="D15" s="331" t="s">
        <v>517</v>
      </c>
      <c r="E15" s="312">
        <v>280000</v>
      </c>
      <c r="F15" s="304"/>
    </row>
    <row r="16" spans="2:7" x14ac:dyDescent="0.25">
      <c r="C16" s="302" t="s">
        <v>493</v>
      </c>
      <c r="D16" s="309">
        <v>3711</v>
      </c>
      <c r="E16" s="312">
        <v>47000</v>
      </c>
      <c r="F16" s="304"/>
    </row>
    <row r="17" spans="3:6" x14ac:dyDescent="0.25">
      <c r="C17" s="302" t="s">
        <v>493</v>
      </c>
      <c r="D17" s="309">
        <v>3712</v>
      </c>
      <c r="E17" s="312">
        <v>550800</v>
      </c>
      <c r="F17" s="304" t="s">
        <v>33</v>
      </c>
    </row>
    <row r="18" spans="3:6" x14ac:dyDescent="0.25">
      <c r="C18" s="302" t="s">
        <v>493</v>
      </c>
      <c r="D18" s="309">
        <v>3713</v>
      </c>
      <c r="E18" s="312">
        <v>149200</v>
      </c>
      <c r="F18" s="304"/>
    </row>
    <row r="19" spans="3:6" x14ac:dyDescent="0.25">
      <c r="C19" s="302" t="s">
        <v>493</v>
      </c>
      <c r="D19" s="309">
        <v>3714</v>
      </c>
      <c r="E19" s="312">
        <v>23100</v>
      </c>
      <c r="F19" s="304"/>
    </row>
    <row r="20" spans="3:6" x14ac:dyDescent="0.25">
      <c r="C20" s="302" t="s">
        <v>506</v>
      </c>
      <c r="D20" s="309">
        <v>3715</v>
      </c>
      <c r="E20" s="312">
        <v>500000</v>
      </c>
      <c r="F20" s="304"/>
    </row>
    <row r="21" spans="3:6" x14ac:dyDescent="0.25">
      <c r="C21" s="302" t="s">
        <v>493</v>
      </c>
      <c r="D21" s="309">
        <v>3716</v>
      </c>
      <c r="E21" s="312">
        <v>396300</v>
      </c>
      <c r="F21" s="304"/>
    </row>
    <row r="22" spans="3:6" x14ac:dyDescent="0.25">
      <c r="C22" s="302" t="s">
        <v>493</v>
      </c>
      <c r="D22" s="309">
        <v>3717</v>
      </c>
      <c r="E22" s="312">
        <v>31500</v>
      </c>
      <c r="F22" s="304"/>
    </row>
    <row r="23" spans="3:6" x14ac:dyDescent="0.25">
      <c r="C23" s="302" t="s">
        <v>507</v>
      </c>
      <c r="D23" s="309">
        <v>3718</v>
      </c>
      <c r="E23" s="312">
        <v>151802</v>
      </c>
      <c r="F23" s="304"/>
    </row>
    <row r="24" spans="3:6" x14ac:dyDescent="0.25">
      <c r="C24" s="302" t="s">
        <v>493</v>
      </c>
      <c r="D24" s="309">
        <v>3719</v>
      </c>
      <c r="E24" s="312">
        <v>234249</v>
      </c>
      <c r="F24" s="304"/>
    </row>
    <row r="25" spans="3:6" x14ac:dyDescent="0.25">
      <c r="C25" s="302" t="s">
        <v>508</v>
      </c>
      <c r="D25" s="309">
        <v>3720</v>
      </c>
      <c r="E25" s="312">
        <v>1039584</v>
      </c>
      <c r="F25" s="304"/>
    </row>
    <row r="26" spans="3:6" x14ac:dyDescent="0.25">
      <c r="C26" s="302" t="s">
        <v>506</v>
      </c>
      <c r="D26" s="309">
        <v>3721</v>
      </c>
      <c r="E26" s="312">
        <v>1118400</v>
      </c>
      <c r="F26" s="304"/>
    </row>
    <row r="27" spans="3:6" x14ac:dyDescent="0.25">
      <c r="C27" s="302" t="s">
        <v>506</v>
      </c>
      <c r="D27" s="309">
        <v>3722</v>
      </c>
      <c r="E27" s="312">
        <v>500000</v>
      </c>
      <c r="F27" s="304"/>
    </row>
    <row r="28" spans="3:6" x14ac:dyDescent="0.25">
      <c r="C28" s="302" t="s">
        <v>156</v>
      </c>
      <c r="D28" s="309">
        <v>3723</v>
      </c>
      <c r="E28" s="312">
        <v>99000</v>
      </c>
      <c r="F28" s="304"/>
    </row>
    <row r="29" spans="3:6" x14ac:dyDescent="0.25">
      <c r="C29" s="302" t="s">
        <v>509</v>
      </c>
      <c r="D29" s="309">
        <v>3724</v>
      </c>
      <c r="E29" s="312">
        <v>245600</v>
      </c>
      <c r="F29" s="304"/>
    </row>
    <row r="30" spans="3:6" x14ac:dyDescent="0.25">
      <c r="C30" s="302" t="s">
        <v>157</v>
      </c>
      <c r="D30" s="309">
        <v>3725</v>
      </c>
      <c r="E30" s="312">
        <v>11745273</v>
      </c>
      <c r="F30" s="304"/>
    </row>
    <row r="31" spans="3:6" x14ac:dyDescent="0.25">
      <c r="C31" s="302" t="s">
        <v>158</v>
      </c>
      <c r="D31" s="309">
        <v>3726</v>
      </c>
      <c r="E31" s="312">
        <v>96017</v>
      </c>
      <c r="F31" s="304"/>
    </row>
    <row r="32" spans="3:6" x14ac:dyDescent="0.25">
      <c r="C32" s="302" t="s">
        <v>510</v>
      </c>
      <c r="D32" s="309">
        <v>3727</v>
      </c>
      <c r="E32" s="312">
        <v>1740361</v>
      </c>
      <c r="F32" s="304"/>
    </row>
    <row r="33" spans="3:6" x14ac:dyDescent="0.25">
      <c r="C33" s="302" t="s">
        <v>510</v>
      </c>
      <c r="D33" s="309">
        <v>3728</v>
      </c>
      <c r="E33" s="312">
        <v>476662</v>
      </c>
      <c r="F33" s="304"/>
    </row>
    <row r="34" spans="3:6" x14ac:dyDescent="0.25">
      <c r="C34" s="302" t="s">
        <v>510</v>
      </c>
      <c r="D34" s="309">
        <v>3729</v>
      </c>
      <c r="E34" s="312">
        <v>293595</v>
      </c>
      <c r="F34" s="304"/>
    </row>
    <row r="35" spans="3:6" x14ac:dyDescent="0.25">
      <c r="C35" s="302" t="s">
        <v>510</v>
      </c>
      <c r="D35" s="309">
        <v>3730</v>
      </c>
      <c r="E35" s="312">
        <v>25238</v>
      </c>
      <c r="F35" s="304"/>
    </row>
    <row r="36" spans="3:6" x14ac:dyDescent="0.25">
      <c r="C36" s="302" t="s">
        <v>494</v>
      </c>
      <c r="D36" s="309">
        <v>3731</v>
      </c>
      <c r="E36" s="312">
        <v>1192899</v>
      </c>
      <c r="F36" s="304"/>
    </row>
    <row r="37" spans="3:6" x14ac:dyDescent="0.25">
      <c r="C37" s="302" t="s">
        <v>496</v>
      </c>
      <c r="D37" s="309">
        <v>3732</v>
      </c>
      <c r="E37" s="312">
        <v>104716</v>
      </c>
      <c r="F37" s="297" t="s">
        <v>33</v>
      </c>
    </row>
    <row r="38" spans="3:6" x14ac:dyDescent="0.25">
      <c r="C38" s="302" t="s">
        <v>495</v>
      </c>
      <c r="D38" s="309">
        <v>3733</v>
      </c>
      <c r="E38" s="312">
        <v>596914</v>
      </c>
      <c r="F38" s="297"/>
    </row>
    <row r="39" spans="3:6" x14ac:dyDescent="0.25">
      <c r="C39" s="302" t="s">
        <v>271</v>
      </c>
      <c r="D39" s="309">
        <v>3734</v>
      </c>
      <c r="E39" s="312">
        <v>2483210</v>
      </c>
      <c r="F39" s="297"/>
    </row>
    <row r="40" spans="3:6" x14ac:dyDescent="0.25">
      <c r="C40" s="302" t="s">
        <v>511</v>
      </c>
      <c r="D40" s="309">
        <v>3735</v>
      </c>
      <c r="E40" s="312">
        <v>225000</v>
      </c>
      <c r="F40" s="297"/>
    </row>
    <row r="41" spans="3:6" x14ac:dyDescent="0.25">
      <c r="C41" s="302" t="s">
        <v>162</v>
      </c>
      <c r="D41" s="309">
        <v>3736</v>
      </c>
      <c r="E41" s="312">
        <v>488080</v>
      </c>
      <c r="F41" s="297"/>
    </row>
    <row r="42" spans="3:6" x14ac:dyDescent="0.25">
      <c r="C42" s="302" t="s">
        <v>159</v>
      </c>
      <c r="D42" s="309">
        <v>3737</v>
      </c>
      <c r="E42" s="312">
        <v>45965</v>
      </c>
      <c r="F42" s="297"/>
    </row>
    <row r="43" spans="3:6" x14ac:dyDescent="0.25">
      <c r="C43" s="302" t="s">
        <v>512</v>
      </c>
      <c r="D43" s="309">
        <v>3738</v>
      </c>
      <c r="E43" s="312">
        <v>10900</v>
      </c>
      <c r="F43" s="297"/>
    </row>
    <row r="44" spans="3:6" x14ac:dyDescent="0.25">
      <c r="C44" s="302" t="s">
        <v>494</v>
      </c>
      <c r="D44" s="309">
        <v>3739</v>
      </c>
      <c r="E44" s="312">
        <v>3882800</v>
      </c>
      <c r="F44" s="297"/>
    </row>
    <row r="45" spans="3:6" x14ac:dyDescent="0.25">
      <c r="C45" s="302" t="s">
        <v>161</v>
      </c>
      <c r="D45" s="309">
        <v>3740</v>
      </c>
      <c r="E45" s="312">
        <v>2327478</v>
      </c>
      <c r="F45" s="297"/>
    </row>
    <row r="46" spans="3:6" x14ac:dyDescent="0.25">
      <c r="C46" s="302" t="s">
        <v>160</v>
      </c>
      <c r="D46" s="309">
        <v>3741</v>
      </c>
      <c r="E46" s="312">
        <v>217998</v>
      </c>
      <c r="F46" s="297"/>
    </row>
    <row r="47" spans="3:6" x14ac:dyDescent="0.25">
      <c r="C47" s="302" t="s">
        <v>513</v>
      </c>
      <c r="D47" s="309">
        <v>3742</v>
      </c>
      <c r="E47" s="312">
        <v>150000</v>
      </c>
      <c r="F47" s="297"/>
    </row>
    <row r="48" spans="3:6" x14ac:dyDescent="0.25">
      <c r="C48" s="302" t="s">
        <v>514</v>
      </c>
      <c r="D48" s="309">
        <v>3743</v>
      </c>
      <c r="E48" s="312">
        <v>101500</v>
      </c>
      <c r="F48" s="297"/>
    </row>
    <row r="49" spans="3:6" x14ac:dyDescent="0.25">
      <c r="C49" s="302" t="s">
        <v>351</v>
      </c>
      <c r="D49" s="309">
        <v>3744</v>
      </c>
      <c r="E49" s="312">
        <v>242700</v>
      </c>
      <c r="F49" s="297"/>
    </row>
    <row r="50" spans="3:6" x14ac:dyDescent="0.25">
      <c r="C50" s="302" t="s">
        <v>515</v>
      </c>
      <c r="D50" s="309">
        <v>3745</v>
      </c>
      <c r="E50" s="312">
        <v>376860</v>
      </c>
      <c r="F50" s="297"/>
    </row>
    <row r="51" spans="3:6" x14ac:dyDescent="0.25">
      <c r="C51" s="302" t="s">
        <v>516</v>
      </c>
      <c r="D51" s="309">
        <v>3746</v>
      </c>
      <c r="E51" s="312">
        <v>63000</v>
      </c>
      <c r="F51" s="297" t="s">
        <v>33</v>
      </c>
    </row>
    <row r="52" spans="3:6" x14ac:dyDescent="0.25">
      <c r="C52" s="302" t="s">
        <v>518</v>
      </c>
      <c r="D52" s="309">
        <v>92024</v>
      </c>
      <c r="E52" s="312">
        <f>+'ESTAD RESULT graf abr'!M50</f>
        <v>0</v>
      </c>
      <c r="F52" s="329">
        <f>SUM(E15:E52)</f>
        <v>32253701</v>
      </c>
    </row>
    <row r="53" spans="3:6" ht="13" thickBot="1" x14ac:dyDescent="0.3">
      <c r="C53" s="298" t="s">
        <v>497</v>
      </c>
      <c r="D53" s="311" t="s">
        <v>33</v>
      </c>
      <c r="E53" s="312" t="s">
        <v>33</v>
      </c>
      <c r="F53" s="314">
        <f>+F12-F52</f>
        <v>27320261.950000003</v>
      </c>
    </row>
    <row r="54" spans="3:6" ht="13" thickTop="1" x14ac:dyDescent="0.25">
      <c r="C54" s="302" t="s">
        <v>50</v>
      </c>
      <c r="D54" s="289"/>
      <c r="E54" s="309"/>
      <c r="F54" s="297">
        <f>SUM(E55:E58)</f>
        <v>20638518.48</v>
      </c>
    </row>
    <row r="55" spans="3:6" x14ac:dyDescent="0.25">
      <c r="C55" s="302" t="s">
        <v>13</v>
      </c>
      <c r="D55" s="145"/>
      <c r="E55" s="312">
        <f>+'ESFA abril 2025'!C9</f>
        <v>200000</v>
      </c>
      <c r="F55" s="297"/>
    </row>
    <row r="56" spans="3:6" x14ac:dyDescent="0.25">
      <c r="C56" s="302" t="s">
        <v>227</v>
      </c>
      <c r="D56" s="313"/>
      <c r="E56" s="312">
        <f>+'CONCILIACION BANCO'!D5</f>
        <v>12070559.25</v>
      </c>
      <c r="F56" s="297"/>
    </row>
    <row r="57" spans="3:6" x14ac:dyDescent="0.25">
      <c r="C57" s="305" t="s">
        <v>36</v>
      </c>
      <c r="D57" s="145"/>
      <c r="E57" s="312"/>
      <c r="F57" s="297"/>
    </row>
    <row r="58" spans="3:6" x14ac:dyDescent="0.25">
      <c r="C58" s="302" t="s">
        <v>71</v>
      </c>
      <c r="D58" s="145"/>
      <c r="E58" s="312">
        <f>+'CONCILIACION BANCO'!D44</f>
        <v>8367959.2300000004</v>
      </c>
      <c r="F58" s="297"/>
    </row>
    <row r="59" spans="3:6" ht="13" thickBot="1" x14ac:dyDescent="0.3">
      <c r="C59" s="302" t="s">
        <v>33</v>
      </c>
      <c r="D59" s="145"/>
      <c r="E59" s="312" t="s">
        <v>33</v>
      </c>
      <c r="F59" s="314">
        <f>SUM(E55:E59)</f>
        <v>20638518.48</v>
      </c>
    </row>
    <row r="60" spans="3:6" ht="13" thickTop="1" x14ac:dyDescent="0.25">
      <c r="C60" s="315"/>
      <c r="D60" s="316"/>
      <c r="E60" s="317"/>
      <c r="F60" s="318">
        <f>+F54-F59</f>
        <v>0</v>
      </c>
    </row>
    <row r="61" spans="3:6" x14ac:dyDescent="0.25">
      <c r="C61" s="3" t="s">
        <v>40</v>
      </c>
    </row>
    <row r="62" spans="3:6" x14ac:dyDescent="0.25">
      <c r="C62" s="1" t="s">
        <v>55</v>
      </c>
    </row>
  </sheetData>
  <mergeCells count="2">
    <mergeCell ref="C3:F3"/>
    <mergeCell ref="C2:F2"/>
  </mergeCells>
  <printOptions horizontalCentered="1"/>
  <pageMargins left="0" right="0" top="0.39370078740157483" bottom="0" header="0" footer="0"/>
  <pageSetup paperSize="9" orientation="portrait" r:id="rId1"/>
  <ignoredErrors>
    <ignoredError sqref="F8" formulaRange="1"/>
  </ignoredError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621CB-B040-4C21-8EFA-DBC871E7CEB3}">
  <sheetPr>
    <tabColor rgb="FFFFFF00"/>
  </sheetPr>
  <dimension ref="A1:BG40"/>
  <sheetViews>
    <sheetView topLeftCell="A34" workbookViewId="0">
      <selection activeCell="AZ30" sqref="AZ30"/>
    </sheetView>
  </sheetViews>
  <sheetFormatPr baseColWidth="10" defaultRowHeight="12.5" x14ac:dyDescent="0.25"/>
  <cols>
    <col min="1" max="1" width="10.90625" style="500"/>
    <col min="2" max="2" width="0" style="500" hidden="1" customWidth="1"/>
    <col min="3" max="3" width="13" style="500" bestFit="1" customWidth="1"/>
    <col min="4" max="5" width="0" style="500" hidden="1" customWidth="1"/>
    <col min="6" max="7" width="0" hidden="1" customWidth="1"/>
    <col min="8" max="8" width="13" bestFit="1" customWidth="1"/>
    <col min="9" max="10" width="0" hidden="1" customWidth="1"/>
    <col min="11" max="11" width="0" style="500" hidden="1" customWidth="1"/>
    <col min="12" max="12" width="36.1796875" style="500" hidden="1" customWidth="1"/>
    <col min="13" max="13" width="10.90625" style="500"/>
    <col min="14" max="15" width="0" style="500" hidden="1" customWidth="1"/>
    <col min="16" max="17" width="0" hidden="1" customWidth="1"/>
    <col min="19" max="20" width="0" hidden="1" customWidth="1"/>
    <col min="21" max="22" width="0" style="500" hidden="1" customWidth="1"/>
    <col min="23" max="23" width="10.90625" style="500"/>
    <col min="24" max="25" width="0" style="500" hidden="1" customWidth="1"/>
    <col min="26" max="27" width="0" hidden="1" customWidth="1"/>
    <col min="29" max="30" width="0" hidden="1" customWidth="1"/>
    <col min="31" max="32" width="0" style="500" hidden="1" customWidth="1"/>
    <col min="33" max="33" width="10.90625" style="500"/>
    <col min="34" max="35" width="0" style="500" hidden="1" customWidth="1"/>
    <col min="36" max="37" width="0" hidden="1" customWidth="1"/>
    <col min="39" max="40" width="0" hidden="1" customWidth="1"/>
    <col min="41" max="42" width="0" style="500" hidden="1" customWidth="1"/>
    <col min="43" max="43" width="10.90625" style="500"/>
    <col min="44" max="45" width="0" style="500" hidden="1" customWidth="1"/>
    <col min="46" max="47" width="0" hidden="1" customWidth="1"/>
    <col min="49" max="51" width="10.90625" hidden="1" customWidth="1"/>
    <col min="53" max="54" width="10.90625" hidden="1" customWidth="1"/>
    <col min="56" max="57" width="0" hidden="1" customWidth="1"/>
    <col min="58" max="58" width="16.54296875" customWidth="1"/>
    <col min="59" max="59" width="11.453125" bestFit="1" customWidth="1"/>
  </cols>
  <sheetData>
    <row r="1" spans="1:58" x14ac:dyDescent="0.25">
      <c r="C1" s="508">
        <v>45627</v>
      </c>
      <c r="H1" s="509">
        <v>45597</v>
      </c>
      <c r="M1" s="508">
        <v>45566</v>
      </c>
      <c r="R1" s="509">
        <v>45536</v>
      </c>
      <c r="W1" s="508">
        <v>45505</v>
      </c>
      <c r="AB1" s="509">
        <v>45474</v>
      </c>
      <c r="AE1" s="508"/>
      <c r="AG1" s="508">
        <v>45444</v>
      </c>
      <c r="AL1" s="509">
        <v>45413</v>
      </c>
      <c r="AQ1" s="508">
        <v>45383</v>
      </c>
      <c r="AV1" s="509">
        <v>45352</v>
      </c>
      <c r="AZ1" s="509">
        <v>45323</v>
      </c>
      <c r="BC1" s="509">
        <v>45292</v>
      </c>
      <c r="BF1" s="509">
        <v>45261</v>
      </c>
    </row>
    <row r="2" spans="1:58" ht="13" x14ac:dyDescent="0.25">
      <c r="A2" s="1799" t="s">
        <v>835</v>
      </c>
      <c r="B2" s="1800"/>
      <c r="C2" s="1800"/>
      <c r="D2" s="1800"/>
      <c r="E2" s="1801"/>
      <c r="F2" s="1802" t="s">
        <v>834</v>
      </c>
      <c r="G2" s="1803"/>
      <c r="H2" s="1803"/>
      <c r="I2" s="1803"/>
      <c r="J2" s="1804"/>
      <c r="K2" s="1799" t="s">
        <v>865</v>
      </c>
      <c r="L2" s="1800"/>
      <c r="M2" s="1800"/>
      <c r="N2" s="1800"/>
      <c r="O2" s="1801"/>
      <c r="P2" s="28"/>
      <c r="Q2" s="1734" t="s">
        <v>895</v>
      </c>
      <c r="R2" s="1734"/>
      <c r="S2" s="1734"/>
      <c r="T2" s="108"/>
      <c r="U2" s="487"/>
      <c r="V2" s="1808" t="s">
        <v>225</v>
      </c>
      <c r="W2" s="1808"/>
      <c r="X2" s="1808"/>
      <c r="Y2" s="488"/>
      <c r="Z2" s="28"/>
      <c r="AA2" s="1734" t="s">
        <v>896</v>
      </c>
      <c r="AB2" s="1734"/>
      <c r="AC2" s="1734"/>
      <c r="AD2" s="108"/>
      <c r="AE2" s="487"/>
      <c r="AF2" s="1808" t="s">
        <v>897</v>
      </c>
      <c r="AG2" s="1808"/>
      <c r="AH2" s="1808"/>
      <c r="AI2" s="488"/>
      <c r="AJ2" s="28"/>
      <c r="AK2" s="1734" t="s">
        <v>898</v>
      </c>
      <c r="AL2" s="1734"/>
      <c r="AM2" s="1734"/>
      <c r="AN2" s="108"/>
      <c r="AO2" s="487"/>
      <c r="AP2" s="1808" t="s">
        <v>926</v>
      </c>
      <c r="AQ2" s="1808"/>
      <c r="AR2" s="1808"/>
      <c r="AS2" s="488"/>
      <c r="AT2" s="28"/>
      <c r="AU2" s="1734" t="s">
        <v>949</v>
      </c>
      <c r="AV2" s="1734"/>
      <c r="AW2" s="1734"/>
      <c r="AX2" s="108"/>
      <c r="AY2" s="1805" t="s">
        <v>951</v>
      </c>
      <c r="AZ2" s="1806"/>
      <c r="BA2" s="1806"/>
      <c r="BB2" s="1807"/>
      <c r="BC2" s="1734" t="s">
        <v>898</v>
      </c>
      <c r="BD2" s="1734"/>
      <c r="BE2" s="1734"/>
    </row>
    <row r="3" spans="1:58" ht="13" x14ac:dyDescent="0.3">
      <c r="A3" s="489" t="s">
        <v>53</v>
      </c>
      <c r="B3" s="489" t="s">
        <v>54</v>
      </c>
      <c r="C3" s="489" t="s">
        <v>63</v>
      </c>
      <c r="D3" s="490" t="s">
        <v>226</v>
      </c>
      <c r="E3" s="491" t="s">
        <v>72</v>
      </c>
      <c r="F3" s="69" t="s">
        <v>53</v>
      </c>
      <c r="G3" s="69" t="s">
        <v>54</v>
      </c>
      <c r="H3" s="69" t="s">
        <v>63</v>
      </c>
      <c r="I3" s="350" t="s">
        <v>226</v>
      </c>
      <c r="J3" s="501" t="s">
        <v>72</v>
      </c>
      <c r="K3" s="489" t="s">
        <v>53</v>
      </c>
      <c r="L3" s="489" t="s">
        <v>54</v>
      </c>
      <c r="M3" s="489" t="s">
        <v>63</v>
      </c>
      <c r="N3" s="490" t="s">
        <v>226</v>
      </c>
      <c r="O3" s="491" t="s">
        <v>72</v>
      </c>
      <c r="P3" s="510" t="s">
        <v>53</v>
      </c>
      <c r="Q3" s="511" t="s">
        <v>54</v>
      </c>
      <c r="R3" s="69" t="s">
        <v>63</v>
      </c>
      <c r="S3" s="512" t="s">
        <v>226</v>
      </c>
      <c r="T3" s="501" t="s">
        <v>72</v>
      </c>
      <c r="U3" s="521" t="s">
        <v>53</v>
      </c>
      <c r="V3" s="522" t="s">
        <v>54</v>
      </c>
      <c r="W3" s="489" t="s">
        <v>63</v>
      </c>
      <c r="X3" s="523" t="s">
        <v>226</v>
      </c>
      <c r="Y3" s="491" t="s">
        <v>72</v>
      </c>
      <c r="Z3" s="510" t="s">
        <v>53</v>
      </c>
      <c r="AA3" s="511" t="s">
        <v>54</v>
      </c>
      <c r="AB3" s="69" t="s">
        <v>63</v>
      </c>
      <c r="AC3" s="512" t="s">
        <v>226</v>
      </c>
      <c r="AD3" s="501" t="s">
        <v>72</v>
      </c>
      <c r="AE3" s="521" t="s">
        <v>53</v>
      </c>
      <c r="AF3" s="522" t="s">
        <v>54</v>
      </c>
      <c r="AG3" s="489" t="s">
        <v>63</v>
      </c>
      <c r="AH3" s="523" t="s">
        <v>226</v>
      </c>
      <c r="AI3" s="491" t="s">
        <v>72</v>
      </c>
      <c r="AJ3" s="510" t="s">
        <v>53</v>
      </c>
      <c r="AK3" s="511" t="s">
        <v>54</v>
      </c>
      <c r="AL3" s="69" t="s">
        <v>63</v>
      </c>
      <c r="AM3" s="512" t="s">
        <v>226</v>
      </c>
      <c r="AN3" s="501" t="s">
        <v>72</v>
      </c>
      <c r="AO3" s="521" t="s">
        <v>53</v>
      </c>
      <c r="AP3" s="522" t="s">
        <v>54</v>
      </c>
      <c r="AQ3" s="489" t="s">
        <v>63</v>
      </c>
      <c r="AR3" s="523" t="s">
        <v>226</v>
      </c>
      <c r="AS3" s="491" t="s">
        <v>72</v>
      </c>
      <c r="AT3" s="510" t="s">
        <v>53</v>
      </c>
      <c r="AU3" s="511" t="s">
        <v>54</v>
      </c>
      <c r="AV3" s="69" t="s">
        <v>63</v>
      </c>
      <c r="AW3" s="512" t="s">
        <v>927</v>
      </c>
      <c r="AX3" s="501" t="s">
        <v>72</v>
      </c>
      <c r="AY3" s="580" t="s">
        <v>321</v>
      </c>
      <c r="AZ3" s="581" t="s">
        <v>309</v>
      </c>
      <c r="BA3" s="582" t="s">
        <v>950</v>
      </c>
      <c r="BB3" s="583" t="s">
        <v>322</v>
      </c>
      <c r="BC3" s="589" t="s">
        <v>309</v>
      </c>
      <c r="BD3" s="589" t="s">
        <v>950</v>
      </c>
      <c r="BE3" s="590" t="s">
        <v>322</v>
      </c>
    </row>
    <row r="4" spans="1:58" ht="13" x14ac:dyDescent="0.3">
      <c r="A4" s="492" t="s">
        <v>127</v>
      </c>
      <c r="B4" s="493" t="s">
        <v>572</v>
      </c>
      <c r="C4" s="494">
        <v>1988629</v>
      </c>
      <c r="D4" s="495">
        <f>+C4</f>
        <v>1988629</v>
      </c>
      <c r="E4" s="496">
        <f t="shared" ref="E4:E31" si="0">+C4-D4</f>
        <v>0</v>
      </c>
      <c r="F4" s="348" t="s">
        <v>127</v>
      </c>
      <c r="G4" s="102" t="s">
        <v>572</v>
      </c>
      <c r="H4" s="156">
        <v>2967573</v>
      </c>
      <c r="I4" s="351">
        <v>2967573</v>
      </c>
      <c r="J4" s="41">
        <f>+H4-I4</f>
        <v>0</v>
      </c>
      <c r="K4" s="492" t="s">
        <v>127</v>
      </c>
      <c r="L4" s="505" t="s">
        <v>836</v>
      </c>
      <c r="M4" s="494">
        <v>1988219</v>
      </c>
      <c r="N4" s="495">
        <v>1988219</v>
      </c>
      <c r="O4" s="496">
        <f>+M4-N4</f>
        <v>0</v>
      </c>
      <c r="P4" s="109" t="s">
        <v>127</v>
      </c>
      <c r="Q4" s="513" t="s">
        <v>866</v>
      </c>
      <c r="R4" s="514">
        <v>1966674</v>
      </c>
      <c r="S4" s="503">
        <f>+R4</f>
        <v>1966674</v>
      </c>
      <c r="T4" s="504">
        <f>+R4-S4</f>
        <v>0</v>
      </c>
      <c r="U4" s="497" t="s">
        <v>127</v>
      </c>
      <c r="V4" s="524" t="s">
        <v>866</v>
      </c>
      <c r="W4" s="525">
        <v>2299195</v>
      </c>
      <c r="X4" s="525">
        <f>+W4</f>
        <v>2299195</v>
      </c>
      <c r="Y4" s="507">
        <f>+W4-X4</f>
        <v>0</v>
      </c>
      <c r="Z4" s="109" t="s">
        <v>127</v>
      </c>
      <c r="AA4" s="513" t="s">
        <v>866</v>
      </c>
      <c r="AB4" s="529">
        <v>2266654</v>
      </c>
      <c r="AC4" s="518">
        <v>2266654</v>
      </c>
      <c r="AD4" s="504">
        <f>+AB4-AC4</f>
        <v>0</v>
      </c>
      <c r="AE4" s="497" t="s">
        <v>127</v>
      </c>
      <c r="AF4" s="524" t="s">
        <v>866</v>
      </c>
      <c r="AG4" s="532">
        <v>663382</v>
      </c>
      <c r="AH4" s="532">
        <v>663382</v>
      </c>
      <c r="AI4" s="507">
        <f>+AG4-AH4</f>
        <v>0</v>
      </c>
      <c r="AJ4" s="109" t="s">
        <v>127</v>
      </c>
      <c r="AK4" s="513" t="s">
        <v>866</v>
      </c>
      <c r="AL4" s="517">
        <v>0</v>
      </c>
      <c r="AM4" s="517">
        <v>0</v>
      </c>
      <c r="AN4" s="504">
        <f>+AL4-AM4</f>
        <v>0</v>
      </c>
      <c r="AO4" s="497" t="s">
        <v>127</v>
      </c>
      <c r="AP4" s="524" t="s">
        <v>866</v>
      </c>
      <c r="AQ4" s="528">
        <v>0</v>
      </c>
      <c r="AR4" s="528">
        <v>0</v>
      </c>
      <c r="AS4" s="507">
        <f>+AQ4-AR4</f>
        <v>0</v>
      </c>
      <c r="AT4" s="109" t="s">
        <v>127</v>
      </c>
      <c r="AU4" s="513" t="s">
        <v>928</v>
      </c>
      <c r="AV4" s="577">
        <v>100000</v>
      </c>
      <c r="AW4" s="577">
        <v>100000</v>
      </c>
      <c r="AX4" s="504">
        <f>+AV4-AW4</f>
        <v>0</v>
      </c>
      <c r="AY4" s="584" t="s">
        <v>127</v>
      </c>
      <c r="AZ4" s="585">
        <v>0</v>
      </c>
      <c r="BA4" s="520">
        <v>0</v>
      </c>
      <c r="BB4" s="586">
        <f>+AZ4-BA4</f>
        <v>0</v>
      </c>
      <c r="BC4" s="591">
        <v>860757</v>
      </c>
      <c r="BD4" s="518">
        <v>860757</v>
      </c>
      <c r="BE4" s="416">
        <f t="shared" ref="BE4:BE32" si="1">+BC4-BD4</f>
        <v>0</v>
      </c>
    </row>
    <row r="5" spans="1:58" ht="13" x14ac:dyDescent="0.3">
      <c r="A5" s="497" t="s">
        <v>128</v>
      </c>
      <c r="B5" s="493" t="s">
        <v>573</v>
      </c>
      <c r="C5" s="494">
        <v>0</v>
      </c>
      <c r="D5" s="495">
        <v>0</v>
      </c>
      <c r="E5" s="496">
        <f t="shared" si="0"/>
        <v>0</v>
      </c>
      <c r="F5" s="109" t="s">
        <v>128</v>
      </c>
      <c r="G5" s="102" t="s">
        <v>573</v>
      </c>
      <c r="H5" s="156">
        <v>0</v>
      </c>
      <c r="I5" s="502">
        <v>0</v>
      </c>
      <c r="J5" s="41">
        <f t="shared" ref="J5:J32" si="2">+H5-I5</f>
        <v>0</v>
      </c>
      <c r="K5" s="497" t="s">
        <v>128</v>
      </c>
      <c r="L5" s="505" t="s">
        <v>837</v>
      </c>
      <c r="M5" s="494">
        <v>0</v>
      </c>
      <c r="N5" s="506">
        <v>0</v>
      </c>
      <c r="O5" s="496">
        <f t="shared" ref="O5:O34" si="3">+M5-N5</f>
        <v>0</v>
      </c>
      <c r="P5" s="109" t="s">
        <v>128</v>
      </c>
      <c r="Q5" s="513" t="s">
        <v>867</v>
      </c>
      <c r="R5" s="514">
        <v>0</v>
      </c>
      <c r="S5" s="503">
        <f t="shared" ref="S5:S31" si="4">+R5</f>
        <v>0</v>
      </c>
      <c r="T5" s="504">
        <f t="shared" ref="T5:T31" si="5">+R5-S5</f>
        <v>0</v>
      </c>
      <c r="U5" s="497" t="s">
        <v>128</v>
      </c>
      <c r="V5" s="524" t="s">
        <v>867</v>
      </c>
      <c r="W5" s="525">
        <v>0</v>
      </c>
      <c r="X5" s="525">
        <f t="shared" ref="X5:X31" si="6">+W5</f>
        <v>0</v>
      </c>
      <c r="Y5" s="507">
        <f t="shared" ref="Y5:Y31" si="7">+W5-X5</f>
        <v>0</v>
      </c>
      <c r="Z5" s="109" t="s">
        <v>128</v>
      </c>
      <c r="AA5" s="513" t="s">
        <v>867</v>
      </c>
      <c r="AB5" s="529">
        <v>0</v>
      </c>
      <c r="AC5" s="520">
        <v>0</v>
      </c>
      <c r="AD5" s="504">
        <f t="shared" ref="AD5:AD31" si="8">+AB5-AC5</f>
        <v>0</v>
      </c>
      <c r="AE5" s="497" t="s">
        <v>128</v>
      </c>
      <c r="AF5" s="524" t="s">
        <v>867</v>
      </c>
      <c r="AG5" s="533">
        <v>0</v>
      </c>
      <c r="AH5" s="533">
        <v>0</v>
      </c>
      <c r="AI5" s="507">
        <f t="shared" ref="AI5:AI31" si="9">+AG5-AH5</f>
        <v>0</v>
      </c>
      <c r="AJ5" s="109" t="s">
        <v>128</v>
      </c>
      <c r="AK5" s="513" t="s">
        <v>867</v>
      </c>
      <c r="AL5" s="517">
        <v>0</v>
      </c>
      <c r="AM5" s="517">
        <v>0</v>
      </c>
      <c r="AN5" s="504">
        <f t="shared" ref="AN5:AN31" si="10">+AL5-AM5</f>
        <v>0</v>
      </c>
      <c r="AO5" s="497" t="s">
        <v>128</v>
      </c>
      <c r="AP5" s="524" t="s">
        <v>867</v>
      </c>
      <c r="AQ5" s="528">
        <v>0</v>
      </c>
      <c r="AR5" s="528">
        <v>0</v>
      </c>
      <c r="AS5" s="507">
        <f t="shared" ref="AS5:AS31" si="11">+AQ5-AR5</f>
        <v>0</v>
      </c>
      <c r="AT5" s="109" t="s">
        <v>128</v>
      </c>
      <c r="AU5" s="513" t="s">
        <v>929</v>
      </c>
      <c r="AV5" s="577">
        <v>0</v>
      </c>
      <c r="AW5" s="577">
        <v>0</v>
      </c>
      <c r="AX5" s="504">
        <f t="shared" ref="AX5:AX31" si="12">+AV5-AW5</f>
        <v>0</v>
      </c>
      <c r="AY5" s="584" t="s">
        <v>128</v>
      </c>
      <c r="AZ5" s="585">
        <v>0</v>
      </c>
      <c r="BA5" s="520">
        <v>0</v>
      </c>
      <c r="BB5" s="586">
        <f t="shared" ref="BB5:BB32" si="13">+AZ5-BA5</f>
        <v>0</v>
      </c>
      <c r="BC5" s="592">
        <v>0</v>
      </c>
      <c r="BD5" s="520">
        <v>0</v>
      </c>
      <c r="BE5" s="416">
        <f t="shared" si="1"/>
        <v>0</v>
      </c>
    </row>
    <row r="6" spans="1:58" ht="13" x14ac:dyDescent="0.3">
      <c r="A6" s="497" t="s">
        <v>129</v>
      </c>
      <c r="B6" s="493" t="s">
        <v>574</v>
      </c>
      <c r="C6" s="494">
        <v>0</v>
      </c>
      <c r="D6" s="495">
        <v>0</v>
      </c>
      <c r="E6" s="496">
        <f t="shared" si="0"/>
        <v>0</v>
      </c>
      <c r="F6" s="109" t="s">
        <v>129</v>
      </c>
      <c r="G6" s="102" t="s">
        <v>574</v>
      </c>
      <c r="H6" s="156">
        <v>0</v>
      </c>
      <c r="I6" s="502">
        <v>0</v>
      </c>
      <c r="J6" s="41">
        <f t="shared" si="2"/>
        <v>0</v>
      </c>
      <c r="K6" s="497" t="s">
        <v>129</v>
      </c>
      <c r="L6" s="505" t="s">
        <v>838</v>
      </c>
      <c r="M6" s="494">
        <v>0</v>
      </c>
      <c r="N6" s="506">
        <v>0</v>
      </c>
      <c r="O6" s="496">
        <f t="shared" si="3"/>
        <v>0</v>
      </c>
      <c r="P6" s="109" t="s">
        <v>129</v>
      </c>
      <c r="Q6" s="513" t="s">
        <v>868</v>
      </c>
      <c r="R6" s="514">
        <v>0</v>
      </c>
      <c r="S6" s="503">
        <f t="shared" si="4"/>
        <v>0</v>
      </c>
      <c r="T6" s="504">
        <f t="shared" si="5"/>
        <v>0</v>
      </c>
      <c r="U6" s="497" t="s">
        <v>129</v>
      </c>
      <c r="V6" s="524" t="s">
        <v>868</v>
      </c>
      <c r="W6" s="525">
        <v>0</v>
      </c>
      <c r="X6" s="525">
        <f t="shared" si="6"/>
        <v>0</v>
      </c>
      <c r="Y6" s="507">
        <f t="shared" si="7"/>
        <v>0</v>
      </c>
      <c r="Z6" s="109" t="s">
        <v>129</v>
      </c>
      <c r="AA6" s="513" t="s">
        <v>868</v>
      </c>
      <c r="AB6" s="529">
        <v>0</v>
      </c>
      <c r="AC6" s="520">
        <v>0</v>
      </c>
      <c r="AD6" s="504">
        <f t="shared" si="8"/>
        <v>0</v>
      </c>
      <c r="AE6" s="497" t="s">
        <v>129</v>
      </c>
      <c r="AF6" s="524" t="s">
        <v>868</v>
      </c>
      <c r="AG6" s="533">
        <v>0</v>
      </c>
      <c r="AH6" s="533">
        <v>0</v>
      </c>
      <c r="AI6" s="507">
        <f t="shared" si="9"/>
        <v>0</v>
      </c>
      <c r="AJ6" s="109" t="s">
        <v>129</v>
      </c>
      <c r="AK6" s="513" t="s">
        <v>868</v>
      </c>
      <c r="AL6" s="517">
        <v>0</v>
      </c>
      <c r="AM6" s="517">
        <v>0</v>
      </c>
      <c r="AN6" s="504">
        <f t="shared" si="10"/>
        <v>0</v>
      </c>
      <c r="AO6" s="497" t="s">
        <v>129</v>
      </c>
      <c r="AP6" s="524" t="s">
        <v>868</v>
      </c>
      <c r="AQ6" s="528">
        <v>0</v>
      </c>
      <c r="AR6" s="528">
        <v>0</v>
      </c>
      <c r="AS6" s="507">
        <f t="shared" si="11"/>
        <v>0</v>
      </c>
      <c r="AT6" s="109" t="s">
        <v>129</v>
      </c>
      <c r="AU6" s="513" t="s">
        <v>868</v>
      </c>
      <c r="AV6" s="577">
        <v>0</v>
      </c>
      <c r="AW6" s="577">
        <v>0</v>
      </c>
      <c r="AX6" s="504">
        <f t="shared" si="12"/>
        <v>0</v>
      </c>
      <c r="AY6" s="584" t="s">
        <v>129</v>
      </c>
      <c r="AZ6" s="585">
        <v>0</v>
      </c>
      <c r="BA6" s="520">
        <v>0</v>
      </c>
      <c r="BB6" s="586">
        <f t="shared" si="13"/>
        <v>0</v>
      </c>
      <c r="BC6" s="592">
        <v>0</v>
      </c>
      <c r="BD6" s="520">
        <v>0</v>
      </c>
      <c r="BE6" s="416">
        <f t="shared" si="1"/>
        <v>0</v>
      </c>
    </row>
    <row r="7" spans="1:58" ht="13" x14ac:dyDescent="0.3">
      <c r="A7" s="497" t="s">
        <v>130</v>
      </c>
      <c r="B7" s="493" t="s">
        <v>575</v>
      </c>
      <c r="C7" s="494">
        <v>0</v>
      </c>
      <c r="D7" s="495">
        <v>0</v>
      </c>
      <c r="E7" s="496">
        <f t="shared" si="0"/>
        <v>0</v>
      </c>
      <c r="F7" s="109" t="s">
        <v>130</v>
      </c>
      <c r="G7" s="102" t="s">
        <v>575</v>
      </c>
      <c r="H7" s="156">
        <v>0</v>
      </c>
      <c r="I7" s="502">
        <v>0</v>
      </c>
      <c r="J7" s="41">
        <f t="shared" si="2"/>
        <v>0</v>
      </c>
      <c r="K7" s="497" t="s">
        <v>130</v>
      </c>
      <c r="L7" s="505" t="s">
        <v>839</v>
      </c>
      <c r="M7" s="494">
        <v>0</v>
      </c>
      <c r="N7" s="506">
        <v>0</v>
      </c>
      <c r="O7" s="496">
        <f t="shared" si="3"/>
        <v>0</v>
      </c>
      <c r="P7" s="109" t="s">
        <v>130</v>
      </c>
      <c r="Q7" s="513" t="s">
        <v>869</v>
      </c>
      <c r="R7" s="514">
        <v>0</v>
      </c>
      <c r="S7" s="503">
        <f t="shared" si="4"/>
        <v>0</v>
      </c>
      <c r="T7" s="504">
        <f t="shared" si="5"/>
        <v>0</v>
      </c>
      <c r="U7" s="497" t="s">
        <v>130</v>
      </c>
      <c r="V7" s="524" t="s">
        <v>869</v>
      </c>
      <c r="W7" s="525">
        <v>0</v>
      </c>
      <c r="X7" s="525">
        <f t="shared" si="6"/>
        <v>0</v>
      </c>
      <c r="Y7" s="507">
        <f t="shared" si="7"/>
        <v>0</v>
      </c>
      <c r="Z7" s="109" t="s">
        <v>130</v>
      </c>
      <c r="AA7" s="513" t="s">
        <v>869</v>
      </c>
      <c r="AB7" s="529">
        <v>0</v>
      </c>
      <c r="AC7" s="520">
        <v>0</v>
      </c>
      <c r="AD7" s="504">
        <f t="shared" si="8"/>
        <v>0</v>
      </c>
      <c r="AE7" s="497" t="s">
        <v>130</v>
      </c>
      <c r="AF7" s="524" t="s">
        <v>869</v>
      </c>
      <c r="AG7" s="533">
        <v>853952</v>
      </c>
      <c r="AH7" s="533">
        <v>853952</v>
      </c>
      <c r="AI7" s="507">
        <f t="shared" si="9"/>
        <v>0</v>
      </c>
      <c r="AJ7" s="109" t="s">
        <v>130</v>
      </c>
      <c r="AK7" s="513" t="s">
        <v>869</v>
      </c>
      <c r="AL7" s="517">
        <v>1178525</v>
      </c>
      <c r="AM7" s="517">
        <v>1178525</v>
      </c>
      <c r="AN7" s="504">
        <f t="shared" si="10"/>
        <v>0</v>
      </c>
      <c r="AO7" s="497" t="s">
        <v>130</v>
      </c>
      <c r="AP7" s="524" t="s">
        <v>869</v>
      </c>
      <c r="AQ7" s="528">
        <v>1178525</v>
      </c>
      <c r="AR7" s="528">
        <v>1178525</v>
      </c>
      <c r="AS7" s="507">
        <f t="shared" si="11"/>
        <v>0</v>
      </c>
      <c r="AT7" s="109" t="s">
        <v>130</v>
      </c>
      <c r="AU7" s="513" t="s">
        <v>930</v>
      </c>
      <c r="AV7" s="577">
        <v>0</v>
      </c>
      <c r="AW7" s="577">
        <v>0</v>
      </c>
      <c r="AX7" s="504">
        <f t="shared" si="12"/>
        <v>0</v>
      </c>
      <c r="AY7" s="584" t="s">
        <v>130</v>
      </c>
      <c r="AZ7" s="585">
        <v>0</v>
      </c>
      <c r="BA7" s="520">
        <v>0</v>
      </c>
      <c r="BB7" s="586">
        <f t="shared" si="13"/>
        <v>0</v>
      </c>
      <c r="BC7" s="592">
        <v>0</v>
      </c>
      <c r="BD7" s="520">
        <v>0</v>
      </c>
      <c r="BE7" s="416">
        <f t="shared" si="1"/>
        <v>0</v>
      </c>
    </row>
    <row r="8" spans="1:58" ht="13" x14ac:dyDescent="0.3">
      <c r="A8" s="498" t="s">
        <v>131</v>
      </c>
      <c r="B8" s="493" t="s">
        <v>576</v>
      </c>
      <c r="C8" s="494">
        <v>80799</v>
      </c>
      <c r="D8" s="495">
        <v>80799</v>
      </c>
      <c r="E8" s="496">
        <f t="shared" si="0"/>
        <v>0</v>
      </c>
      <c r="F8" s="347" t="s">
        <v>131</v>
      </c>
      <c r="G8" s="102" t="s">
        <v>576</v>
      </c>
      <c r="H8" s="156">
        <v>876262</v>
      </c>
      <c r="I8" s="351">
        <v>876262</v>
      </c>
      <c r="J8" s="41">
        <f t="shared" si="2"/>
        <v>0</v>
      </c>
      <c r="K8" s="498" t="s">
        <v>131</v>
      </c>
      <c r="L8" s="505" t="s">
        <v>840</v>
      </c>
      <c r="M8" s="494">
        <v>38711</v>
      </c>
      <c r="N8" s="495">
        <v>38711</v>
      </c>
      <c r="O8" s="496">
        <f t="shared" si="3"/>
        <v>0</v>
      </c>
      <c r="P8" s="109" t="s">
        <v>131</v>
      </c>
      <c r="Q8" s="513" t="s">
        <v>870</v>
      </c>
      <c r="R8" s="514">
        <v>1189552</v>
      </c>
      <c r="S8" s="503">
        <f t="shared" si="4"/>
        <v>1189552</v>
      </c>
      <c r="T8" s="504">
        <f t="shared" si="5"/>
        <v>0</v>
      </c>
      <c r="U8" s="497" t="s">
        <v>131</v>
      </c>
      <c r="V8" s="524" t="s">
        <v>870</v>
      </c>
      <c r="W8" s="525">
        <v>-226223</v>
      </c>
      <c r="X8" s="525">
        <f t="shared" si="6"/>
        <v>-226223</v>
      </c>
      <c r="Y8" s="507">
        <f t="shared" si="7"/>
        <v>0</v>
      </c>
      <c r="Z8" s="109" t="s">
        <v>131</v>
      </c>
      <c r="AA8" s="513" t="s">
        <v>870</v>
      </c>
      <c r="AB8" s="529">
        <v>-462988</v>
      </c>
      <c r="AC8" s="518">
        <v>-462988</v>
      </c>
      <c r="AD8" s="504">
        <f t="shared" si="8"/>
        <v>0</v>
      </c>
      <c r="AE8" s="497" t="s">
        <v>131</v>
      </c>
      <c r="AF8" s="524" t="s">
        <v>870</v>
      </c>
      <c r="AG8" s="533">
        <v>1069526</v>
      </c>
      <c r="AH8" s="533">
        <v>1069526</v>
      </c>
      <c r="AI8" s="507">
        <f t="shared" si="9"/>
        <v>0</v>
      </c>
      <c r="AJ8" s="109" t="s">
        <v>131</v>
      </c>
      <c r="AK8" s="513" t="s">
        <v>870</v>
      </c>
      <c r="AL8" s="517">
        <v>0</v>
      </c>
      <c r="AM8" s="517">
        <v>0</v>
      </c>
      <c r="AN8" s="504">
        <f t="shared" si="10"/>
        <v>0</v>
      </c>
      <c r="AO8" s="497" t="s">
        <v>131</v>
      </c>
      <c r="AP8" s="524" t="s">
        <v>870</v>
      </c>
      <c r="AQ8" s="528">
        <v>0</v>
      </c>
      <c r="AR8" s="528">
        <v>0</v>
      </c>
      <c r="AS8" s="507">
        <f t="shared" si="11"/>
        <v>0</v>
      </c>
      <c r="AT8" s="109" t="s">
        <v>131</v>
      </c>
      <c r="AU8" s="513" t="s">
        <v>931</v>
      </c>
      <c r="AV8" s="577">
        <v>0</v>
      </c>
      <c r="AW8" s="577">
        <v>0</v>
      </c>
      <c r="AX8" s="504">
        <f t="shared" si="12"/>
        <v>0</v>
      </c>
      <c r="AY8" s="584" t="s">
        <v>131</v>
      </c>
      <c r="AZ8" s="585">
        <v>0</v>
      </c>
      <c r="BA8" s="520">
        <v>0</v>
      </c>
      <c r="BB8" s="586">
        <f t="shared" si="13"/>
        <v>0</v>
      </c>
      <c r="BC8" s="592">
        <v>-550</v>
      </c>
      <c r="BD8" s="520">
        <v>-550</v>
      </c>
      <c r="BE8" s="416">
        <f t="shared" si="1"/>
        <v>0</v>
      </c>
    </row>
    <row r="9" spans="1:58" ht="13" x14ac:dyDescent="0.3">
      <c r="A9" s="497" t="s">
        <v>132</v>
      </c>
      <c r="B9" s="493" t="s">
        <v>577</v>
      </c>
      <c r="C9" s="494">
        <v>0</v>
      </c>
      <c r="D9" s="495">
        <v>0</v>
      </c>
      <c r="E9" s="496">
        <f t="shared" si="0"/>
        <v>0</v>
      </c>
      <c r="F9" s="109" t="s">
        <v>132</v>
      </c>
      <c r="G9" s="102" t="s">
        <v>577</v>
      </c>
      <c r="H9" s="156">
        <v>0</v>
      </c>
      <c r="I9" s="502">
        <v>0</v>
      </c>
      <c r="J9" s="41">
        <f t="shared" si="2"/>
        <v>0</v>
      </c>
      <c r="K9" s="497" t="s">
        <v>132</v>
      </c>
      <c r="L9" s="505" t="s">
        <v>841</v>
      </c>
      <c r="M9" s="494">
        <v>0</v>
      </c>
      <c r="N9" s="506">
        <v>0</v>
      </c>
      <c r="O9" s="496">
        <f t="shared" si="3"/>
        <v>0</v>
      </c>
      <c r="P9" s="109" t="s">
        <v>132</v>
      </c>
      <c r="Q9" s="513" t="s">
        <v>871</v>
      </c>
      <c r="R9" s="514">
        <v>0</v>
      </c>
      <c r="S9" s="503">
        <f t="shared" si="4"/>
        <v>0</v>
      </c>
      <c r="T9" s="504">
        <f t="shared" si="5"/>
        <v>0</v>
      </c>
      <c r="U9" s="497" t="s">
        <v>132</v>
      </c>
      <c r="V9" s="524" t="s">
        <v>871</v>
      </c>
      <c r="W9" s="525">
        <v>0</v>
      </c>
      <c r="X9" s="525">
        <f t="shared" si="6"/>
        <v>0</v>
      </c>
      <c r="Y9" s="507">
        <f t="shared" si="7"/>
        <v>0</v>
      </c>
      <c r="Z9" s="109" t="s">
        <v>132</v>
      </c>
      <c r="AA9" s="513" t="s">
        <v>871</v>
      </c>
      <c r="AB9" s="529">
        <v>0</v>
      </c>
      <c r="AC9" s="520">
        <v>0</v>
      </c>
      <c r="AD9" s="504">
        <f t="shared" si="8"/>
        <v>0</v>
      </c>
      <c r="AE9" s="497" t="s">
        <v>132</v>
      </c>
      <c r="AF9" s="524" t="s">
        <v>871</v>
      </c>
      <c r="AG9" s="533">
        <v>0</v>
      </c>
      <c r="AH9" s="533">
        <v>0</v>
      </c>
      <c r="AI9" s="507">
        <f t="shared" si="9"/>
        <v>0</v>
      </c>
      <c r="AJ9" s="109" t="s">
        <v>132</v>
      </c>
      <c r="AK9" s="513" t="s">
        <v>871</v>
      </c>
      <c r="AL9" s="517">
        <v>0</v>
      </c>
      <c r="AM9" s="517">
        <v>0</v>
      </c>
      <c r="AN9" s="504">
        <f t="shared" si="10"/>
        <v>0</v>
      </c>
      <c r="AO9" s="497" t="s">
        <v>132</v>
      </c>
      <c r="AP9" s="524" t="s">
        <v>871</v>
      </c>
      <c r="AQ9" s="528">
        <v>0</v>
      </c>
      <c r="AR9" s="528">
        <v>0</v>
      </c>
      <c r="AS9" s="507">
        <f t="shared" si="11"/>
        <v>0</v>
      </c>
      <c r="AT9" s="109" t="s">
        <v>132</v>
      </c>
      <c r="AU9" s="513" t="s">
        <v>932</v>
      </c>
      <c r="AV9" s="577">
        <v>0</v>
      </c>
      <c r="AW9" s="577">
        <v>0</v>
      </c>
      <c r="AX9" s="504">
        <f t="shared" si="12"/>
        <v>0</v>
      </c>
      <c r="AY9" s="584" t="s">
        <v>132</v>
      </c>
      <c r="AZ9" s="585">
        <v>0</v>
      </c>
      <c r="BA9" s="520">
        <v>0</v>
      </c>
      <c r="BB9" s="586">
        <f t="shared" si="13"/>
        <v>0</v>
      </c>
      <c r="BC9" s="592">
        <v>0</v>
      </c>
      <c r="BD9" s="520">
        <v>0</v>
      </c>
      <c r="BE9" s="416">
        <f t="shared" si="1"/>
        <v>0</v>
      </c>
    </row>
    <row r="10" spans="1:58" ht="13" x14ac:dyDescent="0.3">
      <c r="A10" s="497" t="s">
        <v>133</v>
      </c>
      <c r="B10" s="493" t="s">
        <v>578</v>
      </c>
      <c r="C10" s="494">
        <v>765284</v>
      </c>
      <c r="D10" s="495">
        <v>765284</v>
      </c>
      <c r="E10" s="496">
        <f t="shared" si="0"/>
        <v>0</v>
      </c>
      <c r="F10" s="109" t="s">
        <v>133</v>
      </c>
      <c r="G10" s="102" t="s">
        <v>578</v>
      </c>
      <c r="H10" s="156">
        <v>0</v>
      </c>
      <c r="I10" s="502">
        <v>0</v>
      </c>
      <c r="J10" s="41">
        <f t="shared" si="2"/>
        <v>0</v>
      </c>
      <c r="K10" s="497" t="s">
        <v>133</v>
      </c>
      <c r="L10" s="505" t="s">
        <v>842</v>
      </c>
      <c r="M10" s="494">
        <v>0</v>
      </c>
      <c r="N10" s="506">
        <v>0</v>
      </c>
      <c r="O10" s="496">
        <f t="shared" si="3"/>
        <v>0</v>
      </c>
      <c r="P10" s="109" t="s">
        <v>133</v>
      </c>
      <c r="Q10" s="513" t="s">
        <v>872</v>
      </c>
      <c r="R10" s="514">
        <v>0</v>
      </c>
      <c r="S10" s="503">
        <f t="shared" si="4"/>
        <v>0</v>
      </c>
      <c r="T10" s="504">
        <f t="shared" si="5"/>
        <v>0</v>
      </c>
      <c r="U10" s="497" t="s">
        <v>133</v>
      </c>
      <c r="V10" s="524" t="s">
        <v>872</v>
      </c>
      <c r="W10" s="525">
        <v>0</v>
      </c>
      <c r="X10" s="525">
        <f t="shared" si="6"/>
        <v>0</v>
      </c>
      <c r="Y10" s="507">
        <f t="shared" si="7"/>
        <v>0</v>
      </c>
      <c r="Z10" s="109" t="s">
        <v>133</v>
      </c>
      <c r="AA10" s="513" t="s">
        <v>872</v>
      </c>
      <c r="AB10" s="529">
        <v>0</v>
      </c>
      <c r="AC10" s="520">
        <v>0</v>
      </c>
      <c r="AD10" s="504">
        <f t="shared" si="8"/>
        <v>0</v>
      </c>
      <c r="AE10" s="497" t="s">
        <v>133</v>
      </c>
      <c r="AF10" s="524" t="s">
        <v>872</v>
      </c>
      <c r="AG10" s="533">
        <v>0</v>
      </c>
      <c r="AH10" s="533">
        <v>0</v>
      </c>
      <c r="AI10" s="507">
        <f t="shared" si="9"/>
        <v>0</v>
      </c>
      <c r="AJ10" s="109" t="s">
        <v>133</v>
      </c>
      <c r="AK10" s="513" t="s">
        <v>872</v>
      </c>
      <c r="AL10" s="517">
        <v>0</v>
      </c>
      <c r="AM10" s="517">
        <v>0</v>
      </c>
      <c r="AN10" s="504">
        <f t="shared" si="10"/>
        <v>0</v>
      </c>
      <c r="AO10" s="497" t="s">
        <v>133</v>
      </c>
      <c r="AP10" s="524" t="s">
        <v>872</v>
      </c>
      <c r="AQ10" s="528">
        <v>0</v>
      </c>
      <c r="AR10" s="528">
        <v>0</v>
      </c>
      <c r="AS10" s="507">
        <f t="shared" si="11"/>
        <v>0</v>
      </c>
      <c r="AT10" s="109" t="s">
        <v>133</v>
      </c>
      <c r="AU10" s="513" t="s">
        <v>933</v>
      </c>
      <c r="AV10" s="577">
        <v>0</v>
      </c>
      <c r="AW10" s="577">
        <v>0</v>
      </c>
      <c r="AX10" s="504">
        <f t="shared" si="12"/>
        <v>0</v>
      </c>
      <c r="AY10" s="584" t="s">
        <v>133</v>
      </c>
      <c r="AZ10" s="585">
        <v>0</v>
      </c>
      <c r="BA10" s="520">
        <v>0</v>
      </c>
      <c r="BB10" s="586">
        <f t="shared" si="13"/>
        <v>0</v>
      </c>
      <c r="BC10" s="592">
        <v>0</v>
      </c>
      <c r="BD10" s="520">
        <v>0</v>
      </c>
      <c r="BE10" s="416">
        <f t="shared" si="1"/>
        <v>0</v>
      </c>
    </row>
    <row r="11" spans="1:58" ht="13" x14ac:dyDescent="0.3">
      <c r="A11" s="497" t="s">
        <v>134</v>
      </c>
      <c r="B11" s="493" t="s">
        <v>579</v>
      </c>
      <c r="C11" s="494">
        <v>6</v>
      </c>
      <c r="D11" s="495">
        <v>6</v>
      </c>
      <c r="E11" s="496">
        <f t="shared" si="0"/>
        <v>0</v>
      </c>
      <c r="F11" s="109" t="s">
        <v>134</v>
      </c>
      <c r="G11" s="102" t="s">
        <v>579</v>
      </c>
      <c r="H11" s="156">
        <v>6</v>
      </c>
      <c r="I11" s="502">
        <v>6</v>
      </c>
      <c r="J11" s="41">
        <f t="shared" si="2"/>
        <v>0</v>
      </c>
      <c r="K11" s="497" t="s">
        <v>134</v>
      </c>
      <c r="L11" s="505" t="s">
        <v>843</v>
      </c>
      <c r="M11" s="494">
        <v>0</v>
      </c>
      <c r="N11" s="506">
        <v>0</v>
      </c>
      <c r="O11" s="496">
        <f t="shared" si="3"/>
        <v>0</v>
      </c>
      <c r="P11" s="109" t="s">
        <v>134</v>
      </c>
      <c r="Q11" s="513" t="s">
        <v>873</v>
      </c>
      <c r="R11" s="514">
        <v>0</v>
      </c>
      <c r="S11" s="503">
        <f t="shared" si="4"/>
        <v>0</v>
      </c>
      <c r="T11" s="504">
        <f t="shared" si="5"/>
        <v>0</v>
      </c>
      <c r="U11" s="497" t="s">
        <v>134</v>
      </c>
      <c r="V11" s="524" t="s">
        <v>873</v>
      </c>
      <c r="W11" s="525">
        <v>0</v>
      </c>
      <c r="X11" s="525">
        <f t="shared" si="6"/>
        <v>0</v>
      </c>
      <c r="Y11" s="507">
        <f t="shared" si="7"/>
        <v>0</v>
      </c>
      <c r="Z11" s="109" t="s">
        <v>134</v>
      </c>
      <c r="AA11" s="513" t="s">
        <v>873</v>
      </c>
      <c r="AB11" s="529">
        <v>-3672</v>
      </c>
      <c r="AC11" s="518">
        <v>-3672</v>
      </c>
      <c r="AD11" s="504">
        <f t="shared" si="8"/>
        <v>0</v>
      </c>
      <c r="AE11" s="497" t="s">
        <v>134</v>
      </c>
      <c r="AF11" s="524" t="s">
        <v>873</v>
      </c>
      <c r="AG11" s="533">
        <v>0</v>
      </c>
      <c r="AH11" s="533">
        <v>0</v>
      </c>
      <c r="AI11" s="507">
        <f t="shared" si="9"/>
        <v>0</v>
      </c>
      <c r="AJ11" s="109" t="s">
        <v>134</v>
      </c>
      <c r="AK11" s="513" t="s">
        <v>873</v>
      </c>
      <c r="AL11" s="517">
        <v>0</v>
      </c>
      <c r="AM11" s="517">
        <v>0</v>
      </c>
      <c r="AN11" s="504">
        <f t="shared" si="10"/>
        <v>0</v>
      </c>
      <c r="AO11" s="497" t="s">
        <v>134</v>
      </c>
      <c r="AP11" s="524" t="s">
        <v>873</v>
      </c>
      <c r="AQ11" s="528">
        <v>0</v>
      </c>
      <c r="AR11" s="528">
        <v>0</v>
      </c>
      <c r="AS11" s="507">
        <f t="shared" si="11"/>
        <v>0</v>
      </c>
      <c r="AT11" s="109" t="s">
        <v>134</v>
      </c>
      <c r="AU11" s="513" t="s">
        <v>934</v>
      </c>
      <c r="AV11" s="577">
        <v>0</v>
      </c>
      <c r="AW11" s="577">
        <v>0</v>
      </c>
      <c r="AX11" s="504">
        <f t="shared" si="12"/>
        <v>0</v>
      </c>
      <c r="AY11" s="584" t="s">
        <v>134</v>
      </c>
      <c r="AZ11" s="585">
        <v>-3</v>
      </c>
      <c r="BA11" s="520">
        <v>-3</v>
      </c>
      <c r="BB11" s="586">
        <f t="shared" si="13"/>
        <v>0</v>
      </c>
      <c r="BC11" s="592">
        <v>55621</v>
      </c>
      <c r="BD11" s="518">
        <v>55621</v>
      </c>
      <c r="BE11" s="416">
        <f t="shared" si="1"/>
        <v>0</v>
      </c>
    </row>
    <row r="12" spans="1:58" ht="13" x14ac:dyDescent="0.3">
      <c r="A12" s="497" t="s">
        <v>135</v>
      </c>
      <c r="B12" s="493" t="s">
        <v>751</v>
      </c>
      <c r="C12" s="494">
        <v>-315</v>
      </c>
      <c r="D12" s="495">
        <v>-315</v>
      </c>
      <c r="E12" s="496">
        <f t="shared" si="0"/>
        <v>0</v>
      </c>
      <c r="F12" s="109" t="s">
        <v>135</v>
      </c>
      <c r="G12" s="102" t="s">
        <v>751</v>
      </c>
      <c r="H12" s="156">
        <v>-255</v>
      </c>
      <c r="I12" s="502">
        <v>-120</v>
      </c>
      <c r="J12" s="41">
        <f t="shared" si="2"/>
        <v>-135</v>
      </c>
      <c r="K12" s="497" t="s">
        <v>135</v>
      </c>
      <c r="L12" s="505" t="s">
        <v>844</v>
      </c>
      <c r="M12" s="494">
        <v>-195</v>
      </c>
      <c r="N12" s="506">
        <v>-195</v>
      </c>
      <c r="O12" s="496">
        <f t="shared" si="3"/>
        <v>0</v>
      </c>
      <c r="P12" s="109" t="s">
        <v>135</v>
      </c>
      <c r="Q12" s="513" t="s">
        <v>874</v>
      </c>
      <c r="R12" s="514">
        <v>0</v>
      </c>
      <c r="S12" s="503">
        <f t="shared" si="4"/>
        <v>0</v>
      </c>
      <c r="T12" s="504">
        <f t="shared" si="5"/>
        <v>0</v>
      </c>
      <c r="U12" s="497" t="s">
        <v>135</v>
      </c>
      <c r="V12" s="524" t="s">
        <v>874</v>
      </c>
      <c r="W12" s="525">
        <v>0</v>
      </c>
      <c r="X12" s="525">
        <f t="shared" si="6"/>
        <v>0</v>
      </c>
      <c r="Y12" s="507">
        <f t="shared" si="7"/>
        <v>0</v>
      </c>
      <c r="Z12" s="109" t="s">
        <v>135</v>
      </c>
      <c r="AA12" s="513" t="s">
        <v>874</v>
      </c>
      <c r="AB12" s="529">
        <v>0</v>
      </c>
      <c r="AC12" s="520">
        <v>0</v>
      </c>
      <c r="AD12" s="504">
        <f t="shared" si="8"/>
        <v>0</v>
      </c>
      <c r="AE12" s="497" t="s">
        <v>135</v>
      </c>
      <c r="AF12" s="524" t="s">
        <v>874</v>
      </c>
      <c r="AG12" s="533">
        <v>-552958</v>
      </c>
      <c r="AH12" s="533">
        <v>-552958</v>
      </c>
      <c r="AI12" s="507">
        <f t="shared" si="9"/>
        <v>0</v>
      </c>
      <c r="AJ12" s="109" t="s">
        <v>135</v>
      </c>
      <c r="AK12" s="513" t="s">
        <v>874</v>
      </c>
      <c r="AL12" s="517">
        <v>0</v>
      </c>
      <c r="AM12" s="517">
        <v>0</v>
      </c>
      <c r="AN12" s="504">
        <f t="shared" si="10"/>
        <v>0</v>
      </c>
      <c r="AO12" s="497" t="s">
        <v>135</v>
      </c>
      <c r="AP12" s="524" t="s">
        <v>874</v>
      </c>
      <c r="AQ12" s="528">
        <v>0</v>
      </c>
      <c r="AR12" s="528">
        <v>0</v>
      </c>
      <c r="AS12" s="507">
        <f t="shared" si="11"/>
        <v>0</v>
      </c>
      <c r="AT12" s="109" t="s">
        <v>135</v>
      </c>
      <c r="AU12" s="513" t="s">
        <v>874</v>
      </c>
      <c r="AV12" s="577">
        <v>0</v>
      </c>
      <c r="AW12" s="577">
        <v>0</v>
      </c>
      <c r="AX12" s="504">
        <f t="shared" si="12"/>
        <v>0</v>
      </c>
      <c r="AY12" s="584" t="s">
        <v>135</v>
      </c>
      <c r="AZ12" s="585">
        <v>0</v>
      </c>
      <c r="BA12" s="520">
        <v>0</v>
      </c>
      <c r="BB12" s="586">
        <f t="shared" si="13"/>
        <v>0</v>
      </c>
      <c r="BC12" s="592">
        <v>0</v>
      </c>
      <c r="BD12" s="520">
        <v>0</v>
      </c>
      <c r="BE12" s="416">
        <f t="shared" si="1"/>
        <v>0</v>
      </c>
    </row>
    <row r="13" spans="1:58" ht="13" x14ac:dyDescent="0.3">
      <c r="A13" s="497" t="s">
        <v>136</v>
      </c>
      <c r="B13" s="493" t="s">
        <v>580</v>
      </c>
      <c r="C13" s="494">
        <v>-6</v>
      </c>
      <c r="D13" s="495">
        <v>-6</v>
      </c>
      <c r="E13" s="496">
        <f t="shared" si="0"/>
        <v>0</v>
      </c>
      <c r="F13" s="109" t="s">
        <v>136</v>
      </c>
      <c r="G13" s="102" t="s">
        <v>580</v>
      </c>
      <c r="H13" s="156">
        <v>-3</v>
      </c>
      <c r="I13" s="502">
        <v>-3</v>
      </c>
      <c r="J13" s="41">
        <f t="shared" si="2"/>
        <v>0</v>
      </c>
      <c r="K13" s="497" t="s">
        <v>136</v>
      </c>
      <c r="L13" s="505" t="s">
        <v>845</v>
      </c>
      <c r="M13" s="494">
        <v>0</v>
      </c>
      <c r="N13" s="506">
        <v>0</v>
      </c>
      <c r="O13" s="496">
        <f t="shared" si="3"/>
        <v>0</v>
      </c>
      <c r="P13" s="109" t="s">
        <v>136</v>
      </c>
      <c r="Q13" s="513" t="s">
        <v>875</v>
      </c>
      <c r="R13" s="514">
        <v>0</v>
      </c>
      <c r="S13" s="503">
        <f t="shared" si="4"/>
        <v>0</v>
      </c>
      <c r="T13" s="504">
        <f t="shared" si="5"/>
        <v>0</v>
      </c>
      <c r="U13" s="497" t="s">
        <v>136</v>
      </c>
      <c r="V13" s="524" t="s">
        <v>875</v>
      </c>
      <c r="W13" s="525">
        <v>0</v>
      </c>
      <c r="X13" s="525">
        <f t="shared" si="6"/>
        <v>0</v>
      </c>
      <c r="Y13" s="507">
        <f t="shared" si="7"/>
        <v>0</v>
      </c>
      <c r="Z13" s="109" t="s">
        <v>136</v>
      </c>
      <c r="AA13" s="513" t="s">
        <v>875</v>
      </c>
      <c r="AB13" s="529">
        <v>0</v>
      </c>
      <c r="AC13" s="520">
        <v>0</v>
      </c>
      <c r="AD13" s="504">
        <f t="shared" si="8"/>
        <v>0</v>
      </c>
      <c r="AE13" s="497" t="s">
        <v>136</v>
      </c>
      <c r="AF13" s="524" t="s">
        <v>875</v>
      </c>
      <c r="AG13" s="533">
        <v>0</v>
      </c>
      <c r="AH13" s="533">
        <v>0</v>
      </c>
      <c r="AI13" s="507">
        <f t="shared" si="9"/>
        <v>0</v>
      </c>
      <c r="AJ13" s="109" t="s">
        <v>136</v>
      </c>
      <c r="AK13" s="513" t="s">
        <v>875</v>
      </c>
      <c r="AL13" s="517">
        <v>0</v>
      </c>
      <c r="AM13" s="517">
        <v>0</v>
      </c>
      <c r="AN13" s="504">
        <f t="shared" si="10"/>
        <v>0</v>
      </c>
      <c r="AO13" s="497" t="s">
        <v>136</v>
      </c>
      <c r="AP13" s="524" t="s">
        <v>875</v>
      </c>
      <c r="AQ13" s="528">
        <v>0</v>
      </c>
      <c r="AR13" s="528">
        <v>0</v>
      </c>
      <c r="AS13" s="507">
        <f t="shared" si="11"/>
        <v>0</v>
      </c>
      <c r="AT13" s="109" t="s">
        <v>136</v>
      </c>
      <c r="AU13" s="513" t="s">
        <v>875</v>
      </c>
      <c r="AV13" s="577">
        <v>0</v>
      </c>
      <c r="AW13" s="577">
        <v>0</v>
      </c>
      <c r="AX13" s="504">
        <f t="shared" si="12"/>
        <v>0</v>
      </c>
      <c r="AY13" s="584" t="s">
        <v>136</v>
      </c>
      <c r="AZ13" s="585">
        <v>0</v>
      </c>
      <c r="BA13" s="520">
        <v>0</v>
      </c>
      <c r="BB13" s="586">
        <f t="shared" si="13"/>
        <v>0</v>
      </c>
      <c r="BC13" s="592">
        <v>0</v>
      </c>
      <c r="BD13" s="520">
        <v>0</v>
      </c>
      <c r="BE13" s="416">
        <f t="shared" si="1"/>
        <v>0</v>
      </c>
    </row>
    <row r="14" spans="1:58" ht="13" x14ac:dyDescent="0.3">
      <c r="A14" s="492" t="s">
        <v>137</v>
      </c>
      <c r="B14" s="493" t="s">
        <v>581</v>
      </c>
      <c r="C14" s="494">
        <v>0</v>
      </c>
      <c r="D14" s="495">
        <v>0</v>
      </c>
      <c r="E14" s="496">
        <f t="shared" si="0"/>
        <v>0</v>
      </c>
      <c r="F14" s="348" t="s">
        <v>137</v>
      </c>
      <c r="G14" s="102" t="s">
        <v>581</v>
      </c>
      <c r="H14" s="156">
        <v>2168654</v>
      </c>
      <c r="I14" s="351">
        <v>2168654</v>
      </c>
      <c r="J14" s="41">
        <f t="shared" si="2"/>
        <v>0</v>
      </c>
      <c r="K14" s="492" t="s">
        <v>137</v>
      </c>
      <c r="L14" s="505" t="s">
        <v>846</v>
      </c>
      <c r="M14" s="494">
        <v>1306726</v>
      </c>
      <c r="N14" s="495">
        <v>1306726</v>
      </c>
      <c r="O14" s="496">
        <f t="shared" si="3"/>
        <v>0</v>
      </c>
      <c r="P14" s="109" t="s">
        <v>137</v>
      </c>
      <c r="Q14" s="513" t="s">
        <v>876</v>
      </c>
      <c r="R14" s="514">
        <v>2434061</v>
      </c>
      <c r="S14" s="503">
        <f t="shared" si="4"/>
        <v>2434061</v>
      </c>
      <c r="T14" s="504">
        <f t="shared" si="5"/>
        <v>0</v>
      </c>
      <c r="U14" s="497" t="s">
        <v>137</v>
      </c>
      <c r="V14" s="524" t="s">
        <v>876</v>
      </c>
      <c r="W14" s="525">
        <v>1000287</v>
      </c>
      <c r="X14" s="525">
        <f t="shared" si="6"/>
        <v>1000287</v>
      </c>
      <c r="Y14" s="507">
        <f t="shared" si="7"/>
        <v>0</v>
      </c>
      <c r="Z14" s="109" t="s">
        <v>137</v>
      </c>
      <c r="AA14" s="513" t="s">
        <v>876</v>
      </c>
      <c r="AB14" s="529">
        <v>1888477</v>
      </c>
      <c r="AC14" s="518">
        <v>1888477</v>
      </c>
      <c r="AD14" s="504">
        <f t="shared" si="8"/>
        <v>0</v>
      </c>
      <c r="AE14" s="497" t="s">
        <v>137</v>
      </c>
      <c r="AF14" s="524" t="s">
        <v>876</v>
      </c>
      <c r="AG14" s="533">
        <v>465558</v>
      </c>
      <c r="AH14" s="533">
        <v>465558</v>
      </c>
      <c r="AI14" s="507">
        <f t="shared" si="9"/>
        <v>0</v>
      </c>
      <c r="AJ14" s="109" t="s">
        <v>137</v>
      </c>
      <c r="AK14" s="513" t="s">
        <v>876</v>
      </c>
      <c r="AL14" s="517">
        <v>1152922</v>
      </c>
      <c r="AM14" s="517">
        <v>1152922</v>
      </c>
      <c r="AN14" s="504">
        <f t="shared" si="10"/>
        <v>0</v>
      </c>
      <c r="AO14" s="497" t="s">
        <v>137</v>
      </c>
      <c r="AP14" s="524" t="s">
        <v>876</v>
      </c>
      <c r="AQ14" s="528">
        <v>1152922</v>
      </c>
      <c r="AR14" s="528">
        <v>1152922</v>
      </c>
      <c r="AS14" s="507">
        <f t="shared" si="11"/>
        <v>0</v>
      </c>
      <c r="AT14" s="109" t="s">
        <v>137</v>
      </c>
      <c r="AU14" s="513" t="s">
        <v>876</v>
      </c>
      <c r="AV14" s="577">
        <v>0</v>
      </c>
      <c r="AW14" s="577">
        <v>0</v>
      </c>
      <c r="AX14" s="504">
        <f t="shared" si="12"/>
        <v>0</v>
      </c>
      <c r="AY14" s="584" t="s">
        <v>137</v>
      </c>
      <c r="AZ14" s="585">
        <v>2275813</v>
      </c>
      <c r="BA14" s="518">
        <v>2275813</v>
      </c>
      <c r="BB14" s="586">
        <f t="shared" si="13"/>
        <v>0</v>
      </c>
      <c r="BC14" s="592">
        <v>1482166</v>
      </c>
      <c r="BD14" s="518">
        <v>1482166</v>
      </c>
      <c r="BE14" s="416">
        <f t="shared" si="1"/>
        <v>0</v>
      </c>
    </row>
    <row r="15" spans="1:58" ht="13" x14ac:dyDescent="0.3">
      <c r="A15" s="497" t="s">
        <v>138</v>
      </c>
      <c r="B15" s="493" t="s">
        <v>582</v>
      </c>
      <c r="C15" s="494">
        <v>105527</v>
      </c>
      <c r="D15" s="495">
        <v>105527</v>
      </c>
      <c r="E15" s="496">
        <f t="shared" si="0"/>
        <v>0</v>
      </c>
      <c r="F15" s="109" t="s">
        <v>138</v>
      </c>
      <c r="G15" s="102" t="s">
        <v>582</v>
      </c>
      <c r="H15" s="156">
        <v>942944</v>
      </c>
      <c r="I15" s="351">
        <v>942944</v>
      </c>
      <c r="J15" s="41">
        <f t="shared" si="2"/>
        <v>0</v>
      </c>
      <c r="K15" s="497" t="s">
        <v>138</v>
      </c>
      <c r="L15" s="505" t="s">
        <v>847</v>
      </c>
      <c r="M15" s="494">
        <v>1469877</v>
      </c>
      <c r="N15" s="495">
        <v>1469877</v>
      </c>
      <c r="O15" s="496">
        <f t="shared" si="3"/>
        <v>0</v>
      </c>
      <c r="P15" s="109" t="s">
        <v>138</v>
      </c>
      <c r="Q15" s="513" t="s">
        <v>877</v>
      </c>
      <c r="R15" s="514">
        <v>515962</v>
      </c>
      <c r="S15" s="503">
        <f t="shared" si="4"/>
        <v>515962</v>
      </c>
      <c r="T15" s="504">
        <f t="shared" si="5"/>
        <v>0</v>
      </c>
      <c r="U15" s="497" t="s">
        <v>138</v>
      </c>
      <c r="V15" s="524" t="s">
        <v>877</v>
      </c>
      <c r="W15" s="525">
        <v>901397</v>
      </c>
      <c r="X15" s="525">
        <f t="shared" si="6"/>
        <v>901397</v>
      </c>
      <c r="Y15" s="507">
        <f t="shared" si="7"/>
        <v>0</v>
      </c>
      <c r="Z15" s="109" t="s">
        <v>138</v>
      </c>
      <c r="AA15" s="513" t="s">
        <v>877</v>
      </c>
      <c r="AB15" s="529">
        <v>742876</v>
      </c>
      <c r="AC15" s="518">
        <v>742876</v>
      </c>
      <c r="AD15" s="504">
        <f t="shared" si="8"/>
        <v>0</v>
      </c>
      <c r="AE15" s="497" t="s">
        <v>138</v>
      </c>
      <c r="AF15" s="524" t="s">
        <v>877</v>
      </c>
      <c r="AG15" s="533">
        <v>143692</v>
      </c>
      <c r="AH15" s="533">
        <v>143692</v>
      </c>
      <c r="AI15" s="507">
        <f t="shared" si="9"/>
        <v>0</v>
      </c>
      <c r="AJ15" s="109" t="s">
        <v>138</v>
      </c>
      <c r="AK15" s="513" t="s">
        <v>877</v>
      </c>
      <c r="AL15" s="517">
        <v>500000</v>
      </c>
      <c r="AM15" s="517">
        <v>500000</v>
      </c>
      <c r="AN15" s="504">
        <f t="shared" si="10"/>
        <v>0</v>
      </c>
      <c r="AO15" s="497" t="s">
        <v>138</v>
      </c>
      <c r="AP15" s="524" t="s">
        <v>877</v>
      </c>
      <c r="AQ15" s="528">
        <v>500000</v>
      </c>
      <c r="AR15" s="528">
        <v>500000</v>
      </c>
      <c r="AS15" s="507">
        <f t="shared" si="11"/>
        <v>0</v>
      </c>
      <c r="AT15" s="109" t="s">
        <v>138</v>
      </c>
      <c r="AU15" s="513" t="s">
        <v>935</v>
      </c>
      <c r="AV15" s="577">
        <v>191919</v>
      </c>
      <c r="AW15" s="577">
        <v>191919</v>
      </c>
      <c r="AX15" s="504">
        <f t="shared" si="12"/>
        <v>0</v>
      </c>
      <c r="AY15" s="584" t="s">
        <v>138</v>
      </c>
      <c r="AZ15" s="585">
        <v>910028</v>
      </c>
      <c r="BA15" s="518">
        <v>910028</v>
      </c>
      <c r="BB15" s="586">
        <f t="shared" si="13"/>
        <v>0</v>
      </c>
      <c r="BC15" s="592">
        <v>44862</v>
      </c>
      <c r="BD15" s="518">
        <v>44862</v>
      </c>
      <c r="BE15" s="416">
        <f t="shared" si="1"/>
        <v>0</v>
      </c>
    </row>
    <row r="16" spans="1:58" ht="13" x14ac:dyDescent="0.3">
      <c r="A16" s="497" t="s">
        <v>139</v>
      </c>
      <c r="B16" s="493" t="s">
        <v>583</v>
      </c>
      <c r="C16" s="494">
        <v>0</v>
      </c>
      <c r="D16" s="495">
        <v>0</v>
      </c>
      <c r="E16" s="496">
        <f t="shared" si="0"/>
        <v>0</v>
      </c>
      <c r="F16" s="109" t="s">
        <v>139</v>
      </c>
      <c r="G16" s="102" t="s">
        <v>583</v>
      </c>
      <c r="H16" s="156">
        <v>0</v>
      </c>
      <c r="I16" s="502">
        <v>0</v>
      </c>
      <c r="J16" s="41">
        <f t="shared" si="2"/>
        <v>0</v>
      </c>
      <c r="K16" s="497" t="s">
        <v>139</v>
      </c>
      <c r="L16" s="505" t="s">
        <v>848</v>
      </c>
      <c r="M16" s="494">
        <v>0</v>
      </c>
      <c r="N16" s="506">
        <v>0</v>
      </c>
      <c r="O16" s="496">
        <f t="shared" si="3"/>
        <v>0</v>
      </c>
      <c r="P16" s="109" t="s">
        <v>139</v>
      </c>
      <c r="Q16" s="513" t="s">
        <v>878</v>
      </c>
      <c r="R16" s="514">
        <v>0</v>
      </c>
      <c r="S16" s="503">
        <f t="shared" si="4"/>
        <v>0</v>
      </c>
      <c r="T16" s="504">
        <f t="shared" si="5"/>
        <v>0</v>
      </c>
      <c r="U16" s="497" t="s">
        <v>139</v>
      </c>
      <c r="V16" s="524" t="s">
        <v>878</v>
      </c>
      <c r="W16" s="525">
        <v>0</v>
      </c>
      <c r="X16" s="525">
        <f t="shared" si="6"/>
        <v>0</v>
      </c>
      <c r="Y16" s="507">
        <f t="shared" si="7"/>
        <v>0</v>
      </c>
      <c r="Z16" s="109" t="s">
        <v>139</v>
      </c>
      <c r="AA16" s="513" t="s">
        <v>878</v>
      </c>
      <c r="AB16" s="529">
        <v>0</v>
      </c>
      <c r="AC16" s="520">
        <v>0</v>
      </c>
      <c r="AD16" s="504">
        <f t="shared" si="8"/>
        <v>0</v>
      </c>
      <c r="AE16" s="497" t="s">
        <v>139</v>
      </c>
      <c r="AF16" s="524" t="s">
        <v>878</v>
      </c>
      <c r="AG16" s="533">
        <v>0</v>
      </c>
      <c r="AH16" s="533">
        <v>0</v>
      </c>
      <c r="AI16" s="507">
        <f t="shared" si="9"/>
        <v>0</v>
      </c>
      <c r="AJ16" s="109" t="s">
        <v>139</v>
      </c>
      <c r="AK16" s="513" t="s">
        <v>878</v>
      </c>
      <c r="AL16" s="517">
        <v>0</v>
      </c>
      <c r="AM16" s="517">
        <v>0</v>
      </c>
      <c r="AN16" s="504">
        <f t="shared" si="10"/>
        <v>0</v>
      </c>
      <c r="AO16" s="497" t="s">
        <v>139</v>
      </c>
      <c r="AP16" s="524" t="s">
        <v>878</v>
      </c>
      <c r="AQ16" s="528">
        <v>0</v>
      </c>
      <c r="AR16" s="528">
        <v>0</v>
      </c>
      <c r="AS16" s="507">
        <f t="shared" si="11"/>
        <v>0</v>
      </c>
      <c r="AT16" s="109" t="s">
        <v>139</v>
      </c>
      <c r="AU16" s="513" t="s">
        <v>878</v>
      </c>
      <c r="AV16" s="577">
        <v>0</v>
      </c>
      <c r="AW16" s="577">
        <v>0</v>
      </c>
      <c r="AX16" s="504">
        <f t="shared" si="12"/>
        <v>0</v>
      </c>
      <c r="AY16" s="584" t="s">
        <v>139</v>
      </c>
      <c r="AZ16" s="585">
        <v>0</v>
      </c>
      <c r="BA16" s="520">
        <v>0</v>
      </c>
      <c r="BB16" s="586">
        <f t="shared" si="13"/>
        <v>0</v>
      </c>
      <c r="BC16" s="592">
        <v>0</v>
      </c>
      <c r="BD16" s="520">
        <v>0</v>
      </c>
      <c r="BE16" s="416">
        <f t="shared" si="1"/>
        <v>0</v>
      </c>
    </row>
    <row r="17" spans="1:57" ht="13" x14ac:dyDescent="0.3">
      <c r="A17" s="497" t="s">
        <v>140</v>
      </c>
      <c r="B17" s="493" t="s">
        <v>752</v>
      </c>
      <c r="C17" s="494">
        <v>0</v>
      </c>
      <c r="D17" s="495">
        <v>0</v>
      </c>
      <c r="E17" s="496">
        <f t="shared" si="0"/>
        <v>0</v>
      </c>
      <c r="F17" s="109" t="s">
        <v>140</v>
      </c>
      <c r="G17" s="102" t="s">
        <v>752</v>
      </c>
      <c r="H17" s="156">
        <v>0</v>
      </c>
      <c r="I17" s="502">
        <v>0</v>
      </c>
      <c r="J17" s="41">
        <f t="shared" si="2"/>
        <v>0</v>
      </c>
      <c r="K17" s="497" t="s">
        <v>140</v>
      </c>
      <c r="L17" s="505" t="s">
        <v>849</v>
      </c>
      <c r="M17" s="494">
        <v>0</v>
      </c>
      <c r="N17" s="506">
        <v>0</v>
      </c>
      <c r="O17" s="496">
        <f t="shared" si="3"/>
        <v>0</v>
      </c>
      <c r="P17" s="109" t="s">
        <v>140</v>
      </c>
      <c r="Q17" s="513" t="s">
        <v>879</v>
      </c>
      <c r="R17" s="514">
        <v>0</v>
      </c>
      <c r="S17" s="503">
        <f t="shared" si="4"/>
        <v>0</v>
      </c>
      <c r="T17" s="504">
        <f t="shared" si="5"/>
        <v>0</v>
      </c>
      <c r="U17" s="497" t="s">
        <v>140</v>
      </c>
      <c r="V17" s="524" t="s">
        <v>879</v>
      </c>
      <c r="W17" s="525">
        <v>0</v>
      </c>
      <c r="X17" s="525">
        <f t="shared" si="6"/>
        <v>0</v>
      </c>
      <c r="Y17" s="507">
        <f t="shared" si="7"/>
        <v>0</v>
      </c>
      <c r="Z17" s="109" t="s">
        <v>140</v>
      </c>
      <c r="AA17" s="513" t="s">
        <v>879</v>
      </c>
      <c r="AB17" s="529">
        <v>0</v>
      </c>
      <c r="AC17" s="520">
        <v>0</v>
      </c>
      <c r="AD17" s="504">
        <f t="shared" si="8"/>
        <v>0</v>
      </c>
      <c r="AE17" s="497" t="s">
        <v>140</v>
      </c>
      <c r="AF17" s="524" t="s">
        <v>879</v>
      </c>
      <c r="AG17" s="533">
        <v>0</v>
      </c>
      <c r="AH17" s="533">
        <v>0</v>
      </c>
      <c r="AI17" s="507">
        <f t="shared" si="9"/>
        <v>0</v>
      </c>
      <c r="AJ17" s="109" t="s">
        <v>140</v>
      </c>
      <c r="AK17" s="513" t="s">
        <v>879</v>
      </c>
      <c r="AL17" s="517">
        <v>0</v>
      </c>
      <c r="AM17" s="517">
        <v>0</v>
      </c>
      <c r="AN17" s="504">
        <f t="shared" si="10"/>
        <v>0</v>
      </c>
      <c r="AO17" s="497" t="s">
        <v>140</v>
      </c>
      <c r="AP17" s="524" t="s">
        <v>879</v>
      </c>
      <c r="AQ17" s="528">
        <v>0</v>
      </c>
      <c r="AR17" s="528">
        <v>0</v>
      </c>
      <c r="AS17" s="507">
        <f t="shared" si="11"/>
        <v>0</v>
      </c>
      <c r="AT17" s="109" t="s">
        <v>140</v>
      </c>
      <c r="AU17" s="513" t="s">
        <v>936</v>
      </c>
      <c r="AV17" s="577">
        <v>0</v>
      </c>
      <c r="AW17" s="577">
        <v>0</v>
      </c>
      <c r="AX17" s="504">
        <f t="shared" si="12"/>
        <v>0</v>
      </c>
      <c r="AY17" s="584" t="s">
        <v>140</v>
      </c>
      <c r="AZ17" s="585">
        <v>0</v>
      </c>
      <c r="BA17" s="520">
        <v>0</v>
      </c>
      <c r="BB17" s="586">
        <f t="shared" si="13"/>
        <v>0</v>
      </c>
      <c r="BC17" s="592">
        <v>0</v>
      </c>
      <c r="BD17" s="520">
        <v>0</v>
      </c>
      <c r="BE17" s="416">
        <f t="shared" si="1"/>
        <v>0</v>
      </c>
    </row>
    <row r="18" spans="1:57" ht="13" x14ac:dyDescent="0.3">
      <c r="A18" s="497" t="s">
        <v>141</v>
      </c>
      <c r="B18" s="493" t="s">
        <v>584</v>
      </c>
      <c r="C18" s="494">
        <v>43441</v>
      </c>
      <c r="D18" s="495">
        <v>43441</v>
      </c>
      <c r="E18" s="496">
        <f t="shared" si="0"/>
        <v>0</v>
      </c>
      <c r="F18" s="109" t="s">
        <v>141</v>
      </c>
      <c r="G18" s="102" t="s">
        <v>584</v>
      </c>
      <c r="H18" s="156">
        <v>0</v>
      </c>
      <c r="I18" s="502">
        <v>0</v>
      </c>
      <c r="J18" s="41">
        <f t="shared" si="2"/>
        <v>0</v>
      </c>
      <c r="K18" s="497" t="s">
        <v>141</v>
      </c>
      <c r="L18" s="505" t="s">
        <v>850</v>
      </c>
      <c r="M18" s="494">
        <v>0</v>
      </c>
      <c r="N18" s="506">
        <v>0</v>
      </c>
      <c r="O18" s="496">
        <f t="shared" si="3"/>
        <v>0</v>
      </c>
      <c r="P18" s="109" t="s">
        <v>141</v>
      </c>
      <c r="Q18" s="513" t="s">
        <v>880</v>
      </c>
      <c r="R18" s="514">
        <v>-13219</v>
      </c>
      <c r="S18" s="503">
        <f t="shared" si="4"/>
        <v>-13219</v>
      </c>
      <c r="T18" s="504">
        <f t="shared" si="5"/>
        <v>0</v>
      </c>
      <c r="U18" s="497" t="s">
        <v>141</v>
      </c>
      <c r="V18" s="524" t="s">
        <v>880</v>
      </c>
      <c r="W18" s="525">
        <v>39708</v>
      </c>
      <c r="X18" s="525">
        <f t="shared" si="6"/>
        <v>39708</v>
      </c>
      <c r="Y18" s="507">
        <f t="shared" si="7"/>
        <v>0</v>
      </c>
      <c r="Z18" s="109" t="s">
        <v>141</v>
      </c>
      <c r="AA18" s="513" t="s">
        <v>880</v>
      </c>
      <c r="AB18" s="529">
        <v>-3733</v>
      </c>
      <c r="AC18" s="518">
        <v>-3733</v>
      </c>
      <c r="AD18" s="504">
        <f t="shared" si="8"/>
        <v>0</v>
      </c>
      <c r="AE18" s="497" t="s">
        <v>141</v>
      </c>
      <c r="AF18" s="524" t="s">
        <v>880</v>
      </c>
      <c r="AG18" s="533">
        <v>50</v>
      </c>
      <c r="AH18" s="533">
        <v>50</v>
      </c>
      <c r="AI18" s="507">
        <f t="shared" si="9"/>
        <v>0</v>
      </c>
      <c r="AJ18" s="109" t="s">
        <v>141</v>
      </c>
      <c r="AK18" s="513" t="s">
        <v>880</v>
      </c>
      <c r="AL18" s="517">
        <v>42077</v>
      </c>
      <c r="AM18" s="517">
        <v>42077</v>
      </c>
      <c r="AN18" s="504">
        <f t="shared" si="10"/>
        <v>0</v>
      </c>
      <c r="AO18" s="497" t="s">
        <v>141</v>
      </c>
      <c r="AP18" s="524" t="s">
        <v>880</v>
      </c>
      <c r="AQ18" s="528">
        <v>42077</v>
      </c>
      <c r="AR18" s="528">
        <v>42077</v>
      </c>
      <c r="AS18" s="507">
        <f t="shared" si="11"/>
        <v>0</v>
      </c>
      <c r="AT18" s="109" t="s">
        <v>141</v>
      </c>
      <c r="AU18" s="513" t="s">
        <v>937</v>
      </c>
      <c r="AV18" s="578">
        <v>-860000</v>
      </c>
      <c r="AW18" s="578">
        <v>-860000</v>
      </c>
      <c r="AX18" s="504">
        <f t="shared" si="12"/>
        <v>0</v>
      </c>
      <c r="AY18" s="584" t="s">
        <v>141</v>
      </c>
      <c r="AZ18" s="585">
        <v>-862269</v>
      </c>
      <c r="BA18" s="518">
        <v>-862269</v>
      </c>
      <c r="BB18" s="586">
        <f t="shared" si="13"/>
        <v>0</v>
      </c>
      <c r="BC18" s="592">
        <v>-866524</v>
      </c>
      <c r="BD18" s="518">
        <v>-866524</v>
      </c>
      <c r="BE18" s="416">
        <f t="shared" si="1"/>
        <v>0</v>
      </c>
    </row>
    <row r="19" spans="1:57" ht="13" x14ac:dyDescent="0.3">
      <c r="A19" s="497" t="s">
        <v>142</v>
      </c>
      <c r="B19" s="493" t="s">
        <v>585</v>
      </c>
      <c r="C19" s="494">
        <v>0</v>
      </c>
      <c r="D19" s="495">
        <v>0</v>
      </c>
      <c r="E19" s="496">
        <f t="shared" si="0"/>
        <v>0</v>
      </c>
      <c r="F19" s="109" t="s">
        <v>142</v>
      </c>
      <c r="G19" s="102" t="s">
        <v>585</v>
      </c>
      <c r="H19" s="156">
        <v>0</v>
      </c>
      <c r="I19" s="502">
        <v>0</v>
      </c>
      <c r="J19" s="41">
        <f t="shared" si="2"/>
        <v>0</v>
      </c>
      <c r="K19" s="497" t="s">
        <v>142</v>
      </c>
      <c r="L19" s="505" t="s">
        <v>851</v>
      </c>
      <c r="M19" s="494">
        <v>0</v>
      </c>
      <c r="N19" s="506">
        <v>0</v>
      </c>
      <c r="O19" s="496">
        <f t="shared" si="3"/>
        <v>0</v>
      </c>
      <c r="P19" s="109" t="s">
        <v>142</v>
      </c>
      <c r="Q19" s="513" t="s">
        <v>881</v>
      </c>
      <c r="R19" s="514">
        <v>0</v>
      </c>
      <c r="S19" s="503">
        <f t="shared" si="4"/>
        <v>0</v>
      </c>
      <c r="T19" s="504">
        <f t="shared" si="5"/>
        <v>0</v>
      </c>
      <c r="U19" s="497" t="s">
        <v>142</v>
      </c>
      <c r="V19" s="524" t="s">
        <v>881</v>
      </c>
      <c r="W19" s="525">
        <v>0</v>
      </c>
      <c r="X19" s="525">
        <f t="shared" si="6"/>
        <v>0</v>
      </c>
      <c r="Y19" s="507">
        <f t="shared" si="7"/>
        <v>0</v>
      </c>
      <c r="Z19" s="109" t="s">
        <v>142</v>
      </c>
      <c r="AA19" s="513" t="s">
        <v>881</v>
      </c>
      <c r="AB19" s="529">
        <v>0</v>
      </c>
      <c r="AC19" s="520">
        <v>0</v>
      </c>
      <c r="AD19" s="504">
        <f t="shared" si="8"/>
        <v>0</v>
      </c>
      <c r="AE19" s="497" t="s">
        <v>142</v>
      </c>
      <c r="AF19" s="524" t="s">
        <v>881</v>
      </c>
      <c r="AG19" s="532">
        <v>0</v>
      </c>
      <c r="AH19" s="532">
        <v>0</v>
      </c>
      <c r="AI19" s="507">
        <f t="shared" si="9"/>
        <v>0</v>
      </c>
      <c r="AJ19" s="109" t="s">
        <v>142</v>
      </c>
      <c r="AK19" s="513" t="s">
        <v>881</v>
      </c>
      <c r="AL19" s="517">
        <v>0</v>
      </c>
      <c r="AM19" s="517">
        <v>0</v>
      </c>
      <c r="AN19" s="504">
        <f t="shared" si="10"/>
        <v>0</v>
      </c>
      <c r="AO19" s="497" t="s">
        <v>142</v>
      </c>
      <c r="AP19" s="524" t="s">
        <v>881</v>
      </c>
      <c r="AQ19" s="528">
        <v>0</v>
      </c>
      <c r="AR19" s="528">
        <v>0</v>
      </c>
      <c r="AS19" s="507">
        <f t="shared" si="11"/>
        <v>0</v>
      </c>
      <c r="AT19" s="109" t="s">
        <v>142</v>
      </c>
      <c r="AU19" s="513" t="s">
        <v>938</v>
      </c>
      <c r="AV19" s="577">
        <v>0</v>
      </c>
      <c r="AW19" s="577">
        <v>0</v>
      </c>
      <c r="AX19" s="504">
        <f t="shared" si="12"/>
        <v>0</v>
      </c>
      <c r="AY19" s="584" t="s">
        <v>142</v>
      </c>
      <c r="AZ19" s="585">
        <v>2476</v>
      </c>
      <c r="BA19" s="520">
        <v>0</v>
      </c>
      <c r="BB19" s="586">
        <f t="shared" si="13"/>
        <v>2476</v>
      </c>
      <c r="BC19" s="592">
        <f>-864255+866731</f>
        <v>2476</v>
      </c>
      <c r="BD19" s="520">
        <v>0</v>
      </c>
      <c r="BE19" s="416">
        <f t="shared" si="1"/>
        <v>2476</v>
      </c>
    </row>
    <row r="20" spans="1:57" ht="13" x14ac:dyDescent="0.3">
      <c r="A20" s="497" t="s">
        <v>143</v>
      </c>
      <c r="B20" s="493" t="s">
        <v>753</v>
      </c>
      <c r="C20" s="494">
        <v>0</v>
      </c>
      <c r="D20" s="495">
        <v>0</v>
      </c>
      <c r="E20" s="496">
        <f t="shared" si="0"/>
        <v>0</v>
      </c>
      <c r="F20" s="109" t="s">
        <v>143</v>
      </c>
      <c r="G20" s="102" t="s">
        <v>753</v>
      </c>
      <c r="H20" s="156">
        <v>0</v>
      </c>
      <c r="I20" s="502">
        <v>0</v>
      </c>
      <c r="J20" s="41">
        <f t="shared" si="2"/>
        <v>0</v>
      </c>
      <c r="K20" s="497" t="s">
        <v>143</v>
      </c>
      <c r="L20" s="505" t="s">
        <v>852</v>
      </c>
      <c r="M20" s="494">
        <v>0</v>
      </c>
      <c r="N20" s="506">
        <v>0</v>
      </c>
      <c r="O20" s="496">
        <f t="shared" si="3"/>
        <v>0</v>
      </c>
      <c r="P20" s="109" t="s">
        <v>143</v>
      </c>
      <c r="Q20" s="513" t="s">
        <v>882</v>
      </c>
      <c r="R20" s="514">
        <v>0</v>
      </c>
      <c r="S20" s="503">
        <f t="shared" si="4"/>
        <v>0</v>
      </c>
      <c r="T20" s="504">
        <f t="shared" si="5"/>
        <v>0</v>
      </c>
      <c r="U20" s="497" t="s">
        <v>143</v>
      </c>
      <c r="V20" s="524" t="s">
        <v>882</v>
      </c>
      <c r="W20" s="525">
        <v>0</v>
      </c>
      <c r="X20" s="525">
        <f t="shared" si="6"/>
        <v>0</v>
      </c>
      <c r="Y20" s="507">
        <f t="shared" si="7"/>
        <v>0</v>
      </c>
      <c r="Z20" s="109" t="s">
        <v>143</v>
      </c>
      <c r="AA20" s="513" t="s">
        <v>882</v>
      </c>
      <c r="AB20" s="529">
        <v>0</v>
      </c>
      <c r="AC20" s="520">
        <v>0</v>
      </c>
      <c r="AD20" s="504">
        <f t="shared" si="8"/>
        <v>0</v>
      </c>
      <c r="AE20" s="497" t="s">
        <v>143</v>
      </c>
      <c r="AF20" s="524" t="s">
        <v>882</v>
      </c>
      <c r="AG20" s="532">
        <v>0</v>
      </c>
      <c r="AH20" s="532">
        <v>0</v>
      </c>
      <c r="AI20" s="507">
        <f t="shared" si="9"/>
        <v>0</v>
      </c>
      <c r="AJ20" s="109" t="s">
        <v>143</v>
      </c>
      <c r="AK20" s="513" t="s">
        <v>882</v>
      </c>
      <c r="AL20" s="517">
        <v>-218814</v>
      </c>
      <c r="AM20" s="517">
        <v>-218814</v>
      </c>
      <c r="AN20" s="504">
        <f t="shared" si="10"/>
        <v>0</v>
      </c>
      <c r="AO20" s="497" t="s">
        <v>143</v>
      </c>
      <c r="AP20" s="524" t="s">
        <v>882</v>
      </c>
      <c r="AQ20" s="528">
        <v>-218814</v>
      </c>
      <c r="AR20" s="528">
        <v>-218814</v>
      </c>
      <c r="AS20" s="507">
        <f t="shared" si="11"/>
        <v>0</v>
      </c>
      <c r="AT20" s="109" t="s">
        <v>143</v>
      </c>
      <c r="AU20" s="513" t="s">
        <v>939</v>
      </c>
      <c r="AV20" s="577">
        <v>0</v>
      </c>
      <c r="AW20" s="577">
        <v>0</v>
      </c>
      <c r="AX20" s="504">
        <f t="shared" si="12"/>
        <v>0</v>
      </c>
      <c r="AY20" s="584" t="s">
        <v>143</v>
      </c>
      <c r="AZ20" s="585">
        <v>809022</v>
      </c>
      <c r="BA20" s="518">
        <v>809022</v>
      </c>
      <c r="BB20" s="586">
        <f t="shared" si="13"/>
        <v>0</v>
      </c>
      <c r="BC20" s="592">
        <v>0</v>
      </c>
      <c r="BD20" s="520">
        <v>0</v>
      </c>
      <c r="BE20" s="416">
        <f t="shared" si="1"/>
        <v>0</v>
      </c>
    </row>
    <row r="21" spans="1:57" ht="13" x14ac:dyDescent="0.3">
      <c r="A21" s="497" t="s">
        <v>144</v>
      </c>
      <c r="B21" s="493" t="s">
        <v>586</v>
      </c>
      <c r="C21" s="494">
        <v>-9633</v>
      </c>
      <c r="D21" s="495">
        <v>-9633</v>
      </c>
      <c r="E21" s="496">
        <f t="shared" si="0"/>
        <v>0</v>
      </c>
      <c r="F21" s="109" t="s">
        <v>144</v>
      </c>
      <c r="G21" s="102" t="s">
        <v>586</v>
      </c>
      <c r="H21" s="156">
        <v>-180157</v>
      </c>
      <c r="I21" s="351">
        <v>-180216</v>
      </c>
      <c r="J21" s="41">
        <f t="shared" si="2"/>
        <v>59</v>
      </c>
      <c r="K21" s="497" t="s">
        <v>144</v>
      </c>
      <c r="L21" s="505" t="s">
        <v>853</v>
      </c>
      <c r="M21" s="494">
        <v>-600681</v>
      </c>
      <c r="N21" s="495">
        <v>-600740</v>
      </c>
      <c r="O21" s="496">
        <f t="shared" si="3"/>
        <v>59</v>
      </c>
      <c r="P21" s="109" t="s">
        <v>144</v>
      </c>
      <c r="Q21" s="513" t="s">
        <v>883</v>
      </c>
      <c r="R21" s="514">
        <v>-21205</v>
      </c>
      <c r="S21" s="503">
        <f t="shared" si="4"/>
        <v>-21205</v>
      </c>
      <c r="T21" s="515">
        <f t="shared" si="5"/>
        <v>0</v>
      </c>
      <c r="U21" s="497" t="s">
        <v>144</v>
      </c>
      <c r="V21" s="524" t="s">
        <v>883</v>
      </c>
      <c r="W21" s="525">
        <v>-28697</v>
      </c>
      <c r="X21" s="525">
        <f t="shared" si="6"/>
        <v>-28697</v>
      </c>
      <c r="Y21" s="507">
        <f t="shared" si="7"/>
        <v>0</v>
      </c>
      <c r="Z21" s="109" t="s">
        <v>144</v>
      </c>
      <c r="AA21" s="513" t="s">
        <v>883</v>
      </c>
      <c r="AB21" s="529">
        <v>49770</v>
      </c>
      <c r="AC21" s="518">
        <v>49711</v>
      </c>
      <c r="AD21" s="515">
        <f t="shared" si="8"/>
        <v>59</v>
      </c>
      <c r="AE21" s="497" t="s">
        <v>144</v>
      </c>
      <c r="AF21" s="524" t="s">
        <v>883</v>
      </c>
      <c r="AG21" s="532">
        <v>923474</v>
      </c>
      <c r="AH21" s="532">
        <v>923474</v>
      </c>
      <c r="AI21" s="507">
        <f t="shared" si="9"/>
        <v>0</v>
      </c>
      <c r="AJ21" s="109" t="s">
        <v>144</v>
      </c>
      <c r="AK21" s="513" t="s">
        <v>883</v>
      </c>
      <c r="AL21" s="517">
        <v>-4601</v>
      </c>
      <c r="AM21" s="517">
        <v>-4601</v>
      </c>
      <c r="AN21" s="504">
        <f t="shared" si="10"/>
        <v>0</v>
      </c>
      <c r="AO21" s="497" t="s">
        <v>144</v>
      </c>
      <c r="AP21" s="524" t="s">
        <v>883</v>
      </c>
      <c r="AQ21" s="528">
        <v>-4601</v>
      </c>
      <c r="AR21" s="528">
        <v>-4601</v>
      </c>
      <c r="AS21" s="507">
        <f t="shared" si="11"/>
        <v>0</v>
      </c>
      <c r="AT21" s="109" t="s">
        <v>144</v>
      </c>
      <c r="AU21" s="513" t="s">
        <v>940</v>
      </c>
      <c r="AV21" s="577">
        <v>0</v>
      </c>
      <c r="AW21" s="577">
        <v>0</v>
      </c>
      <c r="AX21" s="504">
        <f t="shared" si="12"/>
        <v>0</v>
      </c>
      <c r="AY21" s="584" t="s">
        <v>144</v>
      </c>
      <c r="AZ21" s="585">
        <v>0</v>
      </c>
      <c r="BA21" s="520">
        <v>0</v>
      </c>
      <c r="BB21" s="586">
        <f t="shared" si="13"/>
        <v>0</v>
      </c>
      <c r="BC21" s="592">
        <v>-1500</v>
      </c>
      <c r="BD21" s="518">
        <v>-1500</v>
      </c>
      <c r="BE21" s="416">
        <f t="shared" si="1"/>
        <v>0</v>
      </c>
    </row>
    <row r="22" spans="1:57" ht="13" x14ac:dyDescent="0.3">
      <c r="A22" s="497" t="s">
        <v>145</v>
      </c>
      <c r="B22" s="493" t="s">
        <v>754</v>
      </c>
      <c r="C22" s="494">
        <v>0</v>
      </c>
      <c r="D22" s="495">
        <v>0</v>
      </c>
      <c r="E22" s="496">
        <f t="shared" si="0"/>
        <v>0</v>
      </c>
      <c r="F22" s="109" t="s">
        <v>145</v>
      </c>
      <c r="G22" s="102" t="s">
        <v>754</v>
      </c>
      <c r="H22" s="156">
        <v>0</v>
      </c>
      <c r="I22" s="502">
        <v>0</v>
      </c>
      <c r="J22" s="41">
        <f t="shared" si="2"/>
        <v>0</v>
      </c>
      <c r="K22" s="497" t="s">
        <v>145</v>
      </c>
      <c r="L22" s="505" t="s">
        <v>854</v>
      </c>
      <c r="M22" s="494">
        <v>0</v>
      </c>
      <c r="N22" s="506">
        <v>0</v>
      </c>
      <c r="O22" s="496">
        <f t="shared" si="3"/>
        <v>0</v>
      </c>
      <c r="P22" s="109" t="s">
        <v>145</v>
      </c>
      <c r="Q22" s="513" t="s">
        <v>884</v>
      </c>
      <c r="R22" s="514">
        <v>0</v>
      </c>
      <c r="S22" s="503">
        <f t="shared" si="4"/>
        <v>0</v>
      </c>
      <c r="T22" s="504">
        <f t="shared" si="5"/>
        <v>0</v>
      </c>
      <c r="U22" s="497" t="s">
        <v>145</v>
      </c>
      <c r="V22" s="524" t="s">
        <v>884</v>
      </c>
      <c r="W22" s="525">
        <v>-91</v>
      </c>
      <c r="X22" s="525">
        <f t="shared" si="6"/>
        <v>-91</v>
      </c>
      <c r="Y22" s="507">
        <f t="shared" si="7"/>
        <v>0</v>
      </c>
      <c r="Z22" s="109" t="s">
        <v>145</v>
      </c>
      <c r="AA22" s="513" t="s">
        <v>884</v>
      </c>
      <c r="AB22" s="529">
        <v>0</v>
      </c>
      <c r="AC22" s="520">
        <v>0</v>
      </c>
      <c r="AD22" s="504">
        <f t="shared" si="8"/>
        <v>0</v>
      </c>
      <c r="AE22" s="497" t="s">
        <v>145</v>
      </c>
      <c r="AF22" s="524" t="s">
        <v>884</v>
      </c>
      <c r="AG22" s="532">
        <v>0</v>
      </c>
      <c r="AH22" s="532">
        <v>0</v>
      </c>
      <c r="AI22" s="507">
        <f t="shared" si="9"/>
        <v>0</v>
      </c>
      <c r="AJ22" s="109" t="s">
        <v>145</v>
      </c>
      <c r="AK22" s="513" t="s">
        <v>884</v>
      </c>
      <c r="AL22" s="517">
        <v>0</v>
      </c>
      <c r="AM22" s="517">
        <v>0</v>
      </c>
      <c r="AN22" s="504">
        <f t="shared" si="10"/>
        <v>0</v>
      </c>
      <c r="AO22" s="497" t="s">
        <v>145</v>
      </c>
      <c r="AP22" s="524" t="s">
        <v>884</v>
      </c>
      <c r="AQ22" s="528">
        <v>0</v>
      </c>
      <c r="AR22" s="528">
        <v>0</v>
      </c>
      <c r="AS22" s="507">
        <f t="shared" si="11"/>
        <v>0</v>
      </c>
      <c r="AT22" s="109" t="s">
        <v>145</v>
      </c>
      <c r="AU22" s="513" t="s">
        <v>941</v>
      </c>
      <c r="AV22" s="578">
        <v>-200000</v>
      </c>
      <c r="AW22" s="578">
        <v>-200000</v>
      </c>
      <c r="AX22" s="504">
        <f t="shared" si="12"/>
        <v>0</v>
      </c>
      <c r="AY22" s="584" t="s">
        <v>145</v>
      </c>
      <c r="AZ22" s="585">
        <v>1000208</v>
      </c>
      <c r="BA22" s="518">
        <v>1000208</v>
      </c>
      <c r="BB22" s="586">
        <f t="shared" si="13"/>
        <v>0</v>
      </c>
      <c r="BC22" s="592">
        <v>1139884</v>
      </c>
      <c r="BD22" s="518">
        <v>1139884</v>
      </c>
      <c r="BE22" s="416">
        <f t="shared" si="1"/>
        <v>0</v>
      </c>
    </row>
    <row r="23" spans="1:57" ht="13" x14ac:dyDescent="0.3">
      <c r="A23" s="497" t="s">
        <v>146</v>
      </c>
      <c r="B23" s="493" t="s">
        <v>755</v>
      </c>
      <c r="C23" s="494">
        <v>0</v>
      </c>
      <c r="D23" s="495">
        <v>0</v>
      </c>
      <c r="E23" s="496">
        <f t="shared" si="0"/>
        <v>0</v>
      </c>
      <c r="F23" s="109" t="s">
        <v>146</v>
      </c>
      <c r="G23" s="102" t="s">
        <v>755</v>
      </c>
      <c r="H23" s="156">
        <v>0</v>
      </c>
      <c r="I23" s="502">
        <v>0</v>
      </c>
      <c r="J23" s="41">
        <f t="shared" si="2"/>
        <v>0</v>
      </c>
      <c r="K23" s="497" t="s">
        <v>146</v>
      </c>
      <c r="L23" s="505" t="s">
        <v>855</v>
      </c>
      <c r="M23" s="494">
        <v>0</v>
      </c>
      <c r="N23" s="506">
        <v>0</v>
      </c>
      <c r="O23" s="496">
        <f t="shared" si="3"/>
        <v>0</v>
      </c>
      <c r="P23" s="109" t="s">
        <v>146</v>
      </c>
      <c r="Q23" s="513" t="s">
        <v>885</v>
      </c>
      <c r="R23" s="514">
        <v>0</v>
      </c>
      <c r="S23" s="503">
        <f t="shared" si="4"/>
        <v>0</v>
      </c>
      <c r="T23" s="504">
        <f t="shared" si="5"/>
        <v>0</v>
      </c>
      <c r="U23" s="497" t="s">
        <v>146</v>
      </c>
      <c r="V23" s="524" t="s">
        <v>885</v>
      </c>
      <c r="W23" s="525">
        <v>0</v>
      </c>
      <c r="X23" s="525">
        <f t="shared" si="6"/>
        <v>0</v>
      </c>
      <c r="Y23" s="507">
        <f t="shared" si="7"/>
        <v>0</v>
      </c>
      <c r="Z23" s="109" t="s">
        <v>146</v>
      </c>
      <c r="AA23" s="513" t="s">
        <v>885</v>
      </c>
      <c r="AB23" s="529">
        <v>0</v>
      </c>
      <c r="AC23" s="520">
        <v>0</v>
      </c>
      <c r="AD23" s="504">
        <f t="shared" si="8"/>
        <v>0</v>
      </c>
      <c r="AE23" s="497" t="s">
        <v>146</v>
      </c>
      <c r="AF23" s="524" t="s">
        <v>885</v>
      </c>
      <c r="AG23" s="532">
        <v>0</v>
      </c>
      <c r="AH23" s="532">
        <v>0</v>
      </c>
      <c r="AI23" s="507">
        <f t="shared" si="9"/>
        <v>0</v>
      </c>
      <c r="AJ23" s="109" t="s">
        <v>146</v>
      </c>
      <c r="AK23" s="513" t="s">
        <v>885</v>
      </c>
      <c r="AL23" s="517">
        <v>87930</v>
      </c>
      <c r="AM23" s="517">
        <v>87930</v>
      </c>
      <c r="AN23" s="504">
        <f t="shared" si="10"/>
        <v>0</v>
      </c>
      <c r="AO23" s="497" t="s">
        <v>146</v>
      </c>
      <c r="AP23" s="524" t="s">
        <v>885</v>
      </c>
      <c r="AQ23" s="528">
        <v>87930</v>
      </c>
      <c r="AR23" s="528">
        <v>87930</v>
      </c>
      <c r="AS23" s="507">
        <f t="shared" si="11"/>
        <v>0</v>
      </c>
      <c r="AT23" s="109" t="s">
        <v>146</v>
      </c>
      <c r="AU23" s="513" t="s">
        <v>942</v>
      </c>
      <c r="AV23" s="577">
        <v>0</v>
      </c>
      <c r="AW23" s="577">
        <v>0</v>
      </c>
      <c r="AX23" s="504">
        <f t="shared" si="12"/>
        <v>0</v>
      </c>
      <c r="AY23" s="584" t="s">
        <v>146</v>
      </c>
      <c r="AZ23" s="585">
        <v>0</v>
      </c>
      <c r="BA23" s="520">
        <v>0</v>
      </c>
      <c r="BB23" s="586">
        <f t="shared" si="13"/>
        <v>0</v>
      </c>
      <c r="BC23" s="592">
        <v>0</v>
      </c>
      <c r="BD23" s="520">
        <v>0</v>
      </c>
      <c r="BE23" s="416">
        <f t="shared" si="1"/>
        <v>0</v>
      </c>
    </row>
    <row r="24" spans="1:57" ht="13" x14ac:dyDescent="0.3">
      <c r="A24" s="497" t="s">
        <v>147</v>
      </c>
      <c r="B24" s="493" t="s">
        <v>433</v>
      </c>
      <c r="C24" s="494">
        <v>-9</v>
      </c>
      <c r="D24" s="495">
        <v>-9</v>
      </c>
      <c r="E24" s="496">
        <f t="shared" si="0"/>
        <v>0</v>
      </c>
      <c r="F24" s="109" t="s">
        <v>147</v>
      </c>
      <c r="G24" s="102" t="s">
        <v>433</v>
      </c>
      <c r="H24" s="156">
        <v>16361</v>
      </c>
      <c r="I24" s="351">
        <v>-9</v>
      </c>
      <c r="J24" s="41">
        <f t="shared" si="2"/>
        <v>16370</v>
      </c>
      <c r="K24" s="497" t="s">
        <v>147</v>
      </c>
      <c r="L24" s="505" t="s">
        <v>856</v>
      </c>
      <c r="M24" s="494">
        <v>135</v>
      </c>
      <c r="N24" s="495">
        <v>0</v>
      </c>
      <c r="O24" s="496">
        <f t="shared" si="3"/>
        <v>135</v>
      </c>
      <c r="P24" s="109" t="s">
        <v>147</v>
      </c>
      <c r="Q24" s="513" t="s">
        <v>886</v>
      </c>
      <c r="R24" s="514">
        <v>783407</v>
      </c>
      <c r="S24" s="503">
        <f t="shared" si="4"/>
        <v>783407</v>
      </c>
      <c r="T24" s="504">
        <f t="shared" si="5"/>
        <v>0</v>
      </c>
      <c r="U24" s="497" t="s">
        <v>147</v>
      </c>
      <c r="V24" s="524" t="s">
        <v>886</v>
      </c>
      <c r="W24" s="525">
        <v>-1004</v>
      </c>
      <c r="X24" s="525">
        <f t="shared" si="6"/>
        <v>-1004</v>
      </c>
      <c r="Y24" s="507">
        <f t="shared" si="7"/>
        <v>0</v>
      </c>
      <c r="Z24" s="109" t="s">
        <v>147</v>
      </c>
      <c r="AA24" s="513" t="s">
        <v>886</v>
      </c>
      <c r="AB24" s="529">
        <v>-1004</v>
      </c>
      <c r="AC24" s="518">
        <v>-1004</v>
      </c>
      <c r="AD24" s="504">
        <f t="shared" si="8"/>
        <v>0</v>
      </c>
      <c r="AE24" s="497" t="s">
        <v>147</v>
      </c>
      <c r="AF24" s="524" t="s">
        <v>886</v>
      </c>
      <c r="AG24" s="532">
        <v>49462</v>
      </c>
      <c r="AH24" s="532">
        <v>49462</v>
      </c>
      <c r="AI24" s="507">
        <f t="shared" si="9"/>
        <v>0</v>
      </c>
      <c r="AJ24" s="109" t="s">
        <v>147</v>
      </c>
      <c r="AK24" s="513" t="s">
        <v>886</v>
      </c>
      <c r="AL24" s="517">
        <v>-297006</v>
      </c>
      <c r="AM24" s="517">
        <v>-297006</v>
      </c>
      <c r="AN24" s="504">
        <f t="shared" si="10"/>
        <v>0</v>
      </c>
      <c r="AO24" s="497" t="s">
        <v>147</v>
      </c>
      <c r="AP24" s="524" t="s">
        <v>886</v>
      </c>
      <c r="AQ24" s="528">
        <v>-297006</v>
      </c>
      <c r="AR24" s="528">
        <v>-297006</v>
      </c>
      <c r="AS24" s="507">
        <f t="shared" si="11"/>
        <v>0</v>
      </c>
      <c r="AT24" s="109" t="s">
        <v>147</v>
      </c>
      <c r="AU24" s="513" t="s">
        <v>943</v>
      </c>
      <c r="AV24" s="578">
        <v>-930736</v>
      </c>
      <c r="AW24" s="578">
        <v>-930736</v>
      </c>
      <c r="AX24" s="504">
        <f t="shared" si="12"/>
        <v>0</v>
      </c>
      <c r="AY24" s="584" t="s">
        <v>147</v>
      </c>
      <c r="AZ24" s="585">
        <v>-930236</v>
      </c>
      <c r="BA24" s="518">
        <v>-930236</v>
      </c>
      <c r="BB24" s="586">
        <f t="shared" si="13"/>
        <v>0</v>
      </c>
      <c r="BC24" s="592">
        <v>-930736</v>
      </c>
      <c r="BD24" s="518">
        <v>-930736</v>
      </c>
      <c r="BE24" s="416">
        <f t="shared" si="1"/>
        <v>0</v>
      </c>
    </row>
    <row r="25" spans="1:57" ht="13" x14ac:dyDescent="0.3">
      <c r="A25" s="497" t="s">
        <v>148</v>
      </c>
      <c r="B25" s="493" t="s">
        <v>756</v>
      </c>
      <c r="C25" s="494">
        <v>0</v>
      </c>
      <c r="D25" s="495">
        <v>0</v>
      </c>
      <c r="E25" s="496">
        <f t="shared" si="0"/>
        <v>0</v>
      </c>
      <c r="F25" s="109" t="s">
        <v>148</v>
      </c>
      <c r="G25" s="102" t="s">
        <v>756</v>
      </c>
      <c r="H25" s="156">
        <v>2205333</v>
      </c>
      <c r="I25" s="351">
        <v>2205333</v>
      </c>
      <c r="J25" s="41">
        <f t="shared" si="2"/>
        <v>0</v>
      </c>
      <c r="K25" s="497" t="s">
        <v>148</v>
      </c>
      <c r="L25" s="505" t="s">
        <v>857</v>
      </c>
      <c r="M25" s="494">
        <v>1091587</v>
      </c>
      <c r="N25" s="495">
        <v>1091587</v>
      </c>
      <c r="O25" s="496">
        <f t="shared" si="3"/>
        <v>0</v>
      </c>
      <c r="P25" s="109" t="s">
        <v>148</v>
      </c>
      <c r="Q25" s="513" t="s">
        <v>887</v>
      </c>
      <c r="R25" s="514">
        <v>0</v>
      </c>
      <c r="S25" s="503">
        <f t="shared" si="4"/>
        <v>0</v>
      </c>
      <c r="T25" s="504">
        <f t="shared" si="5"/>
        <v>0</v>
      </c>
      <c r="U25" s="497" t="s">
        <v>148</v>
      </c>
      <c r="V25" s="524" t="s">
        <v>887</v>
      </c>
      <c r="W25" s="525">
        <v>0</v>
      </c>
      <c r="X25" s="525">
        <f t="shared" si="6"/>
        <v>0</v>
      </c>
      <c r="Y25" s="507">
        <f t="shared" si="7"/>
        <v>0</v>
      </c>
      <c r="Z25" s="109" t="s">
        <v>148</v>
      </c>
      <c r="AA25" s="513" t="s">
        <v>887</v>
      </c>
      <c r="AB25" s="529">
        <v>0</v>
      </c>
      <c r="AC25" s="520">
        <v>0</v>
      </c>
      <c r="AD25" s="504">
        <f t="shared" si="8"/>
        <v>0</v>
      </c>
      <c r="AE25" s="497" t="s">
        <v>148</v>
      </c>
      <c r="AF25" s="524" t="s">
        <v>887</v>
      </c>
      <c r="AG25" s="532">
        <v>0</v>
      </c>
      <c r="AH25" s="532">
        <v>0</v>
      </c>
      <c r="AI25" s="507">
        <f t="shared" si="9"/>
        <v>0</v>
      </c>
      <c r="AJ25" s="109" t="s">
        <v>148</v>
      </c>
      <c r="AK25" s="513" t="s">
        <v>887</v>
      </c>
      <c r="AL25" s="517">
        <v>0</v>
      </c>
      <c r="AM25" s="517"/>
      <c r="AN25" s="504">
        <f t="shared" si="10"/>
        <v>0</v>
      </c>
      <c r="AO25" s="497" t="s">
        <v>148</v>
      </c>
      <c r="AP25" s="524" t="s">
        <v>887</v>
      </c>
      <c r="AQ25" s="528">
        <v>0</v>
      </c>
      <c r="AR25" s="528"/>
      <c r="AS25" s="507">
        <f t="shared" si="11"/>
        <v>0</v>
      </c>
      <c r="AT25" s="109" t="s">
        <v>148</v>
      </c>
      <c r="AU25" s="513" t="s">
        <v>944</v>
      </c>
      <c r="AV25" s="577">
        <v>-96</v>
      </c>
      <c r="AW25" s="577">
        <v>-96</v>
      </c>
      <c r="AX25" s="504">
        <f t="shared" si="12"/>
        <v>0</v>
      </c>
      <c r="AY25" s="584" t="s">
        <v>148</v>
      </c>
      <c r="AZ25" s="585">
        <v>-64</v>
      </c>
      <c r="BA25" s="520">
        <v>-64</v>
      </c>
      <c r="BB25" s="586">
        <f t="shared" si="13"/>
        <v>0</v>
      </c>
      <c r="BC25" s="592">
        <v>-32</v>
      </c>
      <c r="BD25" s="520">
        <v>-32</v>
      </c>
      <c r="BE25" s="416">
        <f t="shared" si="1"/>
        <v>0</v>
      </c>
    </row>
    <row r="26" spans="1:57" ht="13" x14ac:dyDescent="0.3">
      <c r="A26" s="497" t="s">
        <v>149</v>
      </c>
      <c r="B26" s="493" t="s">
        <v>587</v>
      </c>
      <c r="C26" s="494">
        <v>0</v>
      </c>
      <c r="D26" s="495">
        <v>0</v>
      </c>
      <c r="E26" s="496">
        <f t="shared" si="0"/>
        <v>0</v>
      </c>
      <c r="F26" s="109" t="s">
        <v>149</v>
      </c>
      <c r="G26" s="102" t="s">
        <v>587</v>
      </c>
      <c r="H26" s="156">
        <v>0</v>
      </c>
      <c r="I26" s="351">
        <v>0</v>
      </c>
      <c r="J26" s="41">
        <f t="shared" si="2"/>
        <v>0</v>
      </c>
      <c r="K26" s="497" t="s">
        <v>149</v>
      </c>
      <c r="L26" s="505" t="s">
        <v>858</v>
      </c>
      <c r="M26" s="494">
        <v>1023653</v>
      </c>
      <c r="N26" s="495">
        <v>1023653</v>
      </c>
      <c r="O26" s="496">
        <f t="shared" si="3"/>
        <v>0</v>
      </c>
      <c r="P26" s="109" t="s">
        <v>149</v>
      </c>
      <c r="Q26" s="513" t="s">
        <v>888</v>
      </c>
      <c r="R26" s="514">
        <v>0</v>
      </c>
      <c r="S26" s="503">
        <f t="shared" si="4"/>
        <v>0</v>
      </c>
      <c r="T26" s="504">
        <f t="shared" si="5"/>
        <v>0</v>
      </c>
      <c r="U26" s="497" t="s">
        <v>149</v>
      </c>
      <c r="V26" s="524" t="s">
        <v>888</v>
      </c>
      <c r="W26" s="525">
        <v>0</v>
      </c>
      <c r="X26" s="525">
        <f t="shared" si="6"/>
        <v>0</v>
      </c>
      <c r="Y26" s="507">
        <f t="shared" si="7"/>
        <v>0</v>
      </c>
      <c r="Z26" s="109" t="s">
        <v>149</v>
      </c>
      <c r="AA26" s="513" t="s">
        <v>888</v>
      </c>
      <c r="AB26" s="529">
        <v>0</v>
      </c>
      <c r="AC26" s="520">
        <v>0</v>
      </c>
      <c r="AD26" s="504">
        <f t="shared" si="8"/>
        <v>0</v>
      </c>
      <c r="AE26" s="497" t="s">
        <v>149</v>
      </c>
      <c r="AF26" s="524" t="s">
        <v>888</v>
      </c>
      <c r="AG26" s="532">
        <v>0</v>
      </c>
      <c r="AH26" s="532">
        <v>0</v>
      </c>
      <c r="AI26" s="507">
        <f t="shared" si="9"/>
        <v>0</v>
      </c>
      <c r="AJ26" s="109" t="s">
        <v>149</v>
      </c>
      <c r="AK26" s="513" t="s">
        <v>888</v>
      </c>
      <c r="AL26" s="517">
        <v>0</v>
      </c>
      <c r="AM26" s="517"/>
      <c r="AN26" s="504">
        <f t="shared" si="10"/>
        <v>0</v>
      </c>
      <c r="AO26" s="497" t="s">
        <v>149</v>
      </c>
      <c r="AP26" s="524" t="s">
        <v>888</v>
      </c>
      <c r="AQ26" s="528">
        <v>0</v>
      </c>
      <c r="AR26" s="528"/>
      <c r="AS26" s="507">
        <f t="shared" si="11"/>
        <v>0</v>
      </c>
      <c r="AT26" s="109" t="s">
        <v>149</v>
      </c>
      <c r="AU26" s="513" t="s">
        <v>888</v>
      </c>
      <c r="AV26" s="577">
        <v>0</v>
      </c>
      <c r="AW26" s="577">
        <v>0</v>
      </c>
      <c r="AX26" s="504">
        <f t="shared" si="12"/>
        <v>0</v>
      </c>
      <c r="AY26" s="584" t="s">
        <v>149</v>
      </c>
      <c r="AZ26" s="585">
        <v>0</v>
      </c>
      <c r="BA26" s="520">
        <v>0</v>
      </c>
      <c r="BB26" s="586">
        <f t="shared" si="13"/>
        <v>0</v>
      </c>
      <c r="BC26" s="592">
        <v>0</v>
      </c>
      <c r="BD26" s="520">
        <v>0</v>
      </c>
      <c r="BE26" s="416">
        <f t="shared" si="1"/>
        <v>0</v>
      </c>
    </row>
    <row r="27" spans="1:57" ht="13" x14ac:dyDescent="0.3">
      <c r="A27" s="497" t="s">
        <v>150</v>
      </c>
      <c r="B27" s="493" t="s">
        <v>588</v>
      </c>
      <c r="C27" s="494">
        <v>0</v>
      </c>
      <c r="D27" s="495">
        <v>0</v>
      </c>
      <c r="E27" s="496">
        <f t="shared" si="0"/>
        <v>0</v>
      </c>
      <c r="F27" s="109" t="s">
        <v>150</v>
      </c>
      <c r="G27" s="102" t="s">
        <v>588</v>
      </c>
      <c r="H27" s="156">
        <v>0</v>
      </c>
      <c r="I27" s="502">
        <v>0</v>
      </c>
      <c r="J27" s="41">
        <f t="shared" si="2"/>
        <v>0</v>
      </c>
      <c r="K27" s="497" t="s">
        <v>150</v>
      </c>
      <c r="L27" s="505" t="s">
        <v>859</v>
      </c>
      <c r="M27" s="494">
        <v>0</v>
      </c>
      <c r="N27" s="506">
        <v>0</v>
      </c>
      <c r="O27" s="496">
        <f t="shared" si="3"/>
        <v>0</v>
      </c>
      <c r="P27" s="109" t="s">
        <v>150</v>
      </c>
      <c r="Q27" s="513" t="s">
        <v>889</v>
      </c>
      <c r="R27" s="514">
        <v>0</v>
      </c>
      <c r="S27" s="503">
        <f t="shared" si="4"/>
        <v>0</v>
      </c>
      <c r="T27" s="504">
        <f t="shared" si="5"/>
        <v>0</v>
      </c>
      <c r="U27" s="497" t="s">
        <v>150</v>
      </c>
      <c r="V27" s="524" t="s">
        <v>889</v>
      </c>
      <c r="W27" s="525">
        <v>0</v>
      </c>
      <c r="X27" s="525">
        <f t="shared" si="6"/>
        <v>0</v>
      </c>
      <c r="Y27" s="507">
        <f t="shared" si="7"/>
        <v>0</v>
      </c>
      <c r="Z27" s="109" t="s">
        <v>150</v>
      </c>
      <c r="AA27" s="513" t="s">
        <v>889</v>
      </c>
      <c r="AB27" s="529">
        <v>0</v>
      </c>
      <c r="AC27" s="520">
        <v>0</v>
      </c>
      <c r="AD27" s="504">
        <f t="shared" si="8"/>
        <v>0</v>
      </c>
      <c r="AE27" s="497" t="s">
        <v>150</v>
      </c>
      <c r="AF27" s="524" t="s">
        <v>889</v>
      </c>
      <c r="AG27" s="532">
        <v>0</v>
      </c>
      <c r="AH27" s="532">
        <v>0</v>
      </c>
      <c r="AI27" s="507">
        <f t="shared" si="9"/>
        <v>0</v>
      </c>
      <c r="AJ27" s="109" t="s">
        <v>150</v>
      </c>
      <c r="AK27" s="513" t="s">
        <v>889</v>
      </c>
      <c r="AL27" s="517">
        <v>0</v>
      </c>
      <c r="AM27" s="517"/>
      <c r="AN27" s="504">
        <f t="shared" si="10"/>
        <v>0</v>
      </c>
      <c r="AO27" s="497" t="s">
        <v>150</v>
      </c>
      <c r="AP27" s="524" t="s">
        <v>889</v>
      </c>
      <c r="AQ27" s="528">
        <v>0</v>
      </c>
      <c r="AR27" s="528"/>
      <c r="AS27" s="507">
        <f t="shared" si="11"/>
        <v>0</v>
      </c>
      <c r="AT27" s="109" t="s">
        <v>150</v>
      </c>
      <c r="AU27" s="513" t="s">
        <v>945</v>
      </c>
      <c r="AV27" s="577">
        <v>0</v>
      </c>
      <c r="AW27" s="577">
        <v>0</v>
      </c>
      <c r="AX27" s="504">
        <f t="shared" si="12"/>
        <v>0</v>
      </c>
      <c r="AY27" s="584" t="s">
        <v>150</v>
      </c>
      <c r="AZ27" s="585">
        <v>0</v>
      </c>
      <c r="BA27" s="520">
        <v>0</v>
      </c>
      <c r="BB27" s="586">
        <f t="shared" si="13"/>
        <v>0</v>
      </c>
      <c r="BC27" s="592">
        <v>0</v>
      </c>
      <c r="BD27" s="520">
        <v>0</v>
      </c>
      <c r="BE27" s="416">
        <f t="shared" si="1"/>
        <v>0</v>
      </c>
    </row>
    <row r="28" spans="1:57" ht="13" x14ac:dyDescent="0.3">
      <c r="A28" s="497" t="s">
        <v>151</v>
      </c>
      <c r="B28" s="493" t="s">
        <v>589</v>
      </c>
      <c r="C28" s="494">
        <v>-1354</v>
      </c>
      <c r="D28" s="495">
        <v>-1354</v>
      </c>
      <c r="E28" s="496">
        <f t="shared" si="0"/>
        <v>0</v>
      </c>
      <c r="F28" s="109" t="s">
        <v>151</v>
      </c>
      <c r="G28" s="102" t="s">
        <v>589</v>
      </c>
      <c r="H28" s="156">
        <v>-1279404</v>
      </c>
      <c r="I28" s="351">
        <v>-1279404</v>
      </c>
      <c r="J28" s="41">
        <f t="shared" si="2"/>
        <v>0</v>
      </c>
      <c r="K28" s="497" t="s">
        <v>151</v>
      </c>
      <c r="L28" s="505" t="s">
        <v>860</v>
      </c>
      <c r="M28" s="494">
        <v>59341</v>
      </c>
      <c r="N28" s="495">
        <v>59341</v>
      </c>
      <c r="O28" s="496">
        <f t="shared" si="3"/>
        <v>0</v>
      </c>
      <c r="P28" s="109" t="s">
        <v>151</v>
      </c>
      <c r="Q28" s="513" t="s">
        <v>890</v>
      </c>
      <c r="R28" s="514">
        <v>-709</v>
      </c>
      <c r="S28" s="503">
        <f t="shared" si="4"/>
        <v>-709</v>
      </c>
      <c r="T28" s="504">
        <f t="shared" si="5"/>
        <v>0</v>
      </c>
      <c r="U28" s="497" t="s">
        <v>151</v>
      </c>
      <c r="V28" s="524" t="s">
        <v>890</v>
      </c>
      <c r="W28" s="525">
        <v>128528</v>
      </c>
      <c r="X28" s="525">
        <f t="shared" si="6"/>
        <v>128528</v>
      </c>
      <c r="Y28" s="507">
        <f t="shared" si="7"/>
        <v>0</v>
      </c>
      <c r="Z28" s="109" t="s">
        <v>151</v>
      </c>
      <c r="AA28" s="513" t="s">
        <v>890</v>
      </c>
      <c r="AB28" s="529">
        <v>900204</v>
      </c>
      <c r="AC28" s="518">
        <v>900204</v>
      </c>
      <c r="AD28" s="504">
        <f t="shared" si="8"/>
        <v>0</v>
      </c>
      <c r="AE28" s="497" t="s">
        <v>151</v>
      </c>
      <c r="AF28" s="524" t="s">
        <v>890</v>
      </c>
      <c r="AG28" s="532">
        <v>-950</v>
      </c>
      <c r="AH28" s="532">
        <v>-950</v>
      </c>
      <c r="AI28" s="507">
        <f t="shared" si="9"/>
        <v>0</v>
      </c>
      <c r="AJ28" s="109" t="s">
        <v>151</v>
      </c>
      <c r="AK28" s="513" t="s">
        <v>890</v>
      </c>
      <c r="AL28" s="517">
        <v>0</v>
      </c>
      <c r="AM28" s="517">
        <v>0</v>
      </c>
      <c r="AN28" s="504">
        <f t="shared" si="10"/>
        <v>0</v>
      </c>
      <c r="AO28" s="497" t="s">
        <v>151</v>
      </c>
      <c r="AP28" s="524" t="s">
        <v>890</v>
      </c>
      <c r="AQ28" s="528">
        <v>0</v>
      </c>
      <c r="AR28" s="528">
        <v>0</v>
      </c>
      <c r="AS28" s="507">
        <f t="shared" si="11"/>
        <v>0</v>
      </c>
      <c r="AT28" s="109" t="s">
        <v>151</v>
      </c>
      <c r="AU28" s="513" t="s">
        <v>946</v>
      </c>
      <c r="AV28" s="577">
        <v>106933</v>
      </c>
      <c r="AW28" s="577">
        <v>106933</v>
      </c>
      <c r="AX28" s="504">
        <f t="shared" si="12"/>
        <v>0</v>
      </c>
      <c r="AY28" s="584" t="s">
        <v>151</v>
      </c>
      <c r="AZ28" s="585">
        <v>471464</v>
      </c>
      <c r="BA28" s="518">
        <v>471464</v>
      </c>
      <c r="BB28" s="586">
        <f t="shared" si="13"/>
        <v>0</v>
      </c>
      <c r="BC28" s="592">
        <v>417099</v>
      </c>
      <c r="BD28" s="518">
        <v>417099</v>
      </c>
      <c r="BE28" s="416">
        <f t="shared" si="1"/>
        <v>0</v>
      </c>
    </row>
    <row r="29" spans="1:57" ht="13" x14ac:dyDescent="0.3">
      <c r="A29" s="497" t="s">
        <v>152</v>
      </c>
      <c r="B29" s="493" t="s">
        <v>590</v>
      </c>
      <c r="C29" s="494">
        <v>376214</v>
      </c>
      <c r="D29" s="495">
        <v>376214</v>
      </c>
      <c r="E29" s="496">
        <f t="shared" si="0"/>
        <v>0</v>
      </c>
      <c r="F29" s="109" t="s">
        <v>152</v>
      </c>
      <c r="G29" s="102" t="s">
        <v>590</v>
      </c>
      <c r="H29" s="156">
        <v>1461285</v>
      </c>
      <c r="I29" s="351">
        <v>1461285</v>
      </c>
      <c r="J29" s="41">
        <f t="shared" si="2"/>
        <v>0</v>
      </c>
      <c r="K29" s="497" t="s">
        <v>152</v>
      </c>
      <c r="L29" s="505" t="s">
        <v>861</v>
      </c>
      <c r="M29" s="494">
        <v>466361</v>
      </c>
      <c r="N29" s="495">
        <v>466361</v>
      </c>
      <c r="O29" s="496">
        <f t="shared" si="3"/>
        <v>0</v>
      </c>
      <c r="P29" s="109" t="s">
        <v>152</v>
      </c>
      <c r="Q29" s="513" t="s">
        <v>891</v>
      </c>
      <c r="R29" s="514">
        <v>667357</v>
      </c>
      <c r="S29" s="503">
        <f t="shared" si="4"/>
        <v>667357</v>
      </c>
      <c r="T29" s="515">
        <f t="shared" si="5"/>
        <v>0</v>
      </c>
      <c r="U29" s="497" t="s">
        <v>152</v>
      </c>
      <c r="V29" s="524" t="s">
        <v>891</v>
      </c>
      <c r="W29" s="525">
        <v>0</v>
      </c>
      <c r="X29" s="525">
        <f t="shared" si="6"/>
        <v>0</v>
      </c>
      <c r="Y29" s="507">
        <f t="shared" si="7"/>
        <v>0</v>
      </c>
      <c r="Z29" s="109" t="s">
        <v>152</v>
      </c>
      <c r="AA29" s="513" t="s">
        <v>891</v>
      </c>
      <c r="AB29" s="529">
        <v>322190</v>
      </c>
      <c r="AC29" s="518">
        <v>300197</v>
      </c>
      <c r="AD29" s="515">
        <f t="shared" si="8"/>
        <v>21993</v>
      </c>
      <c r="AE29" s="497" t="s">
        <v>152</v>
      </c>
      <c r="AF29" s="524" t="s">
        <v>891</v>
      </c>
      <c r="AG29" s="532">
        <v>2090842</v>
      </c>
      <c r="AH29" s="532">
        <v>2090842</v>
      </c>
      <c r="AI29" s="507">
        <f t="shared" si="9"/>
        <v>0</v>
      </c>
      <c r="AJ29" s="109" t="s">
        <v>152</v>
      </c>
      <c r="AK29" s="513" t="s">
        <v>891</v>
      </c>
      <c r="AL29" s="517">
        <v>1343757</v>
      </c>
      <c r="AM29" s="517">
        <v>1343757</v>
      </c>
      <c r="AN29" s="504">
        <f t="shared" si="10"/>
        <v>0</v>
      </c>
      <c r="AO29" s="497" t="s">
        <v>152</v>
      </c>
      <c r="AP29" s="524" t="s">
        <v>891</v>
      </c>
      <c r="AQ29" s="528">
        <v>1343757</v>
      </c>
      <c r="AR29" s="528">
        <v>1343757</v>
      </c>
      <c r="AS29" s="507">
        <f t="shared" si="11"/>
        <v>0</v>
      </c>
      <c r="AT29" s="109" t="s">
        <v>152</v>
      </c>
      <c r="AU29" s="513" t="s">
        <v>947</v>
      </c>
      <c r="AV29" s="578">
        <v>-16255</v>
      </c>
      <c r="AW29" s="578">
        <v>-16255</v>
      </c>
      <c r="AX29" s="504">
        <f t="shared" si="12"/>
        <v>0</v>
      </c>
      <c r="AY29" s="584" t="s">
        <v>152</v>
      </c>
      <c r="AZ29" s="585">
        <v>0</v>
      </c>
      <c r="BA29" s="520">
        <v>0</v>
      </c>
      <c r="BB29" s="586">
        <f t="shared" si="13"/>
        <v>0</v>
      </c>
      <c r="BC29" s="592">
        <v>0</v>
      </c>
      <c r="BD29" s="520">
        <v>0</v>
      </c>
      <c r="BE29" s="416">
        <f t="shared" si="1"/>
        <v>0</v>
      </c>
    </row>
    <row r="30" spans="1:57" ht="13" x14ac:dyDescent="0.3">
      <c r="A30" s="497" t="s">
        <v>153</v>
      </c>
      <c r="B30" s="493" t="s">
        <v>591</v>
      </c>
      <c r="C30" s="494">
        <v>-90</v>
      </c>
      <c r="D30" s="495">
        <v>-90</v>
      </c>
      <c r="E30" s="496">
        <f t="shared" si="0"/>
        <v>0</v>
      </c>
      <c r="F30" s="109" t="s">
        <v>153</v>
      </c>
      <c r="G30" s="102" t="s">
        <v>591</v>
      </c>
      <c r="H30" s="156">
        <v>835894</v>
      </c>
      <c r="I30" s="502">
        <v>835894</v>
      </c>
      <c r="J30" s="41">
        <f t="shared" si="2"/>
        <v>0</v>
      </c>
      <c r="K30" s="497" t="s">
        <v>153</v>
      </c>
      <c r="L30" s="505" t="s">
        <v>862</v>
      </c>
      <c r="M30" s="494">
        <v>-53</v>
      </c>
      <c r="N30" s="506">
        <v>-53</v>
      </c>
      <c r="O30" s="496">
        <f t="shared" si="3"/>
        <v>0</v>
      </c>
      <c r="P30" s="109" t="s">
        <v>153</v>
      </c>
      <c r="Q30" s="513" t="s">
        <v>892</v>
      </c>
      <c r="R30" s="514">
        <v>0</v>
      </c>
      <c r="S30" s="503">
        <f t="shared" si="4"/>
        <v>0</v>
      </c>
      <c r="T30" s="504">
        <f t="shared" si="5"/>
        <v>0</v>
      </c>
      <c r="U30" s="497" t="s">
        <v>153</v>
      </c>
      <c r="V30" s="524" t="s">
        <v>892</v>
      </c>
      <c r="W30" s="525">
        <v>0</v>
      </c>
      <c r="X30" s="525">
        <f t="shared" si="6"/>
        <v>0</v>
      </c>
      <c r="Y30" s="507">
        <f t="shared" si="7"/>
        <v>0</v>
      </c>
      <c r="Z30" s="109" t="s">
        <v>153</v>
      </c>
      <c r="AA30" s="513" t="s">
        <v>892</v>
      </c>
      <c r="AB30" s="529">
        <v>0</v>
      </c>
      <c r="AC30" s="520">
        <v>0</v>
      </c>
      <c r="AD30" s="504">
        <f t="shared" si="8"/>
        <v>0</v>
      </c>
      <c r="AE30" s="497" t="s">
        <v>153</v>
      </c>
      <c r="AF30" s="524" t="s">
        <v>892</v>
      </c>
      <c r="AG30" s="532">
        <v>0</v>
      </c>
      <c r="AH30" s="532">
        <v>0</v>
      </c>
      <c r="AI30" s="507">
        <f t="shared" si="9"/>
        <v>0</v>
      </c>
      <c r="AJ30" s="109" t="s">
        <v>153</v>
      </c>
      <c r="AK30" s="513" t="s">
        <v>892</v>
      </c>
      <c r="AL30" s="517">
        <v>0</v>
      </c>
      <c r="AM30" s="517">
        <v>0</v>
      </c>
      <c r="AN30" s="504">
        <f t="shared" si="10"/>
        <v>0</v>
      </c>
      <c r="AO30" s="497" t="s">
        <v>153</v>
      </c>
      <c r="AP30" s="524" t="s">
        <v>892</v>
      </c>
      <c r="AQ30" s="528">
        <v>0</v>
      </c>
      <c r="AR30" s="528">
        <v>0</v>
      </c>
      <c r="AS30" s="507">
        <f t="shared" si="11"/>
        <v>0</v>
      </c>
      <c r="AT30" s="109" t="s">
        <v>153</v>
      </c>
      <c r="AU30" s="513" t="s">
        <v>948</v>
      </c>
      <c r="AV30" s="577">
        <v>0</v>
      </c>
      <c r="AW30" s="577">
        <v>0</v>
      </c>
      <c r="AX30" s="504">
        <f t="shared" si="12"/>
        <v>0</v>
      </c>
      <c r="AY30" s="584" t="s">
        <v>153</v>
      </c>
      <c r="AZ30" s="585">
        <v>0</v>
      </c>
      <c r="BA30" s="520">
        <v>0</v>
      </c>
      <c r="BB30" s="586">
        <f t="shared" si="13"/>
        <v>0</v>
      </c>
      <c r="BC30" s="592">
        <v>0</v>
      </c>
      <c r="BD30" s="520">
        <v>0</v>
      </c>
      <c r="BE30" s="416">
        <f t="shared" si="1"/>
        <v>0</v>
      </c>
    </row>
    <row r="31" spans="1:57" ht="13" x14ac:dyDescent="0.3">
      <c r="A31" s="497" t="s">
        <v>154</v>
      </c>
      <c r="B31" s="493" t="s">
        <v>592</v>
      </c>
      <c r="C31" s="494">
        <v>-9415</v>
      </c>
      <c r="D31" s="495">
        <v>-9415</v>
      </c>
      <c r="E31" s="496">
        <f t="shared" si="0"/>
        <v>0</v>
      </c>
      <c r="F31" s="109" t="s">
        <v>154</v>
      </c>
      <c r="G31" s="102" t="s">
        <v>592</v>
      </c>
      <c r="H31" s="156">
        <v>0</v>
      </c>
      <c r="I31" s="502">
        <v>0</v>
      </c>
      <c r="J31" s="41">
        <f t="shared" si="2"/>
        <v>0</v>
      </c>
      <c r="K31" s="497" t="s">
        <v>154</v>
      </c>
      <c r="L31" s="505" t="s">
        <v>863</v>
      </c>
      <c r="M31" s="494">
        <v>0</v>
      </c>
      <c r="N31" s="506">
        <v>0</v>
      </c>
      <c r="O31" s="496">
        <f t="shared" si="3"/>
        <v>0</v>
      </c>
      <c r="P31" s="109" t="s">
        <v>154</v>
      </c>
      <c r="Q31" s="513" t="s">
        <v>893</v>
      </c>
      <c r="R31" s="514">
        <v>0</v>
      </c>
      <c r="S31" s="503">
        <f t="shared" si="4"/>
        <v>0</v>
      </c>
      <c r="T31" s="504">
        <f t="shared" si="5"/>
        <v>0</v>
      </c>
      <c r="U31" s="497" t="s">
        <v>154</v>
      </c>
      <c r="V31" s="524" t="s">
        <v>893</v>
      </c>
      <c r="W31" s="525">
        <v>0</v>
      </c>
      <c r="X31" s="525">
        <f t="shared" si="6"/>
        <v>0</v>
      </c>
      <c r="Y31" s="507">
        <f t="shared" si="7"/>
        <v>0</v>
      </c>
      <c r="Z31" s="109" t="s">
        <v>154</v>
      </c>
      <c r="AA31" s="513" t="s">
        <v>893</v>
      </c>
      <c r="AB31" s="529">
        <v>1422238</v>
      </c>
      <c r="AC31" s="518">
        <v>1422238</v>
      </c>
      <c r="AD31" s="504">
        <f t="shared" si="8"/>
        <v>0</v>
      </c>
      <c r="AE31" s="497" t="s">
        <v>154</v>
      </c>
      <c r="AF31" s="524" t="s">
        <v>893</v>
      </c>
      <c r="AG31" s="532">
        <v>0</v>
      </c>
      <c r="AH31" s="532">
        <v>0</v>
      </c>
      <c r="AI31" s="507">
        <f t="shared" si="9"/>
        <v>0</v>
      </c>
      <c r="AJ31" s="109" t="s">
        <v>154</v>
      </c>
      <c r="AK31" s="513" t="s">
        <v>893</v>
      </c>
      <c r="AL31" s="517">
        <v>1945011</v>
      </c>
      <c r="AM31" s="517">
        <v>1945011</v>
      </c>
      <c r="AN31" s="504">
        <f t="shared" si="10"/>
        <v>0</v>
      </c>
      <c r="AO31" s="497" t="s">
        <v>154</v>
      </c>
      <c r="AP31" s="524" t="s">
        <v>893</v>
      </c>
      <c r="AQ31" s="528">
        <v>1945011</v>
      </c>
      <c r="AR31" s="528">
        <v>1945011</v>
      </c>
      <c r="AS31" s="507">
        <f t="shared" si="11"/>
        <v>0</v>
      </c>
      <c r="AT31" s="109" t="s">
        <v>154</v>
      </c>
      <c r="AU31" s="513" t="s">
        <v>893</v>
      </c>
      <c r="AV31" s="577">
        <v>770032</v>
      </c>
      <c r="AW31" s="577">
        <v>770032</v>
      </c>
      <c r="AX31" s="504">
        <f t="shared" si="12"/>
        <v>0</v>
      </c>
      <c r="AY31" s="584" t="s">
        <v>154</v>
      </c>
      <c r="AZ31" s="585">
        <v>0</v>
      </c>
      <c r="BA31" s="520">
        <v>0</v>
      </c>
      <c r="BB31" s="586">
        <f t="shared" si="13"/>
        <v>0</v>
      </c>
      <c r="BC31" s="592">
        <v>0</v>
      </c>
      <c r="BD31" s="520">
        <v>0</v>
      </c>
      <c r="BE31" s="416">
        <f t="shared" si="1"/>
        <v>0</v>
      </c>
    </row>
    <row r="32" spans="1:57" ht="13" x14ac:dyDescent="0.3">
      <c r="A32" s="497" t="s">
        <v>155</v>
      </c>
      <c r="B32" s="493" t="s">
        <v>593</v>
      </c>
      <c r="C32" s="494">
        <v>0</v>
      </c>
      <c r="D32" s="495">
        <v>0</v>
      </c>
      <c r="E32" s="496"/>
      <c r="F32" s="109" t="s">
        <v>155</v>
      </c>
      <c r="G32" s="102" t="s">
        <v>593</v>
      </c>
      <c r="H32" s="156">
        <v>0</v>
      </c>
      <c r="I32" s="502">
        <v>0</v>
      </c>
      <c r="J32" s="41">
        <f t="shared" si="2"/>
        <v>0</v>
      </c>
      <c r="K32" s="497" t="s">
        <v>155</v>
      </c>
      <c r="L32" s="505" t="s">
        <v>864</v>
      </c>
      <c r="M32" s="494">
        <v>0</v>
      </c>
      <c r="N32" s="506">
        <v>0</v>
      </c>
      <c r="O32" s="496">
        <f t="shared" si="3"/>
        <v>0</v>
      </c>
      <c r="P32" s="109" t="s">
        <v>155</v>
      </c>
      <c r="Q32" s="513" t="s">
        <v>894</v>
      </c>
      <c r="R32" s="503">
        <v>0</v>
      </c>
      <c r="S32" s="516">
        <v>0</v>
      </c>
      <c r="T32" s="108">
        <v>0</v>
      </c>
      <c r="U32" s="497" t="s">
        <v>155</v>
      </c>
      <c r="V32" s="526" t="s">
        <v>894</v>
      </c>
      <c r="W32" s="525">
        <v>0</v>
      </c>
      <c r="X32" s="527">
        <v>0</v>
      </c>
      <c r="Y32" s="488">
        <v>0</v>
      </c>
      <c r="Z32" s="109" t="s">
        <v>155</v>
      </c>
      <c r="AA32" s="519" t="s">
        <v>894</v>
      </c>
      <c r="AB32" s="529">
        <v>0</v>
      </c>
      <c r="AC32" s="520">
        <v>0</v>
      </c>
      <c r="AD32" s="108">
        <v>0</v>
      </c>
      <c r="AE32" s="497" t="s">
        <v>155</v>
      </c>
      <c r="AF32" s="524" t="s">
        <v>894</v>
      </c>
      <c r="AG32" s="534">
        <v>0</v>
      </c>
      <c r="AH32" s="534">
        <v>0</v>
      </c>
      <c r="AI32" s="499">
        <v>0</v>
      </c>
      <c r="AJ32" s="109" t="s">
        <v>155</v>
      </c>
      <c r="AK32" s="513" t="s">
        <v>894</v>
      </c>
      <c r="AL32" s="517">
        <v>0</v>
      </c>
      <c r="AM32" s="517">
        <v>0</v>
      </c>
      <c r="AN32" s="14">
        <v>0</v>
      </c>
      <c r="AO32" s="497" t="s">
        <v>155</v>
      </c>
      <c r="AP32" s="524" t="s">
        <v>894</v>
      </c>
      <c r="AQ32" s="528">
        <v>0</v>
      </c>
      <c r="AR32" s="528">
        <v>0</v>
      </c>
      <c r="AS32" s="499">
        <v>0</v>
      </c>
      <c r="AT32" s="109" t="s">
        <v>155</v>
      </c>
      <c r="AU32" s="513" t="s">
        <v>894</v>
      </c>
      <c r="AV32" s="14"/>
      <c r="AW32" s="579"/>
      <c r="AX32" s="14"/>
      <c r="AY32" s="587" t="s">
        <v>155</v>
      </c>
      <c r="AZ32" s="585">
        <v>0</v>
      </c>
      <c r="BA32" s="520">
        <v>0</v>
      </c>
      <c r="BB32" s="586">
        <f t="shared" si="13"/>
        <v>0</v>
      </c>
      <c r="BC32" s="592">
        <v>0</v>
      </c>
      <c r="BD32" s="520">
        <v>0</v>
      </c>
      <c r="BE32" s="416">
        <f t="shared" si="1"/>
        <v>0</v>
      </c>
    </row>
    <row r="33" spans="1:59" ht="13.5" thickBot="1" x14ac:dyDescent="0.35">
      <c r="A33" s="602"/>
      <c r="B33" s="530"/>
      <c r="C33" s="603"/>
      <c r="D33" s="604"/>
      <c r="E33" s="605"/>
      <c r="F33" s="606"/>
      <c r="G33" s="531"/>
      <c r="H33" s="607"/>
      <c r="I33" s="608"/>
      <c r="J33" s="609"/>
      <c r="K33" s="602"/>
      <c r="L33" s="610"/>
      <c r="M33" s="603"/>
      <c r="N33" s="611"/>
      <c r="O33" s="605"/>
      <c r="P33" s="606"/>
      <c r="Q33" s="519"/>
      <c r="R33" s="612"/>
      <c r="S33" s="613"/>
      <c r="T33" s="108"/>
      <c r="U33" s="602"/>
      <c r="V33" s="526"/>
      <c r="W33" s="525"/>
      <c r="X33" s="527"/>
      <c r="Y33" s="488"/>
      <c r="Z33" s="606"/>
      <c r="AA33" s="519"/>
      <c r="AB33" s="529"/>
      <c r="AC33" s="520"/>
      <c r="AD33" s="108"/>
      <c r="AE33" s="488"/>
      <c r="AF33" s="614" t="s">
        <v>64</v>
      </c>
      <c r="AG33" s="615"/>
      <c r="AH33" s="615"/>
      <c r="AI33" s="616"/>
      <c r="AJ33" s="108"/>
      <c r="AK33" s="617"/>
      <c r="AL33" s="618"/>
      <c r="AM33" s="618"/>
      <c r="AN33" s="619"/>
      <c r="AO33" s="488"/>
      <c r="AP33" s="614"/>
      <c r="AQ33" s="615"/>
      <c r="AR33" s="615"/>
      <c r="AS33" s="616"/>
      <c r="AT33" s="108"/>
      <c r="AU33" s="617"/>
      <c r="AV33" s="620"/>
      <c r="AW33" s="620"/>
      <c r="AX33" s="619"/>
      <c r="AY33" s="621"/>
      <c r="AZ33" s="622"/>
      <c r="BA33" s="518"/>
      <c r="BB33" s="623"/>
      <c r="BC33" s="622"/>
      <c r="BD33" s="588">
        <f>SUM(BD4:BD32)</f>
        <v>2201047</v>
      </c>
      <c r="BE33" s="588">
        <f>SUM(BE4:BE32)</f>
        <v>2476</v>
      </c>
      <c r="BF33" s="1" t="s">
        <v>955</v>
      </c>
    </row>
    <row r="34" spans="1:59" s="600" customFormat="1" ht="13.5" thickTop="1" x14ac:dyDescent="0.3">
      <c r="A34" s="601" t="s">
        <v>952</v>
      </c>
      <c r="B34" s="594" t="s">
        <v>64</v>
      </c>
      <c r="C34" s="595">
        <f>SUM(C4:C32)</f>
        <v>3339078</v>
      </c>
      <c r="D34" s="595">
        <f>SUM(D4:D32)</f>
        <v>3339078</v>
      </c>
      <c r="E34" s="595">
        <f>SUM(E4:E32)</f>
        <v>0</v>
      </c>
      <c r="F34" s="593"/>
      <c r="G34" s="594" t="s">
        <v>64</v>
      </c>
      <c r="H34" s="595">
        <f>SUM(H4:H32)</f>
        <v>10014493</v>
      </c>
      <c r="I34" s="595">
        <f>SUM(I4:I32)</f>
        <v>9998199</v>
      </c>
      <c r="J34" s="595">
        <f>SUM(J4:J32)</f>
        <v>16294</v>
      </c>
      <c r="K34" s="593"/>
      <c r="L34" s="594" t="s">
        <v>64</v>
      </c>
      <c r="M34" s="596">
        <v>-503652</v>
      </c>
      <c r="N34" s="597">
        <v>7611797</v>
      </c>
      <c r="O34" s="598">
        <f t="shared" si="3"/>
        <v>-8115449</v>
      </c>
      <c r="P34" s="593"/>
      <c r="Q34" s="594" t="s">
        <v>64</v>
      </c>
      <c r="R34" s="599">
        <f>SUM(R4:R31)</f>
        <v>7521880</v>
      </c>
      <c r="S34" s="599">
        <f t="shared" ref="S34:BC34" si="14">SUM(S4:S31)</f>
        <v>7521880</v>
      </c>
      <c r="T34" s="599">
        <f t="shared" si="14"/>
        <v>0</v>
      </c>
      <c r="U34" s="599">
        <f t="shared" si="14"/>
        <v>0</v>
      </c>
      <c r="V34" s="599">
        <f t="shared" si="14"/>
        <v>0</v>
      </c>
      <c r="W34" s="599">
        <f t="shared" si="14"/>
        <v>4113100</v>
      </c>
      <c r="X34" s="599">
        <f t="shared" si="14"/>
        <v>4113100</v>
      </c>
      <c r="Y34" s="599">
        <f t="shared" si="14"/>
        <v>0</v>
      </c>
      <c r="Z34" s="599">
        <f t="shared" si="14"/>
        <v>0</v>
      </c>
      <c r="AA34" s="599">
        <f t="shared" si="14"/>
        <v>0</v>
      </c>
      <c r="AB34" s="599">
        <f t="shared" si="14"/>
        <v>7121012</v>
      </c>
      <c r="AC34" s="599">
        <f t="shared" si="14"/>
        <v>7098960</v>
      </c>
      <c r="AD34" s="599">
        <f t="shared" si="14"/>
        <v>22052</v>
      </c>
      <c r="AE34" s="599">
        <f t="shared" si="14"/>
        <v>0</v>
      </c>
      <c r="AF34" s="599">
        <f t="shared" si="14"/>
        <v>0</v>
      </c>
      <c r="AG34" s="599">
        <f t="shared" si="14"/>
        <v>5706030</v>
      </c>
      <c r="AH34" s="599">
        <f t="shared" si="14"/>
        <v>5706030</v>
      </c>
      <c r="AI34" s="599">
        <f t="shared" si="14"/>
        <v>0</v>
      </c>
      <c r="AJ34" s="599">
        <f t="shared" si="14"/>
        <v>0</v>
      </c>
      <c r="AK34" s="599">
        <f t="shared" si="14"/>
        <v>0</v>
      </c>
      <c r="AL34" s="599">
        <f t="shared" si="14"/>
        <v>5729801</v>
      </c>
      <c r="AM34" s="599">
        <f t="shared" si="14"/>
        <v>5729801</v>
      </c>
      <c r="AN34" s="599">
        <f t="shared" si="14"/>
        <v>0</v>
      </c>
      <c r="AO34" s="599">
        <f t="shared" si="14"/>
        <v>0</v>
      </c>
      <c r="AP34" s="599">
        <f t="shared" si="14"/>
        <v>0</v>
      </c>
      <c r="AQ34" s="599">
        <f t="shared" si="14"/>
        <v>5729801</v>
      </c>
      <c r="AR34" s="599">
        <f t="shared" si="14"/>
        <v>5729801</v>
      </c>
      <c r="AS34" s="599">
        <f t="shared" si="14"/>
        <v>0</v>
      </c>
      <c r="AT34" s="599">
        <f t="shared" si="14"/>
        <v>0</v>
      </c>
      <c r="AU34" s="599">
        <f t="shared" si="14"/>
        <v>0</v>
      </c>
      <c r="AV34" s="599">
        <f t="shared" si="14"/>
        <v>-838203</v>
      </c>
      <c r="AW34" s="599">
        <f t="shared" si="14"/>
        <v>-838203</v>
      </c>
      <c r="AX34" s="599">
        <f t="shared" si="14"/>
        <v>0</v>
      </c>
      <c r="AY34" s="599">
        <f t="shared" si="14"/>
        <v>0</v>
      </c>
      <c r="AZ34" s="599">
        <f t="shared" si="14"/>
        <v>3676439</v>
      </c>
      <c r="BA34" s="599">
        <f t="shared" si="14"/>
        <v>3673963</v>
      </c>
      <c r="BB34" s="599">
        <f t="shared" si="14"/>
        <v>2476</v>
      </c>
      <c r="BC34" s="599">
        <f t="shared" si="14"/>
        <v>2203523</v>
      </c>
      <c r="BF34" s="629">
        <f>(C34+H34+M34+R34+W34+AB34+AG34+AL34+AQ34+AV34+AZ34+BC34)/12</f>
        <v>4484441.833333333</v>
      </c>
    </row>
    <row r="35" spans="1:59" ht="14" x14ac:dyDescent="0.3">
      <c r="A35" s="624" t="s">
        <v>107</v>
      </c>
      <c r="B35" s="625" t="s">
        <v>270</v>
      </c>
      <c r="C35" s="626">
        <v>37511649</v>
      </c>
      <c r="D35" s="626">
        <v>0</v>
      </c>
      <c r="E35" s="627"/>
      <c r="F35" s="624"/>
      <c r="G35" s="625" t="s">
        <v>270</v>
      </c>
      <c r="H35" s="626">
        <v>34276752</v>
      </c>
      <c r="I35" s="626">
        <v>503652</v>
      </c>
      <c r="J35" s="627"/>
      <c r="K35" s="14"/>
      <c r="L35" s="628"/>
      <c r="M35" s="517">
        <v>34934183</v>
      </c>
      <c r="N35" s="517"/>
      <c r="O35" s="504"/>
      <c r="P35" s="14"/>
      <c r="Q35" s="628"/>
      <c r="R35" s="517">
        <v>50363418</v>
      </c>
      <c r="S35" s="517"/>
      <c r="T35" s="504"/>
      <c r="U35" s="14"/>
      <c r="V35" s="628"/>
      <c r="W35" s="517">
        <v>34498288</v>
      </c>
      <c r="X35" s="517"/>
      <c r="Y35" s="504"/>
      <c r="Z35" s="14"/>
      <c r="AA35" s="628"/>
      <c r="AB35" s="517">
        <v>51976752</v>
      </c>
      <c r="AC35" s="517"/>
      <c r="AD35" s="504"/>
      <c r="AE35" s="14"/>
      <c r="AF35" s="628" t="s">
        <v>270</v>
      </c>
      <c r="AG35" s="517">
        <v>35807963</v>
      </c>
      <c r="AH35" s="517">
        <v>503652</v>
      </c>
      <c r="AI35" s="504"/>
      <c r="AJ35" s="14"/>
      <c r="AK35" s="628" t="s">
        <v>270</v>
      </c>
      <c r="AL35" s="517">
        <v>52010804</v>
      </c>
      <c r="AM35" s="517">
        <v>503652</v>
      </c>
      <c r="AN35" s="504"/>
      <c r="AO35" s="14"/>
      <c r="AP35" s="14"/>
      <c r="AQ35" s="14">
        <v>38837397</v>
      </c>
      <c r="AR35" s="14"/>
      <c r="AS35" s="14"/>
      <c r="AT35" s="14"/>
      <c r="AU35" s="14"/>
      <c r="AV35" s="14">
        <v>28773246</v>
      </c>
      <c r="AW35" s="14"/>
      <c r="AX35" s="14"/>
      <c r="AY35" s="14"/>
      <c r="AZ35" s="14">
        <v>27272657</v>
      </c>
      <c r="BA35" s="14"/>
      <c r="BB35" s="14"/>
      <c r="BC35" s="14">
        <v>25907273</v>
      </c>
      <c r="BF35" s="629">
        <f>(C35+H35+M35+R35+W35+AB35+AG35+AL35+AQ35+AV35+AZ35+BC35)/12</f>
        <v>37680865.166666664</v>
      </c>
      <c r="BG35" s="633">
        <f>SUM(C35:BC35)</f>
        <v>453681338</v>
      </c>
    </row>
    <row r="36" spans="1:59" x14ac:dyDescent="0.25">
      <c r="A36" s="601" t="s">
        <v>953</v>
      </c>
      <c r="B36" s="593"/>
      <c r="C36" s="630">
        <f>C35-C34</f>
        <v>34172571</v>
      </c>
      <c r="D36" s="630">
        <f t="shared" ref="D36:BE36" si="15">D35-D34</f>
        <v>-3339078</v>
      </c>
      <c r="E36" s="630">
        <f t="shared" si="15"/>
        <v>0</v>
      </c>
      <c r="F36" s="630">
        <f t="shared" si="15"/>
        <v>0</v>
      </c>
      <c r="G36" s="630" t="e">
        <f t="shared" si="15"/>
        <v>#VALUE!</v>
      </c>
      <c r="H36" s="630">
        <f t="shared" si="15"/>
        <v>24262259</v>
      </c>
      <c r="I36" s="630">
        <f t="shared" si="15"/>
        <v>-9494547</v>
      </c>
      <c r="J36" s="630">
        <f t="shared" si="15"/>
        <v>-16294</v>
      </c>
      <c r="K36" s="630">
        <f t="shared" si="15"/>
        <v>0</v>
      </c>
      <c r="L36" s="630" t="e">
        <f t="shared" si="15"/>
        <v>#VALUE!</v>
      </c>
      <c r="M36" s="630">
        <f t="shared" si="15"/>
        <v>35437835</v>
      </c>
      <c r="N36" s="630">
        <f t="shared" si="15"/>
        <v>-7611797</v>
      </c>
      <c r="O36" s="630">
        <f t="shared" si="15"/>
        <v>8115449</v>
      </c>
      <c r="P36" s="630">
        <f t="shared" si="15"/>
        <v>0</v>
      </c>
      <c r="Q36" s="630" t="e">
        <f t="shared" si="15"/>
        <v>#VALUE!</v>
      </c>
      <c r="R36" s="630">
        <f t="shared" si="15"/>
        <v>42841538</v>
      </c>
      <c r="S36" s="630">
        <f t="shared" si="15"/>
        <v>-7521880</v>
      </c>
      <c r="T36" s="630">
        <f t="shared" si="15"/>
        <v>0</v>
      </c>
      <c r="U36" s="630">
        <f t="shared" si="15"/>
        <v>0</v>
      </c>
      <c r="V36" s="630">
        <f t="shared" si="15"/>
        <v>0</v>
      </c>
      <c r="W36" s="630">
        <f t="shared" si="15"/>
        <v>30385188</v>
      </c>
      <c r="X36" s="630">
        <f t="shared" si="15"/>
        <v>-4113100</v>
      </c>
      <c r="Y36" s="630">
        <f t="shared" si="15"/>
        <v>0</v>
      </c>
      <c r="Z36" s="630">
        <f t="shared" si="15"/>
        <v>0</v>
      </c>
      <c r="AA36" s="630">
        <f t="shared" si="15"/>
        <v>0</v>
      </c>
      <c r="AB36" s="630">
        <f t="shared" si="15"/>
        <v>44855740</v>
      </c>
      <c r="AC36" s="630">
        <f t="shared" si="15"/>
        <v>-7098960</v>
      </c>
      <c r="AD36" s="630">
        <f t="shared" si="15"/>
        <v>-22052</v>
      </c>
      <c r="AE36" s="630">
        <f t="shared" si="15"/>
        <v>0</v>
      </c>
      <c r="AF36" s="630" t="e">
        <f t="shared" si="15"/>
        <v>#VALUE!</v>
      </c>
      <c r="AG36" s="630">
        <f t="shared" si="15"/>
        <v>30101933</v>
      </c>
      <c r="AH36" s="630">
        <f t="shared" si="15"/>
        <v>-5202378</v>
      </c>
      <c r="AI36" s="630">
        <f t="shared" si="15"/>
        <v>0</v>
      </c>
      <c r="AJ36" s="630">
        <f t="shared" si="15"/>
        <v>0</v>
      </c>
      <c r="AK36" s="630" t="e">
        <f t="shared" si="15"/>
        <v>#VALUE!</v>
      </c>
      <c r="AL36" s="630">
        <f t="shared" si="15"/>
        <v>46281003</v>
      </c>
      <c r="AM36" s="630">
        <f t="shared" si="15"/>
        <v>-5226149</v>
      </c>
      <c r="AN36" s="630">
        <f t="shared" si="15"/>
        <v>0</v>
      </c>
      <c r="AO36" s="630">
        <f t="shared" si="15"/>
        <v>0</v>
      </c>
      <c r="AP36" s="630">
        <f t="shared" si="15"/>
        <v>0</v>
      </c>
      <c r="AQ36" s="630">
        <f t="shared" si="15"/>
        <v>33107596</v>
      </c>
      <c r="AR36" s="630">
        <f t="shared" si="15"/>
        <v>-5729801</v>
      </c>
      <c r="AS36" s="630">
        <f t="shared" si="15"/>
        <v>0</v>
      </c>
      <c r="AT36" s="630">
        <f t="shared" si="15"/>
        <v>0</v>
      </c>
      <c r="AU36" s="630">
        <f t="shared" si="15"/>
        <v>0</v>
      </c>
      <c r="AV36" s="630">
        <f t="shared" si="15"/>
        <v>29611449</v>
      </c>
      <c r="AW36" s="630">
        <f t="shared" si="15"/>
        <v>838203</v>
      </c>
      <c r="AX36" s="630">
        <f t="shared" si="15"/>
        <v>0</v>
      </c>
      <c r="AY36" s="630">
        <f t="shared" si="15"/>
        <v>0</v>
      </c>
      <c r="AZ36" s="630">
        <f t="shared" si="15"/>
        <v>23596218</v>
      </c>
      <c r="BA36" s="630">
        <f t="shared" si="15"/>
        <v>-3673963</v>
      </c>
      <c r="BB36" s="630">
        <f t="shared" si="15"/>
        <v>-2476</v>
      </c>
      <c r="BC36" s="630">
        <f t="shared" si="15"/>
        <v>23703750</v>
      </c>
      <c r="BD36" s="630">
        <f t="shared" si="15"/>
        <v>0</v>
      </c>
      <c r="BE36" s="630">
        <f t="shared" si="15"/>
        <v>0</v>
      </c>
    </row>
    <row r="37" spans="1:59" x14ac:dyDescent="0.25">
      <c r="A37" s="631" t="s">
        <v>954</v>
      </c>
      <c r="C37" s="632">
        <f>C34/C35</f>
        <v>8.9014428557912764E-2</v>
      </c>
      <c r="D37" s="632" t="e">
        <f t="shared" ref="D37:BC37" si="16">D34/D35</f>
        <v>#DIV/0!</v>
      </c>
      <c r="E37" s="632" t="e">
        <f t="shared" si="16"/>
        <v>#DIV/0!</v>
      </c>
      <c r="F37" s="632" t="e">
        <f t="shared" si="16"/>
        <v>#DIV/0!</v>
      </c>
      <c r="G37" s="632" t="e">
        <f t="shared" si="16"/>
        <v>#VALUE!</v>
      </c>
      <c r="H37" s="632">
        <f t="shared" si="16"/>
        <v>0.29216575129405492</v>
      </c>
      <c r="I37" s="632">
        <f t="shared" si="16"/>
        <v>19.851403349932095</v>
      </c>
      <c r="J37" s="632" t="e">
        <f t="shared" si="16"/>
        <v>#DIV/0!</v>
      </c>
      <c r="K37" s="632" t="e">
        <f t="shared" si="16"/>
        <v>#DIV/0!</v>
      </c>
      <c r="L37" s="632" t="e">
        <f t="shared" si="16"/>
        <v>#VALUE!</v>
      </c>
      <c r="M37" s="632">
        <f t="shared" si="16"/>
        <v>-1.4417168422115382E-2</v>
      </c>
      <c r="N37" s="632" t="e">
        <f t="shared" si="16"/>
        <v>#DIV/0!</v>
      </c>
      <c r="O37" s="632" t="e">
        <f t="shared" si="16"/>
        <v>#DIV/0!</v>
      </c>
      <c r="P37" s="632" t="e">
        <f t="shared" si="16"/>
        <v>#DIV/0!</v>
      </c>
      <c r="Q37" s="632" t="e">
        <f t="shared" si="16"/>
        <v>#VALUE!</v>
      </c>
      <c r="R37" s="632">
        <f t="shared" si="16"/>
        <v>0.14935205549393013</v>
      </c>
      <c r="S37" s="632" t="e">
        <f t="shared" si="16"/>
        <v>#DIV/0!</v>
      </c>
      <c r="T37" s="632" t="e">
        <f t="shared" si="16"/>
        <v>#DIV/0!</v>
      </c>
      <c r="U37" s="632" t="e">
        <f t="shared" si="16"/>
        <v>#DIV/0!</v>
      </c>
      <c r="V37" s="632" t="e">
        <f t="shared" si="16"/>
        <v>#DIV/0!</v>
      </c>
      <c r="W37" s="632">
        <f t="shared" si="16"/>
        <v>0.1192262062395676</v>
      </c>
      <c r="X37" s="632" t="e">
        <f t="shared" si="16"/>
        <v>#DIV/0!</v>
      </c>
      <c r="Y37" s="632" t="e">
        <f t="shared" si="16"/>
        <v>#DIV/0!</v>
      </c>
      <c r="Z37" s="632" t="e">
        <f t="shared" si="16"/>
        <v>#DIV/0!</v>
      </c>
      <c r="AA37" s="632" t="e">
        <f t="shared" si="16"/>
        <v>#DIV/0!</v>
      </c>
      <c r="AB37" s="632">
        <f t="shared" si="16"/>
        <v>0.13700378969428487</v>
      </c>
      <c r="AC37" s="632" t="e">
        <f t="shared" si="16"/>
        <v>#DIV/0!</v>
      </c>
      <c r="AD37" s="632" t="e">
        <f t="shared" si="16"/>
        <v>#DIV/0!</v>
      </c>
      <c r="AE37" s="632" t="e">
        <f t="shared" si="16"/>
        <v>#DIV/0!</v>
      </c>
      <c r="AF37" s="632" t="e">
        <f t="shared" si="16"/>
        <v>#VALUE!</v>
      </c>
      <c r="AG37" s="632">
        <f t="shared" si="16"/>
        <v>0.159350868408795</v>
      </c>
      <c r="AH37" s="632">
        <f t="shared" si="16"/>
        <v>11.329310714540993</v>
      </c>
      <c r="AI37" s="632" t="e">
        <f t="shared" si="16"/>
        <v>#DIV/0!</v>
      </c>
      <c r="AJ37" s="632" t="e">
        <f t="shared" si="16"/>
        <v>#DIV/0!</v>
      </c>
      <c r="AK37" s="632" t="e">
        <f t="shared" si="16"/>
        <v>#VALUE!</v>
      </c>
      <c r="AL37" s="632">
        <f t="shared" si="16"/>
        <v>0.11016559174897585</v>
      </c>
      <c r="AM37" s="632">
        <f t="shared" si="16"/>
        <v>11.376507985672648</v>
      </c>
      <c r="AN37" s="632" t="e">
        <f t="shared" si="16"/>
        <v>#DIV/0!</v>
      </c>
      <c r="AO37" s="632" t="e">
        <f t="shared" si="16"/>
        <v>#DIV/0!</v>
      </c>
      <c r="AP37" s="632" t="e">
        <f t="shared" si="16"/>
        <v>#DIV/0!</v>
      </c>
      <c r="AQ37" s="632">
        <f t="shared" si="16"/>
        <v>0.14753308518590985</v>
      </c>
      <c r="AR37" s="632" t="e">
        <f t="shared" si="16"/>
        <v>#DIV/0!</v>
      </c>
      <c r="AS37" s="632" t="e">
        <f t="shared" si="16"/>
        <v>#DIV/0!</v>
      </c>
      <c r="AT37" s="632" t="e">
        <f t="shared" si="16"/>
        <v>#DIV/0!</v>
      </c>
      <c r="AU37" s="632" t="e">
        <f t="shared" si="16"/>
        <v>#DIV/0!</v>
      </c>
      <c r="AV37" s="632">
        <f t="shared" si="16"/>
        <v>-2.9131332627538791E-2</v>
      </c>
      <c r="AW37" s="632" t="e">
        <f t="shared" si="16"/>
        <v>#DIV/0!</v>
      </c>
      <c r="AX37" s="632" t="e">
        <f t="shared" si="16"/>
        <v>#DIV/0!</v>
      </c>
      <c r="AY37" s="632" t="e">
        <f t="shared" si="16"/>
        <v>#DIV/0!</v>
      </c>
      <c r="AZ37" s="632">
        <f t="shared" si="16"/>
        <v>0.13480311067601516</v>
      </c>
      <c r="BA37" s="632" t="e">
        <f t="shared" si="16"/>
        <v>#DIV/0!</v>
      </c>
      <c r="BB37" s="632" t="e">
        <f t="shared" si="16"/>
        <v>#DIV/0!</v>
      </c>
      <c r="BC37" s="632">
        <f t="shared" si="16"/>
        <v>8.5054223962514316E-2</v>
      </c>
      <c r="BF37" s="16"/>
    </row>
    <row r="40" spans="1:59" x14ac:dyDescent="0.25">
      <c r="BF40" s="634">
        <f>BF34/BF35</f>
        <v>0.11901111647777055</v>
      </c>
    </row>
  </sheetData>
  <mergeCells count="12">
    <mergeCell ref="BC2:BE2"/>
    <mergeCell ref="Q2:S2"/>
    <mergeCell ref="V2:X2"/>
    <mergeCell ref="AA2:AC2"/>
    <mergeCell ref="AF2:AH2"/>
    <mergeCell ref="AK2:AM2"/>
    <mergeCell ref="AP2:AR2"/>
    <mergeCell ref="A2:E2"/>
    <mergeCell ref="F2:J2"/>
    <mergeCell ref="K2:O2"/>
    <mergeCell ref="AU2:AW2"/>
    <mergeCell ref="AY2:BB2"/>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2F308-9162-44E5-8856-59561252D549}">
  <sheetPr>
    <tabColor rgb="FFFFFF00"/>
  </sheetPr>
  <dimension ref="B2:P74"/>
  <sheetViews>
    <sheetView workbookViewId="0">
      <selection activeCell="O42" sqref="O42"/>
    </sheetView>
  </sheetViews>
  <sheetFormatPr baseColWidth="10" defaultRowHeight="12.5" x14ac:dyDescent="0.25"/>
  <cols>
    <col min="10" max="10" width="13.08984375" bestFit="1" customWidth="1"/>
  </cols>
  <sheetData>
    <row r="2" spans="2:16" x14ac:dyDescent="0.25">
      <c r="G2" s="42">
        <f>18795690+5011060</f>
        <v>23806750</v>
      </c>
    </row>
    <row r="3" spans="2:16" x14ac:dyDescent="0.25">
      <c r="B3" s="474"/>
      <c r="C3" s="474" t="s">
        <v>833</v>
      </c>
      <c r="D3" s="474"/>
      <c r="E3" s="474"/>
      <c r="F3" s="474"/>
      <c r="G3" s="474"/>
      <c r="H3" s="474"/>
      <c r="I3" s="474"/>
      <c r="J3" s="474"/>
      <c r="K3" s="474"/>
      <c r="L3" s="474"/>
      <c r="M3" s="474"/>
      <c r="N3" s="474"/>
      <c r="O3" s="474"/>
      <c r="P3" s="474"/>
    </row>
    <row r="4" spans="2:16" x14ac:dyDescent="0.25">
      <c r="B4" s="474"/>
      <c r="C4" s="474"/>
      <c r="D4" s="474" t="s">
        <v>818</v>
      </c>
      <c r="E4" s="474"/>
      <c r="F4" s="474"/>
      <c r="G4" s="474"/>
      <c r="H4" s="474"/>
      <c r="I4" s="474">
        <f>19142242+2858628</f>
        <v>22000870</v>
      </c>
      <c r="J4" s="474"/>
      <c r="K4" s="474"/>
      <c r="L4" s="474"/>
      <c r="M4" s="474"/>
      <c r="N4" s="474"/>
      <c r="O4" s="474"/>
      <c r="P4" s="474"/>
    </row>
    <row r="5" spans="2:16" x14ac:dyDescent="0.25">
      <c r="B5" s="475"/>
      <c r="C5" s="476">
        <v>45296</v>
      </c>
      <c r="D5" s="476">
        <v>45327</v>
      </c>
      <c r="E5" s="476">
        <v>45356</v>
      </c>
      <c r="F5" s="476">
        <v>45388</v>
      </c>
      <c r="G5" s="476">
        <v>45420</v>
      </c>
      <c r="H5" s="476">
        <v>45452</v>
      </c>
      <c r="I5" s="476">
        <v>45484</v>
      </c>
      <c r="J5" s="476">
        <v>45516</v>
      </c>
      <c r="K5" s="476">
        <v>45548</v>
      </c>
      <c r="L5" s="476">
        <v>45580</v>
      </c>
      <c r="M5" s="476">
        <v>45612</v>
      </c>
      <c r="N5" s="476">
        <v>45644</v>
      </c>
      <c r="O5" s="474"/>
      <c r="P5" s="474"/>
    </row>
    <row r="6" spans="2:16" x14ac:dyDescent="0.25">
      <c r="B6" s="475" t="s">
        <v>819</v>
      </c>
      <c r="C6" s="370"/>
      <c r="D6" s="370"/>
      <c r="E6" s="370"/>
      <c r="F6" s="370"/>
      <c r="G6" s="370"/>
      <c r="H6" s="370"/>
      <c r="I6" s="370"/>
      <c r="J6" s="370"/>
      <c r="K6" s="370"/>
      <c r="L6" s="370"/>
      <c r="M6" s="370"/>
      <c r="N6" s="370"/>
      <c r="O6" s="474"/>
      <c r="P6" s="474"/>
    </row>
    <row r="7" spans="2:16" x14ac:dyDescent="0.25">
      <c r="B7" s="475" t="s">
        <v>820</v>
      </c>
      <c r="C7" s="370"/>
      <c r="D7" s="370"/>
      <c r="E7" s="370"/>
      <c r="F7" s="370"/>
      <c r="G7" s="370"/>
      <c r="H7" s="370"/>
      <c r="I7" s="370"/>
      <c r="J7" s="370"/>
      <c r="K7" s="370"/>
      <c r="L7" s="370"/>
      <c r="M7" s="370"/>
      <c r="N7" s="370"/>
      <c r="O7" s="474"/>
      <c r="P7" s="474"/>
    </row>
    <row r="8" spans="2:16" x14ac:dyDescent="0.25">
      <c r="B8" s="475" t="s">
        <v>821</v>
      </c>
      <c r="C8" s="370"/>
      <c r="D8" s="370"/>
      <c r="E8" s="370"/>
      <c r="F8" s="370"/>
      <c r="G8" s="370"/>
      <c r="H8" s="370"/>
      <c r="I8" s="370"/>
      <c r="J8" s="370"/>
      <c r="K8" s="370"/>
      <c r="L8" s="370"/>
      <c r="M8" s="370"/>
      <c r="N8" s="370"/>
      <c r="O8" s="474"/>
      <c r="P8" s="474"/>
    </row>
    <row r="9" spans="2:16" x14ac:dyDescent="0.25">
      <c r="B9" s="475" t="s">
        <v>822</v>
      </c>
      <c r="C9" s="370">
        <f t="shared" ref="C9:H9" si="0">SUM(C6:C8)</f>
        <v>0</v>
      </c>
      <c r="D9" s="370">
        <f t="shared" si="0"/>
        <v>0</v>
      </c>
      <c r="E9" s="370">
        <f t="shared" si="0"/>
        <v>0</v>
      </c>
      <c r="F9" s="370">
        <f t="shared" si="0"/>
        <v>0</v>
      </c>
      <c r="G9" s="370">
        <f t="shared" si="0"/>
        <v>0</v>
      </c>
      <c r="H9" s="370">
        <f t="shared" si="0"/>
        <v>0</v>
      </c>
      <c r="I9" s="370">
        <f t="shared" ref="I9:N9" si="1">SUM(I6:I8)</f>
        <v>0</v>
      </c>
      <c r="J9" s="370"/>
      <c r="K9" s="370">
        <f t="shared" si="1"/>
        <v>0</v>
      </c>
      <c r="L9" s="370">
        <f t="shared" si="1"/>
        <v>0</v>
      </c>
      <c r="M9" s="370">
        <f t="shared" si="1"/>
        <v>0</v>
      </c>
      <c r="N9" s="370">
        <f t="shared" si="1"/>
        <v>0</v>
      </c>
      <c r="O9" s="474"/>
      <c r="P9" s="474"/>
    </row>
    <row r="10" spans="2:16" x14ac:dyDescent="0.25">
      <c r="B10" s="477"/>
      <c r="C10" s="477"/>
      <c r="D10" s="477"/>
      <c r="E10" s="477"/>
      <c r="F10" s="477"/>
      <c r="G10" s="477"/>
      <c r="H10" s="477"/>
      <c r="I10" s="477"/>
      <c r="J10" s="477"/>
      <c r="K10" s="477"/>
      <c r="L10" s="477"/>
      <c r="M10" s="477"/>
      <c r="N10" s="477"/>
      <c r="O10" s="477"/>
      <c r="P10" s="477"/>
    </row>
    <row r="11" spans="2:16" x14ac:dyDescent="0.25">
      <c r="B11" s="475"/>
      <c r="C11" s="476">
        <v>45296</v>
      </c>
      <c r="D11" s="476">
        <v>45327</v>
      </c>
      <c r="E11" s="476">
        <v>45356</v>
      </c>
      <c r="F11" s="476">
        <v>45388</v>
      </c>
      <c r="G11" s="476">
        <v>45420</v>
      </c>
      <c r="H11" s="476">
        <v>45452</v>
      </c>
      <c r="I11" s="476">
        <v>45484</v>
      </c>
      <c r="J11" s="476">
        <v>45516</v>
      </c>
      <c r="K11" s="476">
        <v>45548</v>
      </c>
      <c r="L11" s="476">
        <v>45580</v>
      </c>
      <c r="M11" s="476">
        <v>45612</v>
      </c>
      <c r="N11" s="476">
        <v>45644</v>
      </c>
      <c r="O11" s="474" t="s">
        <v>823</v>
      </c>
      <c r="P11" s="474"/>
    </row>
    <row r="12" spans="2:16" x14ac:dyDescent="0.25">
      <c r="B12" s="474" t="s">
        <v>822</v>
      </c>
      <c r="C12" s="440">
        <v>21917047</v>
      </c>
      <c r="D12" s="440">
        <v>19142242</v>
      </c>
      <c r="E12" s="440">
        <v>21778319</v>
      </c>
      <c r="F12" s="440">
        <v>19433715</v>
      </c>
      <c r="G12" s="440">
        <v>18795690</v>
      </c>
      <c r="H12" s="440">
        <v>20781165</v>
      </c>
      <c r="I12" s="440">
        <v>25527328</v>
      </c>
      <c r="J12" s="440">
        <v>20513652</v>
      </c>
      <c r="K12" s="440">
        <v>16803607</v>
      </c>
      <c r="L12" s="440">
        <v>20183174</v>
      </c>
      <c r="M12" s="440"/>
      <c r="N12" s="440"/>
      <c r="O12" s="440">
        <f>AVERAGE(C12:N12)</f>
        <v>20487593.899999999</v>
      </c>
      <c r="P12" s="474"/>
    </row>
    <row r="13" spans="2:16" x14ac:dyDescent="0.25">
      <c r="B13" s="477" t="s">
        <v>824</v>
      </c>
      <c r="C13" s="478">
        <v>22065306</v>
      </c>
      <c r="D13" s="478">
        <v>22000870</v>
      </c>
      <c r="E13" s="478">
        <v>22053607</v>
      </c>
      <c r="F13" s="478">
        <v>22416214</v>
      </c>
      <c r="G13" s="478">
        <v>23806750</v>
      </c>
      <c r="H13" s="478">
        <v>24645041</v>
      </c>
      <c r="I13" s="440">
        <v>23106163</v>
      </c>
      <c r="J13" s="440">
        <v>23038331</v>
      </c>
      <c r="K13" s="440">
        <f>23054728</f>
        <v>23054728</v>
      </c>
      <c r="L13" s="440">
        <v>23108083</v>
      </c>
      <c r="M13" s="440"/>
      <c r="N13" s="440"/>
      <c r="O13" s="440">
        <f>AVERAGE(C13:N13)</f>
        <v>22929509.300000001</v>
      </c>
      <c r="P13" s="474"/>
    </row>
    <row r="14" spans="2:16" x14ac:dyDescent="0.25">
      <c r="B14" s="479" t="s">
        <v>825</v>
      </c>
      <c r="C14" s="480">
        <f t="shared" ref="C14:J14" si="2">C13-C12</f>
        <v>148259</v>
      </c>
      <c r="D14" s="480">
        <f t="shared" si="2"/>
        <v>2858628</v>
      </c>
      <c r="E14" s="480">
        <f t="shared" si="2"/>
        <v>275288</v>
      </c>
      <c r="F14" s="480">
        <f t="shared" si="2"/>
        <v>2982499</v>
      </c>
      <c r="G14" s="480">
        <f t="shared" si="2"/>
        <v>5011060</v>
      </c>
      <c r="H14" s="480">
        <f t="shared" si="2"/>
        <v>3863876</v>
      </c>
      <c r="I14" s="480">
        <f t="shared" si="2"/>
        <v>-2421165</v>
      </c>
      <c r="J14" s="480">
        <f t="shared" si="2"/>
        <v>2524679</v>
      </c>
      <c r="K14" s="480">
        <v>2825917</v>
      </c>
      <c r="L14" s="480">
        <v>2825917</v>
      </c>
      <c r="M14" s="480"/>
      <c r="N14" s="480"/>
      <c r="O14" s="440">
        <f>AVERAGE(C14:N14)</f>
        <v>2089495.8</v>
      </c>
      <c r="P14" s="474"/>
    </row>
    <row r="15" spans="2:16" x14ac:dyDescent="0.25">
      <c r="B15" s="474"/>
      <c r="C15" s="474"/>
      <c r="D15" s="474"/>
      <c r="E15" s="474"/>
      <c r="F15" s="474"/>
      <c r="G15" s="474"/>
      <c r="H15" s="474"/>
      <c r="I15" s="474"/>
      <c r="J15" s="474"/>
      <c r="K15" s="474"/>
      <c r="L15" s="474"/>
      <c r="M15" s="474"/>
      <c r="N15" s="474"/>
      <c r="O15" s="474"/>
      <c r="P15" s="474"/>
    </row>
    <row r="16" spans="2:16" x14ac:dyDescent="0.25">
      <c r="B16" s="474" t="s">
        <v>823</v>
      </c>
      <c r="C16" s="474"/>
      <c r="D16" s="440">
        <f>AVERAGE(C14:E14)</f>
        <v>1094058.3333333333</v>
      </c>
      <c r="E16" s="440">
        <f>AVERAGE(C14:E14)</f>
        <v>1094058.3333333333</v>
      </c>
      <c r="F16" s="440">
        <f>AVERAGE(C14:F14)</f>
        <v>1566168.5</v>
      </c>
      <c r="G16" s="440">
        <f>AVERAGE(C14:G14)</f>
        <v>2255146.7999999998</v>
      </c>
      <c r="H16" s="440">
        <f t="shared" ref="H16:N16" si="3">AVERAGE(C14:H14)</f>
        <v>2523268.3333333335</v>
      </c>
      <c r="I16" s="440">
        <f t="shared" si="3"/>
        <v>2095031</v>
      </c>
      <c r="J16" s="440">
        <f t="shared" si="3"/>
        <v>2039372.8333333333</v>
      </c>
      <c r="K16" s="440">
        <f t="shared" si="3"/>
        <v>2464477.6666666665</v>
      </c>
      <c r="L16" s="440">
        <f t="shared" si="3"/>
        <v>2438380.6666666665</v>
      </c>
      <c r="M16" s="440">
        <f t="shared" si="3"/>
        <v>1923844.8</v>
      </c>
      <c r="N16" s="440">
        <f t="shared" si="3"/>
        <v>1438837</v>
      </c>
      <c r="O16" s="474"/>
      <c r="P16" s="474"/>
    </row>
    <row r="17" spans="2:16" x14ac:dyDescent="0.25">
      <c r="B17" s="474" t="s">
        <v>832</v>
      </c>
      <c r="C17" s="474"/>
      <c r="D17" s="474"/>
      <c r="E17" s="474"/>
      <c r="F17" s="474"/>
      <c r="G17" s="474"/>
      <c r="H17" s="474"/>
      <c r="I17" s="474"/>
      <c r="J17" s="474"/>
      <c r="K17" s="474"/>
      <c r="L17" s="474"/>
      <c r="M17" s="474"/>
      <c r="N17" s="474"/>
      <c r="O17" s="474"/>
      <c r="P17" s="474"/>
    </row>
    <row r="18" spans="2:16" x14ac:dyDescent="0.25">
      <c r="B18" s="475"/>
      <c r="C18" s="476">
        <v>45296</v>
      </c>
      <c r="D18" s="476">
        <v>45327</v>
      </c>
      <c r="E18" s="476">
        <v>45356</v>
      </c>
      <c r="F18" s="476">
        <v>45388</v>
      </c>
      <c r="G18" s="476">
        <v>45420</v>
      </c>
      <c r="H18" s="476">
        <v>45452</v>
      </c>
      <c r="I18" s="476">
        <v>45484</v>
      </c>
      <c r="J18" s="476">
        <v>45516</v>
      </c>
      <c r="K18" s="476">
        <v>45548</v>
      </c>
      <c r="L18" s="476">
        <v>45580</v>
      </c>
      <c r="M18" s="476">
        <v>45612</v>
      </c>
      <c r="N18" s="476">
        <v>45644</v>
      </c>
      <c r="O18" s="477" t="s">
        <v>823</v>
      </c>
      <c r="P18" s="477"/>
    </row>
    <row r="19" spans="2:16" x14ac:dyDescent="0.25">
      <c r="B19" s="475" t="s">
        <v>819</v>
      </c>
      <c r="C19" s="370">
        <f>C6</f>
        <v>0</v>
      </c>
      <c r="D19" s="370">
        <v>4497655</v>
      </c>
      <c r="E19" s="370">
        <v>2825917</v>
      </c>
      <c r="F19" s="370">
        <f t="shared" ref="F19:K19" si="4">F6</f>
        <v>0</v>
      </c>
      <c r="G19" s="370">
        <f t="shared" si="4"/>
        <v>0</v>
      </c>
      <c r="H19" s="370">
        <f t="shared" si="4"/>
        <v>0</v>
      </c>
      <c r="I19" s="370">
        <f t="shared" si="4"/>
        <v>0</v>
      </c>
      <c r="J19" s="370">
        <f t="shared" si="4"/>
        <v>0</v>
      </c>
      <c r="K19" s="370">
        <f t="shared" si="4"/>
        <v>0</v>
      </c>
      <c r="L19" s="370"/>
      <c r="M19" s="370"/>
      <c r="N19" s="370"/>
      <c r="O19" s="474">
        <f>AVERAGE(C19:N19)</f>
        <v>813730.22222222225</v>
      </c>
      <c r="P19" s="474"/>
    </row>
    <row r="20" spans="2:16" x14ac:dyDescent="0.25">
      <c r="B20" s="474"/>
      <c r="C20" s="481">
        <f>C19/C25</f>
        <v>0</v>
      </c>
      <c r="D20" s="482">
        <f>D19/13230566</f>
        <v>0.33994426239965847</v>
      </c>
      <c r="E20" s="482">
        <f>E19/E12</f>
        <v>0.12975827014013341</v>
      </c>
      <c r="F20" s="482">
        <f>F19/13596739</f>
        <v>0</v>
      </c>
      <c r="G20" s="482">
        <f>G19/G25</f>
        <v>0</v>
      </c>
      <c r="H20" s="482">
        <f>H19/12196978</f>
        <v>0</v>
      </c>
      <c r="I20" s="482">
        <f>I19/12196978</f>
        <v>0</v>
      </c>
      <c r="J20" s="482">
        <f>J19/12196978</f>
        <v>0</v>
      </c>
      <c r="K20" s="482">
        <f>K19/12196978</f>
        <v>0</v>
      </c>
      <c r="L20" s="482"/>
      <c r="M20" s="482"/>
      <c r="N20" s="482"/>
      <c r="O20" s="483">
        <f>AVERAGE(C20:N20)</f>
        <v>5.2189170282199097E-2</v>
      </c>
      <c r="P20" s="474"/>
    </row>
    <row r="21" spans="2:16" x14ac:dyDescent="0.25">
      <c r="B21" s="475" t="s">
        <v>820</v>
      </c>
      <c r="C21" s="370">
        <f>C7</f>
        <v>0</v>
      </c>
      <c r="D21" s="370">
        <v>4278192</v>
      </c>
      <c r="E21" s="370">
        <v>4080381</v>
      </c>
      <c r="F21" s="370">
        <f t="shared" ref="F21:K21" si="5">F7</f>
        <v>0</v>
      </c>
      <c r="G21" s="370">
        <f t="shared" si="5"/>
        <v>0</v>
      </c>
      <c r="H21" s="370">
        <f t="shared" si="5"/>
        <v>0</v>
      </c>
      <c r="I21" s="370">
        <f t="shared" si="5"/>
        <v>0</v>
      </c>
      <c r="J21" s="370">
        <f t="shared" si="5"/>
        <v>0</v>
      </c>
      <c r="K21" s="370">
        <f t="shared" si="5"/>
        <v>0</v>
      </c>
      <c r="L21" s="370"/>
      <c r="M21" s="370"/>
      <c r="N21" s="370"/>
      <c r="O21" s="474"/>
      <c r="P21" s="474"/>
    </row>
    <row r="22" spans="2:16" x14ac:dyDescent="0.25">
      <c r="B22" s="474"/>
      <c r="C22" s="481">
        <f>C21/C25</f>
        <v>0</v>
      </c>
      <c r="D22" s="482">
        <f>D21/13230566</f>
        <v>0.32335668783935623</v>
      </c>
      <c r="E22" s="482">
        <f>E21/E12</f>
        <v>0.18735977740063409</v>
      </c>
      <c r="F22" s="482">
        <f>F21/13596739</f>
        <v>0</v>
      </c>
      <c r="G22" s="482">
        <f>G21/G25</f>
        <v>0</v>
      </c>
      <c r="H22" s="482">
        <f>H21/13596739</f>
        <v>0</v>
      </c>
      <c r="I22" s="482">
        <f>I21/13596739</f>
        <v>0</v>
      </c>
      <c r="J22" s="482">
        <f>J21/13596739</f>
        <v>0</v>
      </c>
      <c r="K22" s="482">
        <f>K21/13596739</f>
        <v>0</v>
      </c>
      <c r="L22" s="482"/>
      <c r="M22" s="482"/>
      <c r="N22" s="482"/>
      <c r="O22" s="483">
        <f>AVERAGE(C22:H22)</f>
        <v>8.5119410873331705E-2</v>
      </c>
      <c r="P22" s="477"/>
    </row>
    <row r="23" spans="2:16" x14ac:dyDescent="0.25">
      <c r="B23" s="475" t="s">
        <v>821</v>
      </c>
      <c r="C23" s="370">
        <f>C8</f>
        <v>0</v>
      </c>
      <c r="D23" s="370">
        <v>4454719</v>
      </c>
      <c r="E23" s="370">
        <v>5290680</v>
      </c>
      <c r="F23" s="370">
        <f t="shared" ref="F23:K23" si="6">F8</f>
        <v>0</v>
      </c>
      <c r="G23" s="370">
        <f t="shared" si="6"/>
        <v>0</v>
      </c>
      <c r="H23" s="370">
        <f t="shared" si="6"/>
        <v>0</v>
      </c>
      <c r="I23" s="370">
        <f t="shared" si="6"/>
        <v>0</v>
      </c>
      <c r="J23" s="370">
        <f t="shared" si="6"/>
        <v>0</v>
      </c>
      <c r="K23" s="370">
        <f t="shared" si="6"/>
        <v>0</v>
      </c>
      <c r="L23" s="370"/>
      <c r="M23" s="370"/>
      <c r="N23" s="370"/>
      <c r="O23" s="477"/>
      <c r="P23" s="477"/>
    </row>
    <row r="24" spans="2:16" x14ac:dyDescent="0.25">
      <c r="B24" s="474"/>
      <c r="C24" s="482">
        <f>C23/C25</f>
        <v>0</v>
      </c>
      <c r="D24" s="482">
        <f>D23/13230566</f>
        <v>0.3366990497609853</v>
      </c>
      <c r="E24" s="482">
        <f>E23/E12</f>
        <v>0.2429333503655631</v>
      </c>
      <c r="F24" s="482">
        <f>F23/13596739</f>
        <v>0</v>
      </c>
      <c r="G24" s="482">
        <f>G23/G25</f>
        <v>0</v>
      </c>
      <c r="H24" s="482">
        <f>H23/12196978</f>
        <v>0</v>
      </c>
      <c r="I24" s="482">
        <f>I23/12196978</f>
        <v>0</v>
      </c>
      <c r="J24" s="482">
        <f>J23/12196978</f>
        <v>0</v>
      </c>
      <c r="K24" s="482">
        <f>K23/12196978</f>
        <v>0</v>
      </c>
      <c r="L24" s="482"/>
      <c r="M24" s="482"/>
      <c r="N24" s="482"/>
      <c r="O24" s="483">
        <f>AVERAGE(C24:H24)</f>
        <v>9.66054000210914E-2</v>
      </c>
      <c r="P24" s="477"/>
    </row>
    <row r="25" spans="2:16" x14ac:dyDescent="0.25">
      <c r="B25" s="475" t="s">
        <v>822</v>
      </c>
      <c r="C25" s="370">
        <f t="shared" ref="C25:H25" si="7">C12</f>
        <v>21917047</v>
      </c>
      <c r="D25" s="370">
        <f t="shared" si="7"/>
        <v>19142242</v>
      </c>
      <c r="E25" s="370">
        <f t="shared" si="7"/>
        <v>21778319</v>
      </c>
      <c r="F25" s="370">
        <f t="shared" si="7"/>
        <v>19433715</v>
      </c>
      <c r="G25" s="370">
        <f t="shared" si="7"/>
        <v>18795690</v>
      </c>
      <c r="H25" s="370">
        <f t="shared" si="7"/>
        <v>20781165</v>
      </c>
      <c r="I25" s="370">
        <f>I9</f>
        <v>0</v>
      </c>
      <c r="J25" s="370">
        <f>J9</f>
        <v>0</v>
      </c>
      <c r="K25" s="370">
        <f>K9</f>
        <v>0</v>
      </c>
      <c r="L25" s="370"/>
      <c r="M25" s="370"/>
      <c r="N25" s="370"/>
      <c r="O25" s="474"/>
      <c r="P25" s="474"/>
    </row>
    <row r="26" spans="2:16" x14ac:dyDescent="0.25">
      <c r="B26" s="477"/>
      <c r="C26" s="477"/>
      <c r="D26" s="477"/>
      <c r="E26" s="477"/>
      <c r="F26" s="477"/>
      <c r="G26" s="477"/>
      <c r="H26" s="477"/>
      <c r="I26" s="477"/>
      <c r="J26" s="477"/>
      <c r="K26" s="477"/>
      <c r="L26" s="477"/>
      <c r="M26" s="477"/>
      <c r="N26" s="477"/>
      <c r="O26" s="477"/>
      <c r="P26" s="477"/>
    </row>
    <row r="27" spans="2:16" x14ac:dyDescent="0.25">
      <c r="B27" s="474"/>
      <c r="C27" s="474"/>
      <c r="D27" s="474"/>
      <c r="E27" s="474"/>
      <c r="F27" s="474"/>
      <c r="G27" s="474"/>
      <c r="H27" s="474"/>
      <c r="I27" s="474"/>
      <c r="J27" s="474"/>
      <c r="K27" s="474"/>
      <c r="L27" s="474"/>
      <c r="M27" s="474"/>
      <c r="N27" s="474"/>
      <c r="O27" s="474"/>
      <c r="P27" s="474"/>
    </row>
    <row r="28" spans="2:16" x14ac:dyDescent="0.25">
      <c r="B28" s="477"/>
      <c r="C28" s="477"/>
      <c r="D28" s="477"/>
      <c r="E28" s="477"/>
      <c r="F28" s="477"/>
      <c r="G28" s="477"/>
      <c r="H28" s="477"/>
      <c r="I28" s="477"/>
      <c r="J28" s="477"/>
      <c r="K28" s="477"/>
      <c r="L28" s="477"/>
      <c r="M28" s="477"/>
      <c r="N28" s="477"/>
      <c r="O28" s="477"/>
      <c r="P28" s="477"/>
    </row>
    <row r="29" spans="2:16" x14ac:dyDescent="0.25">
      <c r="B29" s="474"/>
      <c r="C29" s="474"/>
      <c r="D29" s="474"/>
      <c r="E29" s="474"/>
      <c r="F29" s="474"/>
      <c r="G29" s="474"/>
      <c r="H29" s="474"/>
      <c r="I29" s="474"/>
      <c r="J29" s="474"/>
      <c r="K29" s="474"/>
      <c r="L29" s="474"/>
      <c r="M29" s="474"/>
      <c r="N29" s="474"/>
      <c r="O29" s="474"/>
      <c r="P29" s="474"/>
    </row>
    <row r="30" spans="2:16" x14ac:dyDescent="0.25">
      <c r="B30" s="477"/>
      <c r="C30" s="477"/>
      <c r="D30" s="477"/>
      <c r="E30" s="477"/>
      <c r="F30" s="477"/>
      <c r="G30" s="477"/>
      <c r="H30" s="477"/>
      <c r="I30" s="477"/>
      <c r="J30" s="477"/>
      <c r="K30" s="477"/>
      <c r="L30" s="477"/>
      <c r="M30" s="477"/>
      <c r="N30" s="477"/>
      <c r="O30" s="477"/>
      <c r="P30" s="477"/>
    </row>
    <row r="31" spans="2:16" x14ac:dyDescent="0.25">
      <c r="B31" s="474"/>
      <c r="C31" s="474"/>
      <c r="D31" s="474"/>
      <c r="E31" s="474"/>
      <c r="F31" s="474"/>
      <c r="G31" s="474"/>
      <c r="H31" s="474"/>
      <c r="I31" s="474"/>
      <c r="J31" s="474"/>
      <c r="K31" s="474"/>
      <c r="L31" s="474"/>
      <c r="M31" s="474"/>
      <c r="N31" s="474"/>
      <c r="O31" s="474"/>
      <c r="P31" s="474"/>
    </row>
    <row r="32" spans="2:16" x14ac:dyDescent="0.25">
      <c r="B32" s="477"/>
      <c r="C32" s="477"/>
      <c r="D32" s="477"/>
      <c r="E32" s="477"/>
      <c r="F32" s="477"/>
      <c r="G32" s="477"/>
      <c r="H32" s="477"/>
      <c r="I32" s="477"/>
      <c r="J32" s="477"/>
      <c r="K32" s="477"/>
      <c r="L32" s="477"/>
      <c r="M32" s="477"/>
      <c r="N32" s="477"/>
      <c r="O32" s="477"/>
      <c r="P32" s="477"/>
    </row>
    <row r="33" spans="2:16" x14ac:dyDescent="0.25">
      <c r="B33" s="474"/>
      <c r="C33" s="474"/>
      <c r="D33" s="474"/>
      <c r="E33" s="474"/>
      <c r="F33" s="474"/>
      <c r="G33" s="474"/>
      <c r="H33" s="474"/>
      <c r="I33" s="474"/>
      <c r="J33" s="474"/>
      <c r="K33" s="474"/>
      <c r="L33" s="474"/>
      <c r="M33" s="474"/>
      <c r="N33" s="474"/>
      <c r="O33" s="474"/>
      <c r="P33" s="474"/>
    </row>
    <row r="34" spans="2:16" x14ac:dyDescent="0.25">
      <c r="B34" s="474"/>
      <c r="C34" s="474"/>
      <c r="D34" s="474"/>
      <c r="E34" s="474"/>
      <c r="F34" s="474"/>
      <c r="G34" s="474"/>
      <c r="H34" s="474"/>
      <c r="I34" s="474"/>
      <c r="J34" s="474"/>
      <c r="K34" s="474"/>
      <c r="L34" s="474"/>
      <c r="M34" s="474"/>
      <c r="N34" s="474"/>
      <c r="O34" s="474"/>
      <c r="P34" s="474"/>
    </row>
    <row r="35" spans="2:16" x14ac:dyDescent="0.25">
      <c r="B35" s="474"/>
      <c r="C35" s="474"/>
      <c r="D35" s="474"/>
      <c r="E35" s="474"/>
      <c r="F35" s="474"/>
      <c r="G35" s="474"/>
      <c r="H35" s="474"/>
      <c r="I35" s="474"/>
      <c r="J35" s="474"/>
      <c r="K35" s="474"/>
      <c r="L35" s="474"/>
      <c r="M35" s="474"/>
      <c r="N35" s="474"/>
      <c r="O35" s="474"/>
      <c r="P35" s="474"/>
    </row>
    <row r="36" spans="2:16" x14ac:dyDescent="0.25">
      <c r="B36" s="474"/>
      <c r="C36" s="474"/>
      <c r="D36" s="474"/>
      <c r="E36" s="474"/>
      <c r="F36" s="474"/>
      <c r="G36" s="474"/>
      <c r="H36" s="474"/>
      <c r="I36" s="474"/>
      <c r="J36" s="474"/>
      <c r="K36" s="474"/>
      <c r="L36" s="474"/>
      <c r="M36" s="474"/>
      <c r="N36" s="474"/>
      <c r="O36" s="474"/>
      <c r="P36" s="474"/>
    </row>
    <row r="37" spans="2:16" x14ac:dyDescent="0.25">
      <c r="B37" s="474"/>
      <c r="C37" s="474"/>
      <c r="D37" s="474"/>
      <c r="E37" s="474"/>
      <c r="F37" s="474"/>
      <c r="G37" s="474"/>
      <c r="H37" s="474"/>
      <c r="I37" s="474"/>
      <c r="J37" s="474"/>
      <c r="K37" s="474"/>
      <c r="L37" s="474"/>
      <c r="M37" s="474"/>
      <c r="N37" s="474"/>
      <c r="O37" s="474"/>
      <c r="P37" s="474"/>
    </row>
    <row r="38" spans="2:16" x14ac:dyDescent="0.25">
      <c r="B38" s="474"/>
      <c r="C38" s="474"/>
      <c r="D38" s="474"/>
      <c r="E38" s="474"/>
      <c r="F38" s="474"/>
      <c r="G38" s="474"/>
      <c r="H38" s="474"/>
      <c r="I38" s="474"/>
      <c r="J38" s="474"/>
      <c r="K38" s="474"/>
      <c r="L38" s="474"/>
      <c r="M38" s="474"/>
      <c r="N38" s="474"/>
      <c r="O38" s="474"/>
      <c r="P38" s="474"/>
    </row>
    <row r="39" spans="2:16" x14ac:dyDescent="0.25">
      <c r="B39" s="474"/>
      <c r="C39" s="474"/>
      <c r="D39" s="474"/>
      <c r="E39" s="474"/>
      <c r="F39" s="474"/>
      <c r="G39" s="474"/>
      <c r="H39" s="474"/>
      <c r="I39" s="474"/>
      <c r="J39" s="474"/>
      <c r="K39" s="474"/>
      <c r="L39" s="474"/>
      <c r="M39" s="474"/>
      <c r="N39" s="474"/>
      <c r="O39" s="474"/>
      <c r="P39" s="474"/>
    </row>
    <row r="40" spans="2:16" x14ac:dyDescent="0.25">
      <c r="B40" s="474"/>
      <c r="C40" s="474"/>
      <c r="D40" s="474"/>
      <c r="E40" s="474"/>
      <c r="F40" s="474"/>
      <c r="G40" s="474"/>
      <c r="H40" s="474"/>
      <c r="I40" s="474"/>
      <c r="J40" s="474"/>
      <c r="K40" s="474"/>
      <c r="L40" s="474"/>
      <c r="M40" s="474"/>
      <c r="N40" s="474"/>
      <c r="O40" s="474"/>
      <c r="P40" s="474"/>
    </row>
    <row r="41" spans="2:16" x14ac:dyDescent="0.25">
      <c r="B41" s="474"/>
      <c r="C41" s="474"/>
      <c r="D41" s="474"/>
      <c r="E41" s="474"/>
      <c r="F41" s="474"/>
      <c r="G41" s="474"/>
      <c r="H41" s="474"/>
      <c r="I41" s="474"/>
      <c r="J41" s="474"/>
      <c r="K41" s="474"/>
      <c r="L41" s="474"/>
      <c r="M41" s="474"/>
      <c r="N41" s="474"/>
      <c r="O41" s="474"/>
      <c r="P41" s="474"/>
    </row>
    <row r="42" spans="2:16" x14ac:dyDescent="0.25">
      <c r="B42" s="474"/>
      <c r="C42" s="474"/>
      <c r="D42" s="474"/>
      <c r="E42" s="474"/>
      <c r="F42" s="474"/>
      <c r="G42" s="474"/>
      <c r="H42" s="474"/>
      <c r="I42" s="474"/>
      <c r="J42" s="474"/>
      <c r="K42" s="474"/>
      <c r="L42" s="474"/>
      <c r="M42" s="474"/>
      <c r="N42" s="474"/>
      <c r="O42" s="474"/>
      <c r="P42" s="474"/>
    </row>
    <row r="43" spans="2:16" x14ac:dyDescent="0.25">
      <c r="B43" s="474"/>
      <c r="C43" s="474"/>
      <c r="D43" s="474"/>
      <c r="E43" s="474"/>
      <c r="F43" s="474"/>
      <c r="G43" s="474"/>
      <c r="H43" s="474"/>
      <c r="I43" s="474"/>
      <c r="J43" s="474"/>
      <c r="K43" s="474"/>
      <c r="L43" s="474"/>
      <c r="M43" s="474"/>
      <c r="N43" s="474"/>
      <c r="O43" s="474"/>
      <c r="P43" s="474"/>
    </row>
    <row r="44" spans="2:16" x14ac:dyDescent="0.25">
      <c r="B44" s="474"/>
      <c r="C44" s="474"/>
      <c r="D44" s="474"/>
      <c r="E44" s="474"/>
      <c r="F44" s="474"/>
      <c r="G44" s="474"/>
      <c r="H44" s="474"/>
      <c r="I44" s="474"/>
      <c r="J44" s="474"/>
      <c r="K44" s="474"/>
      <c r="L44" s="474"/>
      <c r="M44" s="474"/>
      <c r="N44" s="474"/>
      <c r="O44" s="474"/>
      <c r="P44" s="474"/>
    </row>
    <row r="45" spans="2:16" x14ac:dyDescent="0.25">
      <c r="B45" s="474"/>
      <c r="C45" s="474"/>
      <c r="D45" s="474"/>
      <c r="E45" s="474"/>
      <c r="F45" s="474"/>
      <c r="G45" s="474"/>
      <c r="H45" s="474"/>
      <c r="I45" s="474"/>
      <c r="J45" s="474"/>
      <c r="K45" s="474"/>
      <c r="L45" s="474"/>
      <c r="M45" s="474"/>
      <c r="N45" s="474"/>
      <c r="O45" s="474"/>
      <c r="P45" s="474"/>
    </row>
    <row r="46" spans="2:16" x14ac:dyDescent="0.25">
      <c r="B46" s="474"/>
      <c r="C46" s="474"/>
      <c r="D46" s="474"/>
      <c r="E46" s="474"/>
      <c r="F46" s="474"/>
      <c r="G46" s="474"/>
      <c r="H46" s="474"/>
      <c r="I46" s="474"/>
      <c r="J46" s="474"/>
      <c r="K46" s="474"/>
      <c r="L46" s="474"/>
      <c r="M46" s="474"/>
      <c r="N46" s="474"/>
      <c r="O46" s="474"/>
      <c r="P46" s="474"/>
    </row>
    <row r="47" spans="2:16" x14ac:dyDescent="0.25">
      <c r="B47" s="474"/>
      <c r="C47" s="474"/>
      <c r="D47" s="474"/>
      <c r="E47" s="474"/>
      <c r="F47" s="474"/>
      <c r="G47" s="474"/>
      <c r="H47" s="474"/>
      <c r="I47" s="474"/>
      <c r="J47" s="474"/>
      <c r="K47" s="474"/>
      <c r="L47" s="474"/>
      <c r="M47" s="474"/>
      <c r="N47" s="474"/>
      <c r="O47" s="474"/>
      <c r="P47" s="474"/>
    </row>
    <row r="65" spans="2:14" x14ac:dyDescent="0.25">
      <c r="B65" s="475"/>
      <c r="C65" s="484">
        <v>44931</v>
      </c>
      <c r="D65" s="484">
        <v>44962</v>
      </c>
      <c r="E65" s="484">
        <v>44990</v>
      </c>
      <c r="F65" s="484">
        <v>45022</v>
      </c>
      <c r="G65" s="484">
        <v>45054</v>
      </c>
      <c r="H65" s="484">
        <v>45086</v>
      </c>
      <c r="I65" s="484">
        <v>45118</v>
      </c>
      <c r="J65" s="484">
        <v>45150</v>
      </c>
      <c r="K65" s="485"/>
      <c r="L65" s="486" t="s">
        <v>826</v>
      </c>
      <c r="M65" s="486"/>
      <c r="N65" s="486" t="s">
        <v>827</v>
      </c>
    </row>
    <row r="66" spans="2:14" x14ac:dyDescent="0.25">
      <c r="B66" s="474"/>
      <c r="C66" s="440"/>
      <c r="D66" s="440"/>
      <c r="E66" s="440"/>
      <c r="F66" s="440"/>
      <c r="G66" s="440"/>
      <c r="H66" s="440"/>
      <c r="I66" s="440"/>
      <c r="J66" s="440"/>
    </row>
    <row r="67" spans="2:14" x14ac:dyDescent="0.25">
      <c r="B67" s="477" t="s">
        <v>828</v>
      </c>
      <c r="C67" s="478"/>
      <c r="D67" s="478">
        <v>4</v>
      </c>
      <c r="E67" s="478">
        <v>1</v>
      </c>
      <c r="F67" s="478">
        <v>5</v>
      </c>
      <c r="G67" s="478">
        <v>4</v>
      </c>
      <c r="H67" s="478">
        <v>2</v>
      </c>
      <c r="I67" s="440">
        <v>2</v>
      </c>
      <c r="J67" s="440">
        <v>2</v>
      </c>
      <c r="L67">
        <v>4</v>
      </c>
      <c r="N67">
        <v>1</v>
      </c>
    </row>
    <row r="68" spans="2:14" x14ac:dyDescent="0.25">
      <c r="B68" s="477"/>
      <c r="C68" s="478"/>
      <c r="D68" s="478"/>
      <c r="E68" s="478"/>
      <c r="F68" s="478"/>
      <c r="G68" s="478"/>
      <c r="H68" s="478"/>
      <c r="I68" s="440"/>
      <c r="J68" s="440"/>
    </row>
    <row r="69" spans="2:14" x14ac:dyDescent="0.25">
      <c r="B69" s="477" t="s">
        <v>829</v>
      </c>
      <c r="C69" s="480"/>
      <c r="D69" s="480"/>
      <c r="E69" s="480">
        <v>2</v>
      </c>
      <c r="F69" s="480"/>
      <c r="G69" s="480">
        <v>2</v>
      </c>
      <c r="H69" s="480"/>
      <c r="I69" s="480">
        <v>1</v>
      </c>
      <c r="J69" s="480"/>
      <c r="N69">
        <v>3</v>
      </c>
    </row>
    <row r="70" spans="2:14" x14ac:dyDescent="0.25">
      <c r="B70" s="477"/>
      <c r="C70" s="480"/>
      <c r="D70" s="480"/>
      <c r="E70" s="480"/>
      <c r="F70" s="480"/>
      <c r="G70" s="480"/>
      <c r="H70" s="480"/>
      <c r="I70" s="480"/>
      <c r="J70" s="480"/>
    </row>
    <row r="71" spans="2:14" x14ac:dyDescent="0.25">
      <c r="B71" s="477" t="s">
        <v>830</v>
      </c>
      <c r="C71" s="474"/>
      <c r="D71" s="474">
        <v>1</v>
      </c>
      <c r="E71" s="474"/>
      <c r="F71" s="474"/>
      <c r="G71" s="474"/>
      <c r="H71" s="474">
        <v>1</v>
      </c>
      <c r="I71" s="474"/>
      <c r="J71" s="474">
        <v>1</v>
      </c>
    </row>
    <row r="72" spans="2:14" x14ac:dyDescent="0.25">
      <c r="B72" s="477"/>
      <c r="C72" s="474"/>
      <c r="D72" s="474"/>
      <c r="E72" s="474"/>
      <c r="F72" s="474"/>
      <c r="G72" s="474"/>
      <c r="H72" s="474"/>
      <c r="I72" s="474"/>
      <c r="J72" s="474"/>
    </row>
    <row r="73" spans="2:14" x14ac:dyDescent="0.25">
      <c r="B73" s="477" t="s">
        <v>831</v>
      </c>
      <c r="C73" s="474"/>
      <c r="D73" s="474"/>
      <c r="E73" s="474"/>
      <c r="F73" s="474"/>
      <c r="G73" s="474"/>
      <c r="H73" s="474"/>
      <c r="I73" s="474"/>
      <c r="J73" s="474"/>
      <c r="L73">
        <v>1</v>
      </c>
    </row>
    <row r="74" spans="2:14" x14ac:dyDescent="0.25">
      <c r="B74" s="474" t="s">
        <v>817</v>
      </c>
      <c r="C74" s="474"/>
      <c r="D74" s="440">
        <f>SUM(D67:D72)</f>
        <v>5</v>
      </c>
      <c r="E74" s="440">
        <f t="shared" ref="E74:N74" si="8">SUM(E67:E72)</f>
        <v>3</v>
      </c>
      <c r="F74" s="440">
        <f t="shared" si="8"/>
        <v>5</v>
      </c>
      <c r="G74" s="440">
        <f t="shared" si="8"/>
        <v>6</v>
      </c>
      <c r="H74" s="440">
        <f t="shared" si="8"/>
        <v>3</v>
      </c>
      <c r="I74" s="440">
        <f t="shared" si="8"/>
        <v>3</v>
      </c>
      <c r="J74" s="440">
        <f t="shared" si="8"/>
        <v>3</v>
      </c>
      <c r="K74" s="440"/>
      <c r="L74" s="440">
        <f t="shared" si="8"/>
        <v>4</v>
      </c>
      <c r="M74" s="440"/>
      <c r="N74" s="440">
        <f t="shared" si="8"/>
        <v>4</v>
      </c>
    </row>
  </sheetData>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0D90A-8CFB-4A23-B792-861FC5EE4DFB}">
  <sheetPr>
    <tabColor rgb="FFFFFF00"/>
    <pageSetUpPr fitToPage="1"/>
  </sheetPr>
  <dimension ref="B1:H434"/>
  <sheetViews>
    <sheetView topLeftCell="A377" workbookViewId="0">
      <selection activeCell="K434" sqref="K434"/>
    </sheetView>
  </sheetViews>
  <sheetFormatPr baseColWidth="10" defaultColWidth="11.453125" defaultRowHeight="10" x14ac:dyDescent="0.2"/>
  <cols>
    <col min="1" max="1" width="2.7265625" style="2" customWidth="1"/>
    <col min="2" max="2" width="26.26953125" style="126" customWidth="1"/>
    <col min="3" max="3" width="29.7265625" style="23" customWidth="1"/>
    <col min="4" max="4" width="11.26953125" style="2" customWidth="1"/>
    <col min="5" max="5" width="15.1796875" style="2" customWidth="1"/>
    <col min="6" max="16384" width="11.453125" style="2"/>
  </cols>
  <sheetData>
    <row r="1" spans="2:8" ht="15" hidden="1" customHeight="1" x14ac:dyDescent="0.2">
      <c r="B1" s="1649" t="s">
        <v>218</v>
      </c>
      <c r="C1" s="1650"/>
      <c r="D1" s="1650"/>
      <c r="E1" s="1651"/>
      <c r="F1" s="39"/>
      <c r="G1" s="39"/>
      <c r="H1" s="39"/>
    </row>
    <row r="2" spans="2:8" ht="15" hidden="1" customHeight="1" x14ac:dyDescent="0.2">
      <c r="B2" s="1819" t="s">
        <v>307</v>
      </c>
      <c r="C2" s="1820"/>
      <c r="D2" s="1820"/>
      <c r="E2" s="1821"/>
    </row>
    <row r="3" spans="2:8" ht="8.25" hidden="1" customHeight="1" x14ac:dyDescent="0.2">
      <c r="B3" s="123"/>
      <c r="E3" s="127"/>
    </row>
    <row r="4" spans="2:8" ht="15" hidden="1" customHeight="1" x14ac:dyDescent="0.2">
      <c r="B4" s="124" t="s">
        <v>208</v>
      </c>
      <c r="C4" s="23" t="s">
        <v>209</v>
      </c>
      <c r="D4" s="125" t="s">
        <v>268</v>
      </c>
      <c r="E4" s="128" t="s">
        <v>31</v>
      </c>
    </row>
    <row r="5" spans="2:8" ht="15" hidden="1" customHeight="1" x14ac:dyDescent="0.2">
      <c r="B5" s="129" t="s">
        <v>230</v>
      </c>
      <c r="C5" s="118" t="s">
        <v>231</v>
      </c>
      <c r="D5" s="118" t="s">
        <v>232</v>
      </c>
      <c r="E5" s="130">
        <v>266000</v>
      </c>
    </row>
    <row r="6" spans="2:8" ht="15" hidden="1" customHeight="1" x14ac:dyDescent="0.2">
      <c r="B6" s="131" t="s">
        <v>233</v>
      </c>
      <c r="C6" s="102" t="s">
        <v>234</v>
      </c>
      <c r="D6" s="102" t="s">
        <v>234</v>
      </c>
      <c r="E6" s="132" t="s">
        <v>33</v>
      </c>
    </row>
    <row r="7" spans="2:8" ht="15" hidden="1" customHeight="1" x14ac:dyDescent="0.2">
      <c r="B7" s="133" t="s">
        <v>210</v>
      </c>
      <c r="C7" s="119" t="s">
        <v>235</v>
      </c>
      <c r="D7" s="119" t="s">
        <v>236</v>
      </c>
      <c r="E7" s="134">
        <v>170598</v>
      </c>
    </row>
    <row r="8" spans="2:8" ht="15" hidden="1" customHeight="1" x14ac:dyDescent="0.2">
      <c r="B8" s="133" t="s">
        <v>210</v>
      </c>
      <c r="C8" s="119" t="s">
        <v>237</v>
      </c>
      <c r="D8" s="119" t="s">
        <v>211</v>
      </c>
      <c r="E8" s="134">
        <v>105424</v>
      </c>
    </row>
    <row r="9" spans="2:8" ht="15" hidden="1" customHeight="1" x14ac:dyDescent="0.2">
      <c r="B9" s="133" t="s">
        <v>210</v>
      </c>
      <c r="C9" s="119" t="s">
        <v>238</v>
      </c>
      <c r="D9" s="119" t="s">
        <v>239</v>
      </c>
      <c r="E9" s="134">
        <v>324473</v>
      </c>
    </row>
    <row r="10" spans="2:8" ht="15" hidden="1" customHeight="1" x14ac:dyDescent="0.2">
      <c r="B10" s="135" t="s">
        <v>240</v>
      </c>
      <c r="C10" s="120" t="s">
        <v>241</v>
      </c>
      <c r="D10" s="120" t="s">
        <v>242</v>
      </c>
      <c r="E10" s="136">
        <v>95500</v>
      </c>
    </row>
    <row r="11" spans="2:8" ht="15" hidden="1" customHeight="1" x14ac:dyDescent="0.2">
      <c r="B11" s="135" t="s">
        <v>240</v>
      </c>
      <c r="C11" s="120" t="s">
        <v>241</v>
      </c>
      <c r="D11" s="120" t="s">
        <v>243</v>
      </c>
      <c r="E11" s="136">
        <v>50000</v>
      </c>
    </row>
    <row r="12" spans="2:8" ht="15" hidden="1" customHeight="1" x14ac:dyDescent="0.2">
      <c r="B12" s="103" t="s">
        <v>244</v>
      </c>
      <c r="C12" s="102" t="s">
        <v>245</v>
      </c>
      <c r="D12" s="102" t="s">
        <v>246</v>
      </c>
      <c r="E12" s="132">
        <v>397103</v>
      </c>
    </row>
    <row r="13" spans="2:8" hidden="1" x14ac:dyDescent="0.2">
      <c r="B13" s="103" t="s">
        <v>247</v>
      </c>
      <c r="C13" s="102" t="s">
        <v>231</v>
      </c>
      <c r="D13" s="102" t="s">
        <v>248</v>
      </c>
      <c r="E13" s="132">
        <v>1236522</v>
      </c>
    </row>
    <row r="14" spans="2:8" hidden="1" x14ac:dyDescent="0.2">
      <c r="B14" s="137" t="s">
        <v>212</v>
      </c>
      <c r="C14" s="121" t="s">
        <v>249</v>
      </c>
      <c r="D14" s="121" t="s">
        <v>250</v>
      </c>
      <c r="E14" s="138">
        <v>171364</v>
      </c>
    </row>
    <row r="15" spans="2:8" hidden="1" x14ac:dyDescent="0.2">
      <c r="B15" s="137" t="s">
        <v>212</v>
      </c>
      <c r="C15" s="121" t="s">
        <v>213</v>
      </c>
      <c r="D15" s="121" t="s">
        <v>251</v>
      </c>
      <c r="E15" s="138">
        <v>240202</v>
      </c>
    </row>
    <row r="16" spans="2:8" hidden="1" x14ac:dyDescent="0.2">
      <c r="B16" s="137" t="s">
        <v>212</v>
      </c>
      <c r="C16" s="121" t="s">
        <v>252</v>
      </c>
      <c r="D16" s="121" t="s">
        <v>253</v>
      </c>
      <c r="E16" s="138">
        <v>178500</v>
      </c>
    </row>
    <row r="17" spans="2:5" hidden="1" x14ac:dyDescent="0.2">
      <c r="B17" s="137" t="s">
        <v>212</v>
      </c>
      <c r="C17" s="121" t="s">
        <v>214</v>
      </c>
      <c r="D17" s="121" t="s">
        <v>254</v>
      </c>
      <c r="E17" s="138">
        <v>471499</v>
      </c>
    </row>
    <row r="18" spans="2:5" hidden="1" x14ac:dyDescent="0.2">
      <c r="B18" s="103" t="s">
        <v>255</v>
      </c>
      <c r="C18" s="102" t="s">
        <v>237</v>
      </c>
      <c r="D18" s="102" t="s">
        <v>256</v>
      </c>
      <c r="E18" s="132">
        <v>249900</v>
      </c>
    </row>
    <row r="19" spans="2:5" hidden="1" x14ac:dyDescent="0.2">
      <c r="B19" s="139" t="s">
        <v>257</v>
      </c>
      <c r="C19" s="122" t="s">
        <v>258</v>
      </c>
      <c r="D19" s="122" t="s">
        <v>259</v>
      </c>
      <c r="E19" s="140">
        <v>119999</v>
      </c>
    </row>
    <row r="20" spans="2:5" hidden="1" x14ac:dyDescent="0.2">
      <c r="B20" s="139" t="s">
        <v>257</v>
      </c>
      <c r="C20" s="122" t="s">
        <v>258</v>
      </c>
      <c r="D20" s="122" t="s">
        <v>260</v>
      </c>
      <c r="E20" s="140">
        <v>75000</v>
      </c>
    </row>
    <row r="21" spans="2:5" hidden="1" x14ac:dyDescent="0.2">
      <c r="B21" s="103" t="s">
        <v>215</v>
      </c>
      <c r="C21" s="102" t="s">
        <v>261</v>
      </c>
      <c r="D21" s="102" t="s">
        <v>262</v>
      </c>
      <c r="E21" s="132">
        <v>40300</v>
      </c>
    </row>
    <row r="22" spans="2:5" hidden="1" x14ac:dyDescent="0.2">
      <c r="B22" s="103" t="s">
        <v>215</v>
      </c>
      <c r="C22" s="102" t="s">
        <v>216</v>
      </c>
      <c r="D22" s="102" t="s">
        <v>263</v>
      </c>
      <c r="E22" s="132">
        <v>48200</v>
      </c>
    </row>
    <row r="23" spans="2:5" hidden="1" x14ac:dyDescent="0.2">
      <c r="B23" s="103" t="s">
        <v>264</v>
      </c>
      <c r="C23" s="102" t="s">
        <v>216</v>
      </c>
      <c r="D23" s="102" t="s">
        <v>265</v>
      </c>
      <c r="E23" s="132">
        <v>9140</v>
      </c>
    </row>
    <row r="24" spans="2:5" hidden="1" x14ac:dyDescent="0.2">
      <c r="B24" s="103" t="s">
        <v>217</v>
      </c>
      <c r="C24" s="102" t="s">
        <v>266</v>
      </c>
      <c r="D24" s="102" t="s">
        <v>267</v>
      </c>
      <c r="E24" s="132">
        <v>365719</v>
      </c>
    </row>
    <row r="25" spans="2:5" hidden="1" x14ac:dyDescent="0.2">
      <c r="B25" s="141"/>
      <c r="C25" s="142"/>
      <c r="D25" s="143"/>
      <c r="E25" s="144"/>
    </row>
    <row r="26" spans="2:5" hidden="1" x14ac:dyDescent="0.2"/>
    <row r="27" spans="2:5" hidden="1" x14ac:dyDescent="0.2"/>
    <row r="28" spans="2:5" hidden="1" x14ac:dyDescent="0.2"/>
    <row r="29" spans="2:5" hidden="1" x14ac:dyDescent="0.2"/>
    <row r="30" spans="2:5" ht="14" hidden="1" x14ac:dyDescent="0.3">
      <c r="B30" s="1809" t="s">
        <v>308</v>
      </c>
      <c r="C30" s="1810"/>
      <c r="D30" s="1810"/>
      <c r="E30" s="1811"/>
    </row>
    <row r="31" spans="2:5" hidden="1" x14ac:dyDescent="0.2">
      <c r="B31" s="103" t="s">
        <v>274</v>
      </c>
      <c r="C31" s="102" t="s">
        <v>275</v>
      </c>
      <c r="D31" s="102" t="s">
        <v>276</v>
      </c>
      <c r="E31" s="132">
        <v>595450</v>
      </c>
    </row>
    <row r="32" spans="2:5" hidden="1" x14ac:dyDescent="0.2">
      <c r="B32" s="152" t="s">
        <v>277</v>
      </c>
      <c r="C32" s="102" t="s">
        <v>278</v>
      </c>
      <c r="D32" s="102" t="s">
        <v>279</v>
      </c>
      <c r="E32" s="132">
        <v>34820</v>
      </c>
    </row>
    <row r="33" spans="2:5" hidden="1" x14ac:dyDescent="0.2">
      <c r="B33" s="152" t="s">
        <v>277</v>
      </c>
      <c r="C33" s="102" t="s">
        <v>280</v>
      </c>
      <c r="D33" s="102" t="s">
        <v>281</v>
      </c>
      <c r="E33" s="132">
        <v>82500</v>
      </c>
    </row>
    <row r="34" spans="2:5" hidden="1" x14ac:dyDescent="0.2">
      <c r="B34" s="103" t="s">
        <v>210</v>
      </c>
      <c r="C34" s="102" t="s">
        <v>237</v>
      </c>
      <c r="D34" s="102" t="s">
        <v>282</v>
      </c>
      <c r="E34" s="132">
        <v>105424</v>
      </c>
    </row>
    <row r="35" spans="2:5" hidden="1" x14ac:dyDescent="0.2">
      <c r="B35" s="153" t="s">
        <v>240</v>
      </c>
      <c r="C35" s="102" t="s">
        <v>283</v>
      </c>
      <c r="D35" s="102" t="s">
        <v>284</v>
      </c>
      <c r="E35" s="132">
        <v>84000</v>
      </c>
    </row>
    <row r="36" spans="2:5" hidden="1" x14ac:dyDescent="0.2">
      <c r="B36" s="153" t="s">
        <v>240</v>
      </c>
      <c r="C36" s="102" t="s">
        <v>285</v>
      </c>
      <c r="D36" s="102" t="s">
        <v>286</v>
      </c>
      <c r="E36" s="132">
        <v>93494</v>
      </c>
    </row>
    <row r="37" spans="2:5" hidden="1" x14ac:dyDescent="0.2">
      <c r="B37" s="153" t="s">
        <v>240</v>
      </c>
      <c r="C37" s="102" t="s">
        <v>285</v>
      </c>
      <c r="D37" s="102" t="s">
        <v>287</v>
      </c>
      <c r="E37" s="132">
        <v>77793</v>
      </c>
    </row>
    <row r="38" spans="2:5" hidden="1" x14ac:dyDescent="0.2">
      <c r="B38" s="103" t="s">
        <v>244</v>
      </c>
      <c r="C38" s="102" t="s">
        <v>245</v>
      </c>
      <c r="D38" s="102" t="s">
        <v>288</v>
      </c>
      <c r="E38" s="132">
        <v>223958</v>
      </c>
    </row>
    <row r="39" spans="2:5" hidden="1" x14ac:dyDescent="0.2">
      <c r="B39" s="152" t="s">
        <v>247</v>
      </c>
      <c r="C39" s="102" t="s">
        <v>231</v>
      </c>
      <c r="D39" s="102" t="s">
        <v>289</v>
      </c>
      <c r="E39" s="132">
        <v>56000</v>
      </c>
    </row>
    <row r="40" spans="2:5" hidden="1" x14ac:dyDescent="0.2">
      <c r="B40" s="152" t="s">
        <v>247</v>
      </c>
      <c r="C40" s="102" t="s">
        <v>231</v>
      </c>
      <c r="D40" s="102" t="s">
        <v>248</v>
      </c>
      <c r="E40" s="132">
        <v>1236521</v>
      </c>
    </row>
    <row r="41" spans="2:5" hidden="1" x14ac:dyDescent="0.2">
      <c r="B41" s="103" t="s">
        <v>212</v>
      </c>
      <c r="C41" s="102" t="s">
        <v>213</v>
      </c>
      <c r="D41" s="102" t="s">
        <v>251</v>
      </c>
      <c r="E41" s="132">
        <v>240202</v>
      </c>
    </row>
    <row r="42" spans="2:5" hidden="1" x14ac:dyDescent="0.2">
      <c r="B42" s="103" t="s">
        <v>215</v>
      </c>
      <c r="C42" s="102" t="s">
        <v>290</v>
      </c>
      <c r="D42" s="102" t="s">
        <v>291</v>
      </c>
      <c r="E42" s="132">
        <v>17950</v>
      </c>
    </row>
    <row r="43" spans="2:5" hidden="1" x14ac:dyDescent="0.2">
      <c r="B43" s="103" t="s">
        <v>292</v>
      </c>
      <c r="C43" s="102" t="s">
        <v>293</v>
      </c>
      <c r="D43" s="102" t="s">
        <v>294</v>
      </c>
      <c r="E43" s="132">
        <v>28000</v>
      </c>
    </row>
    <row r="44" spans="2:5" hidden="1" x14ac:dyDescent="0.2">
      <c r="B44" s="103" t="s">
        <v>295</v>
      </c>
      <c r="C44" s="102" t="s">
        <v>296</v>
      </c>
      <c r="D44" s="102" t="s">
        <v>297</v>
      </c>
      <c r="E44" s="132">
        <v>200000</v>
      </c>
    </row>
    <row r="45" spans="2:5" hidden="1" x14ac:dyDescent="0.2">
      <c r="B45" s="103" t="s">
        <v>298</v>
      </c>
      <c r="C45" s="102" t="s">
        <v>299</v>
      </c>
      <c r="D45" s="102" t="s">
        <v>300</v>
      </c>
      <c r="E45" s="132">
        <v>680000</v>
      </c>
    </row>
    <row r="46" spans="2:5" hidden="1" x14ac:dyDescent="0.2">
      <c r="B46" s="103" t="s">
        <v>217</v>
      </c>
      <c r="C46" s="102" t="s">
        <v>266</v>
      </c>
      <c r="D46" s="102" t="s">
        <v>301</v>
      </c>
      <c r="E46" s="132">
        <v>270127</v>
      </c>
    </row>
    <row r="47" spans="2:5" hidden="1" x14ac:dyDescent="0.2">
      <c r="B47" s="103" t="s">
        <v>302</v>
      </c>
      <c r="C47" s="102" t="s">
        <v>303</v>
      </c>
      <c r="D47" s="102" t="s">
        <v>304</v>
      </c>
      <c r="E47" s="132">
        <v>178435.96</v>
      </c>
    </row>
    <row r="48" spans="2:5" hidden="1" x14ac:dyDescent="0.2">
      <c r="B48" s="103" t="s">
        <v>305</v>
      </c>
      <c r="C48" s="102" t="s">
        <v>303</v>
      </c>
      <c r="D48" s="102" t="s">
        <v>272</v>
      </c>
      <c r="E48" s="132">
        <v>14190</v>
      </c>
    </row>
    <row r="49" spans="2:5" hidden="1" x14ac:dyDescent="0.2">
      <c r="B49" s="149" t="s">
        <v>305</v>
      </c>
      <c r="C49" s="150" t="s">
        <v>303</v>
      </c>
      <c r="D49" s="150" t="s">
        <v>306</v>
      </c>
      <c r="E49" s="151">
        <v>82348</v>
      </c>
    </row>
    <row r="50" spans="2:5" hidden="1" x14ac:dyDescent="0.2"/>
    <row r="51" spans="2:5" hidden="1" x14ac:dyDescent="0.2">
      <c r="B51" s="1814" t="s">
        <v>445</v>
      </c>
      <c r="C51" s="1815"/>
      <c r="D51" s="1815"/>
      <c r="E51" s="1816"/>
    </row>
    <row r="52" spans="2:5" ht="15.5" hidden="1" x14ac:dyDescent="0.35">
      <c r="B52" s="287" t="s">
        <v>454</v>
      </c>
      <c r="C52" s="155"/>
      <c r="D52" s="13"/>
      <c r="E52" s="288">
        <v>18878827</v>
      </c>
    </row>
    <row r="53" spans="2:5" hidden="1" x14ac:dyDescent="0.2">
      <c r="B53" s="154" t="s">
        <v>446</v>
      </c>
      <c r="C53" s="155" t="s">
        <v>447</v>
      </c>
      <c r="D53" s="156">
        <v>115430</v>
      </c>
      <c r="E53" s="156"/>
    </row>
    <row r="54" spans="2:5" hidden="1" x14ac:dyDescent="0.2">
      <c r="B54" s="154" t="s">
        <v>448</v>
      </c>
      <c r="C54" s="155" t="s">
        <v>449</v>
      </c>
      <c r="D54" s="156">
        <v>266000</v>
      </c>
      <c r="E54" s="13"/>
    </row>
    <row r="55" spans="2:5" hidden="1" x14ac:dyDescent="0.2">
      <c r="B55" s="154" t="s">
        <v>448</v>
      </c>
      <c r="C55" s="155" t="s">
        <v>449</v>
      </c>
      <c r="D55" s="156">
        <v>1467000</v>
      </c>
      <c r="E55" s="13"/>
    </row>
    <row r="56" spans="2:5" ht="18" hidden="1" x14ac:dyDescent="0.4">
      <c r="B56" s="154" t="s">
        <v>450</v>
      </c>
      <c r="C56" s="155"/>
      <c r="D56" s="13"/>
      <c r="E56" s="157">
        <f>+E52-D53-D54-D55</f>
        <v>17030397</v>
      </c>
    </row>
    <row r="57" spans="2:5" hidden="1" x14ac:dyDescent="0.2">
      <c r="B57" s="123" t="s">
        <v>349</v>
      </c>
      <c r="D57" s="268"/>
      <c r="E57" s="127"/>
    </row>
    <row r="58" spans="2:5" ht="11.5" hidden="1" x14ac:dyDescent="0.25">
      <c r="B58" s="265" t="s">
        <v>451</v>
      </c>
      <c r="C58" s="267">
        <v>0</v>
      </c>
      <c r="D58" s="266">
        <v>191257</v>
      </c>
      <c r="E58" s="127"/>
    </row>
    <row r="59" spans="2:5" ht="11.5" hidden="1" x14ac:dyDescent="0.25">
      <c r="B59" s="265" t="s">
        <v>452</v>
      </c>
      <c r="C59" s="267">
        <v>0</v>
      </c>
      <c r="D59" s="266">
        <v>66500</v>
      </c>
      <c r="E59" s="262">
        <f>+D58+D59</f>
        <v>257757</v>
      </c>
    </row>
    <row r="60" spans="2:5" ht="18" hidden="1" x14ac:dyDescent="0.4">
      <c r="B60" s="281" t="s">
        <v>350</v>
      </c>
      <c r="C60" s="282"/>
      <c r="D60" s="283"/>
      <c r="E60" s="157">
        <f>+E56-E59</f>
        <v>16772640</v>
      </c>
    </row>
    <row r="61" spans="2:5" ht="15.5" hidden="1" x14ac:dyDescent="0.35">
      <c r="B61" s="141" t="s">
        <v>443</v>
      </c>
      <c r="C61" s="142" t="s">
        <v>444</v>
      </c>
      <c r="D61" s="270"/>
      <c r="E61" s="288">
        <v>18878827</v>
      </c>
    </row>
    <row r="62" spans="2:5" hidden="1" x14ac:dyDescent="0.2">
      <c r="B62" s="123" t="s">
        <v>190</v>
      </c>
      <c r="C62" s="23" t="s">
        <v>453</v>
      </c>
      <c r="D62" s="269"/>
      <c r="E62" s="262">
        <v>-15290000</v>
      </c>
    </row>
    <row r="63" spans="2:5" ht="18" hidden="1" x14ac:dyDescent="0.4">
      <c r="B63" s="284" t="s">
        <v>458</v>
      </c>
      <c r="C63" s="285" t="s">
        <v>457</v>
      </c>
      <c r="D63" s="286"/>
      <c r="E63" s="157">
        <f>+E60+E61+E62</f>
        <v>20361467</v>
      </c>
    </row>
    <row r="64" spans="2:5" hidden="1" x14ac:dyDescent="0.2"/>
    <row r="65" spans="2:5" ht="14" hidden="1" x14ac:dyDescent="0.3">
      <c r="B65" s="1812" t="s">
        <v>441</v>
      </c>
      <c r="C65" s="1813"/>
      <c r="D65" s="1813"/>
      <c r="E65" s="1813"/>
    </row>
    <row r="66" spans="2:5" hidden="1" x14ac:dyDescent="0.2">
      <c r="B66" s="272" t="s">
        <v>354</v>
      </c>
      <c r="C66" s="272" t="s">
        <v>355</v>
      </c>
      <c r="D66" s="273">
        <v>62024</v>
      </c>
      <c r="E66" s="272" t="s">
        <v>356</v>
      </c>
    </row>
    <row r="67" spans="2:5" hidden="1" x14ac:dyDescent="0.2">
      <c r="B67" s="272" t="s">
        <v>357</v>
      </c>
      <c r="C67" s="272" t="s">
        <v>358</v>
      </c>
      <c r="D67" s="273">
        <v>62024</v>
      </c>
      <c r="E67" s="272" t="s">
        <v>359</v>
      </c>
    </row>
    <row r="68" spans="2:5" hidden="1" x14ac:dyDescent="0.2">
      <c r="B68" s="272" t="s">
        <v>360</v>
      </c>
      <c r="C68" s="272" t="s">
        <v>361</v>
      </c>
      <c r="D68" s="273">
        <v>3639</v>
      </c>
      <c r="E68" s="272" t="s">
        <v>362</v>
      </c>
    </row>
    <row r="69" spans="2:5" hidden="1" x14ac:dyDescent="0.2">
      <c r="B69" s="272" t="s">
        <v>363</v>
      </c>
      <c r="C69" s="272" t="s">
        <v>364</v>
      </c>
      <c r="D69" s="273">
        <v>3635</v>
      </c>
      <c r="E69" s="272" t="s">
        <v>365</v>
      </c>
    </row>
    <row r="70" spans="2:5" hidden="1" x14ac:dyDescent="0.2">
      <c r="B70" s="272" t="s">
        <v>366</v>
      </c>
      <c r="C70" s="272" t="s">
        <v>367</v>
      </c>
      <c r="D70" s="273">
        <v>3630</v>
      </c>
      <c r="E70" s="272" t="s">
        <v>368</v>
      </c>
    </row>
    <row r="71" spans="2:5" hidden="1" x14ac:dyDescent="0.2">
      <c r="B71" s="272" t="s">
        <v>369</v>
      </c>
      <c r="C71" s="272" t="s">
        <v>293</v>
      </c>
      <c r="D71" s="273">
        <v>3649</v>
      </c>
      <c r="E71" s="272" t="s">
        <v>370</v>
      </c>
    </row>
    <row r="72" spans="2:5" hidden="1" x14ac:dyDescent="0.2">
      <c r="B72" s="272" t="s">
        <v>371</v>
      </c>
      <c r="C72" s="272" t="s">
        <v>372</v>
      </c>
      <c r="D72" s="273">
        <v>3645</v>
      </c>
      <c r="E72" s="272" t="s">
        <v>373</v>
      </c>
    </row>
    <row r="73" spans="2:5" hidden="1" x14ac:dyDescent="0.2">
      <c r="B73" s="272" t="s">
        <v>374</v>
      </c>
      <c r="C73" s="272" t="s">
        <v>375</v>
      </c>
      <c r="D73" s="273">
        <v>3634</v>
      </c>
      <c r="E73" s="272" t="s">
        <v>376</v>
      </c>
    </row>
    <row r="74" spans="2:5" hidden="1" x14ac:dyDescent="0.2">
      <c r="B74" s="272" t="s">
        <v>374</v>
      </c>
      <c r="C74" s="272" t="s">
        <v>375</v>
      </c>
      <c r="D74" s="273">
        <v>3634</v>
      </c>
      <c r="E74" s="272" t="s">
        <v>376</v>
      </c>
    </row>
    <row r="75" spans="2:5" hidden="1" x14ac:dyDescent="0.2">
      <c r="B75" s="272" t="s">
        <v>374</v>
      </c>
      <c r="C75" s="272" t="s">
        <v>367</v>
      </c>
      <c r="D75" s="273">
        <v>3631</v>
      </c>
      <c r="E75" s="272" t="s">
        <v>377</v>
      </c>
    </row>
    <row r="76" spans="2:5" hidden="1" x14ac:dyDescent="0.2">
      <c r="B76" s="272" t="s">
        <v>374</v>
      </c>
      <c r="C76" s="272" t="s">
        <v>367</v>
      </c>
      <c r="D76" s="273">
        <v>3631</v>
      </c>
      <c r="E76" s="272" t="s">
        <v>378</v>
      </c>
    </row>
    <row r="77" spans="2:5" hidden="1" x14ac:dyDescent="0.2">
      <c r="B77" s="272" t="s">
        <v>374</v>
      </c>
      <c r="C77" s="272" t="s">
        <v>367</v>
      </c>
      <c r="D77" s="273">
        <v>3633</v>
      </c>
      <c r="E77" s="272" t="s">
        <v>379</v>
      </c>
    </row>
    <row r="78" spans="2:5" hidden="1" x14ac:dyDescent="0.2">
      <c r="B78" s="272" t="s">
        <v>374</v>
      </c>
      <c r="C78" s="272" t="s">
        <v>367</v>
      </c>
      <c r="D78" s="273">
        <v>3633</v>
      </c>
      <c r="E78" s="272" t="s">
        <v>380</v>
      </c>
    </row>
    <row r="79" spans="2:5" hidden="1" x14ac:dyDescent="0.2">
      <c r="B79" s="272" t="s">
        <v>381</v>
      </c>
      <c r="C79" s="272" t="s">
        <v>367</v>
      </c>
      <c r="D79" s="273">
        <v>3630</v>
      </c>
      <c r="E79" s="272" t="s">
        <v>382</v>
      </c>
    </row>
    <row r="80" spans="2:5" hidden="1" x14ac:dyDescent="0.2">
      <c r="B80" s="272" t="s">
        <v>381</v>
      </c>
      <c r="C80" s="272" t="s">
        <v>367</v>
      </c>
      <c r="D80" s="273">
        <v>3631</v>
      </c>
      <c r="E80" s="272" t="s">
        <v>383</v>
      </c>
    </row>
    <row r="81" spans="2:5" hidden="1" x14ac:dyDescent="0.2">
      <c r="B81" s="272" t="s">
        <v>381</v>
      </c>
      <c r="C81" s="272" t="s">
        <v>367</v>
      </c>
      <c r="D81" s="273">
        <v>3632</v>
      </c>
      <c r="E81" s="272" t="s">
        <v>384</v>
      </c>
    </row>
    <row r="82" spans="2:5" hidden="1" x14ac:dyDescent="0.2">
      <c r="B82" s="272" t="s">
        <v>385</v>
      </c>
      <c r="C82" s="272" t="s">
        <v>386</v>
      </c>
      <c r="D82" s="273">
        <v>3642</v>
      </c>
      <c r="E82" s="272" t="s">
        <v>387</v>
      </c>
    </row>
    <row r="83" spans="2:5" hidden="1" x14ac:dyDescent="0.2">
      <c r="B83" s="272" t="s">
        <v>277</v>
      </c>
      <c r="C83" s="272" t="s">
        <v>388</v>
      </c>
      <c r="D83" s="273">
        <v>3600</v>
      </c>
      <c r="E83" s="272" t="s">
        <v>389</v>
      </c>
    </row>
    <row r="84" spans="2:5" hidden="1" x14ac:dyDescent="0.2">
      <c r="B84" s="272" t="s">
        <v>277</v>
      </c>
      <c r="C84" s="272" t="s">
        <v>388</v>
      </c>
      <c r="D84" s="273">
        <v>3619</v>
      </c>
      <c r="E84" s="272" t="s">
        <v>389</v>
      </c>
    </row>
    <row r="85" spans="2:5" hidden="1" x14ac:dyDescent="0.2">
      <c r="B85" s="272" t="s">
        <v>277</v>
      </c>
      <c r="C85" s="272" t="s">
        <v>388</v>
      </c>
      <c r="D85" s="273">
        <v>3623</v>
      </c>
      <c r="E85" s="272" t="s">
        <v>390</v>
      </c>
    </row>
    <row r="86" spans="2:5" hidden="1" x14ac:dyDescent="0.2">
      <c r="B86" s="272" t="s">
        <v>277</v>
      </c>
      <c r="C86" s="272" t="s">
        <v>391</v>
      </c>
      <c r="D86" s="272" t="s">
        <v>392</v>
      </c>
      <c r="E86" s="272" t="s">
        <v>393</v>
      </c>
    </row>
    <row r="87" spans="2:5" hidden="1" x14ac:dyDescent="0.2">
      <c r="B87" s="272" t="s">
        <v>210</v>
      </c>
      <c r="C87" s="272" t="s">
        <v>237</v>
      </c>
      <c r="D87" s="273">
        <v>3643</v>
      </c>
      <c r="E87" s="272" t="s">
        <v>394</v>
      </c>
    </row>
    <row r="88" spans="2:5" hidden="1" x14ac:dyDescent="0.2">
      <c r="B88" s="272" t="s">
        <v>240</v>
      </c>
      <c r="C88" s="272" t="s">
        <v>241</v>
      </c>
      <c r="D88" s="273">
        <v>3646</v>
      </c>
      <c r="E88" s="272" t="s">
        <v>395</v>
      </c>
    </row>
    <row r="89" spans="2:5" hidden="1" x14ac:dyDescent="0.2">
      <c r="B89" s="272" t="s">
        <v>240</v>
      </c>
      <c r="C89" s="272" t="s">
        <v>241</v>
      </c>
      <c r="D89" s="273">
        <v>3646</v>
      </c>
      <c r="E89" s="272" t="s">
        <v>396</v>
      </c>
    </row>
    <row r="90" spans="2:5" hidden="1" x14ac:dyDescent="0.2">
      <c r="B90" s="272" t="s">
        <v>244</v>
      </c>
      <c r="C90" s="272" t="s">
        <v>245</v>
      </c>
      <c r="D90" s="273">
        <v>3644</v>
      </c>
      <c r="E90" s="272" t="s">
        <v>397</v>
      </c>
    </row>
    <row r="91" spans="2:5" hidden="1" x14ac:dyDescent="0.2">
      <c r="B91" s="272" t="s">
        <v>247</v>
      </c>
      <c r="C91" s="272" t="s">
        <v>231</v>
      </c>
      <c r="D91" s="273">
        <v>3629</v>
      </c>
      <c r="E91" s="272" t="s">
        <v>398</v>
      </c>
    </row>
    <row r="92" spans="2:5" hidden="1" x14ac:dyDescent="0.2">
      <c r="B92" s="272" t="s">
        <v>247</v>
      </c>
      <c r="C92" s="272" t="s">
        <v>231</v>
      </c>
      <c r="D92" s="273">
        <v>3629</v>
      </c>
      <c r="E92" s="272" t="s">
        <v>248</v>
      </c>
    </row>
    <row r="93" spans="2:5" hidden="1" x14ac:dyDescent="0.2">
      <c r="B93" s="272" t="s">
        <v>212</v>
      </c>
      <c r="C93" s="272" t="s">
        <v>213</v>
      </c>
      <c r="D93" s="273">
        <v>3628</v>
      </c>
      <c r="E93" s="272" t="s">
        <v>251</v>
      </c>
    </row>
    <row r="94" spans="2:5" hidden="1" x14ac:dyDescent="0.2">
      <c r="B94" s="272" t="s">
        <v>212</v>
      </c>
      <c r="C94" s="272" t="s">
        <v>214</v>
      </c>
      <c r="D94" s="273">
        <v>3627</v>
      </c>
      <c r="E94" s="272" t="s">
        <v>399</v>
      </c>
    </row>
    <row r="95" spans="2:5" hidden="1" x14ac:dyDescent="0.2">
      <c r="B95" s="272" t="s">
        <v>215</v>
      </c>
      <c r="C95" s="272" t="s">
        <v>400</v>
      </c>
      <c r="D95" s="273">
        <v>3638</v>
      </c>
      <c r="E95" s="272" t="s">
        <v>291</v>
      </c>
    </row>
    <row r="96" spans="2:5" hidden="1" x14ac:dyDescent="0.2">
      <c r="B96" s="272" t="s">
        <v>401</v>
      </c>
      <c r="C96" s="272" t="s">
        <v>402</v>
      </c>
      <c r="D96" s="272" t="s">
        <v>392</v>
      </c>
      <c r="E96" s="272" t="s">
        <v>403</v>
      </c>
    </row>
    <row r="97" spans="2:6" hidden="1" x14ac:dyDescent="0.2">
      <c r="B97" s="272" t="s">
        <v>292</v>
      </c>
      <c r="C97" s="272" t="s">
        <v>293</v>
      </c>
      <c r="D97" s="272" t="s">
        <v>392</v>
      </c>
      <c r="E97" s="272" t="s">
        <v>404</v>
      </c>
    </row>
    <row r="98" spans="2:6" hidden="1" x14ac:dyDescent="0.2">
      <c r="B98" s="272" t="s">
        <v>217</v>
      </c>
      <c r="C98" s="272" t="s">
        <v>266</v>
      </c>
      <c r="D98" s="273">
        <v>62024</v>
      </c>
      <c r="E98" s="272" t="s">
        <v>405</v>
      </c>
    </row>
    <row r="99" spans="2:6" hidden="1" x14ac:dyDescent="0.2">
      <c r="B99" s="272" t="s">
        <v>352</v>
      </c>
      <c r="C99" s="272"/>
      <c r="D99" s="272"/>
      <c r="E99" s="272"/>
    </row>
    <row r="100" spans="2:6" hidden="1" x14ac:dyDescent="0.2">
      <c r="B100" s="274"/>
      <c r="C100" s="275" t="s">
        <v>406</v>
      </c>
      <c r="D100" s="275"/>
      <c r="E100" s="275"/>
    </row>
    <row r="101" spans="2:6" hidden="1" x14ac:dyDescent="0.2"/>
    <row r="102" spans="2:6" hidden="1" x14ac:dyDescent="0.2"/>
    <row r="103" spans="2:6" ht="14" hidden="1" x14ac:dyDescent="0.3">
      <c r="B103" s="1817" t="s">
        <v>440</v>
      </c>
      <c r="C103" s="1818"/>
      <c r="D103" s="1818"/>
      <c r="E103" s="1818"/>
    </row>
    <row r="104" spans="2:6" hidden="1" x14ac:dyDescent="0.2">
      <c r="B104" s="277" t="s">
        <v>412</v>
      </c>
      <c r="C104" s="278" t="s">
        <v>234</v>
      </c>
      <c r="D104" s="278" t="s">
        <v>234</v>
      </c>
      <c r="E104" s="278" t="s">
        <v>234</v>
      </c>
      <c r="F104" s="276"/>
    </row>
    <row r="105" spans="2:6" hidden="1" x14ac:dyDescent="0.2">
      <c r="B105" s="103" t="s">
        <v>354</v>
      </c>
      <c r="C105" s="102" t="s">
        <v>355</v>
      </c>
      <c r="D105" s="263" t="s">
        <v>435</v>
      </c>
      <c r="E105" s="102" t="s">
        <v>413</v>
      </c>
    </row>
    <row r="106" spans="2:6" hidden="1" x14ac:dyDescent="0.2">
      <c r="B106" s="103" t="s">
        <v>357</v>
      </c>
      <c r="C106" s="102" t="s">
        <v>358</v>
      </c>
      <c r="D106" s="263" t="s">
        <v>435</v>
      </c>
      <c r="E106" s="102" t="s">
        <v>359</v>
      </c>
    </row>
    <row r="107" spans="2:6" hidden="1" x14ac:dyDescent="0.2">
      <c r="B107" s="103" t="s">
        <v>360</v>
      </c>
      <c r="C107" s="102" t="s">
        <v>361</v>
      </c>
      <c r="D107" s="263">
        <v>3667</v>
      </c>
      <c r="E107" s="102" t="s">
        <v>362</v>
      </c>
    </row>
    <row r="108" spans="2:6" hidden="1" x14ac:dyDescent="0.2">
      <c r="B108" s="103" t="s">
        <v>363</v>
      </c>
      <c r="C108" s="102" t="s">
        <v>364</v>
      </c>
      <c r="D108" s="263">
        <v>3658</v>
      </c>
      <c r="E108" s="102" t="s">
        <v>365</v>
      </c>
    </row>
    <row r="109" spans="2:6" hidden="1" x14ac:dyDescent="0.2">
      <c r="B109" s="103" t="s">
        <v>366</v>
      </c>
      <c r="C109" s="102" t="s">
        <v>367</v>
      </c>
      <c r="D109" s="263">
        <v>3662</v>
      </c>
      <c r="E109" s="102" t="s">
        <v>368</v>
      </c>
    </row>
    <row r="110" spans="2:6" hidden="1" x14ac:dyDescent="0.2">
      <c r="B110" s="103" t="s">
        <v>369</v>
      </c>
      <c r="C110" s="102" t="s">
        <v>293</v>
      </c>
      <c r="D110" s="263">
        <v>3673</v>
      </c>
      <c r="E110" s="102" t="s">
        <v>370</v>
      </c>
    </row>
    <row r="111" spans="2:6" hidden="1" x14ac:dyDescent="0.2">
      <c r="B111" s="103" t="s">
        <v>371</v>
      </c>
      <c r="C111" s="102" t="s">
        <v>372</v>
      </c>
      <c r="D111" s="263">
        <v>3671</v>
      </c>
      <c r="E111" s="102" t="s">
        <v>414</v>
      </c>
    </row>
    <row r="112" spans="2:6" hidden="1" x14ac:dyDescent="0.2">
      <c r="B112" s="103" t="s">
        <v>374</v>
      </c>
      <c r="C112" s="102" t="s">
        <v>375</v>
      </c>
      <c r="D112" s="263">
        <v>3666</v>
      </c>
      <c r="E112" s="102" t="s">
        <v>415</v>
      </c>
    </row>
    <row r="113" spans="2:5" hidden="1" x14ac:dyDescent="0.2">
      <c r="B113" s="103" t="s">
        <v>374</v>
      </c>
      <c r="C113" s="102" t="s">
        <v>375</v>
      </c>
      <c r="D113" s="263">
        <v>3666</v>
      </c>
      <c r="E113" s="102" t="s">
        <v>415</v>
      </c>
    </row>
    <row r="114" spans="2:5" hidden="1" x14ac:dyDescent="0.2">
      <c r="B114" s="103" t="s">
        <v>374</v>
      </c>
      <c r="C114" s="102" t="s">
        <v>367</v>
      </c>
      <c r="D114" s="263">
        <v>3663</v>
      </c>
      <c r="E114" s="102" t="s">
        <v>377</v>
      </c>
    </row>
    <row r="115" spans="2:5" hidden="1" x14ac:dyDescent="0.2">
      <c r="B115" s="103" t="s">
        <v>374</v>
      </c>
      <c r="C115" s="102" t="s">
        <v>367</v>
      </c>
      <c r="D115" s="263">
        <v>3663</v>
      </c>
      <c r="E115" s="102" t="s">
        <v>378</v>
      </c>
    </row>
    <row r="116" spans="2:5" hidden="1" x14ac:dyDescent="0.2">
      <c r="B116" s="103" t="s">
        <v>374</v>
      </c>
      <c r="C116" s="102" t="s">
        <v>367</v>
      </c>
      <c r="D116" s="263">
        <v>3665</v>
      </c>
      <c r="E116" s="102" t="s">
        <v>416</v>
      </c>
    </row>
    <row r="117" spans="2:5" hidden="1" x14ac:dyDescent="0.2">
      <c r="B117" s="103" t="s">
        <v>374</v>
      </c>
      <c r="C117" s="102" t="s">
        <v>367</v>
      </c>
      <c r="D117" s="263">
        <v>3665</v>
      </c>
      <c r="E117" s="102" t="s">
        <v>417</v>
      </c>
    </row>
    <row r="118" spans="2:5" hidden="1" x14ac:dyDescent="0.2">
      <c r="B118" s="103" t="s">
        <v>381</v>
      </c>
      <c r="C118" s="102" t="s">
        <v>367</v>
      </c>
      <c r="D118" s="263">
        <v>3662</v>
      </c>
      <c r="E118" s="102" t="s">
        <v>418</v>
      </c>
    </row>
    <row r="119" spans="2:5" hidden="1" x14ac:dyDescent="0.2">
      <c r="B119" s="103" t="s">
        <v>381</v>
      </c>
      <c r="C119" s="102" t="s">
        <v>367</v>
      </c>
      <c r="D119" s="263">
        <v>3663</v>
      </c>
      <c r="E119" s="102" t="s">
        <v>419</v>
      </c>
    </row>
    <row r="120" spans="2:5" hidden="1" x14ac:dyDescent="0.2">
      <c r="B120" s="103" t="s">
        <v>381</v>
      </c>
      <c r="C120" s="102" t="s">
        <v>367</v>
      </c>
      <c r="D120" s="263">
        <v>3663</v>
      </c>
      <c r="E120" s="102" t="s">
        <v>419</v>
      </c>
    </row>
    <row r="121" spans="2:5" hidden="1" x14ac:dyDescent="0.2">
      <c r="B121" s="103" t="s">
        <v>381</v>
      </c>
      <c r="C121" s="102" t="s">
        <v>367</v>
      </c>
      <c r="D121" s="263">
        <v>3664</v>
      </c>
      <c r="E121" s="102" t="s">
        <v>420</v>
      </c>
    </row>
    <row r="122" spans="2:5" hidden="1" x14ac:dyDescent="0.2">
      <c r="B122" s="103" t="s">
        <v>385</v>
      </c>
      <c r="C122" s="102" t="s">
        <v>386</v>
      </c>
      <c r="D122" s="263">
        <v>3675</v>
      </c>
      <c r="E122" s="102" t="s">
        <v>387</v>
      </c>
    </row>
    <row r="123" spans="2:5" hidden="1" x14ac:dyDescent="0.2">
      <c r="B123" s="103" t="s">
        <v>421</v>
      </c>
      <c r="C123" s="102" t="s">
        <v>422</v>
      </c>
      <c r="D123" s="263" t="s">
        <v>436</v>
      </c>
      <c r="E123" s="102" t="s">
        <v>423</v>
      </c>
    </row>
    <row r="124" spans="2:5" hidden="1" x14ac:dyDescent="0.2">
      <c r="B124" s="103" t="s">
        <v>455</v>
      </c>
      <c r="C124" s="102" t="s">
        <v>285</v>
      </c>
      <c r="D124" s="263">
        <v>3656</v>
      </c>
      <c r="E124" s="102" t="s">
        <v>424</v>
      </c>
    </row>
    <row r="125" spans="2:5" hidden="1" x14ac:dyDescent="0.2">
      <c r="B125" s="103" t="s">
        <v>210</v>
      </c>
      <c r="C125" s="102" t="s">
        <v>237</v>
      </c>
      <c r="D125" s="263">
        <v>3669</v>
      </c>
      <c r="E125" s="102" t="s">
        <v>425</v>
      </c>
    </row>
    <row r="126" spans="2:5" hidden="1" x14ac:dyDescent="0.2">
      <c r="B126" s="103" t="s">
        <v>247</v>
      </c>
      <c r="C126" s="102" t="s">
        <v>426</v>
      </c>
      <c r="D126" s="263">
        <v>3650</v>
      </c>
      <c r="E126" s="102" t="s">
        <v>427</v>
      </c>
    </row>
    <row r="127" spans="2:5" hidden="1" x14ac:dyDescent="0.2">
      <c r="B127" s="103" t="s">
        <v>247</v>
      </c>
      <c r="C127" s="102" t="s">
        <v>231</v>
      </c>
      <c r="D127" s="263">
        <v>3660</v>
      </c>
      <c r="E127" s="102" t="s">
        <v>398</v>
      </c>
    </row>
    <row r="128" spans="2:5" hidden="1" x14ac:dyDescent="0.2">
      <c r="B128" s="103" t="s">
        <v>247</v>
      </c>
      <c r="C128" s="102" t="s">
        <v>231</v>
      </c>
      <c r="D128" s="263">
        <v>3660</v>
      </c>
      <c r="E128" s="102" t="s">
        <v>248</v>
      </c>
    </row>
    <row r="129" spans="2:5" hidden="1" x14ac:dyDescent="0.2">
      <c r="B129" s="103" t="s">
        <v>212</v>
      </c>
      <c r="C129" s="102" t="s">
        <v>213</v>
      </c>
      <c r="D129" s="263">
        <v>3670</v>
      </c>
      <c r="E129" s="102" t="s">
        <v>251</v>
      </c>
    </row>
    <row r="130" spans="2:5" hidden="1" x14ac:dyDescent="0.2">
      <c r="B130" s="103" t="s">
        <v>212</v>
      </c>
      <c r="C130" s="102" t="s">
        <v>214</v>
      </c>
      <c r="D130" s="263">
        <v>3659</v>
      </c>
      <c r="E130" s="102" t="s">
        <v>399</v>
      </c>
    </row>
    <row r="131" spans="2:5" hidden="1" x14ac:dyDescent="0.2">
      <c r="B131" s="103" t="s">
        <v>212</v>
      </c>
      <c r="C131" s="102" t="s">
        <v>214</v>
      </c>
      <c r="D131" s="263">
        <v>3659</v>
      </c>
      <c r="E131" s="102" t="s">
        <v>399</v>
      </c>
    </row>
    <row r="132" spans="2:5" hidden="1" x14ac:dyDescent="0.2">
      <c r="B132" s="103" t="s">
        <v>401</v>
      </c>
      <c r="C132" s="102" t="s">
        <v>428</v>
      </c>
      <c r="D132" s="263">
        <v>3657</v>
      </c>
      <c r="E132" s="102" t="s">
        <v>429</v>
      </c>
    </row>
    <row r="133" spans="2:5" hidden="1" x14ac:dyDescent="0.2">
      <c r="B133" s="103" t="s">
        <v>401</v>
      </c>
      <c r="C133" s="102" t="s">
        <v>430</v>
      </c>
      <c r="D133" s="102" t="s">
        <v>437</v>
      </c>
      <c r="E133" s="102" t="s">
        <v>431</v>
      </c>
    </row>
    <row r="134" spans="2:5" hidden="1" x14ac:dyDescent="0.2">
      <c r="B134" s="103" t="s">
        <v>432</v>
      </c>
      <c r="C134" s="102" t="s">
        <v>433</v>
      </c>
      <c r="D134" s="263" t="s">
        <v>438</v>
      </c>
      <c r="E134" s="102" t="s">
        <v>434</v>
      </c>
    </row>
    <row r="135" spans="2:5" hidden="1" x14ac:dyDescent="0.2">
      <c r="B135" s="103" t="s">
        <v>217</v>
      </c>
      <c r="C135" s="102" t="s">
        <v>266</v>
      </c>
      <c r="D135" s="263" t="s">
        <v>439</v>
      </c>
      <c r="E135" s="102" t="s">
        <v>405</v>
      </c>
    </row>
    <row r="136" spans="2:5" hidden="1" x14ac:dyDescent="0.2">
      <c r="B136" s="103" t="s">
        <v>302</v>
      </c>
      <c r="C136" s="102" t="s">
        <v>303</v>
      </c>
      <c r="D136" s="263" t="s">
        <v>439</v>
      </c>
      <c r="E136" s="102" t="s">
        <v>304</v>
      </c>
    </row>
    <row r="137" spans="2:5" hidden="1" x14ac:dyDescent="0.2">
      <c r="B137" s="274"/>
      <c r="C137" s="275" t="s">
        <v>406</v>
      </c>
      <c r="D137" s="275"/>
      <c r="E137" s="275"/>
    </row>
    <row r="138" spans="2:5" hidden="1" x14ac:dyDescent="0.2"/>
    <row r="139" spans="2:5" hidden="1" x14ac:dyDescent="0.2"/>
    <row r="140" spans="2:5" ht="14" hidden="1" x14ac:dyDescent="0.3">
      <c r="B140" s="1817" t="s">
        <v>492</v>
      </c>
      <c r="C140" s="1818"/>
      <c r="D140" s="1818"/>
      <c r="E140" s="1818"/>
    </row>
    <row r="141" spans="2:5" ht="10.5" hidden="1" x14ac:dyDescent="0.25">
      <c r="B141" s="320" t="s">
        <v>460</v>
      </c>
      <c r="C141" s="320" t="s">
        <v>461</v>
      </c>
      <c r="D141" s="320" t="s">
        <v>462</v>
      </c>
      <c r="E141" s="320" t="s">
        <v>463</v>
      </c>
    </row>
    <row r="142" spans="2:5" hidden="1" x14ac:dyDescent="0.2">
      <c r="B142" s="103" t="s">
        <v>354</v>
      </c>
      <c r="C142" s="102" t="s">
        <v>355</v>
      </c>
      <c r="D142" s="263">
        <v>3677</v>
      </c>
      <c r="E142" s="102" t="s">
        <v>464</v>
      </c>
    </row>
    <row r="143" spans="2:5" hidden="1" x14ac:dyDescent="0.2">
      <c r="B143" s="103" t="s">
        <v>354</v>
      </c>
      <c r="C143" s="102" t="s">
        <v>355</v>
      </c>
      <c r="D143" s="263">
        <v>82024</v>
      </c>
      <c r="E143" s="102" t="s">
        <v>465</v>
      </c>
    </row>
    <row r="144" spans="2:5" hidden="1" x14ac:dyDescent="0.2">
      <c r="B144" s="103" t="s">
        <v>357</v>
      </c>
      <c r="C144" s="102" t="s">
        <v>358</v>
      </c>
      <c r="D144" s="263">
        <v>82024</v>
      </c>
      <c r="E144" s="102" t="s">
        <v>359</v>
      </c>
    </row>
    <row r="145" spans="2:5" hidden="1" x14ac:dyDescent="0.2">
      <c r="B145" s="103" t="s">
        <v>360</v>
      </c>
      <c r="C145" s="102" t="s">
        <v>361</v>
      </c>
      <c r="D145" s="263">
        <v>3693</v>
      </c>
      <c r="E145" s="102" t="s">
        <v>362</v>
      </c>
    </row>
    <row r="146" spans="2:5" hidden="1" x14ac:dyDescent="0.2">
      <c r="B146" s="103" t="s">
        <v>363</v>
      </c>
      <c r="C146" s="102" t="s">
        <v>364</v>
      </c>
      <c r="D146" s="263">
        <v>3701</v>
      </c>
      <c r="E146" s="102" t="s">
        <v>365</v>
      </c>
    </row>
    <row r="147" spans="2:5" hidden="1" x14ac:dyDescent="0.2">
      <c r="B147" s="103" t="s">
        <v>366</v>
      </c>
      <c r="C147" s="102" t="s">
        <v>367</v>
      </c>
      <c r="D147" s="263">
        <v>3688</v>
      </c>
      <c r="E147" s="102" t="s">
        <v>368</v>
      </c>
    </row>
    <row r="148" spans="2:5" hidden="1" x14ac:dyDescent="0.2">
      <c r="B148" s="103" t="s">
        <v>369</v>
      </c>
      <c r="C148" s="102" t="s">
        <v>293</v>
      </c>
      <c r="D148" s="263">
        <v>3706</v>
      </c>
      <c r="E148" s="102" t="s">
        <v>466</v>
      </c>
    </row>
    <row r="149" spans="2:5" hidden="1" x14ac:dyDescent="0.2">
      <c r="B149" s="103" t="s">
        <v>371</v>
      </c>
      <c r="C149" s="102" t="s">
        <v>372</v>
      </c>
      <c r="D149" s="263">
        <v>3697</v>
      </c>
      <c r="E149" s="102" t="s">
        <v>467</v>
      </c>
    </row>
    <row r="150" spans="2:5" hidden="1" x14ac:dyDescent="0.2">
      <c r="B150" s="103" t="s">
        <v>374</v>
      </c>
      <c r="C150" s="102" t="s">
        <v>375</v>
      </c>
      <c r="D150" s="263">
        <v>3687</v>
      </c>
      <c r="E150" s="102" t="s">
        <v>468</v>
      </c>
    </row>
    <row r="151" spans="2:5" hidden="1" x14ac:dyDescent="0.2">
      <c r="B151" s="103" t="s">
        <v>374</v>
      </c>
      <c r="C151" s="102" t="s">
        <v>375</v>
      </c>
      <c r="D151" s="263">
        <v>3687</v>
      </c>
      <c r="E151" s="102" t="s">
        <v>468</v>
      </c>
    </row>
    <row r="152" spans="2:5" hidden="1" x14ac:dyDescent="0.2">
      <c r="B152" s="103" t="s">
        <v>374</v>
      </c>
      <c r="C152" s="102" t="s">
        <v>367</v>
      </c>
      <c r="D152" s="263">
        <v>3689</v>
      </c>
      <c r="E152" s="102" t="s">
        <v>469</v>
      </c>
    </row>
    <row r="153" spans="2:5" hidden="1" x14ac:dyDescent="0.2">
      <c r="B153" s="103" t="s">
        <v>374</v>
      </c>
      <c r="C153" s="102" t="s">
        <v>367</v>
      </c>
      <c r="D153" s="263">
        <v>3689</v>
      </c>
      <c r="E153" s="102" t="s">
        <v>470</v>
      </c>
    </row>
    <row r="154" spans="2:5" hidden="1" x14ac:dyDescent="0.2">
      <c r="B154" s="103" t="s">
        <v>374</v>
      </c>
      <c r="C154" s="102" t="s">
        <v>367</v>
      </c>
      <c r="D154" s="263">
        <v>3691</v>
      </c>
      <c r="E154" s="102" t="s">
        <v>416</v>
      </c>
    </row>
    <row r="155" spans="2:5" hidden="1" x14ac:dyDescent="0.2">
      <c r="B155" s="103" t="s">
        <v>374</v>
      </c>
      <c r="C155" s="102" t="s">
        <v>367</v>
      </c>
      <c r="D155" s="263">
        <v>3691</v>
      </c>
      <c r="E155" s="102" t="s">
        <v>417</v>
      </c>
    </row>
    <row r="156" spans="2:5" hidden="1" x14ac:dyDescent="0.2">
      <c r="B156" s="103" t="s">
        <v>381</v>
      </c>
      <c r="C156" s="102" t="s">
        <v>367</v>
      </c>
      <c r="D156" s="263">
        <v>3688</v>
      </c>
      <c r="E156" s="102" t="s">
        <v>471</v>
      </c>
    </row>
    <row r="157" spans="2:5" hidden="1" x14ac:dyDescent="0.2">
      <c r="B157" s="103" t="s">
        <v>381</v>
      </c>
      <c r="C157" s="102" t="s">
        <v>367</v>
      </c>
      <c r="D157" s="263">
        <v>3689</v>
      </c>
      <c r="E157" s="102" t="s">
        <v>472</v>
      </c>
    </row>
    <row r="158" spans="2:5" hidden="1" x14ac:dyDescent="0.2">
      <c r="B158" s="103" t="s">
        <v>381</v>
      </c>
      <c r="C158" s="102" t="s">
        <v>367</v>
      </c>
      <c r="D158" s="263">
        <v>3690</v>
      </c>
      <c r="E158" s="102" t="s">
        <v>473</v>
      </c>
    </row>
    <row r="159" spans="2:5" hidden="1" x14ac:dyDescent="0.2">
      <c r="B159" s="103" t="s">
        <v>385</v>
      </c>
      <c r="C159" s="102" t="s">
        <v>386</v>
      </c>
      <c r="D159" s="263">
        <v>3707</v>
      </c>
      <c r="E159" s="102" t="s">
        <v>387</v>
      </c>
    </row>
    <row r="160" spans="2:5" hidden="1" x14ac:dyDescent="0.2">
      <c r="B160" s="103" t="s">
        <v>274</v>
      </c>
      <c r="C160" s="102" t="s">
        <v>275</v>
      </c>
      <c r="D160" s="263">
        <v>3695</v>
      </c>
      <c r="E160" s="102" t="s">
        <v>474</v>
      </c>
    </row>
    <row r="161" spans="2:5" hidden="1" x14ac:dyDescent="0.2">
      <c r="B161" s="103" t="s">
        <v>274</v>
      </c>
      <c r="C161" s="102" t="s">
        <v>475</v>
      </c>
      <c r="D161" s="263">
        <v>3704</v>
      </c>
      <c r="E161" s="102" t="s">
        <v>276</v>
      </c>
    </row>
    <row r="162" spans="2:5" hidden="1" x14ac:dyDescent="0.2">
      <c r="B162" s="103" t="s">
        <v>277</v>
      </c>
      <c r="C162" s="102" t="s">
        <v>388</v>
      </c>
      <c r="D162" s="263" t="s">
        <v>476</v>
      </c>
      <c r="E162" s="102" t="s">
        <v>477</v>
      </c>
    </row>
    <row r="163" spans="2:5" hidden="1" x14ac:dyDescent="0.2">
      <c r="B163" s="103" t="s">
        <v>277</v>
      </c>
      <c r="C163" s="102" t="s">
        <v>391</v>
      </c>
      <c r="D163" s="263">
        <v>3683</v>
      </c>
      <c r="E163" s="102" t="s">
        <v>478</v>
      </c>
    </row>
    <row r="164" spans="2:5" hidden="1" x14ac:dyDescent="0.2">
      <c r="B164" s="103" t="s">
        <v>210</v>
      </c>
      <c r="C164" s="102" t="s">
        <v>237</v>
      </c>
      <c r="D164" s="263">
        <v>3710</v>
      </c>
      <c r="E164" s="102" t="s">
        <v>479</v>
      </c>
    </row>
    <row r="165" spans="2:5" hidden="1" x14ac:dyDescent="0.2">
      <c r="B165" s="103" t="s">
        <v>240</v>
      </c>
      <c r="C165" s="102" t="s">
        <v>283</v>
      </c>
      <c r="D165" s="263">
        <v>3678</v>
      </c>
      <c r="E165" s="102" t="s">
        <v>480</v>
      </c>
    </row>
    <row r="166" spans="2:5" hidden="1" x14ac:dyDescent="0.2">
      <c r="B166" s="103" t="s">
        <v>240</v>
      </c>
      <c r="C166" s="102" t="s">
        <v>283</v>
      </c>
      <c r="D166" s="263">
        <v>3678</v>
      </c>
      <c r="E166" s="102" t="s">
        <v>481</v>
      </c>
    </row>
    <row r="167" spans="2:5" hidden="1" x14ac:dyDescent="0.2">
      <c r="B167" s="103" t="s">
        <v>244</v>
      </c>
      <c r="C167" s="102" t="s">
        <v>245</v>
      </c>
      <c r="D167" s="263">
        <v>3699</v>
      </c>
      <c r="E167" s="102" t="s">
        <v>482</v>
      </c>
    </row>
    <row r="168" spans="2:5" hidden="1" x14ac:dyDescent="0.2">
      <c r="B168" s="103" t="s">
        <v>247</v>
      </c>
      <c r="C168" s="102" t="s">
        <v>231</v>
      </c>
      <c r="D168" s="263">
        <v>3698</v>
      </c>
      <c r="E168" s="102" t="s">
        <v>398</v>
      </c>
    </row>
    <row r="169" spans="2:5" hidden="1" x14ac:dyDescent="0.2">
      <c r="B169" s="103" t="s">
        <v>247</v>
      </c>
      <c r="C169" s="102" t="s">
        <v>231</v>
      </c>
      <c r="D169" s="263">
        <v>3698</v>
      </c>
      <c r="E169" s="102" t="s">
        <v>248</v>
      </c>
    </row>
    <row r="170" spans="2:5" hidden="1" x14ac:dyDescent="0.2">
      <c r="B170" s="103" t="s">
        <v>212</v>
      </c>
      <c r="C170" s="102" t="s">
        <v>213</v>
      </c>
      <c r="D170" s="263">
        <v>3696</v>
      </c>
      <c r="E170" s="102" t="s">
        <v>251</v>
      </c>
    </row>
    <row r="171" spans="2:5" hidden="1" x14ac:dyDescent="0.2">
      <c r="B171" s="103" t="s">
        <v>212</v>
      </c>
      <c r="C171" s="102" t="s">
        <v>214</v>
      </c>
      <c r="D171" s="263">
        <v>3700</v>
      </c>
      <c r="E171" s="102" t="s">
        <v>399</v>
      </c>
    </row>
    <row r="172" spans="2:5" hidden="1" x14ac:dyDescent="0.2">
      <c r="B172" s="103" t="s">
        <v>215</v>
      </c>
      <c r="C172" s="102" t="s">
        <v>400</v>
      </c>
      <c r="D172" s="263">
        <v>3679</v>
      </c>
      <c r="E172" s="102" t="s">
        <v>483</v>
      </c>
    </row>
    <row r="173" spans="2:5" hidden="1" x14ac:dyDescent="0.2">
      <c r="B173" s="103" t="s">
        <v>215</v>
      </c>
      <c r="C173" s="102" t="s">
        <v>400</v>
      </c>
      <c r="D173" s="263">
        <v>3680</v>
      </c>
      <c r="E173" s="102" t="s">
        <v>484</v>
      </c>
    </row>
    <row r="174" spans="2:5" hidden="1" x14ac:dyDescent="0.2">
      <c r="B174" s="103" t="s">
        <v>215</v>
      </c>
      <c r="C174" s="102" t="s">
        <v>485</v>
      </c>
      <c r="D174" s="263">
        <v>3708</v>
      </c>
      <c r="E174" s="102" t="s">
        <v>486</v>
      </c>
    </row>
    <row r="175" spans="2:5" hidden="1" x14ac:dyDescent="0.2">
      <c r="B175" s="103" t="s">
        <v>215</v>
      </c>
      <c r="C175" s="102" t="s">
        <v>430</v>
      </c>
      <c r="D175" s="263">
        <v>3705</v>
      </c>
      <c r="E175" s="102" t="s">
        <v>487</v>
      </c>
    </row>
    <row r="176" spans="2:5" hidden="1" x14ac:dyDescent="0.2">
      <c r="B176" s="103" t="s">
        <v>215</v>
      </c>
      <c r="C176" s="102" t="s">
        <v>488</v>
      </c>
      <c r="D176" s="263">
        <v>3703</v>
      </c>
      <c r="E176" s="102" t="s">
        <v>489</v>
      </c>
    </row>
    <row r="177" spans="2:5" hidden="1" x14ac:dyDescent="0.2">
      <c r="B177" s="103" t="s">
        <v>264</v>
      </c>
      <c r="C177" s="102" t="s">
        <v>216</v>
      </c>
      <c r="D177" s="263">
        <v>3705</v>
      </c>
      <c r="E177" s="102" t="s">
        <v>490</v>
      </c>
    </row>
    <row r="178" spans="2:5" hidden="1" x14ac:dyDescent="0.2">
      <c r="B178" s="103" t="s">
        <v>292</v>
      </c>
      <c r="C178" s="102" t="s">
        <v>293</v>
      </c>
      <c r="D178" s="263" t="s">
        <v>476</v>
      </c>
      <c r="E178" s="102" t="s">
        <v>491</v>
      </c>
    </row>
    <row r="179" spans="2:5" hidden="1" x14ac:dyDescent="0.2">
      <c r="B179" s="103" t="s">
        <v>217</v>
      </c>
      <c r="C179" s="102" t="s">
        <v>266</v>
      </c>
      <c r="D179" s="263">
        <v>82024</v>
      </c>
      <c r="E179" s="102" t="s">
        <v>301</v>
      </c>
    </row>
    <row r="180" spans="2:5" hidden="1" x14ac:dyDescent="0.2">
      <c r="B180" s="103" t="s">
        <v>302</v>
      </c>
      <c r="C180" s="102" t="s">
        <v>303</v>
      </c>
      <c r="D180" s="263">
        <v>82024</v>
      </c>
      <c r="E180" s="102" t="s">
        <v>304</v>
      </c>
    </row>
    <row r="181" spans="2:5" hidden="1" x14ac:dyDescent="0.2">
      <c r="B181" s="103" t="s">
        <v>305</v>
      </c>
      <c r="C181" s="102" t="s">
        <v>303</v>
      </c>
      <c r="D181" s="263">
        <v>82024</v>
      </c>
      <c r="E181" s="102" t="s">
        <v>272</v>
      </c>
    </row>
    <row r="182" spans="2:5" hidden="1" x14ac:dyDescent="0.2">
      <c r="B182" s="321" t="s">
        <v>305</v>
      </c>
      <c r="C182" s="322" t="s">
        <v>303</v>
      </c>
      <c r="D182" s="323">
        <v>82024</v>
      </c>
      <c r="E182" s="322" t="s">
        <v>306</v>
      </c>
    </row>
    <row r="183" spans="2:5" ht="11" hidden="1" thickBot="1" x14ac:dyDescent="0.3">
      <c r="B183" s="324"/>
      <c r="C183" s="324"/>
      <c r="D183" s="324" t="s">
        <v>406</v>
      </c>
      <c r="E183" s="324"/>
    </row>
    <row r="184" spans="2:5" hidden="1" x14ac:dyDescent="0.2"/>
    <row r="185" spans="2:5" ht="14.5" hidden="1" x14ac:dyDescent="0.35">
      <c r="B185" s="1639" t="s">
        <v>498</v>
      </c>
      <c r="C185" s="1640"/>
      <c r="D185" s="1640"/>
      <c r="E185" s="1640"/>
    </row>
    <row r="186" spans="2:5" ht="14.5" hidden="1" x14ac:dyDescent="0.35">
      <c r="B186" s="1641" t="s">
        <v>519</v>
      </c>
      <c r="C186" s="1642"/>
      <c r="D186" s="1642"/>
      <c r="E186" s="1642"/>
    </row>
    <row r="187" spans="2:5" ht="10.5" hidden="1" x14ac:dyDescent="0.25">
      <c r="B187" s="346" t="s">
        <v>499</v>
      </c>
      <c r="C187" s="346" t="s">
        <v>520</v>
      </c>
      <c r="D187" s="346" t="s">
        <v>462</v>
      </c>
      <c r="E187" s="346" t="s">
        <v>463</v>
      </c>
    </row>
    <row r="188" spans="2:5" hidden="1" x14ac:dyDescent="0.2">
      <c r="B188" s="345" t="s">
        <v>521</v>
      </c>
      <c r="C188" s="345" t="s">
        <v>355</v>
      </c>
      <c r="D188" s="344">
        <v>92024</v>
      </c>
      <c r="E188" s="345" t="s">
        <v>522</v>
      </c>
    </row>
    <row r="189" spans="2:5" hidden="1" x14ac:dyDescent="0.2">
      <c r="B189" s="345" t="s">
        <v>523</v>
      </c>
      <c r="C189" s="345" t="s">
        <v>358</v>
      </c>
      <c r="D189" s="344">
        <v>92024</v>
      </c>
      <c r="E189" s="345" t="s">
        <v>524</v>
      </c>
    </row>
    <row r="190" spans="2:5" hidden="1" x14ac:dyDescent="0.2">
      <c r="B190" s="345" t="s">
        <v>525</v>
      </c>
      <c r="C190" s="345" t="s">
        <v>361</v>
      </c>
      <c r="D190" s="344">
        <v>3725</v>
      </c>
      <c r="E190" s="345" t="s">
        <v>362</v>
      </c>
    </row>
    <row r="191" spans="2:5" hidden="1" x14ac:dyDescent="0.2">
      <c r="B191" s="345" t="s">
        <v>526</v>
      </c>
      <c r="C191" s="345" t="s">
        <v>364</v>
      </c>
      <c r="D191" s="344">
        <v>3734</v>
      </c>
      <c r="E191" s="345" t="s">
        <v>365</v>
      </c>
    </row>
    <row r="192" spans="2:5" hidden="1" x14ac:dyDescent="0.2">
      <c r="B192" s="345" t="s">
        <v>527</v>
      </c>
      <c r="C192" s="345" t="s">
        <v>367</v>
      </c>
      <c r="D192" s="344">
        <v>3727</v>
      </c>
      <c r="E192" s="345" t="s">
        <v>368</v>
      </c>
    </row>
    <row r="193" spans="2:5" hidden="1" x14ac:dyDescent="0.2">
      <c r="B193" s="345" t="s">
        <v>528</v>
      </c>
      <c r="C193" s="345" t="s">
        <v>293</v>
      </c>
      <c r="D193" s="344">
        <v>3740</v>
      </c>
      <c r="E193" s="345" t="s">
        <v>529</v>
      </c>
    </row>
    <row r="194" spans="2:5" hidden="1" x14ac:dyDescent="0.2">
      <c r="B194" s="345" t="s">
        <v>530</v>
      </c>
      <c r="C194" s="345" t="s">
        <v>372</v>
      </c>
      <c r="D194" s="344">
        <v>3737</v>
      </c>
      <c r="E194" s="345" t="s">
        <v>531</v>
      </c>
    </row>
    <row r="195" spans="2:5" hidden="1" x14ac:dyDescent="0.2">
      <c r="B195" s="345" t="s">
        <v>532</v>
      </c>
      <c r="C195" s="345" t="s">
        <v>375</v>
      </c>
      <c r="D195" s="344">
        <v>3726</v>
      </c>
      <c r="E195" s="345" t="s">
        <v>533</v>
      </c>
    </row>
    <row r="196" spans="2:5" hidden="1" x14ac:dyDescent="0.2">
      <c r="B196" s="345" t="s">
        <v>532</v>
      </c>
      <c r="C196" s="345" t="s">
        <v>375</v>
      </c>
      <c r="D196" s="344">
        <v>3726</v>
      </c>
      <c r="E196" s="345" t="s">
        <v>533</v>
      </c>
    </row>
    <row r="197" spans="2:5" hidden="1" x14ac:dyDescent="0.2">
      <c r="B197" s="345" t="s">
        <v>532</v>
      </c>
      <c r="C197" s="345" t="s">
        <v>367</v>
      </c>
      <c r="D197" s="344">
        <v>3728</v>
      </c>
      <c r="E197" s="345" t="s">
        <v>534</v>
      </c>
    </row>
    <row r="198" spans="2:5" hidden="1" x14ac:dyDescent="0.2">
      <c r="B198" s="345" t="s">
        <v>532</v>
      </c>
      <c r="C198" s="345" t="s">
        <v>367</v>
      </c>
      <c r="D198" s="344">
        <v>3728</v>
      </c>
      <c r="E198" s="345" t="s">
        <v>535</v>
      </c>
    </row>
    <row r="199" spans="2:5" hidden="1" x14ac:dyDescent="0.2">
      <c r="B199" s="345" t="s">
        <v>532</v>
      </c>
      <c r="C199" s="345" t="s">
        <v>367</v>
      </c>
      <c r="D199" s="344">
        <v>3730</v>
      </c>
      <c r="E199" s="345" t="s">
        <v>416</v>
      </c>
    </row>
    <row r="200" spans="2:5" hidden="1" x14ac:dyDescent="0.2">
      <c r="B200" s="345" t="s">
        <v>532</v>
      </c>
      <c r="C200" s="345" t="s">
        <v>367</v>
      </c>
      <c r="D200" s="344">
        <v>3730</v>
      </c>
      <c r="E200" s="345" t="s">
        <v>417</v>
      </c>
    </row>
    <row r="201" spans="2:5" hidden="1" x14ac:dyDescent="0.2">
      <c r="B201" s="345" t="s">
        <v>536</v>
      </c>
      <c r="C201" s="345" t="s">
        <v>367</v>
      </c>
      <c r="D201" s="344">
        <v>3727</v>
      </c>
      <c r="E201" s="345" t="s">
        <v>537</v>
      </c>
    </row>
    <row r="202" spans="2:5" hidden="1" x14ac:dyDescent="0.2">
      <c r="B202" s="345" t="s">
        <v>536</v>
      </c>
      <c r="C202" s="345" t="s">
        <v>367</v>
      </c>
      <c r="D202" s="344">
        <v>3728</v>
      </c>
      <c r="E202" s="345" t="s">
        <v>538</v>
      </c>
    </row>
    <row r="203" spans="2:5" hidden="1" x14ac:dyDescent="0.2">
      <c r="B203" s="345" t="s">
        <v>536</v>
      </c>
      <c r="C203" s="345" t="s">
        <v>367</v>
      </c>
      <c r="D203" s="344">
        <v>3729</v>
      </c>
      <c r="E203" s="345" t="s">
        <v>539</v>
      </c>
    </row>
    <row r="204" spans="2:5" hidden="1" x14ac:dyDescent="0.2">
      <c r="B204" s="345" t="s">
        <v>540</v>
      </c>
      <c r="C204" s="345" t="s">
        <v>475</v>
      </c>
      <c r="D204" s="344">
        <v>3745</v>
      </c>
      <c r="E204" s="345" t="s">
        <v>515</v>
      </c>
    </row>
    <row r="205" spans="2:5" hidden="1" x14ac:dyDescent="0.2">
      <c r="B205" s="345" t="s">
        <v>541</v>
      </c>
      <c r="C205" s="345" t="s">
        <v>278</v>
      </c>
      <c r="D205" s="344">
        <v>3738</v>
      </c>
      <c r="E205" s="345" t="s">
        <v>542</v>
      </c>
    </row>
    <row r="206" spans="2:5" hidden="1" x14ac:dyDescent="0.2">
      <c r="B206" s="345" t="s">
        <v>541</v>
      </c>
      <c r="C206" s="345" t="s">
        <v>388</v>
      </c>
      <c r="D206" s="344">
        <v>3746</v>
      </c>
      <c r="E206" s="345" t="s">
        <v>543</v>
      </c>
    </row>
    <row r="207" spans="2:5" hidden="1" x14ac:dyDescent="0.2">
      <c r="B207" s="345" t="s">
        <v>541</v>
      </c>
      <c r="C207" s="345" t="s">
        <v>391</v>
      </c>
      <c r="D207" s="344">
        <v>3717</v>
      </c>
      <c r="E207" s="345" t="s">
        <v>544</v>
      </c>
    </row>
    <row r="208" spans="2:5" hidden="1" x14ac:dyDescent="0.2">
      <c r="B208" s="345" t="s">
        <v>545</v>
      </c>
      <c r="C208" s="345" t="s">
        <v>237</v>
      </c>
      <c r="D208" s="344">
        <v>3732</v>
      </c>
      <c r="E208" s="345" t="s">
        <v>546</v>
      </c>
    </row>
    <row r="209" spans="2:5" hidden="1" x14ac:dyDescent="0.2">
      <c r="B209" s="345" t="s">
        <v>547</v>
      </c>
      <c r="C209" s="345" t="s">
        <v>283</v>
      </c>
      <c r="D209" s="344">
        <v>3743</v>
      </c>
      <c r="E209" s="345" t="s">
        <v>548</v>
      </c>
    </row>
    <row r="210" spans="2:5" hidden="1" x14ac:dyDescent="0.2">
      <c r="B210" s="345" t="s">
        <v>547</v>
      </c>
      <c r="C210" s="345" t="s">
        <v>283</v>
      </c>
      <c r="D210" s="344">
        <v>3743</v>
      </c>
      <c r="E210" s="345" t="s">
        <v>548</v>
      </c>
    </row>
    <row r="211" spans="2:5" hidden="1" x14ac:dyDescent="0.2">
      <c r="B211" s="345" t="s">
        <v>549</v>
      </c>
      <c r="C211" s="345" t="s">
        <v>245</v>
      </c>
      <c r="D211" s="344">
        <v>3733</v>
      </c>
      <c r="E211" s="345" t="s">
        <v>482</v>
      </c>
    </row>
    <row r="212" spans="2:5" hidden="1" x14ac:dyDescent="0.2">
      <c r="B212" s="345" t="s">
        <v>550</v>
      </c>
      <c r="C212" s="345" t="s">
        <v>231</v>
      </c>
      <c r="D212" s="344">
        <v>3731</v>
      </c>
      <c r="E212" s="345" t="s">
        <v>398</v>
      </c>
    </row>
    <row r="213" spans="2:5" hidden="1" x14ac:dyDescent="0.2">
      <c r="B213" s="345" t="s">
        <v>550</v>
      </c>
      <c r="C213" s="345" t="s">
        <v>231</v>
      </c>
      <c r="D213" s="344">
        <v>3731</v>
      </c>
      <c r="E213" s="345" t="s">
        <v>248</v>
      </c>
    </row>
    <row r="214" spans="2:5" hidden="1" x14ac:dyDescent="0.2">
      <c r="B214" s="345" t="s">
        <v>551</v>
      </c>
      <c r="C214" s="345" t="s">
        <v>552</v>
      </c>
      <c r="D214" s="344">
        <v>3735</v>
      </c>
      <c r="E214" s="345" t="s">
        <v>553</v>
      </c>
    </row>
    <row r="215" spans="2:5" hidden="1" x14ac:dyDescent="0.2">
      <c r="B215" s="345" t="s">
        <v>551</v>
      </c>
      <c r="C215" s="345" t="s">
        <v>213</v>
      </c>
      <c r="D215" s="344">
        <v>3741</v>
      </c>
      <c r="E215" s="345" t="s">
        <v>251</v>
      </c>
    </row>
    <row r="216" spans="2:5" hidden="1" x14ac:dyDescent="0.2">
      <c r="B216" s="345" t="s">
        <v>551</v>
      </c>
      <c r="C216" s="345" t="s">
        <v>214</v>
      </c>
      <c r="D216" s="344">
        <v>3744</v>
      </c>
      <c r="E216" s="345" t="s">
        <v>554</v>
      </c>
    </row>
    <row r="217" spans="2:5" hidden="1" x14ac:dyDescent="0.2">
      <c r="B217" s="345" t="s">
        <v>555</v>
      </c>
      <c r="C217" s="345" t="s">
        <v>556</v>
      </c>
      <c r="D217" s="344">
        <v>1118</v>
      </c>
      <c r="E217" s="345" t="s">
        <v>557</v>
      </c>
    </row>
    <row r="218" spans="2:5" hidden="1" x14ac:dyDescent="0.2">
      <c r="B218" s="345" t="s">
        <v>558</v>
      </c>
      <c r="C218" s="345" t="s">
        <v>559</v>
      </c>
      <c r="D218" s="344">
        <v>3718</v>
      </c>
      <c r="E218" s="345" t="s">
        <v>560</v>
      </c>
    </row>
    <row r="219" spans="2:5" hidden="1" x14ac:dyDescent="0.2">
      <c r="B219" s="345" t="s">
        <v>561</v>
      </c>
      <c r="C219" s="345" t="s">
        <v>408</v>
      </c>
      <c r="D219" s="344">
        <v>92024</v>
      </c>
      <c r="E219" s="345" t="s">
        <v>562</v>
      </c>
    </row>
    <row r="220" spans="2:5" hidden="1" x14ac:dyDescent="0.2">
      <c r="B220" s="345" t="s">
        <v>563</v>
      </c>
      <c r="C220" s="345" t="s">
        <v>266</v>
      </c>
      <c r="D220" s="344">
        <v>92024</v>
      </c>
      <c r="E220" s="345" t="s">
        <v>405</v>
      </c>
    </row>
    <row r="221" spans="2:5" hidden="1" x14ac:dyDescent="0.2">
      <c r="B221" s="345" t="s">
        <v>564</v>
      </c>
      <c r="C221" s="345" t="s">
        <v>303</v>
      </c>
      <c r="D221" s="344">
        <v>92024</v>
      </c>
      <c r="E221" s="345" t="s">
        <v>304</v>
      </c>
    </row>
    <row r="222" spans="2:5" ht="10.5" hidden="1" x14ac:dyDescent="0.25">
      <c r="B222" s="343"/>
      <c r="C222" s="343"/>
      <c r="D222" s="342"/>
      <c r="E222" s="341" t="s">
        <v>406</v>
      </c>
    </row>
    <row r="223" spans="2:5" ht="14.5" hidden="1" x14ac:dyDescent="0.35">
      <c r="B223" s="1639" t="s">
        <v>498</v>
      </c>
      <c r="C223" s="1640"/>
      <c r="D223" s="1640"/>
      <c r="E223" s="1640"/>
    </row>
    <row r="224" spans="2:5" ht="14.5" hidden="1" x14ac:dyDescent="0.35">
      <c r="B224" s="1641" t="s">
        <v>657</v>
      </c>
      <c r="C224" s="1642"/>
      <c r="D224" s="1642"/>
      <c r="E224" s="1642"/>
    </row>
    <row r="225" spans="2:5" ht="10.5" hidden="1" x14ac:dyDescent="0.25">
      <c r="B225" s="400" t="s">
        <v>460</v>
      </c>
      <c r="C225" s="400" t="s">
        <v>462</v>
      </c>
      <c r="D225" s="400" t="s">
        <v>594</v>
      </c>
      <c r="E225" s="400" t="s">
        <v>463</v>
      </c>
    </row>
    <row r="226" spans="2:5" hidden="1" x14ac:dyDescent="0.2">
      <c r="B226" s="272" t="s">
        <v>354</v>
      </c>
      <c r="C226" s="273">
        <v>102024</v>
      </c>
      <c r="D226" s="273">
        <v>102024</v>
      </c>
      <c r="E226" s="272" t="s">
        <v>595</v>
      </c>
    </row>
    <row r="227" spans="2:5" hidden="1" x14ac:dyDescent="0.2">
      <c r="B227" s="272" t="s">
        <v>357</v>
      </c>
      <c r="C227" s="273">
        <v>102024</v>
      </c>
      <c r="D227" s="273">
        <v>102024</v>
      </c>
      <c r="E227" s="272" t="s">
        <v>596</v>
      </c>
    </row>
    <row r="228" spans="2:5" hidden="1" x14ac:dyDescent="0.2">
      <c r="B228" s="272" t="s">
        <v>360</v>
      </c>
      <c r="C228" s="273">
        <v>3768</v>
      </c>
      <c r="D228" s="273">
        <v>15424</v>
      </c>
      <c r="E228" s="272" t="s">
        <v>362</v>
      </c>
    </row>
    <row r="229" spans="2:5" hidden="1" x14ac:dyDescent="0.2">
      <c r="B229" s="272" t="s">
        <v>363</v>
      </c>
      <c r="C229" s="273">
        <v>3771</v>
      </c>
      <c r="D229" s="273">
        <v>2284</v>
      </c>
      <c r="E229" s="272" t="s">
        <v>365</v>
      </c>
    </row>
    <row r="230" spans="2:5" hidden="1" x14ac:dyDescent="0.2">
      <c r="B230" s="272" t="s">
        <v>366</v>
      </c>
      <c r="C230" s="273">
        <v>3764</v>
      </c>
      <c r="D230" s="273">
        <v>6381842</v>
      </c>
      <c r="E230" s="272" t="s">
        <v>368</v>
      </c>
    </row>
    <row r="231" spans="2:5" hidden="1" x14ac:dyDescent="0.2">
      <c r="B231" s="272" t="s">
        <v>369</v>
      </c>
      <c r="C231" s="273">
        <v>3778</v>
      </c>
      <c r="D231" s="273">
        <v>10202</v>
      </c>
      <c r="E231" s="272" t="s">
        <v>597</v>
      </c>
    </row>
    <row r="232" spans="2:5" hidden="1" x14ac:dyDescent="0.2">
      <c r="B232" s="272" t="s">
        <v>371</v>
      </c>
      <c r="C232" s="273">
        <v>3774</v>
      </c>
      <c r="D232" s="273">
        <v>77894</v>
      </c>
      <c r="E232" s="272" t="s">
        <v>598</v>
      </c>
    </row>
    <row r="233" spans="2:5" hidden="1" x14ac:dyDescent="0.2">
      <c r="B233" s="272" t="s">
        <v>374</v>
      </c>
      <c r="C233" s="273">
        <v>111091</v>
      </c>
      <c r="D233" s="273">
        <v>19000009</v>
      </c>
      <c r="E233" s="272" t="s">
        <v>599</v>
      </c>
    </row>
    <row r="234" spans="2:5" hidden="1" x14ac:dyDescent="0.2">
      <c r="B234" s="272" t="s">
        <v>374</v>
      </c>
      <c r="C234" s="273">
        <v>111091</v>
      </c>
      <c r="D234" s="273">
        <v>19000009</v>
      </c>
      <c r="E234" s="272" t="s">
        <v>599</v>
      </c>
    </row>
    <row r="235" spans="2:5" hidden="1" x14ac:dyDescent="0.2">
      <c r="B235" s="272" t="s">
        <v>374</v>
      </c>
      <c r="C235" s="273">
        <v>3765</v>
      </c>
      <c r="D235" s="273">
        <v>5075088</v>
      </c>
      <c r="E235" s="272" t="s">
        <v>600</v>
      </c>
    </row>
    <row r="236" spans="2:5" hidden="1" x14ac:dyDescent="0.2">
      <c r="B236" s="272" t="s">
        <v>374</v>
      </c>
      <c r="C236" s="273">
        <v>3765</v>
      </c>
      <c r="D236" s="273">
        <v>5075088</v>
      </c>
      <c r="E236" s="272" t="s">
        <v>601</v>
      </c>
    </row>
    <row r="237" spans="2:5" hidden="1" x14ac:dyDescent="0.2">
      <c r="B237" s="272" t="s">
        <v>374</v>
      </c>
      <c r="C237" s="273">
        <v>3767</v>
      </c>
      <c r="D237" s="273">
        <v>3437395</v>
      </c>
      <c r="E237" s="272" t="s">
        <v>602</v>
      </c>
    </row>
    <row r="238" spans="2:5" hidden="1" x14ac:dyDescent="0.2">
      <c r="B238" s="272" t="s">
        <v>374</v>
      </c>
      <c r="C238" s="273">
        <v>3767</v>
      </c>
      <c r="D238" s="273">
        <v>3437395</v>
      </c>
      <c r="E238" s="272" t="s">
        <v>603</v>
      </c>
    </row>
    <row r="239" spans="2:5" hidden="1" x14ac:dyDescent="0.2">
      <c r="B239" s="272" t="s">
        <v>381</v>
      </c>
      <c r="C239" s="273">
        <v>3764</v>
      </c>
      <c r="D239" s="273">
        <v>6381842</v>
      </c>
      <c r="E239" s="272" t="s">
        <v>604</v>
      </c>
    </row>
    <row r="240" spans="2:5" hidden="1" x14ac:dyDescent="0.2">
      <c r="B240" s="272" t="s">
        <v>381</v>
      </c>
      <c r="C240" s="273">
        <v>3765</v>
      </c>
      <c r="D240" s="273">
        <v>5075088</v>
      </c>
      <c r="E240" s="272" t="s">
        <v>605</v>
      </c>
    </row>
    <row r="241" spans="2:5" hidden="1" x14ac:dyDescent="0.2">
      <c r="B241" s="272" t="s">
        <v>381</v>
      </c>
      <c r="C241" s="273">
        <v>3766</v>
      </c>
      <c r="D241" s="273">
        <v>5438972</v>
      </c>
      <c r="E241" s="272" t="s">
        <v>606</v>
      </c>
    </row>
    <row r="242" spans="2:5" hidden="1" x14ac:dyDescent="0.2">
      <c r="B242" s="272" t="s">
        <v>385</v>
      </c>
      <c r="C242" s="273">
        <v>3753</v>
      </c>
      <c r="D242" s="273">
        <v>17361258</v>
      </c>
      <c r="E242" s="272" t="s">
        <v>387</v>
      </c>
    </row>
    <row r="243" spans="2:5" hidden="1" x14ac:dyDescent="0.2">
      <c r="B243" s="272" t="s">
        <v>277</v>
      </c>
      <c r="C243" s="273">
        <v>3762</v>
      </c>
      <c r="D243" s="273">
        <v>36712</v>
      </c>
      <c r="E243" s="272" t="s">
        <v>607</v>
      </c>
    </row>
    <row r="244" spans="2:5" hidden="1" x14ac:dyDescent="0.2">
      <c r="B244" s="272" t="s">
        <v>277</v>
      </c>
      <c r="C244" s="273">
        <v>3781</v>
      </c>
      <c r="D244" s="273">
        <v>3010</v>
      </c>
      <c r="E244" s="272" t="s">
        <v>608</v>
      </c>
    </row>
    <row r="245" spans="2:5" hidden="1" x14ac:dyDescent="0.2">
      <c r="B245" s="272" t="s">
        <v>277</v>
      </c>
      <c r="C245" s="273">
        <v>3756</v>
      </c>
      <c r="D245" s="273">
        <v>54112</v>
      </c>
      <c r="E245" s="272" t="s">
        <v>609</v>
      </c>
    </row>
    <row r="246" spans="2:5" hidden="1" x14ac:dyDescent="0.2">
      <c r="B246" s="272" t="s">
        <v>277</v>
      </c>
      <c r="C246" s="273">
        <v>3758</v>
      </c>
      <c r="D246" s="273">
        <v>54214</v>
      </c>
      <c r="E246" s="272" t="s">
        <v>610</v>
      </c>
    </row>
    <row r="247" spans="2:5" hidden="1" x14ac:dyDescent="0.2">
      <c r="B247" s="272" t="s">
        <v>210</v>
      </c>
      <c r="C247" s="273">
        <v>3776</v>
      </c>
      <c r="D247" s="273">
        <v>15665</v>
      </c>
      <c r="E247" s="272" t="s">
        <v>546</v>
      </c>
    </row>
    <row r="248" spans="2:5" hidden="1" x14ac:dyDescent="0.2">
      <c r="B248" s="272" t="s">
        <v>244</v>
      </c>
      <c r="C248" s="273">
        <v>3770</v>
      </c>
      <c r="D248" s="273">
        <v>1895</v>
      </c>
      <c r="E248" s="272" t="s">
        <v>611</v>
      </c>
    </row>
    <row r="249" spans="2:5" hidden="1" x14ac:dyDescent="0.2">
      <c r="B249" s="272" t="s">
        <v>247</v>
      </c>
      <c r="C249" s="273">
        <v>3775</v>
      </c>
      <c r="D249" s="273">
        <v>4327</v>
      </c>
      <c r="E249" s="272" t="s">
        <v>398</v>
      </c>
    </row>
    <row r="250" spans="2:5" hidden="1" x14ac:dyDescent="0.2">
      <c r="B250" s="272" t="s">
        <v>247</v>
      </c>
      <c r="C250" s="273">
        <v>3775</v>
      </c>
      <c r="D250" s="273">
        <v>4327</v>
      </c>
      <c r="E250" s="272" t="s">
        <v>248</v>
      </c>
    </row>
    <row r="251" spans="2:5" hidden="1" x14ac:dyDescent="0.2">
      <c r="B251" s="272" t="s">
        <v>212</v>
      </c>
      <c r="C251" s="273">
        <v>3777</v>
      </c>
      <c r="D251" s="273">
        <v>22518</v>
      </c>
      <c r="E251" s="272" t="s">
        <v>251</v>
      </c>
    </row>
    <row r="252" spans="2:5" hidden="1" x14ac:dyDescent="0.2">
      <c r="B252" s="272" t="s">
        <v>212</v>
      </c>
      <c r="C252" s="273">
        <v>3772</v>
      </c>
      <c r="D252" s="273">
        <v>305963</v>
      </c>
      <c r="E252" s="272" t="s">
        <v>612</v>
      </c>
    </row>
    <row r="253" spans="2:5" hidden="1" x14ac:dyDescent="0.2">
      <c r="B253" s="272" t="s">
        <v>215</v>
      </c>
      <c r="C253" s="273">
        <v>3778</v>
      </c>
      <c r="D253" s="272" t="s">
        <v>613</v>
      </c>
      <c r="E253" s="272" t="s">
        <v>614</v>
      </c>
    </row>
    <row r="254" spans="2:5" hidden="1" x14ac:dyDescent="0.2">
      <c r="B254" s="272" t="s">
        <v>215</v>
      </c>
      <c r="C254" s="273">
        <v>3754</v>
      </c>
      <c r="D254" s="273">
        <v>12473</v>
      </c>
      <c r="E254" s="272" t="s">
        <v>615</v>
      </c>
    </row>
    <row r="255" spans="2:5" hidden="1" x14ac:dyDescent="0.2">
      <c r="B255" s="272" t="s">
        <v>264</v>
      </c>
      <c r="C255" s="273">
        <v>3755</v>
      </c>
      <c r="D255" s="273">
        <v>12474</v>
      </c>
      <c r="E255" s="272" t="s">
        <v>484</v>
      </c>
    </row>
    <row r="256" spans="2:5" hidden="1" x14ac:dyDescent="0.2">
      <c r="B256" s="272" t="s">
        <v>401</v>
      </c>
      <c r="C256" s="273">
        <v>3750</v>
      </c>
      <c r="D256" s="273">
        <v>28641</v>
      </c>
      <c r="E256" s="272" t="s">
        <v>616</v>
      </c>
    </row>
    <row r="257" spans="2:5" hidden="1" x14ac:dyDescent="0.2">
      <c r="B257" s="272" t="s">
        <v>401</v>
      </c>
      <c r="C257" s="273">
        <v>3778</v>
      </c>
      <c r="D257" s="272" t="s">
        <v>613</v>
      </c>
      <c r="E257" s="272" t="s">
        <v>617</v>
      </c>
    </row>
    <row r="258" spans="2:5" hidden="1" x14ac:dyDescent="0.2">
      <c r="B258" s="272" t="s">
        <v>292</v>
      </c>
      <c r="C258" s="273">
        <v>3778</v>
      </c>
      <c r="D258" s="272" t="s">
        <v>613</v>
      </c>
      <c r="E258" s="272" t="s">
        <v>618</v>
      </c>
    </row>
    <row r="259" spans="2:5" hidden="1" x14ac:dyDescent="0.2">
      <c r="B259" s="272" t="s">
        <v>619</v>
      </c>
      <c r="C259" s="273">
        <v>3752</v>
      </c>
      <c r="D259" s="273">
        <v>192</v>
      </c>
      <c r="E259" s="272" t="s">
        <v>620</v>
      </c>
    </row>
    <row r="260" spans="2:5" hidden="1" x14ac:dyDescent="0.2">
      <c r="B260" s="272" t="s">
        <v>619</v>
      </c>
      <c r="C260" s="273">
        <v>3761</v>
      </c>
      <c r="D260" s="273">
        <v>22102024</v>
      </c>
      <c r="E260" s="272" t="s">
        <v>621</v>
      </c>
    </row>
    <row r="261" spans="2:5" hidden="1" x14ac:dyDescent="0.2">
      <c r="B261" s="272" t="s">
        <v>619</v>
      </c>
      <c r="C261" s="273">
        <v>3763</v>
      </c>
      <c r="D261" s="273">
        <v>44719</v>
      </c>
      <c r="E261" s="272" t="s">
        <v>622</v>
      </c>
    </row>
    <row r="262" spans="2:5" hidden="1" x14ac:dyDescent="0.2">
      <c r="B262" s="272" t="s">
        <v>619</v>
      </c>
      <c r="C262" s="273">
        <v>3780</v>
      </c>
      <c r="D262" s="273">
        <v>18</v>
      </c>
      <c r="E262" s="272" t="s">
        <v>623</v>
      </c>
    </row>
    <row r="263" spans="2:5" hidden="1" x14ac:dyDescent="0.2">
      <c r="B263" s="272" t="s">
        <v>432</v>
      </c>
      <c r="C263" s="273">
        <v>1</v>
      </c>
      <c r="D263" s="273">
        <v>1</v>
      </c>
      <c r="E263" s="272" t="s">
        <v>624</v>
      </c>
    </row>
    <row r="264" spans="2:5" hidden="1" x14ac:dyDescent="0.2">
      <c r="B264" s="272" t="s">
        <v>432</v>
      </c>
      <c r="C264" s="273">
        <v>1</v>
      </c>
      <c r="D264" s="273">
        <v>1</v>
      </c>
      <c r="E264" s="272" t="s">
        <v>624</v>
      </c>
    </row>
    <row r="265" spans="2:5" hidden="1" x14ac:dyDescent="0.2">
      <c r="B265" s="272" t="s">
        <v>625</v>
      </c>
      <c r="C265" s="273"/>
      <c r="D265" s="273"/>
      <c r="E265" s="272"/>
    </row>
    <row r="266" spans="2:5" hidden="1" x14ac:dyDescent="0.2">
      <c r="B266" s="403"/>
      <c r="C266" s="1822" t="s">
        <v>658</v>
      </c>
      <c r="D266" s="1822"/>
      <c r="E266" s="1822"/>
    </row>
    <row r="267" spans="2:5" s="289" customFormat="1" hidden="1" x14ac:dyDescent="0.2">
      <c r="B267" s="401"/>
      <c r="C267" s="402"/>
      <c r="D267" s="402"/>
      <c r="E267" s="402"/>
    </row>
    <row r="268" spans="2:5" s="289" customFormat="1" ht="14.5" hidden="1" x14ac:dyDescent="0.35">
      <c r="B268" s="1639" t="s">
        <v>498</v>
      </c>
      <c r="C268" s="1640"/>
      <c r="D268" s="1640"/>
      <c r="E268" s="1640"/>
    </row>
    <row r="269" spans="2:5" s="289" customFormat="1" ht="14.5" hidden="1" x14ac:dyDescent="0.35">
      <c r="B269" s="1641" t="s">
        <v>661</v>
      </c>
      <c r="C269" s="1642"/>
      <c r="D269" s="1642"/>
      <c r="E269" s="1642"/>
    </row>
    <row r="270" spans="2:5" s="289" customFormat="1" ht="10.5" hidden="1" x14ac:dyDescent="0.25">
      <c r="B270" s="400" t="s">
        <v>460</v>
      </c>
      <c r="C270" s="400" t="s">
        <v>462</v>
      </c>
      <c r="D270" s="400" t="s">
        <v>594</v>
      </c>
      <c r="E270" s="400" t="s">
        <v>463</v>
      </c>
    </row>
    <row r="271" spans="2:5" ht="18" hidden="1" x14ac:dyDescent="0.4">
      <c r="B271" s="1824" t="s">
        <v>660</v>
      </c>
      <c r="C271" s="1825"/>
      <c r="D271" s="1825"/>
      <c r="E271" s="1825"/>
    </row>
    <row r="272" spans="2:5" hidden="1" x14ac:dyDescent="0.2">
      <c r="B272" s="272" t="s">
        <v>565</v>
      </c>
      <c r="C272" s="273">
        <v>1</v>
      </c>
      <c r="D272" s="273">
        <v>1</v>
      </c>
      <c r="E272" s="272" t="s">
        <v>626</v>
      </c>
    </row>
    <row r="273" spans="2:5" hidden="1" x14ac:dyDescent="0.2">
      <c r="B273" s="272" t="s">
        <v>565</v>
      </c>
      <c r="C273" s="273">
        <v>3573</v>
      </c>
      <c r="D273" s="273">
        <v>3573</v>
      </c>
      <c r="E273" s="272" t="s">
        <v>279</v>
      </c>
    </row>
    <row r="274" spans="2:5" hidden="1" x14ac:dyDescent="0.2">
      <c r="B274" s="272" t="s">
        <v>565</v>
      </c>
      <c r="C274" s="273">
        <v>1</v>
      </c>
      <c r="D274" s="273">
        <v>1</v>
      </c>
      <c r="E274" s="272" t="s">
        <v>627</v>
      </c>
    </row>
    <row r="275" spans="2:5" hidden="1" x14ac:dyDescent="0.2">
      <c r="B275" s="272" t="s">
        <v>565</v>
      </c>
      <c r="C275" s="273">
        <v>5511</v>
      </c>
      <c r="D275" s="273">
        <v>5511</v>
      </c>
      <c r="E275" s="272" t="s">
        <v>628</v>
      </c>
    </row>
    <row r="276" spans="2:5" hidden="1" x14ac:dyDescent="0.2">
      <c r="B276" s="272" t="s">
        <v>565</v>
      </c>
      <c r="C276" s="273">
        <v>5532</v>
      </c>
      <c r="D276" s="273">
        <v>5532</v>
      </c>
      <c r="E276" s="272" t="s">
        <v>629</v>
      </c>
    </row>
    <row r="277" spans="2:5" hidden="1" x14ac:dyDescent="0.2">
      <c r="B277" s="272" t="s">
        <v>565</v>
      </c>
      <c r="C277" s="272" t="s">
        <v>410</v>
      </c>
      <c r="D277" s="272" t="s">
        <v>410</v>
      </c>
      <c r="E277" s="272" t="s">
        <v>630</v>
      </c>
    </row>
    <row r="278" spans="2:5" hidden="1" x14ac:dyDescent="0.2">
      <c r="B278" s="272" t="s">
        <v>565</v>
      </c>
      <c r="C278" s="273">
        <v>1</v>
      </c>
      <c r="D278" s="273">
        <v>1</v>
      </c>
      <c r="E278" s="272" t="s">
        <v>631</v>
      </c>
    </row>
    <row r="279" spans="2:5" hidden="1" x14ac:dyDescent="0.2">
      <c r="B279" s="272" t="s">
        <v>565</v>
      </c>
      <c r="C279" s="273">
        <v>1</v>
      </c>
      <c r="D279" s="273">
        <v>1</v>
      </c>
      <c r="E279" s="272" t="s">
        <v>632</v>
      </c>
    </row>
    <row r="280" spans="2:5" hidden="1" x14ac:dyDescent="0.2">
      <c r="B280" s="272" t="s">
        <v>565</v>
      </c>
      <c r="C280" s="273">
        <v>3682</v>
      </c>
      <c r="D280" s="273">
        <v>3682</v>
      </c>
      <c r="E280" s="272" t="s">
        <v>633</v>
      </c>
    </row>
    <row r="281" spans="2:5" hidden="1" x14ac:dyDescent="0.2">
      <c r="B281" s="272" t="s">
        <v>565</v>
      </c>
      <c r="C281" s="273">
        <v>3684</v>
      </c>
      <c r="D281" s="273">
        <v>3684</v>
      </c>
      <c r="E281" s="272" t="s">
        <v>634</v>
      </c>
    </row>
    <row r="282" spans="2:5" hidden="1" x14ac:dyDescent="0.2">
      <c r="B282" s="272" t="s">
        <v>565</v>
      </c>
      <c r="C282" s="273">
        <v>3684</v>
      </c>
      <c r="D282" s="273">
        <v>3684</v>
      </c>
      <c r="E282" s="272" t="s">
        <v>634</v>
      </c>
    </row>
    <row r="283" spans="2:5" hidden="1" x14ac:dyDescent="0.2">
      <c r="B283" s="272" t="s">
        <v>565</v>
      </c>
      <c r="C283" s="273">
        <v>3685</v>
      </c>
      <c r="D283" s="273">
        <v>3685</v>
      </c>
      <c r="E283" s="272" t="s">
        <v>634</v>
      </c>
    </row>
    <row r="284" spans="2:5" hidden="1" x14ac:dyDescent="0.2">
      <c r="B284" s="272" t="s">
        <v>565</v>
      </c>
      <c r="C284" s="273">
        <v>3692</v>
      </c>
      <c r="D284" s="273">
        <v>3692</v>
      </c>
      <c r="E284" s="272" t="s">
        <v>635</v>
      </c>
    </row>
    <row r="285" spans="2:5" hidden="1" x14ac:dyDescent="0.2">
      <c r="B285" s="272" t="s">
        <v>565</v>
      </c>
      <c r="C285" s="273">
        <v>3711</v>
      </c>
      <c r="D285" s="273">
        <v>3711</v>
      </c>
      <c r="E285" s="272" t="s">
        <v>636</v>
      </c>
    </row>
    <row r="286" spans="2:5" hidden="1" x14ac:dyDescent="0.2">
      <c r="B286" s="272" t="s">
        <v>565</v>
      </c>
      <c r="C286" s="273">
        <v>3712</v>
      </c>
      <c r="D286" s="273">
        <v>3712</v>
      </c>
      <c r="E286" s="272" t="s">
        <v>637</v>
      </c>
    </row>
    <row r="287" spans="2:5" hidden="1" x14ac:dyDescent="0.2">
      <c r="B287" s="272" t="s">
        <v>565</v>
      </c>
      <c r="C287" s="273">
        <v>3713</v>
      </c>
      <c r="D287" s="273">
        <v>3713</v>
      </c>
      <c r="E287" s="272" t="s">
        <v>638</v>
      </c>
    </row>
    <row r="288" spans="2:5" hidden="1" x14ac:dyDescent="0.2">
      <c r="B288" s="272" t="s">
        <v>565</v>
      </c>
      <c r="C288" s="273">
        <v>3714</v>
      </c>
      <c r="D288" s="273">
        <v>3714</v>
      </c>
      <c r="E288" s="272" t="s">
        <v>639</v>
      </c>
    </row>
    <row r="289" spans="2:5" hidden="1" x14ac:dyDescent="0.2">
      <c r="B289" s="272" t="s">
        <v>565</v>
      </c>
      <c r="C289" s="273">
        <v>3716</v>
      </c>
      <c r="D289" s="273">
        <v>3716</v>
      </c>
      <c r="E289" s="272" t="s">
        <v>544</v>
      </c>
    </row>
    <row r="290" spans="2:5" hidden="1" x14ac:dyDescent="0.2">
      <c r="B290" s="272" t="s">
        <v>565</v>
      </c>
      <c r="C290" s="273">
        <v>3719</v>
      </c>
      <c r="D290" s="273">
        <v>3719</v>
      </c>
      <c r="E290" s="272" t="s">
        <v>640</v>
      </c>
    </row>
    <row r="291" spans="2:5" hidden="1" x14ac:dyDescent="0.2">
      <c r="B291" s="272" t="s">
        <v>565</v>
      </c>
      <c r="C291" s="273">
        <v>1</v>
      </c>
      <c r="D291" s="273">
        <v>1</v>
      </c>
      <c r="E291" s="272" t="s">
        <v>641</v>
      </c>
    </row>
    <row r="292" spans="2:5" hidden="1" x14ac:dyDescent="0.2">
      <c r="B292" s="272" t="s">
        <v>565</v>
      </c>
      <c r="C292" s="273">
        <v>1</v>
      </c>
      <c r="D292" s="273">
        <v>1</v>
      </c>
      <c r="E292" s="272" t="s">
        <v>642</v>
      </c>
    </row>
    <row r="293" spans="2:5" hidden="1" x14ac:dyDescent="0.2">
      <c r="B293" s="272" t="s">
        <v>565</v>
      </c>
      <c r="C293" s="273">
        <v>3686</v>
      </c>
      <c r="D293" s="273">
        <v>3686</v>
      </c>
      <c r="E293" s="272" t="s">
        <v>643</v>
      </c>
    </row>
    <row r="294" spans="2:5" hidden="1" x14ac:dyDescent="0.2">
      <c r="B294" s="272" t="s">
        <v>565</v>
      </c>
      <c r="C294" s="273">
        <v>3686</v>
      </c>
      <c r="D294" s="273">
        <v>3686</v>
      </c>
      <c r="E294" s="272" t="s">
        <v>634</v>
      </c>
    </row>
    <row r="295" spans="2:5" hidden="1" x14ac:dyDescent="0.2">
      <c r="B295" s="272" t="s">
        <v>565</v>
      </c>
      <c r="C295" s="273">
        <v>1</v>
      </c>
      <c r="D295" s="273">
        <v>1</v>
      </c>
      <c r="E295" s="272" t="s">
        <v>644</v>
      </c>
    </row>
    <row r="296" spans="2:5" hidden="1" x14ac:dyDescent="0.2">
      <c r="B296" s="272" t="s">
        <v>565</v>
      </c>
      <c r="C296" s="273">
        <v>3779</v>
      </c>
      <c r="D296" s="273">
        <v>15666</v>
      </c>
      <c r="E296" s="272" t="s">
        <v>645</v>
      </c>
    </row>
    <row r="297" spans="2:5" hidden="1" x14ac:dyDescent="0.2">
      <c r="B297" s="272" t="s">
        <v>565</v>
      </c>
      <c r="C297" s="273">
        <v>1</v>
      </c>
      <c r="D297" s="273">
        <v>1</v>
      </c>
      <c r="E297" s="272" t="s">
        <v>646</v>
      </c>
    </row>
    <row r="298" spans="2:5" hidden="1" x14ac:dyDescent="0.2">
      <c r="B298" s="272" t="s">
        <v>565</v>
      </c>
      <c r="C298" s="273">
        <v>3607</v>
      </c>
      <c r="D298" s="273">
        <v>3607</v>
      </c>
      <c r="E298" s="272" t="s">
        <v>647</v>
      </c>
    </row>
    <row r="299" spans="2:5" hidden="1" x14ac:dyDescent="0.2">
      <c r="B299" s="272" t="s">
        <v>565</v>
      </c>
      <c r="C299" s="273">
        <v>4209</v>
      </c>
      <c r="D299" s="273">
        <v>4209</v>
      </c>
      <c r="E299" s="272" t="s">
        <v>648</v>
      </c>
    </row>
    <row r="300" spans="2:5" hidden="1" x14ac:dyDescent="0.2">
      <c r="B300" s="272" t="s">
        <v>565</v>
      </c>
      <c r="C300" s="273">
        <v>3647</v>
      </c>
      <c r="D300" s="273">
        <v>3647</v>
      </c>
      <c r="E300" s="272" t="s">
        <v>649</v>
      </c>
    </row>
    <row r="301" spans="2:5" hidden="1" x14ac:dyDescent="0.2">
      <c r="B301" s="272" t="s">
        <v>565</v>
      </c>
      <c r="C301" s="273">
        <v>3739</v>
      </c>
      <c r="D301" s="273">
        <v>3739</v>
      </c>
      <c r="E301" s="272" t="s">
        <v>650</v>
      </c>
    </row>
    <row r="302" spans="2:5" hidden="1" x14ac:dyDescent="0.2">
      <c r="B302" s="272" t="s">
        <v>565</v>
      </c>
      <c r="C302" s="273">
        <v>111091</v>
      </c>
      <c r="D302" s="273">
        <v>216</v>
      </c>
      <c r="E302" s="272" t="s">
        <v>651</v>
      </c>
    </row>
    <row r="303" spans="2:5" hidden="1" x14ac:dyDescent="0.2">
      <c r="B303" s="272" t="s">
        <v>565</v>
      </c>
      <c r="C303" s="273">
        <v>3655</v>
      </c>
      <c r="D303" s="273">
        <v>3655</v>
      </c>
      <c r="E303" s="272" t="s">
        <v>652</v>
      </c>
    </row>
    <row r="304" spans="2:5" hidden="1" x14ac:dyDescent="0.2">
      <c r="B304" s="272" t="s">
        <v>565</v>
      </c>
      <c r="C304" s="273">
        <v>3720</v>
      </c>
      <c r="D304" s="273">
        <v>3720</v>
      </c>
      <c r="E304" s="272" t="s">
        <v>653</v>
      </c>
    </row>
    <row r="305" spans="2:5" hidden="1" x14ac:dyDescent="0.2">
      <c r="B305" s="272" t="s">
        <v>565</v>
      </c>
      <c r="C305" s="272" t="s">
        <v>411</v>
      </c>
      <c r="D305" s="272" t="s">
        <v>411</v>
      </c>
      <c r="E305" s="272" t="s">
        <v>654</v>
      </c>
    </row>
    <row r="306" spans="2:5" hidden="1" x14ac:dyDescent="0.2">
      <c r="B306" s="272" t="s">
        <v>565</v>
      </c>
      <c r="C306" s="273">
        <v>1</v>
      </c>
      <c r="D306" s="273">
        <v>1</v>
      </c>
      <c r="E306" s="272" t="s">
        <v>655</v>
      </c>
    </row>
    <row r="307" spans="2:5" hidden="1" x14ac:dyDescent="0.2">
      <c r="B307" s="272" t="s">
        <v>565</v>
      </c>
      <c r="C307" s="273">
        <v>3747</v>
      </c>
      <c r="D307" s="273">
        <v>3</v>
      </c>
      <c r="E307" s="272" t="s">
        <v>656</v>
      </c>
    </row>
    <row r="308" spans="2:5" hidden="1" x14ac:dyDescent="0.2">
      <c r="B308" s="272" t="s">
        <v>565</v>
      </c>
      <c r="C308" s="273">
        <v>3748</v>
      </c>
      <c r="D308" s="273">
        <v>312024</v>
      </c>
      <c r="E308" s="272" t="s">
        <v>656</v>
      </c>
    </row>
    <row r="309" spans="2:5" hidden="1" x14ac:dyDescent="0.2">
      <c r="B309" s="414"/>
      <c r="C309" s="414"/>
      <c r="D309" s="1823" t="s">
        <v>659</v>
      </c>
      <c r="E309" s="1823"/>
    </row>
    <row r="310" spans="2:5" hidden="1" x14ac:dyDescent="0.2"/>
    <row r="311" spans="2:5" hidden="1" x14ac:dyDescent="0.2"/>
    <row r="312" spans="2:5" ht="14.5" hidden="1" x14ac:dyDescent="0.35">
      <c r="B312" s="1639" t="s">
        <v>498</v>
      </c>
      <c r="C312" s="1640"/>
      <c r="D312" s="1640"/>
      <c r="E312" s="1640"/>
    </row>
    <row r="313" spans="2:5" ht="14.5" hidden="1" x14ac:dyDescent="0.35">
      <c r="B313" s="1639" t="s">
        <v>661</v>
      </c>
      <c r="C313" s="1640"/>
      <c r="D313" s="1640"/>
      <c r="E313" s="1640"/>
    </row>
    <row r="314" spans="2:5" ht="10.5" hidden="1" x14ac:dyDescent="0.25">
      <c r="B314" s="409" t="s">
        <v>460</v>
      </c>
      <c r="C314" s="409" t="s">
        <v>462</v>
      </c>
      <c r="D314" s="409" t="s">
        <v>594</v>
      </c>
      <c r="E314" s="409" t="s">
        <v>463</v>
      </c>
    </row>
    <row r="315" spans="2:5" hidden="1" x14ac:dyDescent="0.2">
      <c r="B315" s="272" t="s">
        <v>355</v>
      </c>
      <c r="C315" s="272" t="s">
        <v>662</v>
      </c>
      <c r="D315" s="272" t="s">
        <v>663</v>
      </c>
      <c r="E315" s="272" t="s">
        <v>664</v>
      </c>
    </row>
    <row r="316" spans="2:5" hidden="1" x14ac:dyDescent="0.2">
      <c r="B316" s="272" t="s">
        <v>358</v>
      </c>
      <c r="C316" s="272" t="s">
        <v>665</v>
      </c>
      <c r="D316" s="272" t="s">
        <v>663</v>
      </c>
      <c r="E316" s="272" t="s">
        <v>524</v>
      </c>
    </row>
    <row r="317" spans="2:5" hidden="1" x14ac:dyDescent="0.2">
      <c r="B317" s="272" t="s">
        <v>361</v>
      </c>
      <c r="C317" s="272" t="s">
        <v>666</v>
      </c>
      <c r="D317" s="272" t="s">
        <v>667</v>
      </c>
      <c r="E317" s="272" t="s">
        <v>362</v>
      </c>
    </row>
    <row r="318" spans="2:5" hidden="1" x14ac:dyDescent="0.2">
      <c r="B318" s="272" t="s">
        <v>364</v>
      </c>
      <c r="C318" s="272" t="s">
        <v>666</v>
      </c>
      <c r="D318" s="272" t="s">
        <v>668</v>
      </c>
      <c r="E318" s="272" t="s">
        <v>365</v>
      </c>
    </row>
    <row r="319" spans="2:5" hidden="1" x14ac:dyDescent="0.2">
      <c r="B319" s="272" t="s">
        <v>367</v>
      </c>
      <c r="C319" s="272" t="s">
        <v>666</v>
      </c>
      <c r="D319" s="272" t="s">
        <v>669</v>
      </c>
      <c r="E319" s="272" t="s">
        <v>368</v>
      </c>
    </row>
    <row r="320" spans="2:5" hidden="1" x14ac:dyDescent="0.2">
      <c r="B320" s="272" t="s">
        <v>293</v>
      </c>
      <c r="C320" s="272" t="s">
        <v>666</v>
      </c>
      <c r="D320" s="272" t="s">
        <v>670</v>
      </c>
      <c r="E320" s="272" t="s">
        <v>671</v>
      </c>
    </row>
    <row r="321" spans="2:5" hidden="1" x14ac:dyDescent="0.2">
      <c r="B321" s="272" t="s">
        <v>372</v>
      </c>
      <c r="C321" s="272" t="s">
        <v>666</v>
      </c>
      <c r="D321" s="272" t="s">
        <v>672</v>
      </c>
      <c r="E321" s="272" t="s">
        <v>673</v>
      </c>
    </row>
    <row r="322" spans="2:5" hidden="1" x14ac:dyDescent="0.2">
      <c r="B322" s="272" t="s">
        <v>375</v>
      </c>
      <c r="C322" s="272" t="s">
        <v>666</v>
      </c>
      <c r="D322" s="272" t="s">
        <v>674</v>
      </c>
      <c r="E322" s="272" t="s">
        <v>675</v>
      </c>
    </row>
    <row r="323" spans="2:5" hidden="1" x14ac:dyDescent="0.2">
      <c r="B323" s="272" t="s">
        <v>375</v>
      </c>
      <c r="C323" s="272" t="s">
        <v>666</v>
      </c>
      <c r="D323" s="272" t="s">
        <v>674</v>
      </c>
      <c r="E323" s="272" t="s">
        <v>676</v>
      </c>
    </row>
    <row r="324" spans="2:5" hidden="1" x14ac:dyDescent="0.2">
      <c r="B324" s="272" t="s">
        <v>367</v>
      </c>
      <c r="C324" s="272" t="s">
        <v>666</v>
      </c>
      <c r="D324" s="272" t="s">
        <v>677</v>
      </c>
      <c r="E324" s="272" t="s">
        <v>678</v>
      </c>
    </row>
    <row r="325" spans="2:5" hidden="1" x14ac:dyDescent="0.2">
      <c r="B325" s="272" t="s">
        <v>367</v>
      </c>
      <c r="C325" s="272" t="s">
        <v>666</v>
      </c>
      <c r="D325" s="272" t="s">
        <v>677</v>
      </c>
      <c r="E325" s="272" t="s">
        <v>679</v>
      </c>
    </row>
    <row r="326" spans="2:5" hidden="1" x14ac:dyDescent="0.2">
      <c r="B326" s="272" t="s">
        <v>367</v>
      </c>
      <c r="C326" s="272" t="s">
        <v>666</v>
      </c>
      <c r="D326" s="272" t="s">
        <v>680</v>
      </c>
      <c r="E326" s="272" t="s">
        <v>681</v>
      </c>
    </row>
    <row r="327" spans="2:5" hidden="1" x14ac:dyDescent="0.2">
      <c r="B327" s="272" t="s">
        <v>367</v>
      </c>
      <c r="C327" s="272" t="s">
        <v>666</v>
      </c>
      <c r="D327" s="272" t="s">
        <v>680</v>
      </c>
      <c r="E327" s="272" t="s">
        <v>682</v>
      </c>
    </row>
    <row r="328" spans="2:5" hidden="1" x14ac:dyDescent="0.2">
      <c r="B328" s="272" t="s">
        <v>367</v>
      </c>
      <c r="C328" s="272" t="s">
        <v>666</v>
      </c>
      <c r="D328" s="272" t="s">
        <v>669</v>
      </c>
      <c r="E328" s="272" t="s">
        <v>683</v>
      </c>
    </row>
    <row r="329" spans="2:5" hidden="1" x14ac:dyDescent="0.2">
      <c r="B329" s="272" t="s">
        <v>367</v>
      </c>
      <c r="C329" s="272" t="s">
        <v>666</v>
      </c>
      <c r="D329" s="272" t="s">
        <v>677</v>
      </c>
      <c r="E329" s="272" t="s">
        <v>684</v>
      </c>
    </row>
    <row r="330" spans="2:5" hidden="1" x14ac:dyDescent="0.2">
      <c r="B330" s="272" t="s">
        <v>367</v>
      </c>
      <c r="C330" s="272" t="s">
        <v>666</v>
      </c>
      <c r="D330" s="272" t="s">
        <v>685</v>
      </c>
      <c r="E330" s="272" t="s">
        <v>686</v>
      </c>
    </row>
    <row r="331" spans="2:5" hidden="1" x14ac:dyDescent="0.2">
      <c r="B331" s="272" t="s">
        <v>386</v>
      </c>
      <c r="C331" s="272" t="s">
        <v>666</v>
      </c>
      <c r="D331" s="272" t="s">
        <v>687</v>
      </c>
      <c r="E331" s="272" t="s">
        <v>387</v>
      </c>
    </row>
    <row r="332" spans="2:5" hidden="1" x14ac:dyDescent="0.2">
      <c r="B332" s="272" t="s">
        <v>386</v>
      </c>
      <c r="C332" s="272" t="s">
        <v>666</v>
      </c>
      <c r="D332" s="272" t="s">
        <v>688</v>
      </c>
      <c r="E332" s="272" t="s">
        <v>387</v>
      </c>
    </row>
    <row r="333" spans="2:5" hidden="1" x14ac:dyDescent="0.2">
      <c r="B333" s="272" t="s">
        <v>275</v>
      </c>
      <c r="C333" s="272" t="s">
        <v>666</v>
      </c>
      <c r="D333" s="272" t="s">
        <v>689</v>
      </c>
      <c r="E333" s="272" t="s">
        <v>690</v>
      </c>
    </row>
    <row r="334" spans="2:5" hidden="1" x14ac:dyDescent="0.2">
      <c r="B334" s="272" t="s">
        <v>388</v>
      </c>
      <c r="C334" s="272" t="s">
        <v>666</v>
      </c>
      <c r="D334" s="272" t="s">
        <v>691</v>
      </c>
      <c r="E334" s="272" t="s">
        <v>692</v>
      </c>
    </row>
    <row r="335" spans="2:5" hidden="1" x14ac:dyDescent="0.2">
      <c r="B335" s="272" t="s">
        <v>388</v>
      </c>
      <c r="C335" s="272" t="s">
        <v>666</v>
      </c>
      <c r="D335" s="272" t="s">
        <v>693</v>
      </c>
      <c r="E335" s="272" t="s">
        <v>694</v>
      </c>
    </row>
    <row r="336" spans="2:5" hidden="1" x14ac:dyDescent="0.2">
      <c r="B336" s="272" t="s">
        <v>407</v>
      </c>
      <c r="C336" s="272" t="s">
        <v>662</v>
      </c>
      <c r="D336" s="272" t="s">
        <v>663</v>
      </c>
      <c r="E336" s="272" t="s">
        <v>695</v>
      </c>
    </row>
    <row r="337" spans="2:5" hidden="1" x14ac:dyDescent="0.2">
      <c r="B337" s="272" t="s">
        <v>407</v>
      </c>
      <c r="C337" s="272" t="s">
        <v>662</v>
      </c>
      <c r="D337" s="272" t="s">
        <v>663</v>
      </c>
      <c r="E337" s="272" t="s">
        <v>696</v>
      </c>
    </row>
    <row r="338" spans="2:5" hidden="1" x14ac:dyDescent="0.2">
      <c r="B338" s="272" t="s">
        <v>407</v>
      </c>
      <c r="C338" s="272" t="s">
        <v>662</v>
      </c>
      <c r="D338" s="272" t="s">
        <v>663</v>
      </c>
      <c r="E338" s="272" t="s">
        <v>697</v>
      </c>
    </row>
    <row r="339" spans="2:5" hidden="1" x14ac:dyDescent="0.2">
      <c r="B339" s="272" t="s">
        <v>407</v>
      </c>
      <c r="C339" s="272" t="s">
        <v>662</v>
      </c>
      <c r="D339" s="272" t="s">
        <v>663</v>
      </c>
      <c r="E339" s="272" t="s">
        <v>698</v>
      </c>
    </row>
    <row r="340" spans="2:5" hidden="1" x14ac:dyDescent="0.2">
      <c r="B340" s="272" t="s">
        <v>391</v>
      </c>
      <c r="C340" s="272" t="s">
        <v>666</v>
      </c>
      <c r="D340" s="272" t="s">
        <v>699</v>
      </c>
      <c r="E340" s="272" t="s">
        <v>700</v>
      </c>
    </row>
    <row r="341" spans="2:5" hidden="1" x14ac:dyDescent="0.2">
      <c r="B341" s="272" t="s">
        <v>391</v>
      </c>
      <c r="C341" s="272" t="s">
        <v>666</v>
      </c>
      <c r="D341" s="272" t="s">
        <v>699</v>
      </c>
      <c r="E341" s="272" t="s">
        <v>701</v>
      </c>
    </row>
    <row r="342" spans="2:5" hidden="1" x14ac:dyDescent="0.2">
      <c r="B342" s="272" t="s">
        <v>702</v>
      </c>
      <c r="C342" s="272" t="s">
        <v>666</v>
      </c>
      <c r="D342" s="272" t="s">
        <v>703</v>
      </c>
      <c r="E342" s="272" t="s">
        <v>704</v>
      </c>
    </row>
    <row r="343" spans="2:5" hidden="1" x14ac:dyDescent="0.2">
      <c r="B343" s="272" t="s">
        <v>430</v>
      </c>
      <c r="C343" s="272" t="s">
        <v>662</v>
      </c>
      <c r="D343" s="272" t="s">
        <v>392</v>
      </c>
      <c r="E343" s="272" t="s">
        <v>705</v>
      </c>
    </row>
    <row r="344" spans="2:5" hidden="1" x14ac:dyDescent="0.2">
      <c r="B344" s="272" t="s">
        <v>409</v>
      </c>
      <c r="C344" s="272" t="s">
        <v>662</v>
      </c>
      <c r="D344" s="272" t="s">
        <v>663</v>
      </c>
      <c r="E344" s="272" t="s">
        <v>706</v>
      </c>
    </row>
    <row r="345" spans="2:5" hidden="1" x14ac:dyDescent="0.2">
      <c r="B345" s="272" t="s">
        <v>707</v>
      </c>
      <c r="C345" s="272" t="s">
        <v>666</v>
      </c>
      <c r="D345" s="272" t="s">
        <v>708</v>
      </c>
      <c r="E345" s="272" t="s">
        <v>709</v>
      </c>
    </row>
    <row r="346" spans="2:5" hidden="1" x14ac:dyDescent="0.2">
      <c r="B346" s="272" t="s">
        <v>237</v>
      </c>
      <c r="C346" s="272" t="s">
        <v>666</v>
      </c>
      <c r="D346" s="272" t="s">
        <v>710</v>
      </c>
      <c r="E346" s="272" t="s">
        <v>645</v>
      </c>
    </row>
    <row r="347" spans="2:5" hidden="1" x14ac:dyDescent="0.2">
      <c r="B347" s="272" t="s">
        <v>283</v>
      </c>
      <c r="C347" s="272" t="s">
        <v>666</v>
      </c>
      <c r="D347" s="272" t="s">
        <v>711</v>
      </c>
      <c r="E347" s="272" t="s">
        <v>548</v>
      </c>
    </row>
    <row r="348" spans="2:5" hidden="1" x14ac:dyDescent="0.2">
      <c r="B348" s="272" t="s">
        <v>231</v>
      </c>
      <c r="C348" s="272" t="s">
        <v>666</v>
      </c>
      <c r="D348" s="272" t="s">
        <v>712</v>
      </c>
      <c r="E348" s="272" t="s">
        <v>398</v>
      </c>
    </row>
    <row r="349" spans="2:5" hidden="1" x14ac:dyDescent="0.2">
      <c r="B349" s="272" t="s">
        <v>231</v>
      </c>
      <c r="C349" s="272" t="s">
        <v>666</v>
      </c>
      <c r="D349" s="272" t="s">
        <v>712</v>
      </c>
      <c r="E349" s="272" t="s">
        <v>248</v>
      </c>
    </row>
    <row r="350" spans="2:5" hidden="1" x14ac:dyDescent="0.2">
      <c r="B350" s="272" t="s">
        <v>231</v>
      </c>
      <c r="C350" s="272" t="s">
        <v>666</v>
      </c>
      <c r="D350" s="272" t="s">
        <v>713</v>
      </c>
      <c r="E350" s="272" t="s">
        <v>398</v>
      </c>
    </row>
    <row r="351" spans="2:5" hidden="1" x14ac:dyDescent="0.2">
      <c r="B351" s="272" t="s">
        <v>231</v>
      </c>
      <c r="C351" s="272" t="s">
        <v>666</v>
      </c>
      <c r="D351" s="272" t="s">
        <v>713</v>
      </c>
      <c r="E351" s="272" t="s">
        <v>248</v>
      </c>
    </row>
    <row r="352" spans="2:5" hidden="1" x14ac:dyDescent="0.2">
      <c r="B352" s="272" t="s">
        <v>213</v>
      </c>
      <c r="C352" s="272" t="s">
        <v>666</v>
      </c>
      <c r="D352" s="272" t="s">
        <v>714</v>
      </c>
      <c r="E352" s="272" t="s">
        <v>251</v>
      </c>
    </row>
    <row r="353" spans="2:5" hidden="1" x14ac:dyDescent="0.2">
      <c r="B353" s="272" t="s">
        <v>715</v>
      </c>
      <c r="C353" s="272" t="s">
        <v>666</v>
      </c>
      <c r="D353" s="272" t="s">
        <v>716</v>
      </c>
      <c r="E353" s="272" t="s">
        <v>554</v>
      </c>
    </row>
    <row r="354" spans="2:5" hidden="1" x14ac:dyDescent="0.2">
      <c r="B354" s="272" t="s">
        <v>717</v>
      </c>
      <c r="C354" s="272" t="s">
        <v>666</v>
      </c>
      <c r="D354" s="272" t="s">
        <v>718</v>
      </c>
      <c r="E354" s="272" t="s">
        <v>612</v>
      </c>
    </row>
    <row r="355" spans="2:5" hidden="1" x14ac:dyDescent="0.2">
      <c r="B355" s="272" t="s">
        <v>717</v>
      </c>
      <c r="C355" s="272" t="s">
        <v>666</v>
      </c>
      <c r="D355" s="272" t="s">
        <v>718</v>
      </c>
      <c r="E355" s="272" t="s">
        <v>612</v>
      </c>
    </row>
    <row r="356" spans="2:5" hidden="1" x14ac:dyDescent="0.2">
      <c r="B356" s="272" t="s">
        <v>717</v>
      </c>
      <c r="C356" s="272" t="s">
        <v>666</v>
      </c>
      <c r="D356" s="272" t="s">
        <v>719</v>
      </c>
      <c r="E356" s="272" t="s">
        <v>612</v>
      </c>
    </row>
    <row r="357" spans="2:5" hidden="1" x14ac:dyDescent="0.2">
      <c r="B357" s="272" t="s">
        <v>290</v>
      </c>
      <c r="C357" s="272" t="s">
        <v>666</v>
      </c>
      <c r="D357" s="272" t="s">
        <v>720</v>
      </c>
      <c r="E357" s="272" t="s">
        <v>721</v>
      </c>
    </row>
    <row r="358" spans="2:5" hidden="1" x14ac:dyDescent="0.2">
      <c r="B358" s="272" t="s">
        <v>430</v>
      </c>
      <c r="C358" s="272" t="s">
        <v>666</v>
      </c>
      <c r="D358" s="272" t="s">
        <v>722</v>
      </c>
      <c r="E358" s="272" t="s">
        <v>723</v>
      </c>
    </row>
    <row r="359" spans="2:5" hidden="1" x14ac:dyDescent="0.2">
      <c r="B359" s="272" t="s">
        <v>430</v>
      </c>
      <c r="C359" s="272" t="s">
        <v>666</v>
      </c>
      <c r="D359" s="272" t="s">
        <v>724</v>
      </c>
      <c r="E359" s="272" t="s">
        <v>723</v>
      </c>
    </row>
    <row r="360" spans="2:5" hidden="1" x14ac:dyDescent="0.2">
      <c r="B360" s="272" t="s">
        <v>293</v>
      </c>
      <c r="C360" s="272" t="s">
        <v>662</v>
      </c>
      <c r="D360" s="272" t="s">
        <v>392</v>
      </c>
      <c r="E360" s="272" t="s">
        <v>491</v>
      </c>
    </row>
    <row r="361" spans="2:5" hidden="1" x14ac:dyDescent="0.2">
      <c r="B361" s="272" t="s">
        <v>725</v>
      </c>
      <c r="C361" s="272" t="s">
        <v>666</v>
      </c>
      <c r="D361" s="272" t="s">
        <v>726</v>
      </c>
      <c r="E361" s="272" t="s">
        <v>727</v>
      </c>
    </row>
    <row r="362" spans="2:5" hidden="1" x14ac:dyDescent="0.2">
      <c r="B362" s="272" t="s">
        <v>728</v>
      </c>
      <c r="C362" s="272" t="s">
        <v>666</v>
      </c>
      <c r="D362" s="272" t="s">
        <v>729</v>
      </c>
      <c r="E362" s="272" t="s">
        <v>730</v>
      </c>
    </row>
    <row r="363" spans="2:5" hidden="1" x14ac:dyDescent="0.2">
      <c r="B363" s="272" t="s">
        <v>731</v>
      </c>
      <c r="C363" s="272" t="s">
        <v>666</v>
      </c>
      <c r="D363" s="272" t="s">
        <v>732</v>
      </c>
      <c r="E363" s="272" t="s">
        <v>733</v>
      </c>
    </row>
    <row r="364" spans="2:5" hidden="1" x14ac:dyDescent="0.2">
      <c r="B364" s="272" t="s">
        <v>731</v>
      </c>
      <c r="C364" s="272" t="s">
        <v>666</v>
      </c>
      <c r="D364" s="272" t="s">
        <v>734</v>
      </c>
      <c r="E364" s="272" t="s">
        <v>735</v>
      </c>
    </row>
    <row r="365" spans="2:5" hidden="1" x14ac:dyDescent="0.2">
      <c r="B365" s="272" t="s">
        <v>736</v>
      </c>
      <c r="C365" s="272" t="s">
        <v>666</v>
      </c>
      <c r="D365" s="272" t="s">
        <v>737</v>
      </c>
      <c r="E365" s="272" t="s">
        <v>738</v>
      </c>
    </row>
    <row r="366" spans="2:5" hidden="1" x14ac:dyDescent="0.2">
      <c r="B366" s="272" t="s">
        <v>736</v>
      </c>
      <c r="C366" s="272" t="s">
        <v>666</v>
      </c>
      <c r="D366" s="272" t="s">
        <v>737</v>
      </c>
      <c r="E366" s="272" t="s">
        <v>738</v>
      </c>
    </row>
    <row r="367" spans="2:5" hidden="1" x14ac:dyDescent="0.2">
      <c r="B367" s="272" t="s">
        <v>739</v>
      </c>
      <c r="C367" s="272" t="s">
        <v>666</v>
      </c>
      <c r="D367" s="272" t="s">
        <v>740</v>
      </c>
      <c r="E367" s="272" t="s">
        <v>741</v>
      </c>
    </row>
    <row r="368" spans="2:5" hidden="1" x14ac:dyDescent="0.2">
      <c r="B368" s="272" t="s">
        <v>742</v>
      </c>
      <c r="C368" s="272" t="s">
        <v>666</v>
      </c>
      <c r="D368" s="272" t="s">
        <v>743</v>
      </c>
      <c r="E368" s="272" t="s">
        <v>741</v>
      </c>
    </row>
    <row r="369" spans="2:5" hidden="1" x14ac:dyDescent="0.2">
      <c r="B369" s="272" t="s">
        <v>744</v>
      </c>
      <c r="C369" s="272" t="s">
        <v>666</v>
      </c>
      <c r="D369" s="272" t="s">
        <v>745</v>
      </c>
      <c r="E369" s="272" t="s">
        <v>746</v>
      </c>
    </row>
    <row r="370" spans="2:5" hidden="1" x14ac:dyDescent="0.2">
      <c r="B370" s="272" t="s">
        <v>747</v>
      </c>
      <c r="C370" s="272" t="s">
        <v>666</v>
      </c>
      <c r="D370" s="272" t="s">
        <v>748</v>
      </c>
      <c r="E370" s="272" t="s">
        <v>741</v>
      </c>
    </row>
    <row r="371" spans="2:5" hidden="1" x14ac:dyDescent="0.2">
      <c r="B371" s="272" t="s">
        <v>485</v>
      </c>
      <c r="C371" s="272" t="s">
        <v>666</v>
      </c>
      <c r="D371" s="272" t="s">
        <v>734</v>
      </c>
      <c r="E371" s="272" t="s">
        <v>749</v>
      </c>
    </row>
    <row r="372" spans="2:5" hidden="1" x14ac:dyDescent="0.2">
      <c r="B372" s="272" t="s">
        <v>266</v>
      </c>
      <c r="C372" s="272" t="s">
        <v>665</v>
      </c>
      <c r="D372" s="272" t="s">
        <v>663</v>
      </c>
      <c r="E372" s="272" t="s">
        <v>405</v>
      </c>
    </row>
    <row r="373" spans="2:5" hidden="1" x14ac:dyDescent="0.2">
      <c r="B373" s="272" t="s">
        <v>303</v>
      </c>
      <c r="C373" s="272" t="s">
        <v>665</v>
      </c>
      <c r="D373" s="272" t="s">
        <v>663</v>
      </c>
      <c r="E373" s="272" t="s">
        <v>304</v>
      </c>
    </row>
    <row r="374" spans="2:5" hidden="1" x14ac:dyDescent="0.2">
      <c r="B374" s="272" t="s">
        <v>303</v>
      </c>
      <c r="C374" s="272" t="s">
        <v>665</v>
      </c>
      <c r="D374" s="272" t="s">
        <v>663</v>
      </c>
      <c r="E374" s="272" t="s">
        <v>272</v>
      </c>
    </row>
    <row r="375" spans="2:5" hidden="1" x14ac:dyDescent="0.2">
      <c r="B375" s="272" t="s">
        <v>303</v>
      </c>
      <c r="C375" s="272" t="s">
        <v>665</v>
      </c>
      <c r="D375" s="272" t="s">
        <v>663</v>
      </c>
      <c r="E375" s="272" t="s">
        <v>306</v>
      </c>
    </row>
    <row r="376" spans="2:5" ht="13" hidden="1" x14ac:dyDescent="0.3">
      <c r="B376" s="411" t="s">
        <v>406</v>
      </c>
      <c r="C376" s="412"/>
      <c r="D376" s="413"/>
      <c r="E376" s="413"/>
    </row>
    <row r="378" spans="2:5" ht="14.5" x14ac:dyDescent="0.35">
      <c r="B378" s="1639" t="s">
        <v>498</v>
      </c>
      <c r="C378" s="1640"/>
      <c r="D378" s="1640"/>
      <c r="E378" s="1640"/>
    </row>
    <row r="379" spans="2:5" ht="14.5" x14ac:dyDescent="0.35">
      <c r="B379" s="1639" t="s">
        <v>770</v>
      </c>
      <c r="C379" s="1640"/>
      <c r="D379" s="1640"/>
      <c r="E379" s="1640"/>
    </row>
    <row r="380" spans="2:5" ht="10.5" x14ac:dyDescent="0.25">
      <c r="B380" s="409" t="s">
        <v>460</v>
      </c>
      <c r="C380" s="409" t="s">
        <v>463</v>
      </c>
      <c r="D380" s="409" t="s">
        <v>594</v>
      </c>
      <c r="E380" s="410" t="s">
        <v>31</v>
      </c>
    </row>
    <row r="381" spans="2:5" x14ac:dyDescent="0.2">
      <c r="B381" s="446" t="s">
        <v>354</v>
      </c>
      <c r="C381" s="446" t="s">
        <v>355</v>
      </c>
      <c r="D381" s="448">
        <v>122024</v>
      </c>
      <c r="E381" s="447">
        <v>488080</v>
      </c>
    </row>
    <row r="382" spans="2:5" x14ac:dyDescent="0.2">
      <c r="B382" s="446" t="s">
        <v>357</v>
      </c>
      <c r="C382" s="446" t="s">
        <v>358</v>
      </c>
      <c r="D382" s="448">
        <v>122024</v>
      </c>
      <c r="E382" s="447">
        <v>3167252</v>
      </c>
    </row>
    <row r="383" spans="2:5" x14ac:dyDescent="0.2">
      <c r="B383" s="446" t="s">
        <v>360</v>
      </c>
      <c r="C383" s="446" t="s">
        <v>361</v>
      </c>
      <c r="D383" s="448">
        <v>3832</v>
      </c>
      <c r="E383" s="447">
        <v>11992417</v>
      </c>
    </row>
    <row r="384" spans="2:5" x14ac:dyDescent="0.2">
      <c r="B384" s="446" t="s">
        <v>363</v>
      </c>
      <c r="C384" s="446" t="s">
        <v>364</v>
      </c>
      <c r="D384" s="448">
        <v>3830</v>
      </c>
      <c r="E384" s="447">
        <v>2491394</v>
      </c>
    </row>
    <row r="385" spans="2:5" x14ac:dyDescent="0.2">
      <c r="B385" s="446" t="s">
        <v>366</v>
      </c>
      <c r="C385" s="446" t="s">
        <v>367</v>
      </c>
      <c r="D385" s="448">
        <v>3849</v>
      </c>
      <c r="E385" s="447">
        <v>50111</v>
      </c>
    </row>
    <row r="386" spans="2:5" x14ac:dyDescent="0.2">
      <c r="B386" s="446" t="s">
        <v>774</v>
      </c>
      <c r="C386" s="446" t="s">
        <v>361</v>
      </c>
      <c r="D386" s="448">
        <v>122024</v>
      </c>
      <c r="E386" s="447">
        <v>1598989</v>
      </c>
    </row>
    <row r="387" spans="2:5" x14ac:dyDescent="0.2">
      <c r="B387" s="446" t="s">
        <v>369</v>
      </c>
      <c r="C387" s="446" t="s">
        <v>293</v>
      </c>
      <c r="D387" s="448">
        <v>3866</v>
      </c>
      <c r="E387" s="447">
        <v>2343824</v>
      </c>
    </row>
    <row r="388" spans="2:5" x14ac:dyDescent="0.2">
      <c r="B388" s="446" t="s">
        <v>371</v>
      </c>
      <c r="C388" s="446" t="s">
        <v>372</v>
      </c>
      <c r="D388" s="448">
        <v>3855</v>
      </c>
      <c r="E388" s="447">
        <v>45965</v>
      </c>
    </row>
    <row r="389" spans="2:5" x14ac:dyDescent="0.2">
      <c r="B389" s="446" t="s">
        <v>374</v>
      </c>
      <c r="C389" s="446" t="s">
        <v>375</v>
      </c>
      <c r="D389" s="448">
        <v>3859</v>
      </c>
      <c r="E389" s="447">
        <v>101913</v>
      </c>
    </row>
    <row r="390" spans="2:5" x14ac:dyDescent="0.2">
      <c r="B390" s="446" t="s">
        <v>374</v>
      </c>
      <c r="C390" s="446" t="s">
        <v>367</v>
      </c>
      <c r="D390" s="448">
        <v>3846</v>
      </c>
      <c r="E390" s="447">
        <v>57206</v>
      </c>
    </row>
    <row r="391" spans="2:5" x14ac:dyDescent="0.2">
      <c r="B391" s="446" t="s">
        <v>374</v>
      </c>
      <c r="C391" s="446" t="s">
        <v>367</v>
      </c>
      <c r="D391" s="448">
        <v>3846</v>
      </c>
      <c r="E391" s="447">
        <v>39536</v>
      </c>
    </row>
    <row r="392" spans="2:5" x14ac:dyDescent="0.2">
      <c r="B392" s="446" t="s">
        <v>374</v>
      </c>
      <c r="C392" s="446" t="s">
        <v>367</v>
      </c>
      <c r="D392" s="448">
        <v>3848</v>
      </c>
      <c r="E392" s="447">
        <v>16192</v>
      </c>
    </row>
    <row r="393" spans="2:5" x14ac:dyDescent="0.2">
      <c r="B393" s="446" t="s">
        <v>374</v>
      </c>
      <c r="C393" s="446" t="s">
        <v>367</v>
      </c>
      <c r="D393" s="448">
        <v>3848</v>
      </c>
      <c r="E393" s="447">
        <v>9046</v>
      </c>
    </row>
    <row r="394" spans="2:5" x14ac:dyDescent="0.2">
      <c r="B394" s="446" t="s">
        <v>381</v>
      </c>
      <c r="C394" s="446" t="s">
        <v>367</v>
      </c>
      <c r="D394" s="448">
        <v>3846</v>
      </c>
      <c r="E394" s="447">
        <v>478372</v>
      </c>
    </row>
    <row r="395" spans="2:5" x14ac:dyDescent="0.2">
      <c r="B395" s="446" t="s">
        <v>381</v>
      </c>
      <c r="C395" s="446" t="s">
        <v>367</v>
      </c>
      <c r="D395" s="448">
        <v>3847</v>
      </c>
      <c r="E395" s="447">
        <v>254957</v>
      </c>
    </row>
    <row r="396" spans="2:5" x14ac:dyDescent="0.2">
      <c r="B396" s="446" t="s">
        <v>381</v>
      </c>
      <c r="C396" s="446" t="s">
        <v>367</v>
      </c>
      <c r="D396" s="448">
        <v>3849</v>
      </c>
      <c r="E396" s="447">
        <v>1920499</v>
      </c>
    </row>
    <row r="397" spans="2:5" x14ac:dyDescent="0.2">
      <c r="B397" s="446" t="s">
        <v>385</v>
      </c>
      <c r="C397" s="446" t="s">
        <v>386</v>
      </c>
      <c r="D397" s="448">
        <v>3854</v>
      </c>
      <c r="E397" s="447">
        <v>83322</v>
      </c>
    </row>
    <row r="398" spans="2:5" x14ac:dyDescent="0.2">
      <c r="B398" s="446" t="s">
        <v>277</v>
      </c>
      <c r="C398" s="446" t="s">
        <v>761</v>
      </c>
      <c r="D398" s="448">
        <v>3863</v>
      </c>
      <c r="E398" s="447">
        <v>160000</v>
      </c>
    </row>
    <row r="399" spans="2:5" x14ac:dyDescent="0.2">
      <c r="B399" s="446" t="s">
        <v>277</v>
      </c>
      <c r="C399" s="446" t="s">
        <v>407</v>
      </c>
      <c r="D399" s="448">
        <v>3842</v>
      </c>
      <c r="E399" s="447">
        <v>1200000</v>
      </c>
    </row>
    <row r="400" spans="2:5" x14ac:dyDescent="0.2">
      <c r="B400" s="446" t="s">
        <v>277</v>
      </c>
      <c r="C400" s="446" t="s">
        <v>407</v>
      </c>
      <c r="D400" s="448">
        <v>3866</v>
      </c>
      <c r="E400" s="447">
        <v>37000</v>
      </c>
    </row>
    <row r="401" spans="2:5" x14ac:dyDescent="0.2">
      <c r="B401" s="446" t="s">
        <v>277</v>
      </c>
      <c r="C401" s="446" t="s">
        <v>391</v>
      </c>
      <c r="D401" s="448">
        <v>3837</v>
      </c>
      <c r="E401" s="447">
        <v>257149</v>
      </c>
    </row>
    <row r="402" spans="2:5" x14ac:dyDescent="0.2">
      <c r="B402" s="446" t="s">
        <v>277</v>
      </c>
      <c r="C402" s="446" t="s">
        <v>235</v>
      </c>
      <c r="D402" s="448">
        <v>3852</v>
      </c>
      <c r="E402" s="447">
        <v>170598</v>
      </c>
    </row>
    <row r="403" spans="2:5" x14ac:dyDescent="0.2">
      <c r="B403" s="446" t="s">
        <v>210</v>
      </c>
      <c r="C403" s="446" t="s">
        <v>237</v>
      </c>
      <c r="D403" s="448">
        <v>3867</v>
      </c>
      <c r="E403" s="447">
        <v>105424</v>
      </c>
    </row>
    <row r="404" spans="2:5" x14ac:dyDescent="0.2">
      <c r="B404" s="446" t="s">
        <v>240</v>
      </c>
      <c r="C404" s="446" t="s">
        <v>241</v>
      </c>
      <c r="D404" s="448">
        <v>3865</v>
      </c>
      <c r="E404" s="447">
        <v>200000</v>
      </c>
    </row>
    <row r="405" spans="2:5" x14ac:dyDescent="0.2">
      <c r="B405" s="446" t="s">
        <v>240</v>
      </c>
      <c r="C405" s="446" t="s">
        <v>762</v>
      </c>
      <c r="D405" s="448">
        <v>3858</v>
      </c>
      <c r="E405" s="447">
        <v>91000</v>
      </c>
    </row>
    <row r="406" spans="2:5" x14ac:dyDescent="0.2">
      <c r="B406" s="446" t="s">
        <v>247</v>
      </c>
      <c r="C406" s="446" t="s">
        <v>231</v>
      </c>
      <c r="D406" s="448">
        <v>3850</v>
      </c>
      <c r="E406" s="447">
        <v>280000</v>
      </c>
    </row>
    <row r="407" spans="2:5" x14ac:dyDescent="0.2">
      <c r="B407" s="446" t="s">
        <v>247</v>
      </c>
      <c r="C407" s="446" t="s">
        <v>231</v>
      </c>
      <c r="D407" s="448">
        <v>3850</v>
      </c>
      <c r="E407" s="447">
        <v>956522</v>
      </c>
    </row>
    <row r="408" spans="2:5" x14ac:dyDescent="0.2">
      <c r="B408" s="446" t="s">
        <v>212</v>
      </c>
      <c r="C408" s="446" t="s">
        <v>213</v>
      </c>
      <c r="D408" s="448">
        <v>3853</v>
      </c>
      <c r="E408" s="447">
        <v>240202</v>
      </c>
    </row>
    <row r="409" spans="2:5" x14ac:dyDescent="0.2">
      <c r="B409" s="446" t="s">
        <v>212</v>
      </c>
      <c r="C409" s="446" t="s">
        <v>717</v>
      </c>
      <c r="D409" s="448">
        <v>3851</v>
      </c>
      <c r="E409" s="447">
        <v>99960</v>
      </c>
    </row>
    <row r="410" spans="2:5" x14ac:dyDescent="0.2">
      <c r="B410" s="446" t="s">
        <v>212</v>
      </c>
      <c r="C410" s="446" t="s">
        <v>717</v>
      </c>
      <c r="D410" s="448">
        <v>3851</v>
      </c>
      <c r="E410" s="447">
        <v>77350</v>
      </c>
    </row>
    <row r="411" spans="2:5" x14ac:dyDescent="0.2">
      <c r="B411" s="446" t="s">
        <v>775</v>
      </c>
      <c r="C411" s="446" t="s">
        <v>237</v>
      </c>
      <c r="D411" s="448">
        <v>3868</v>
      </c>
      <c r="E411" s="447">
        <v>1506540</v>
      </c>
    </row>
    <row r="412" spans="2:5" x14ac:dyDescent="0.2">
      <c r="B412" s="446" t="s">
        <v>757</v>
      </c>
      <c r="C412" s="446" t="s">
        <v>763</v>
      </c>
      <c r="D412" s="448">
        <v>3861</v>
      </c>
      <c r="E412" s="447">
        <v>461000</v>
      </c>
    </row>
    <row r="413" spans="2:5" x14ac:dyDescent="0.2">
      <c r="B413" s="446" t="s">
        <v>757</v>
      </c>
      <c r="C413" s="446" t="s">
        <v>763</v>
      </c>
      <c r="D413" s="448">
        <v>3862</v>
      </c>
      <c r="E413" s="447">
        <v>25000</v>
      </c>
    </row>
    <row r="414" spans="2:5" x14ac:dyDescent="0.2">
      <c r="B414" s="446" t="s">
        <v>215</v>
      </c>
      <c r="C414" s="446" t="s">
        <v>290</v>
      </c>
      <c r="D414" s="448">
        <v>3838</v>
      </c>
      <c r="E414" s="447">
        <v>20436</v>
      </c>
    </row>
    <row r="415" spans="2:5" x14ac:dyDescent="0.2">
      <c r="B415" s="446" t="s">
        <v>215</v>
      </c>
      <c r="C415" s="446" t="s">
        <v>764</v>
      </c>
      <c r="D415" s="448">
        <v>3828</v>
      </c>
      <c r="E415" s="447">
        <v>25220</v>
      </c>
    </row>
    <row r="416" spans="2:5" x14ac:dyDescent="0.2">
      <c r="B416" s="446" t="s">
        <v>264</v>
      </c>
      <c r="C416" s="446" t="s">
        <v>765</v>
      </c>
      <c r="D416" s="448">
        <v>3833</v>
      </c>
      <c r="E416" s="447">
        <v>10990</v>
      </c>
    </row>
    <row r="417" spans="2:5" x14ac:dyDescent="0.2">
      <c r="B417" s="446" t="s">
        <v>264</v>
      </c>
      <c r="C417" s="446" t="s">
        <v>765</v>
      </c>
      <c r="D417" s="448">
        <v>3833</v>
      </c>
      <c r="E417" s="447">
        <v>12990</v>
      </c>
    </row>
    <row r="418" spans="2:5" x14ac:dyDescent="0.2">
      <c r="B418" s="446" t="s">
        <v>295</v>
      </c>
      <c r="C418" s="446" t="s">
        <v>725</v>
      </c>
      <c r="D418" s="448">
        <v>3857</v>
      </c>
      <c r="E418" s="447">
        <v>481950</v>
      </c>
    </row>
    <row r="419" spans="2:5" x14ac:dyDescent="0.2">
      <c r="B419" s="446" t="s">
        <v>295</v>
      </c>
      <c r="C419" s="446" t="s">
        <v>728</v>
      </c>
      <c r="D419" s="448">
        <v>3856</v>
      </c>
      <c r="E419" s="447">
        <v>253500</v>
      </c>
    </row>
    <row r="420" spans="2:5" x14ac:dyDescent="0.2">
      <c r="B420" s="446" t="s">
        <v>295</v>
      </c>
      <c r="C420" s="446" t="s">
        <v>728</v>
      </c>
      <c r="D420" s="448">
        <v>3856</v>
      </c>
      <c r="E420" s="447">
        <v>241500</v>
      </c>
    </row>
    <row r="421" spans="2:5" x14ac:dyDescent="0.2">
      <c r="B421" s="446" t="s">
        <v>295</v>
      </c>
      <c r="C421" s="446" t="s">
        <v>407</v>
      </c>
      <c r="D421" s="448">
        <v>3842</v>
      </c>
      <c r="E421" s="447">
        <v>200000</v>
      </c>
    </row>
    <row r="422" spans="2:5" x14ac:dyDescent="0.2">
      <c r="B422" s="446" t="s">
        <v>758</v>
      </c>
      <c r="C422" s="446" t="s">
        <v>763</v>
      </c>
      <c r="D422" s="448">
        <v>3860</v>
      </c>
      <c r="E422" s="447">
        <v>49000</v>
      </c>
    </row>
    <row r="423" spans="2:5" x14ac:dyDescent="0.2">
      <c r="B423" s="446" t="s">
        <v>758</v>
      </c>
      <c r="C423" s="446" t="s">
        <v>766</v>
      </c>
      <c r="D423" s="448">
        <v>3831</v>
      </c>
      <c r="E423" s="447">
        <v>244445</v>
      </c>
    </row>
    <row r="424" spans="2:5" x14ac:dyDescent="0.2">
      <c r="B424" s="446" t="s">
        <v>619</v>
      </c>
      <c r="C424" s="446" t="s">
        <v>767</v>
      </c>
      <c r="D424" s="448">
        <v>3864</v>
      </c>
      <c r="E424" s="447">
        <v>96500</v>
      </c>
    </row>
    <row r="425" spans="2:5" x14ac:dyDescent="0.2">
      <c r="B425" s="446" t="s">
        <v>619</v>
      </c>
      <c r="C425" s="446" t="s">
        <v>768</v>
      </c>
      <c r="D425" s="448">
        <v>3829</v>
      </c>
      <c r="E425" s="447">
        <v>115500</v>
      </c>
    </row>
    <row r="426" spans="2:5" x14ac:dyDescent="0.2">
      <c r="B426" s="446" t="s">
        <v>619</v>
      </c>
      <c r="C426" s="446" t="s">
        <v>769</v>
      </c>
      <c r="D426" s="448">
        <v>3839</v>
      </c>
      <c r="E426" s="447">
        <v>280000</v>
      </c>
    </row>
    <row r="427" spans="2:5" x14ac:dyDescent="0.2">
      <c r="B427" s="446" t="s">
        <v>619</v>
      </c>
      <c r="C427" s="446" t="s">
        <v>769</v>
      </c>
      <c r="D427" s="448">
        <v>3840</v>
      </c>
      <c r="E427" s="447">
        <v>450000</v>
      </c>
    </row>
    <row r="428" spans="2:5" x14ac:dyDescent="0.2">
      <c r="B428" s="446" t="s">
        <v>619</v>
      </c>
      <c r="C428" s="446" t="s">
        <v>769</v>
      </c>
      <c r="D428" s="448">
        <v>3841</v>
      </c>
      <c r="E428" s="447">
        <v>100000</v>
      </c>
    </row>
    <row r="429" spans="2:5" x14ac:dyDescent="0.2">
      <c r="B429" s="446" t="s">
        <v>432</v>
      </c>
      <c r="C429" s="446" t="s">
        <v>586</v>
      </c>
      <c r="D429" s="448">
        <v>122024</v>
      </c>
      <c r="E429" s="447">
        <v>59</v>
      </c>
    </row>
    <row r="430" spans="2:5" x14ac:dyDescent="0.2">
      <c r="B430" s="446" t="s">
        <v>432</v>
      </c>
      <c r="C430" s="446" t="s">
        <v>407</v>
      </c>
      <c r="D430" s="448">
        <v>3866</v>
      </c>
      <c r="E430" s="447">
        <v>98</v>
      </c>
    </row>
    <row r="431" spans="2:5" x14ac:dyDescent="0.2">
      <c r="B431" s="446" t="s">
        <v>432</v>
      </c>
      <c r="C431" s="446" t="s">
        <v>407</v>
      </c>
      <c r="D431" s="448">
        <v>3867</v>
      </c>
      <c r="E431" s="447">
        <v>40</v>
      </c>
    </row>
    <row r="432" spans="2:5" x14ac:dyDescent="0.2">
      <c r="B432" s="446" t="s">
        <v>217</v>
      </c>
      <c r="C432" s="446" t="s">
        <v>266</v>
      </c>
      <c r="D432" s="448">
        <v>122024</v>
      </c>
      <c r="E432" s="447">
        <v>272829</v>
      </c>
    </row>
    <row r="433" spans="2:5" x14ac:dyDescent="0.2">
      <c r="B433" s="446" t="s">
        <v>302</v>
      </c>
      <c r="C433" s="446" t="s">
        <v>303</v>
      </c>
      <c r="D433" s="448">
        <v>122024</v>
      </c>
      <c r="E433" s="447">
        <v>266371</v>
      </c>
    </row>
    <row r="434" spans="2:5" s="54" customFormat="1" ht="13" x14ac:dyDescent="0.3">
      <c r="B434" s="449"/>
      <c r="C434" s="450" t="s">
        <v>406</v>
      </c>
      <c r="E434" s="451">
        <f>SUM(E381:E433)</f>
        <v>34128248</v>
      </c>
    </row>
  </sheetData>
  <mergeCells count="20">
    <mergeCell ref="B378:E378"/>
    <mergeCell ref="B379:E379"/>
    <mergeCell ref="B312:E312"/>
    <mergeCell ref="B313:E313"/>
    <mergeCell ref="B140:E140"/>
    <mergeCell ref="B224:E224"/>
    <mergeCell ref="C266:E266"/>
    <mergeCell ref="D309:E309"/>
    <mergeCell ref="B271:E271"/>
    <mergeCell ref="B268:E268"/>
    <mergeCell ref="B269:E269"/>
    <mergeCell ref="B223:E223"/>
    <mergeCell ref="B185:E185"/>
    <mergeCell ref="B186:E186"/>
    <mergeCell ref="B1:E1"/>
    <mergeCell ref="B30:E30"/>
    <mergeCell ref="B65:E65"/>
    <mergeCell ref="B51:E51"/>
    <mergeCell ref="B103:E103"/>
    <mergeCell ref="B2:E2"/>
  </mergeCells>
  <printOptions horizontalCentered="1"/>
  <pageMargins left="0" right="0" top="0" bottom="0" header="0" footer="0"/>
  <pageSetup scale="61"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DD3E1-30A9-4506-99C5-AB1272924904}">
  <sheetPr>
    <tabColor rgb="FFFFFF00"/>
    <pageSetUpPr fitToPage="1"/>
  </sheetPr>
  <dimension ref="A1:G65"/>
  <sheetViews>
    <sheetView workbookViewId="0">
      <selection activeCell="H14" sqref="H14"/>
    </sheetView>
  </sheetViews>
  <sheetFormatPr baseColWidth="10" defaultRowHeight="12.5" x14ac:dyDescent="0.25"/>
  <cols>
    <col min="4" max="4" width="12.7265625" bestFit="1" customWidth="1"/>
    <col min="7" max="7" width="21.54296875" customWidth="1"/>
  </cols>
  <sheetData>
    <row r="1" spans="1:7" x14ac:dyDescent="0.25">
      <c r="A1" s="158" t="s">
        <v>163</v>
      </c>
      <c r="B1" s="159"/>
      <c r="C1" s="158"/>
      <c r="D1" s="159"/>
      <c r="E1" s="160"/>
      <c r="F1" s="161">
        <v>43654451207</v>
      </c>
      <c r="G1" s="162"/>
    </row>
    <row r="2" spans="1:7" x14ac:dyDescent="0.25">
      <c r="A2" s="158" t="s">
        <v>311</v>
      </c>
      <c r="B2" s="159"/>
      <c r="C2" s="158" t="s">
        <v>312</v>
      </c>
      <c r="D2" s="160"/>
      <c r="E2" s="161" t="s">
        <v>313</v>
      </c>
      <c r="F2" s="159"/>
      <c r="G2" s="162"/>
    </row>
    <row r="3" spans="1:7" x14ac:dyDescent="0.25">
      <c r="A3" s="165" t="s">
        <v>314</v>
      </c>
      <c r="B3" s="166"/>
      <c r="C3" s="165" t="s">
        <v>315</v>
      </c>
      <c r="D3" s="167"/>
      <c r="E3" s="168"/>
      <c r="F3" s="166" t="s">
        <v>760</v>
      </c>
      <c r="G3" s="169"/>
    </row>
    <row r="4" spans="1:7" ht="13" thickBot="1" x14ac:dyDescent="0.3">
      <c r="A4" s="170" t="s">
        <v>316</v>
      </c>
      <c r="B4" s="171"/>
      <c r="C4" s="170"/>
      <c r="D4" s="171"/>
      <c r="E4" s="163"/>
      <c r="F4" s="163"/>
      <c r="G4" s="164"/>
    </row>
    <row r="5" spans="1:7" ht="13" thickTop="1" x14ac:dyDescent="0.25">
      <c r="A5" s="172" t="s">
        <v>317</v>
      </c>
      <c r="B5" s="172"/>
      <c r="C5" s="172"/>
      <c r="D5" s="172">
        <v>12070559.25</v>
      </c>
      <c r="E5" s="1826" t="s">
        <v>318</v>
      </c>
      <c r="F5" s="1826"/>
      <c r="G5" s="1826"/>
    </row>
    <row r="6" spans="1:7" x14ac:dyDescent="0.25">
      <c r="A6" s="173" t="s">
        <v>319</v>
      </c>
      <c r="B6" s="173"/>
      <c r="C6" s="173"/>
      <c r="D6" s="173">
        <v>12070559.25</v>
      </c>
      <c r="E6" s="417" t="s">
        <v>320</v>
      </c>
      <c r="F6" s="417" t="s">
        <v>321</v>
      </c>
      <c r="G6" s="418" t="s">
        <v>31</v>
      </c>
    </row>
    <row r="7" spans="1:7" x14ac:dyDescent="0.25">
      <c r="A7" s="173" t="s">
        <v>322</v>
      </c>
      <c r="B7" s="173"/>
      <c r="C7" s="173"/>
      <c r="D7" s="173">
        <f>+D5-D6</f>
        <v>0</v>
      </c>
      <c r="E7" s="174"/>
      <c r="F7" s="174"/>
      <c r="G7" s="175"/>
    </row>
    <row r="8" spans="1:7" x14ac:dyDescent="0.25">
      <c r="A8" s="173" t="s">
        <v>323</v>
      </c>
      <c r="B8" s="173"/>
      <c r="C8" s="173"/>
      <c r="D8" s="173">
        <f>D7-D13</f>
        <v>0</v>
      </c>
      <c r="E8" s="326"/>
      <c r="F8" s="326"/>
      <c r="G8" s="327"/>
    </row>
    <row r="9" spans="1:7" x14ac:dyDescent="0.25">
      <c r="A9" s="173" t="s">
        <v>324</v>
      </c>
      <c r="B9" s="173"/>
      <c r="C9" s="173"/>
      <c r="D9" s="178">
        <f>+D30</f>
        <v>0</v>
      </c>
      <c r="E9" s="174"/>
      <c r="F9" s="174"/>
      <c r="G9" s="175"/>
    </row>
    <row r="10" spans="1:7" x14ac:dyDescent="0.25">
      <c r="A10" s="173" t="s">
        <v>325</v>
      </c>
      <c r="B10" s="173"/>
      <c r="C10" s="173"/>
      <c r="D10" s="173">
        <f>G19</f>
        <v>0</v>
      </c>
      <c r="E10" s="174"/>
      <c r="F10" s="174"/>
      <c r="G10" s="175"/>
    </row>
    <row r="11" spans="1:7" x14ac:dyDescent="0.25">
      <c r="A11" s="173" t="s">
        <v>326</v>
      </c>
      <c r="B11" s="173"/>
      <c r="C11" s="173"/>
      <c r="D11" s="173">
        <f>+G24</f>
        <v>0</v>
      </c>
      <c r="E11" s="179"/>
      <c r="F11" s="180"/>
      <c r="G11" s="181"/>
    </row>
    <row r="12" spans="1:7" x14ac:dyDescent="0.25">
      <c r="A12" s="173" t="s">
        <v>327</v>
      </c>
      <c r="B12" s="173"/>
      <c r="C12" s="173"/>
      <c r="D12" s="173">
        <f>+G30</f>
        <v>0</v>
      </c>
      <c r="E12" s="179"/>
      <c r="F12" s="180"/>
      <c r="G12" s="181"/>
    </row>
    <row r="13" spans="1:7" x14ac:dyDescent="0.25">
      <c r="A13" s="182" t="s">
        <v>328</v>
      </c>
      <c r="B13" s="173"/>
      <c r="C13" s="173"/>
      <c r="D13" s="173">
        <f>+D9-D10-D11+D12</f>
        <v>0</v>
      </c>
      <c r="E13" s="179"/>
      <c r="F13" s="180"/>
      <c r="G13" s="181"/>
    </row>
    <row r="14" spans="1:7" x14ac:dyDescent="0.25">
      <c r="A14" s="173"/>
      <c r="B14" s="173"/>
      <c r="C14" s="173"/>
      <c r="D14" s="178"/>
      <c r="E14" s="179"/>
      <c r="F14" s="180"/>
      <c r="G14" s="181"/>
    </row>
    <row r="15" spans="1:7" x14ac:dyDescent="0.25">
      <c r="A15" s="179" t="s">
        <v>329</v>
      </c>
      <c r="B15" s="179"/>
      <c r="C15" s="179"/>
      <c r="D15" s="179"/>
      <c r="E15" s="179"/>
      <c r="F15" s="180"/>
      <c r="G15" s="181"/>
    </row>
    <row r="16" spans="1:7" x14ac:dyDescent="0.25">
      <c r="A16" s="349" t="s">
        <v>330</v>
      </c>
      <c r="B16" s="349" t="s">
        <v>331</v>
      </c>
      <c r="C16" s="349" t="s">
        <v>332</v>
      </c>
      <c r="D16" s="349" t="s">
        <v>31</v>
      </c>
      <c r="E16" s="179"/>
      <c r="F16" s="180"/>
      <c r="G16" s="181"/>
    </row>
    <row r="17" spans="1:7" x14ac:dyDescent="0.25">
      <c r="A17" s="183"/>
      <c r="B17" s="184"/>
      <c r="C17" s="185"/>
      <c r="D17" s="186">
        <v>0</v>
      </c>
      <c r="E17" s="179"/>
      <c r="F17" s="180"/>
      <c r="G17" s="181"/>
    </row>
    <row r="18" spans="1:7" x14ac:dyDescent="0.25">
      <c r="A18" s="183"/>
      <c r="B18" s="184"/>
      <c r="C18" s="187"/>
      <c r="D18" s="188">
        <v>0</v>
      </c>
      <c r="E18" s="179"/>
      <c r="F18" s="180"/>
      <c r="G18" s="181"/>
    </row>
    <row r="19" spans="1:7" x14ac:dyDescent="0.25">
      <c r="A19" s="183"/>
      <c r="B19" s="184"/>
      <c r="C19" s="187"/>
      <c r="D19" s="188"/>
      <c r="E19" s="179"/>
      <c r="F19" s="189" t="s">
        <v>333</v>
      </c>
      <c r="G19" s="175">
        <f>SUM(G7:G18)</f>
        <v>0</v>
      </c>
    </row>
    <row r="20" spans="1:7" x14ac:dyDescent="0.25">
      <c r="A20" s="179"/>
      <c r="B20" s="179"/>
      <c r="C20" s="189"/>
      <c r="D20" s="190"/>
      <c r="E20" s="179" t="s">
        <v>334</v>
      </c>
      <c r="F20" s="349"/>
      <c r="G20" s="175"/>
    </row>
    <row r="21" spans="1:7" x14ac:dyDescent="0.25">
      <c r="A21" s="179"/>
      <c r="B21" s="179"/>
      <c r="C21" s="179"/>
      <c r="D21" s="179"/>
      <c r="E21" s="179" t="s">
        <v>330</v>
      </c>
      <c r="F21" s="349" t="s">
        <v>335</v>
      </c>
      <c r="G21" s="175" t="s">
        <v>31</v>
      </c>
    </row>
    <row r="22" spans="1:7" x14ac:dyDescent="0.25">
      <c r="A22" s="179"/>
      <c r="B22" s="191"/>
      <c r="C22" s="191"/>
      <c r="D22" s="178"/>
      <c r="E22" s="179"/>
      <c r="F22" s="179"/>
      <c r="G22" s="175">
        <v>0</v>
      </c>
    </row>
    <row r="23" spans="1:7" x14ac:dyDescent="0.25">
      <c r="A23" s="179"/>
      <c r="B23" s="191"/>
      <c r="C23" s="191"/>
      <c r="D23" s="178"/>
      <c r="E23" s="179"/>
      <c r="F23" s="179"/>
      <c r="G23" s="175">
        <v>0</v>
      </c>
    </row>
    <row r="24" spans="1:7" x14ac:dyDescent="0.25">
      <c r="A24" s="179"/>
      <c r="B24" s="191"/>
      <c r="C24" s="191"/>
      <c r="D24" s="178"/>
      <c r="E24" s="179"/>
      <c r="F24" s="189" t="s">
        <v>333</v>
      </c>
      <c r="G24" s="175">
        <f>SUM(G22:G23)</f>
        <v>0</v>
      </c>
    </row>
    <row r="25" spans="1:7" x14ac:dyDescent="0.25">
      <c r="A25" s="179"/>
      <c r="B25" s="191"/>
      <c r="C25" s="191"/>
      <c r="D25" s="178"/>
      <c r="E25" s="419" t="s">
        <v>336</v>
      </c>
      <c r="F25" s="420"/>
      <c r="G25" s="421"/>
    </row>
    <row r="26" spans="1:7" x14ac:dyDescent="0.25">
      <c r="A26" s="179"/>
      <c r="B26" s="191"/>
      <c r="C26" s="191"/>
      <c r="D26" s="178" t="s">
        <v>33</v>
      </c>
      <c r="E26" s="179" t="s">
        <v>330</v>
      </c>
      <c r="F26" s="349" t="s">
        <v>335</v>
      </c>
      <c r="G26" s="175" t="s">
        <v>31</v>
      </c>
    </row>
    <row r="27" spans="1:7" x14ac:dyDescent="0.25">
      <c r="A27" s="179"/>
      <c r="B27" s="191"/>
      <c r="C27" s="191"/>
      <c r="D27" s="178"/>
      <c r="E27" s="422"/>
      <c r="F27" s="419"/>
      <c r="G27" s="423"/>
    </row>
    <row r="28" spans="1:7" x14ac:dyDescent="0.25">
      <c r="A28" s="173" t="s">
        <v>33</v>
      </c>
      <c r="B28" s="191"/>
      <c r="C28" s="191"/>
      <c r="D28" s="179" t="s">
        <v>33</v>
      </c>
      <c r="E28" s="192"/>
      <c r="F28" s="179"/>
      <c r="G28" s="181"/>
    </row>
    <row r="29" spans="1:7" x14ac:dyDescent="0.25">
      <c r="A29" s="176"/>
      <c r="B29" s="176"/>
      <c r="C29" s="176"/>
      <c r="D29" s="176"/>
      <c r="E29" s="192"/>
      <c r="F29" s="179"/>
      <c r="G29" s="181"/>
    </row>
    <row r="30" spans="1:7" x14ac:dyDescent="0.25">
      <c r="A30" s="176"/>
      <c r="B30" s="193"/>
      <c r="C30" s="177" t="s">
        <v>337</v>
      </c>
      <c r="D30" s="176">
        <f>+D18</f>
        <v>0</v>
      </c>
      <c r="E30" s="176"/>
      <c r="F30" s="176" t="s">
        <v>333</v>
      </c>
      <c r="G30" s="181">
        <f>SUM(G27:G29)</f>
        <v>0</v>
      </c>
    </row>
    <row r="31" spans="1:7" x14ac:dyDescent="0.25">
      <c r="A31" s="194" t="s">
        <v>338</v>
      </c>
      <c r="B31" s="194"/>
      <c r="C31" s="194" t="s">
        <v>339</v>
      </c>
      <c r="D31" s="194">
        <f>SUM(D20)</f>
        <v>0</v>
      </c>
      <c r="E31" s="179" t="s">
        <v>340</v>
      </c>
      <c r="F31" s="179"/>
      <c r="G31" s="175" t="s">
        <v>330</v>
      </c>
    </row>
    <row r="32" spans="1:7" x14ac:dyDescent="0.25">
      <c r="A32" s="179"/>
      <c r="B32" s="179"/>
      <c r="C32" s="179"/>
      <c r="D32" s="179"/>
      <c r="E32" s="179"/>
      <c r="F32" s="179"/>
      <c r="G32" s="175"/>
    </row>
    <row r="33" spans="1:7" x14ac:dyDescent="0.25">
      <c r="A33" s="195"/>
      <c r="B33" s="195"/>
      <c r="C33" s="195"/>
      <c r="D33" s="195"/>
      <c r="E33" s="195"/>
      <c r="F33" s="195"/>
      <c r="G33" s="195"/>
    </row>
    <row r="34" spans="1:7" x14ac:dyDescent="0.25">
      <c r="A34" s="29" t="s">
        <v>33</v>
      </c>
      <c r="B34" s="196"/>
      <c r="C34" s="29"/>
      <c r="D34" s="197"/>
      <c r="E34" s="198" t="s">
        <v>341</v>
      </c>
      <c r="F34" s="196"/>
      <c r="G34" s="328"/>
    </row>
    <row r="35" spans="1:7" x14ac:dyDescent="0.25">
      <c r="A35" s="30"/>
      <c r="B35" s="195"/>
      <c r="C35" s="30"/>
      <c r="D35" s="199"/>
      <c r="E35" s="200"/>
      <c r="F35" s="195"/>
      <c r="G35" s="201"/>
    </row>
    <row r="36" spans="1:7" x14ac:dyDescent="0.25">
      <c r="A36" s="30"/>
      <c r="B36" s="195"/>
      <c r="C36" s="30"/>
      <c r="D36" s="195"/>
      <c r="E36" s="200" t="s">
        <v>342</v>
      </c>
      <c r="F36" s="195"/>
      <c r="G36" s="201"/>
    </row>
    <row r="37" spans="1:7" x14ac:dyDescent="0.25">
      <c r="A37" s="107"/>
      <c r="B37" s="202"/>
      <c r="C37" s="107"/>
      <c r="D37" s="202"/>
      <c r="E37" s="203"/>
      <c r="F37" s="202"/>
      <c r="G37" s="204" t="s">
        <v>309</v>
      </c>
    </row>
    <row r="38" spans="1:7" x14ac:dyDescent="0.25">
      <c r="A38" s="30" t="s">
        <v>310</v>
      </c>
      <c r="B38" s="195"/>
      <c r="C38" s="30"/>
      <c r="D38" s="195"/>
      <c r="E38" s="205"/>
      <c r="F38" s="200" t="s">
        <v>343</v>
      </c>
      <c r="G38" s="201"/>
    </row>
    <row r="39" spans="1:7" ht="13" thickBot="1" x14ac:dyDescent="0.3">
      <c r="A39" s="206" t="str">
        <f>+A3</f>
        <v>BANCOLOMBIA</v>
      </c>
      <c r="B39" s="207"/>
      <c r="C39" s="206"/>
      <c r="D39" s="207"/>
      <c r="E39" s="208"/>
      <c r="F39" s="209" t="s">
        <v>344</v>
      </c>
      <c r="G39" s="210"/>
    </row>
    <row r="40" spans="1:7" x14ac:dyDescent="0.25">
      <c r="A40" s="211" t="s">
        <v>311</v>
      </c>
      <c r="B40" s="212"/>
      <c r="C40" s="211" t="s">
        <v>312</v>
      </c>
      <c r="D40" s="213"/>
      <c r="E40" s="214" t="s">
        <v>313</v>
      </c>
      <c r="F40" s="212"/>
      <c r="G40" s="215"/>
    </row>
    <row r="41" spans="1:7" ht="13" thickBot="1" x14ac:dyDescent="0.3">
      <c r="A41" s="206" t="s">
        <v>345</v>
      </c>
      <c r="B41" s="207"/>
      <c r="C41" s="206"/>
      <c r="D41" s="208"/>
      <c r="E41" s="424" t="str">
        <f>+F3</f>
        <v>DICIEMBRE</v>
      </c>
      <c r="F41" s="425" t="s">
        <v>33</v>
      </c>
      <c r="G41" s="426" t="str">
        <f>+F3</f>
        <v>DICIEMBRE</v>
      </c>
    </row>
    <row r="42" spans="1:7" ht="13" thickBot="1" x14ac:dyDescent="0.3">
      <c r="A42" s="30" t="s">
        <v>316</v>
      </c>
      <c r="B42" s="195"/>
      <c r="C42" s="195"/>
      <c r="D42" s="195"/>
      <c r="E42" s="195" t="s">
        <v>346</v>
      </c>
      <c r="F42" s="195"/>
      <c r="G42" s="201"/>
    </row>
    <row r="43" spans="1:7" ht="13" thickBot="1" x14ac:dyDescent="0.3">
      <c r="A43" s="216" t="s">
        <v>317</v>
      </c>
      <c r="B43" s="217"/>
      <c r="C43" s="218"/>
      <c r="D43" s="219">
        <v>8367959.2300000004</v>
      </c>
      <c r="E43" s="427" t="s">
        <v>318</v>
      </c>
      <c r="F43" s="428"/>
      <c r="G43" s="429"/>
    </row>
    <row r="44" spans="1:7" ht="13" thickBot="1" x14ac:dyDescent="0.3">
      <c r="A44" s="220" t="s">
        <v>319</v>
      </c>
      <c r="B44" s="221"/>
      <c r="C44" s="219"/>
      <c r="D44" s="219">
        <f>+D43</f>
        <v>8367959.2300000004</v>
      </c>
      <c r="E44" s="176" t="s">
        <v>330</v>
      </c>
      <c r="F44" s="222" t="s">
        <v>335</v>
      </c>
      <c r="G44" s="223" t="s">
        <v>31</v>
      </c>
    </row>
    <row r="45" spans="1:7" ht="13" thickBot="1" x14ac:dyDescent="0.3">
      <c r="A45" s="224" t="s">
        <v>322</v>
      </c>
      <c r="B45" s="225"/>
      <c r="C45" s="224"/>
      <c r="D45" s="430">
        <f>D43-D44</f>
        <v>0</v>
      </c>
      <c r="E45" s="226"/>
      <c r="F45" s="179"/>
      <c r="G45" s="175"/>
    </row>
    <row r="46" spans="1:7" x14ac:dyDescent="0.25">
      <c r="A46" s="227" t="s">
        <v>323</v>
      </c>
      <c r="B46" s="228"/>
      <c r="C46" s="227"/>
      <c r="D46" s="216">
        <f>D45-D51</f>
        <v>0</v>
      </c>
      <c r="E46" s="226"/>
      <c r="F46" s="179"/>
      <c r="G46" s="175"/>
    </row>
    <row r="47" spans="1:7" x14ac:dyDescent="0.25">
      <c r="A47" s="229" t="s">
        <v>324</v>
      </c>
      <c r="B47" s="230"/>
      <c r="C47" s="229"/>
      <c r="D47" s="231">
        <f>+D63</f>
        <v>0</v>
      </c>
      <c r="E47" s="226"/>
      <c r="F47" s="191"/>
      <c r="G47" s="232"/>
    </row>
    <row r="48" spans="1:7" ht="13" thickBot="1" x14ac:dyDescent="0.3">
      <c r="A48" s="229" t="s">
        <v>325</v>
      </c>
      <c r="B48" s="228"/>
      <c r="C48" s="227"/>
      <c r="D48" s="231">
        <f>G54</f>
        <v>0</v>
      </c>
      <c r="E48" s="179"/>
      <c r="F48" s="179"/>
      <c r="G48" s="232"/>
    </row>
    <row r="49" spans="1:7" x14ac:dyDescent="0.25">
      <c r="A49" s="229" t="s">
        <v>326</v>
      </c>
      <c r="B49" s="228"/>
      <c r="C49" s="227"/>
      <c r="D49" s="216">
        <f>+G59</f>
        <v>0</v>
      </c>
      <c r="E49" s="233"/>
      <c r="F49" s="176"/>
      <c r="G49" s="223"/>
    </row>
    <row r="50" spans="1:7" x14ac:dyDescent="0.25">
      <c r="A50" s="227" t="s">
        <v>327</v>
      </c>
      <c r="B50" s="228"/>
      <c r="C50" s="227"/>
      <c r="D50" s="231">
        <f>+G62</f>
        <v>0</v>
      </c>
      <c r="E50" s="233"/>
      <c r="F50" s="176"/>
      <c r="G50" s="223"/>
    </row>
    <row r="51" spans="1:7" ht="13" thickBot="1" x14ac:dyDescent="0.3">
      <c r="A51" s="234" t="s">
        <v>328</v>
      </c>
      <c r="B51" s="228"/>
      <c r="C51" s="227"/>
      <c r="D51" s="231">
        <f>+D47-D48-D49+D50</f>
        <v>0</v>
      </c>
      <c r="E51" s="233"/>
      <c r="F51" s="176"/>
      <c r="G51" s="223"/>
    </row>
    <row r="52" spans="1:7" x14ac:dyDescent="0.25">
      <c r="A52" s="235" t="s">
        <v>329</v>
      </c>
      <c r="B52" s="236"/>
      <c r="C52" s="235"/>
      <c r="D52" s="236"/>
      <c r="E52" s="176"/>
      <c r="F52" s="176"/>
      <c r="G52" s="223"/>
    </row>
    <row r="53" spans="1:7" x14ac:dyDescent="0.25">
      <c r="A53" s="222" t="s">
        <v>330</v>
      </c>
      <c r="B53" s="237" t="s">
        <v>331</v>
      </c>
      <c r="C53" s="222" t="s">
        <v>332</v>
      </c>
      <c r="D53" s="237" t="s">
        <v>31</v>
      </c>
      <c r="E53" s="238"/>
      <c r="F53" s="176"/>
      <c r="G53" s="223"/>
    </row>
    <row r="54" spans="1:7" x14ac:dyDescent="0.25">
      <c r="A54" s="176"/>
      <c r="B54" s="239"/>
      <c r="C54" s="240"/>
      <c r="D54" s="229"/>
      <c r="E54" s="176"/>
      <c r="F54" s="177" t="s">
        <v>333</v>
      </c>
      <c r="G54" s="241">
        <f>SUM(G45:G53)</f>
        <v>0</v>
      </c>
    </row>
    <row r="55" spans="1:7" x14ac:dyDescent="0.25">
      <c r="A55" s="176"/>
      <c r="B55" s="239"/>
      <c r="C55" s="240"/>
      <c r="D55" s="195"/>
      <c r="E55" s="229"/>
      <c r="F55" s="242" t="s">
        <v>334</v>
      </c>
      <c r="G55" s="241"/>
    </row>
    <row r="56" spans="1:7" x14ac:dyDescent="0.25">
      <c r="A56" s="176"/>
      <c r="B56" s="239"/>
      <c r="C56" s="240"/>
      <c r="D56" s="229"/>
      <c r="E56" s="176" t="s">
        <v>330</v>
      </c>
      <c r="F56" s="222" t="s">
        <v>335</v>
      </c>
      <c r="G56" s="223" t="s">
        <v>31</v>
      </c>
    </row>
    <row r="57" spans="1:7" x14ac:dyDescent="0.25">
      <c r="A57" s="176"/>
      <c r="B57" s="239"/>
      <c r="C57" s="240"/>
      <c r="D57" s="229"/>
      <c r="E57" s="238"/>
      <c r="F57" s="176"/>
      <c r="G57" s="223">
        <v>0</v>
      </c>
    </row>
    <row r="58" spans="1:7" x14ac:dyDescent="0.25">
      <c r="A58" s="176"/>
      <c r="B58" s="239"/>
      <c r="C58" s="240"/>
      <c r="D58" s="229"/>
      <c r="E58" s="176"/>
      <c r="F58" s="176"/>
      <c r="G58" s="223" t="s">
        <v>33</v>
      </c>
    </row>
    <row r="59" spans="1:7" x14ac:dyDescent="0.25">
      <c r="A59" s="176"/>
      <c r="B59" s="239"/>
      <c r="C59" s="240"/>
      <c r="D59" s="229"/>
      <c r="E59" s="176"/>
      <c r="F59" s="177" t="s">
        <v>333</v>
      </c>
      <c r="G59" s="241">
        <f>SUM(G57:G58)</f>
        <v>0</v>
      </c>
    </row>
    <row r="60" spans="1:7" x14ac:dyDescent="0.25">
      <c r="A60" s="176"/>
      <c r="B60" s="239"/>
      <c r="C60" s="240"/>
      <c r="D60" s="195"/>
      <c r="E60" s="229"/>
      <c r="F60" s="242" t="s">
        <v>336</v>
      </c>
      <c r="G60" s="241"/>
    </row>
    <row r="61" spans="1:7" x14ac:dyDescent="0.25">
      <c r="A61" s="176"/>
      <c r="B61" s="239"/>
      <c r="C61" s="240"/>
      <c r="D61" s="229" t="s">
        <v>33</v>
      </c>
      <c r="E61" s="176" t="s">
        <v>330</v>
      </c>
      <c r="F61" s="222" t="s">
        <v>335</v>
      </c>
      <c r="G61" s="223" t="s">
        <v>31</v>
      </c>
    </row>
    <row r="62" spans="1:7" ht="13" thickBot="1" x14ac:dyDescent="0.3">
      <c r="A62" s="206"/>
      <c r="B62" s="243"/>
      <c r="C62" s="244" t="s">
        <v>337</v>
      </c>
      <c r="D62" s="245"/>
      <c r="E62" s="207"/>
      <c r="F62" s="246" t="s">
        <v>333</v>
      </c>
      <c r="G62" s="247">
        <v>0</v>
      </c>
    </row>
    <row r="63" spans="1:7" x14ac:dyDescent="0.25">
      <c r="A63" s="211"/>
      <c r="B63" s="212"/>
      <c r="C63" s="248" t="s">
        <v>347</v>
      </c>
      <c r="D63" s="249">
        <f>SUM(D54:D62)</f>
        <v>0</v>
      </c>
      <c r="E63" s="214"/>
      <c r="F63" s="250"/>
      <c r="G63" s="251"/>
    </row>
    <row r="64" spans="1:7" x14ac:dyDescent="0.25">
      <c r="A64" s="252" t="s">
        <v>338</v>
      </c>
      <c r="B64" s="253"/>
      <c r="C64" s="252" t="s">
        <v>339</v>
      </c>
      <c r="D64" s="254"/>
      <c r="E64" s="255" t="s">
        <v>340</v>
      </c>
      <c r="F64" s="254"/>
      <c r="G64" s="256" t="s">
        <v>330</v>
      </c>
    </row>
    <row r="65" spans="1:7" x14ac:dyDescent="0.25">
      <c r="A65" s="257"/>
      <c r="B65" s="258"/>
      <c r="C65" s="257"/>
      <c r="D65" s="259"/>
      <c r="E65" s="260"/>
      <c r="F65" s="259"/>
      <c r="G65" s="261"/>
    </row>
  </sheetData>
  <mergeCells count="1">
    <mergeCell ref="E5:G5"/>
  </mergeCells>
  <dataValidations count="1">
    <dataValidation type="whole" operator="greaterThanOrEqual" allowBlank="1" showInputMessage="1" showErrorMessage="1" error="Vr. Pagado" sqref="G11:G18" xr:uid="{37667E19-CE55-43F6-B791-1C4FD07794F7}">
      <formula1>0</formula1>
    </dataValidation>
  </dataValidations>
  <pageMargins left="0.70866141732283472" right="0.70866141732283472" top="0.74803149606299213" bottom="0.74803149606299213" header="0.31496062992125984" footer="0.31496062992125984"/>
  <pageSetup scale="81"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39</vt:i4>
      </vt:variant>
      <vt:variant>
        <vt:lpstr>Rangos con nombre</vt:lpstr>
      </vt:variant>
      <vt:variant>
        <vt:i4>8</vt:i4>
      </vt:variant>
    </vt:vector>
  </HeadingPairs>
  <TitlesOfParts>
    <vt:vector size="47" baseType="lpstr">
      <vt:lpstr>ESFA feb 2025</vt:lpstr>
      <vt:lpstr>ESFA abril 2025</vt:lpstr>
      <vt:lpstr>GRAFICOS ESFA 2025</vt:lpstr>
      <vt:lpstr>ESFA AGOST 2025</vt:lpstr>
      <vt:lpstr>TABLA ESFA 2025</vt:lpstr>
      <vt:lpstr>ESFA JUL 2025</vt:lpstr>
      <vt:lpstr>ESFA JUN 2025</vt:lpstr>
      <vt:lpstr>ESFA JUN GRAF 2025</vt:lpstr>
      <vt:lpstr>ESTAD RESUL JUN</vt:lpstr>
      <vt:lpstr>ESFA GRAF 2025</vt:lpstr>
      <vt:lpstr>GRAF ESTAD RESUL2025</vt:lpstr>
      <vt:lpstr>Sub-Sobre ejec agost 2025</vt:lpstr>
      <vt:lpstr>Sobre-sub ejecuciones</vt:lpstr>
      <vt:lpstr>TABLA ESTAD RESUL 2025</vt:lpstr>
      <vt:lpstr>ESTAD RESULT AGOS 2025</vt:lpstr>
      <vt:lpstr>Graf Cartera 2025 Contab</vt:lpstr>
      <vt:lpstr>Tabla cartera</vt:lpstr>
      <vt:lpstr>Notas agost 2025</vt:lpstr>
      <vt:lpstr>Notas Julio 2025</vt:lpstr>
      <vt:lpstr>Proyecc Flujo de caja 2025</vt:lpstr>
      <vt:lpstr>Hoja2</vt:lpstr>
      <vt:lpstr>ESTAD RESUL JULIO 2025</vt:lpstr>
      <vt:lpstr>ESTAD RESUL GRAF JUN</vt:lpstr>
      <vt:lpstr>EJEC PRESUP JUN</vt:lpstr>
      <vt:lpstr>EJEC PRES GRAF</vt:lpstr>
      <vt:lpstr>ESFA MAY 2025</vt:lpstr>
      <vt:lpstr>ESFA MAY GRAF</vt:lpstr>
      <vt:lpstr>ESTAD RESULT MAY</vt:lpstr>
      <vt:lpstr>ESTAD RESUL GRAF MAY</vt:lpstr>
      <vt:lpstr>ESTAD RESULT graf abr</vt:lpstr>
      <vt:lpstr>EJEC PRESUPabr</vt:lpstr>
      <vt:lpstr>SERVICIOS PUB.</vt:lpstr>
      <vt:lpstr>Notas balance may</vt:lpstr>
      <vt:lpstr>NOTAS BALANCE abr</vt:lpstr>
      <vt:lpstr>FLUJO DE CAJA MES</vt:lpstr>
      <vt:lpstr>Cartera 2024 CONT </vt:lpstr>
      <vt:lpstr>Cartera 2024</vt:lpstr>
      <vt:lpstr>INFORME ESPECIAL MENSUAL</vt:lpstr>
      <vt:lpstr>CONCILIACION BANCO</vt:lpstr>
      <vt:lpstr>'CONCILIACION BANCO'!Área_de_impresión</vt:lpstr>
      <vt:lpstr>'EJEC PRESUPabr'!Área_de_impresión</vt:lpstr>
      <vt:lpstr>'ESFA abril 2025'!Área_de_impresión</vt:lpstr>
      <vt:lpstr>'ESTAD RESULT graf abr'!Área_de_impresión</vt:lpstr>
      <vt:lpstr>'FLUJO DE CAJA MES'!Área_de_impresión</vt:lpstr>
      <vt:lpstr>'INFORME ESPECIAL MENSUAL'!Área_de_impresión</vt:lpstr>
      <vt:lpstr>'NOTAS BALANCE abr'!Área_de_impresión</vt:lpstr>
      <vt:lpstr>ene_25</vt:lpstr>
    </vt:vector>
  </TitlesOfParts>
  <Company>Edgar 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Alvarez</dc:creator>
  <cp:lastModifiedBy>Tania Maria Angulo Romero</cp:lastModifiedBy>
  <cp:lastPrinted>2024-12-14T05:30:13Z</cp:lastPrinted>
  <dcterms:created xsi:type="dcterms:W3CDTF">2001-08-28T03:14:31Z</dcterms:created>
  <dcterms:modified xsi:type="dcterms:W3CDTF">2026-03-07T14:53:21Z</dcterms:modified>
</cp:coreProperties>
</file>